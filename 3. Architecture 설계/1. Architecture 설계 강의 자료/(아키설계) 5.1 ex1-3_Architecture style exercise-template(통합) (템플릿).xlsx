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352e46d21bc4132/Desktop/"/>
    </mc:Choice>
  </mc:AlternateContent>
  <xr:revisionPtr revIDLastSave="4380" documentId="13_ncr:1_{B0CE0AA6-7208-4D7D-A930-A25E16EDB37C}" xr6:coauthVersionLast="47" xr6:coauthVersionMax="47" xr10:uidLastSave="{1A4412C4-CDCC-48CD-9E3E-A956B273621D}"/>
  <bookViews>
    <workbookView xWindow="4575" yWindow="1620" windowWidth="30705" windowHeight="15435" firstSheet="2" activeTab="11" xr2:uid="{00000000-000D-0000-FFFF-FFFF00000000}"/>
  </bookViews>
  <sheets>
    <sheet name="DF" sheetId="1" r:id="rId1"/>
    <sheet name="DC" sheetId="2" r:id="rId2"/>
    <sheet name="II" sheetId="3" r:id="rId3"/>
    <sheet name="IO" sheetId="4" r:id="rId4"/>
    <sheet name="H1" sheetId="5" r:id="rId5"/>
    <sheet name="H2" sheetId="6" r:id="rId6"/>
    <sheet name="DA1" sheetId="7" r:id="rId7"/>
    <sheet name="DA2" sheetId="8" r:id="rId8"/>
    <sheet name="DA3" sheetId="20" r:id="rId9"/>
    <sheet name="Dep" sheetId="9" r:id="rId10"/>
    <sheet name="Detailed Reasoning" sheetId="10" r:id="rId11"/>
    <sheet name="1조" sheetId="11" r:id="rId12"/>
    <sheet name="2조" sheetId="12" r:id="rId13"/>
    <sheet name="3조" sheetId="13" r:id="rId14"/>
    <sheet name="4조" sheetId="14" r:id="rId15"/>
    <sheet name="5조" sheetId="15" r:id="rId16"/>
    <sheet name="6조" sheetId="16" r:id="rId17"/>
    <sheet name="7조" sheetId="17" r:id="rId18"/>
    <sheet name="8조" sheetId="18" r:id="rId19"/>
    <sheet name="9조" sheetId="19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0" i="9" l="1"/>
  <c r="E110" i="9"/>
  <c r="C110" i="9"/>
  <c r="G108" i="9"/>
  <c r="C106" i="9"/>
  <c r="E104" i="9"/>
  <c r="C104" i="9"/>
  <c r="E100" i="9"/>
  <c r="C100" i="9"/>
  <c r="G98" i="9"/>
  <c r="E98" i="9"/>
  <c r="E94" i="9"/>
  <c r="C94" i="9"/>
  <c r="G88" i="9"/>
  <c r="E88" i="9"/>
  <c r="C88" i="9"/>
  <c r="G86" i="9"/>
  <c r="C84" i="9"/>
  <c r="E82" i="9"/>
  <c r="C82" i="9"/>
  <c r="E78" i="9"/>
  <c r="C78" i="9"/>
  <c r="G76" i="9"/>
  <c r="E76" i="9"/>
  <c r="C72" i="9"/>
  <c r="E70" i="9"/>
  <c r="G66" i="9"/>
  <c r="E66" i="9"/>
  <c r="C66" i="9"/>
  <c r="G64" i="9"/>
  <c r="C62" i="9"/>
  <c r="E60" i="9"/>
  <c r="C60" i="9"/>
  <c r="E56" i="9"/>
  <c r="C56" i="9"/>
  <c r="G54" i="9"/>
  <c r="E54" i="9"/>
  <c r="E50" i="9"/>
  <c r="C50" i="9"/>
  <c r="G44" i="9"/>
  <c r="E44" i="9"/>
  <c r="C44" i="9"/>
  <c r="G42" i="9"/>
  <c r="C40" i="9"/>
  <c r="E38" i="9"/>
  <c r="C38" i="9"/>
  <c r="E34" i="9"/>
  <c r="C34" i="9"/>
  <c r="G32" i="9"/>
  <c r="E32" i="9"/>
  <c r="C28" i="9"/>
  <c r="E26" i="9"/>
  <c r="G22" i="9"/>
  <c r="E22" i="9"/>
  <c r="C22" i="9"/>
  <c r="G20" i="9"/>
  <c r="C18" i="9"/>
  <c r="E16" i="9"/>
  <c r="C16" i="9"/>
  <c r="E12" i="9"/>
  <c r="C12" i="9"/>
  <c r="G10" i="9"/>
  <c r="E10" i="9"/>
  <c r="E6" i="9"/>
  <c r="C6" i="9"/>
  <c r="E87" i="20"/>
  <c r="E54" i="20"/>
  <c r="E32" i="8"/>
  <c r="C3" i="19"/>
  <c r="E3" i="19"/>
  <c r="G3" i="19"/>
  <c r="C4" i="19"/>
  <c r="E4" i="19"/>
  <c r="G4" i="19"/>
  <c r="G23" i="1" s="1"/>
  <c r="C5" i="19"/>
  <c r="E5" i="19"/>
  <c r="G5" i="19"/>
  <c r="C6" i="19"/>
  <c r="E6" i="19"/>
  <c r="G6" i="19"/>
  <c r="G45" i="1" s="1"/>
  <c r="C7" i="19"/>
  <c r="E7" i="19"/>
  <c r="G7" i="19"/>
  <c r="C8" i="19"/>
  <c r="E8" i="19"/>
  <c r="G8" i="19"/>
  <c r="C9" i="19"/>
  <c r="E9" i="19"/>
  <c r="G9" i="19"/>
  <c r="C10" i="19"/>
  <c r="E10" i="19"/>
  <c r="G10" i="19"/>
  <c r="G89" i="1" s="1"/>
  <c r="C11" i="19"/>
  <c r="E11" i="19"/>
  <c r="G11" i="19"/>
  <c r="G100" i="1" s="1"/>
  <c r="C12" i="19"/>
  <c r="E12" i="19"/>
  <c r="G12" i="19"/>
  <c r="G111" i="1" s="1"/>
  <c r="C16" i="19"/>
  <c r="E16" i="19"/>
  <c r="C17" i="19"/>
  <c r="E17" i="19"/>
  <c r="C18" i="19"/>
  <c r="E18" i="19"/>
  <c r="E34" i="2" s="1"/>
  <c r="C19" i="19"/>
  <c r="E19" i="19"/>
  <c r="C20" i="19"/>
  <c r="E20" i="19"/>
  <c r="C21" i="19"/>
  <c r="C67" i="2" s="1"/>
  <c r="E21" i="19"/>
  <c r="E67" i="2" s="1"/>
  <c r="C22" i="19"/>
  <c r="E22" i="19"/>
  <c r="C23" i="19"/>
  <c r="E23" i="19"/>
  <c r="C24" i="19"/>
  <c r="E24" i="19"/>
  <c r="E100" i="2" s="1"/>
  <c r="C25" i="19"/>
  <c r="E25" i="19"/>
  <c r="C29" i="19"/>
  <c r="E29" i="19"/>
  <c r="C30" i="19"/>
  <c r="E30" i="19"/>
  <c r="C31" i="19"/>
  <c r="E31" i="19"/>
  <c r="C32" i="19"/>
  <c r="E32" i="19"/>
  <c r="C33" i="19"/>
  <c r="E33" i="19"/>
  <c r="E56" i="3" s="1"/>
  <c r="C34" i="19"/>
  <c r="E34" i="19"/>
  <c r="C35" i="19"/>
  <c r="E35" i="19"/>
  <c r="C36" i="19"/>
  <c r="E36" i="19"/>
  <c r="E89" i="3" s="1"/>
  <c r="C37" i="19"/>
  <c r="E37" i="19"/>
  <c r="C38" i="19"/>
  <c r="E38" i="19"/>
  <c r="C42" i="19"/>
  <c r="E42" i="19"/>
  <c r="C43" i="19"/>
  <c r="E43" i="19"/>
  <c r="C44" i="19"/>
  <c r="E44" i="19"/>
  <c r="C45" i="19"/>
  <c r="E45" i="19"/>
  <c r="E45" i="4" s="1"/>
  <c r="C46" i="19"/>
  <c r="E46" i="19"/>
  <c r="C47" i="19"/>
  <c r="E47" i="19"/>
  <c r="C48" i="19"/>
  <c r="E48" i="19"/>
  <c r="E78" i="4" s="1"/>
  <c r="C49" i="19"/>
  <c r="E49" i="19"/>
  <c r="C50" i="19"/>
  <c r="E50" i="19"/>
  <c r="C51" i="19"/>
  <c r="E51" i="19"/>
  <c r="E111" i="4" s="1"/>
  <c r="C55" i="19"/>
  <c r="E55" i="19"/>
  <c r="C56" i="19"/>
  <c r="E56" i="19"/>
  <c r="C57" i="19"/>
  <c r="E57" i="19"/>
  <c r="E34" i="5" s="1"/>
  <c r="C58" i="19"/>
  <c r="E58" i="19"/>
  <c r="C59" i="19"/>
  <c r="E59" i="19"/>
  <c r="C60" i="19"/>
  <c r="E60" i="19"/>
  <c r="E67" i="5" s="1"/>
  <c r="C61" i="19"/>
  <c r="E61" i="19"/>
  <c r="C62" i="19"/>
  <c r="E62" i="19"/>
  <c r="C63" i="19"/>
  <c r="E63" i="19"/>
  <c r="E100" i="5" s="1"/>
  <c r="C64" i="19"/>
  <c r="E64" i="19"/>
  <c r="C68" i="19"/>
  <c r="E68" i="19"/>
  <c r="G68" i="19"/>
  <c r="C69" i="19"/>
  <c r="C23" i="6" s="1"/>
  <c r="E69" i="19"/>
  <c r="E23" i="6" s="1"/>
  <c r="G69" i="19"/>
  <c r="C70" i="19"/>
  <c r="E70" i="19"/>
  <c r="G70" i="19"/>
  <c r="G34" i="6" s="1"/>
  <c r="C71" i="19"/>
  <c r="C45" i="6" s="1"/>
  <c r="E71" i="19"/>
  <c r="G71" i="19"/>
  <c r="C72" i="19"/>
  <c r="E72" i="19"/>
  <c r="G72" i="19"/>
  <c r="G56" i="6" s="1"/>
  <c r="C73" i="19"/>
  <c r="C67" i="6" s="1"/>
  <c r="E73" i="19"/>
  <c r="G73" i="19"/>
  <c r="C74" i="19"/>
  <c r="E74" i="19"/>
  <c r="G74" i="19"/>
  <c r="C75" i="19"/>
  <c r="C89" i="6" s="1"/>
  <c r="E75" i="19"/>
  <c r="G75" i="19"/>
  <c r="C76" i="19"/>
  <c r="E76" i="19"/>
  <c r="G76" i="19"/>
  <c r="G100" i="6" s="1"/>
  <c r="C77" i="19"/>
  <c r="E77" i="19"/>
  <c r="G77" i="19"/>
  <c r="C81" i="19"/>
  <c r="C12" i="7" s="1"/>
  <c r="E81" i="19"/>
  <c r="E12" i="7" s="1"/>
  <c r="C82" i="19"/>
  <c r="C23" i="7" s="1"/>
  <c r="E82" i="19"/>
  <c r="E23" i="7" s="1"/>
  <c r="C83" i="19"/>
  <c r="C34" i="7" s="1"/>
  <c r="E83" i="19"/>
  <c r="E34" i="7" s="1"/>
  <c r="C84" i="19"/>
  <c r="C45" i="7" s="1"/>
  <c r="E84" i="19"/>
  <c r="E45" i="7" s="1"/>
  <c r="C85" i="19"/>
  <c r="C56" i="7" s="1"/>
  <c r="E85" i="19"/>
  <c r="E56" i="7" s="1"/>
  <c r="C86" i="19"/>
  <c r="C67" i="7" s="1"/>
  <c r="E86" i="19"/>
  <c r="E67" i="7" s="1"/>
  <c r="C87" i="19"/>
  <c r="C78" i="7" s="1"/>
  <c r="E87" i="19"/>
  <c r="E78" i="7" s="1"/>
  <c r="C88" i="19"/>
  <c r="C89" i="7" s="1"/>
  <c r="E88" i="19"/>
  <c r="E89" i="7" s="1"/>
  <c r="C89" i="19"/>
  <c r="C100" i="7" s="1"/>
  <c r="E89" i="19"/>
  <c r="E100" i="7" s="1"/>
  <c r="C90" i="19"/>
  <c r="C111" i="7" s="1"/>
  <c r="E90" i="19"/>
  <c r="E111" i="7" s="1"/>
  <c r="C94" i="19"/>
  <c r="C12" i="8" s="1"/>
  <c r="E94" i="19"/>
  <c r="E12" i="8" s="1"/>
  <c r="C95" i="19"/>
  <c r="C23" i="8" s="1"/>
  <c r="E95" i="19"/>
  <c r="E23" i="8" s="1"/>
  <c r="C96" i="19"/>
  <c r="C34" i="8" s="1"/>
  <c r="E96" i="19"/>
  <c r="E34" i="8" s="1"/>
  <c r="C97" i="19"/>
  <c r="C45" i="8" s="1"/>
  <c r="E97" i="19"/>
  <c r="E45" i="8" s="1"/>
  <c r="C98" i="19"/>
  <c r="C56" i="8" s="1"/>
  <c r="E98" i="19"/>
  <c r="E56" i="8" s="1"/>
  <c r="C99" i="19"/>
  <c r="C67" i="8" s="1"/>
  <c r="E99" i="19"/>
  <c r="E67" i="8" s="1"/>
  <c r="C100" i="19"/>
  <c r="C78" i="8" s="1"/>
  <c r="E100" i="19"/>
  <c r="E78" i="8" s="1"/>
  <c r="C101" i="19"/>
  <c r="C89" i="8" s="1"/>
  <c r="E101" i="19"/>
  <c r="E89" i="8" s="1"/>
  <c r="C102" i="19"/>
  <c r="C100" i="8" s="1"/>
  <c r="E102" i="19"/>
  <c r="E100" i="8" s="1"/>
  <c r="C103" i="19"/>
  <c r="C111" i="8" s="1"/>
  <c r="E103" i="19"/>
  <c r="E111" i="8" s="1"/>
  <c r="C107" i="19"/>
  <c r="C12" i="20" s="1"/>
  <c r="E107" i="19"/>
  <c r="E12" i="20" s="1"/>
  <c r="C108" i="19"/>
  <c r="C23" i="20" s="1"/>
  <c r="E108" i="19"/>
  <c r="E23" i="20" s="1"/>
  <c r="C109" i="19"/>
  <c r="C34" i="20" s="1"/>
  <c r="E109" i="19"/>
  <c r="C110" i="19"/>
  <c r="C45" i="20" s="1"/>
  <c r="E110" i="19"/>
  <c r="E45" i="20" s="1"/>
  <c r="C111" i="19"/>
  <c r="C56" i="20" s="1"/>
  <c r="E111" i="19"/>
  <c r="E56" i="20" s="1"/>
  <c r="C112" i="19"/>
  <c r="C67" i="20" s="1"/>
  <c r="E112" i="19"/>
  <c r="C113" i="19"/>
  <c r="C78" i="20" s="1"/>
  <c r="E113" i="19"/>
  <c r="E78" i="20" s="1"/>
  <c r="C114" i="19"/>
  <c r="C89" i="20" s="1"/>
  <c r="E114" i="19"/>
  <c r="E89" i="20" s="1"/>
  <c r="C115" i="19"/>
  <c r="C100" i="20" s="1"/>
  <c r="E115" i="19"/>
  <c r="C116" i="19"/>
  <c r="C111" i="20" s="1"/>
  <c r="E116" i="19"/>
  <c r="E111" i="20" s="1"/>
  <c r="C120" i="19"/>
  <c r="E120" i="19"/>
  <c r="G120" i="19"/>
  <c r="G12" i="9" s="1"/>
  <c r="C121" i="19"/>
  <c r="C23" i="9" s="1"/>
  <c r="E121" i="19"/>
  <c r="E23" i="9" s="1"/>
  <c r="G121" i="19"/>
  <c r="G23" i="9" s="1"/>
  <c r="C122" i="19"/>
  <c r="E122" i="19"/>
  <c r="G122" i="19"/>
  <c r="G34" i="9" s="1"/>
  <c r="C123" i="19"/>
  <c r="C45" i="9" s="1"/>
  <c r="E123" i="19"/>
  <c r="E45" i="9" s="1"/>
  <c r="G123" i="19"/>
  <c r="G45" i="9" s="1"/>
  <c r="C124" i="19"/>
  <c r="E124" i="19"/>
  <c r="G124" i="19"/>
  <c r="G56" i="9" s="1"/>
  <c r="C125" i="19"/>
  <c r="C67" i="9" s="1"/>
  <c r="E125" i="19"/>
  <c r="E67" i="9" s="1"/>
  <c r="G125" i="19"/>
  <c r="G67" i="9" s="1"/>
  <c r="C126" i="19"/>
  <c r="E126" i="19"/>
  <c r="G126" i="19"/>
  <c r="G78" i="9" s="1"/>
  <c r="C127" i="19"/>
  <c r="C89" i="9" s="1"/>
  <c r="E127" i="19"/>
  <c r="E89" i="9" s="1"/>
  <c r="G127" i="19"/>
  <c r="G89" i="9" s="1"/>
  <c r="C128" i="19"/>
  <c r="E128" i="19"/>
  <c r="G128" i="19"/>
  <c r="G100" i="9" s="1"/>
  <c r="C129" i="19"/>
  <c r="C111" i="9" s="1"/>
  <c r="E129" i="19"/>
  <c r="E111" i="9" s="1"/>
  <c r="G129" i="19"/>
  <c r="G111" i="9" s="1"/>
  <c r="C3" i="18"/>
  <c r="E3" i="18"/>
  <c r="G3" i="18"/>
  <c r="G11" i="1" s="1"/>
  <c r="C4" i="18"/>
  <c r="E4" i="18"/>
  <c r="G4" i="18"/>
  <c r="C5" i="18"/>
  <c r="E5" i="18"/>
  <c r="G5" i="18"/>
  <c r="G33" i="1" s="1"/>
  <c r="C6" i="18"/>
  <c r="C44" i="1" s="1"/>
  <c r="E6" i="18"/>
  <c r="G6" i="18"/>
  <c r="C7" i="18"/>
  <c r="E7" i="18"/>
  <c r="G7" i="18"/>
  <c r="C8" i="18"/>
  <c r="C66" i="1" s="1"/>
  <c r="E8" i="18"/>
  <c r="E66" i="1" s="1"/>
  <c r="G8" i="18"/>
  <c r="C9" i="18"/>
  <c r="E9" i="18"/>
  <c r="G9" i="18"/>
  <c r="C10" i="18"/>
  <c r="E10" i="18"/>
  <c r="G10" i="18"/>
  <c r="C11" i="18"/>
  <c r="E11" i="18"/>
  <c r="G11" i="18"/>
  <c r="C12" i="18"/>
  <c r="C110" i="1" s="1"/>
  <c r="E12" i="18"/>
  <c r="E110" i="1" s="1"/>
  <c r="G12" i="18"/>
  <c r="C16" i="18"/>
  <c r="C11" i="2" s="1"/>
  <c r="E16" i="18"/>
  <c r="C17" i="18"/>
  <c r="E17" i="18"/>
  <c r="E22" i="2" s="1"/>
  <c r="C18" i="18"/>
  <c r="E18" i="18"/>
  <c r="C19" i="18"/>
  <c r="E19" i="18"/>
  <c r="C20" i="18"/>
  <c r="E20" i="18"/>
  <c r="C21" i="18"/>
  <c r="C66" i="2" s="1"/>
  <c r="E21" i="18"/>
  <c r="C22" i="18"/>
  <c r="E22" i="18"/>
  <c r="C23" i="18"/>
  <c r="E23" i="18"/>
  <c r="E88" i="2" s="1"/>
  <c r="C24" i="18"/>
  <c r="E24" i="18"/>
  <c r="C25" i="18"/>
  <c r="E25" i="18"/>
  <c r="C29" i="18"/>
  <c r="C11" i="3" s="1"/>
  <c r="E29" i="18"/>
  <c r="E11" i="3" s="1"/>
  <c r="C30" i="18"/>
  <c r="C22" i="3" s="1"/>
  <c r="E30" i="18"/>
  <c r="C31" i="18"/>
  <c r="E31" i="18"/>
  <c r="C32" i="18"/>
  <c r="E32" i="18"/>
  <c r="E44" i="3" s="1"/>
  <c r="C33" i="18"/>
  <c r="E33" i="18"/>
  <c r="C34" i="18"/>
  <c r="E34" i="18"/>
  <c r="C35" i="18"/>
  <c r="E35" i="18"/>
  <c r="E77" i="3" s="1"/>
  <c r="C36" i="18"/>
  <c r="E36" i="18"/>
  <c r="C37" i="18"/>
  <c r="E37" i="18"/>
  <c r="C38" i="18"/>
  <c r="E38" i="18"/>
  <c r="E110" i="3" s="1"/>
  <c r="C42" i="18"/>
  <c r="E42" i="18"/>
  <c r="C43" i="18"/>
  <c r="E43" i="18"/>
  <c r="C44" i="18"/>
  <c r="E44" i="18"/>
  <c r="E33" i="4" s="1"/>
  <c r="C45" i="18"/>
  <c r="E45" i="18"/>
  <c r="C46" i="18"/>
  <c r="E46" i="18"/>
  <c r="C47" i="18"/>
  <c r="E47" i="18"/>
  <c r="E66" i="4" s="1"/>
  <c r="C48" i="18"/>
  <c r="E48" i="18"/>
  <c r="C49" i="18"/>
  <c r="E49" i="18"/>
  <c r="C50" i="18"/>
  <c r="E50" i="18"/>
  <c r="E99" i="4" s="1"/>
  <c r="C51" i="18"/>
  <c r="E51" i="18"/>
  <c r="C55" i="18"/>
  <c r="C11" i="5" s="1"/>
  <c r="E55" i="18"/>
  <c r="C56" i="18"/>
  <c r="E56" i="18"/>
  <c r="E22" i="5" s="1"/>
  <c r="C57" i="18"/>
  <c r="E57" i="18"/>
  <c r="C58" i="18"/>
  <c r="E58" i="18"/>
  <c r="C59" i="18"/>
  <c r="E59" i="18"/>
  <c r="E55" i="5" s="1"/>
  <c r="C60" i="18"/>
  <c r="C66" i="5" s="1"/>
  <c r="E60" i="18"/>
  <c r="C61" i="18"/>
  <c r="E61" i="18"/>
  <c r="C62" i="18"/>
  <c r="E62" i="18"/>
  <c r="E88" i="5" s="1"/>
  <c r="C63" i="18"/>
  <c r="E63" i="18"/>
  <c r="C64" i="18"/>
  <c r="E64" i="18"/>
  <c r="C68" i="18"/>
  <c r="C11" i="6" s="1"/>
  <c r="E68" i="18"/>
  <c r="E11" i="6" s="1"/>
  <c r="G68" i="18"/>
  <c r="C69" i="18"/>
  <c r="E69" i="18"/>
  <c r="G69" i="18"/>
  <c r="C70" i="18"/>
  <c r="C33" i="6" s="1"/>
  <c r="E70" i="18"/>
  <c r="E33" i="6" s="1"/>
  <c r="G70" i="18"/>
  <c r="C71" i="18"/>
  <c r="E71" i="18"/>
  <c r="G71" i="18"/>
  <c r="C72" i="18"/>
  <c r="E72" i="18"/>
  <c r="E55" i="6" s="1"/>
  <c r="G72" i="18"/>
  <c r="C73" i="18"/>
  <c r="E73" i="18"/>
  <c r="G73" i="18"/>
  <c r="C74" i="18"/>
  <c r="E74" i="18"/>
  <c r="E77" i="6" s="1"/>
  <c r="G74" i="18"/>
  <c r="C75" i="18"/>
  <c r="E75" i="18"/>
  <c r="G75" i="18"/>
  <c r="C76" i="18"/>
  <c r="C99" i="6" s="1"/>
  <c r="E76" i="18"/>
  <c r="E99" i="6" s="1"/>
  <c r="G76" i="18"/>
  <c r="G99" i="6" s="1"/>
  <c r="C77" i="18"/>
  <c r="E77" i="18"/>
  <c r="G77" i="18"/>
  <c r="C81" i="18"/>
  <c r="C11" i="7" s="1"/>
  <c r="E81" i="18"/>
  <c r="E11" i="7" s="1"/>
  <c r="C82" i="18"/>
  <c r="C22" i="7" s="1"/>
  <c r="E82" i="18"/>
  <c r="E22" i="7" s="1"/>
  <c r="C83" i="18"/>
  <c r="C33" i="7" s="1"/>
  <c r="E83" i="18"/>
  <c r="E33" i="7" s="1"/>
  <c r="C84" i="18"/>
  <c r="C44" i="7" s="1"/>
  <c r="E84" i="18"/>
  <c r="E44" i="7" s="1"/>
  <c r="C85" i="18"/>
  <c r="C55" i="7" s="1"/>
  <c r="E85" i="18"/>
  <c r="E55" i="7" s="1"/>
  <c r="C86" i="18"/>
  <c r="C66" i="7" s="1"/>
  <c r="E86" i="18"/>
  <c r="E66" i="7" s="1"/>
  <c r="C87" i="18"/>
  <c r="C77" i="7" s="1"/>
  <c r="E87" i="18"/>
  <c r="E77" i="7" s="1"/>
  <c r="C88" i="18"/>
  <c r="C88" i="7" s="1"/>
  <c r="E88" i="18"/>
  <c r="E88" i="7" s="1"/>
  <c r="C89" i="18"/>
  <c r="C99" i="7" s="1"/>
  <c r="E89" i="18"/>
  <c r="E99" i="7" s="1"/>
  <c r="C90" i="18"/>
  <c r="C110" i="7" s="1"/>
  <c r="E90" i="18"/>
  <c r="E110" i="7" s="1"/>
  <c r="C94" i="18"/>
  <c r="C11" i="8" s="1"/>
  <c r="E94" i="18"/>
  <c r="E11" i="8" s="1"/>
  <c r="C95" i="18"/>
  <c r="C22" i="8" s="1"/>
  <c r="E95" i="18"/>
  <c r="E22" i="8" s="1"/>
  <c r="C96" i="18"/>
  <c r="C33" i="8" s="1"/>
  <c r="E96" i="18"/>
  <c r="E33" i="8" s="1"/>
  <c r="C97" i="18"/>
  <c r="C44" i="8" s="1"/>
  <c r="E97" i="18"/>
  <c r="E44" i="8" s="1"/>
  <c r="C98" i="18"/>
  <c r="C55" i="8" s="1"/>
  <c r="E98" i="18"/>
  <c r="E55" i="8" s="1"/>
  <c r="C99" i="18"/>
  <c r="C66" i="8" s="1"/>
  <c r="E99" i="18"/>
  <c r="E66" i="8" s="1"/>
  <c r="C100" i="18"/>
  <c r="C77" i="8" s="1"/>
  <c r="E100" i="18"/>
  <c r="E77" i="8" s="1"/>
  <c r="C101" i="18"/>
  <c r="C88" i="8" s="1"/>
  <c r="E101" i="18"/>
  <c r="E88" i="8" s="1"/>
  <c r="C102" i="18"/>
  <c r="C99" i="8" s="1"/>
  <c r="E102" i="18"/>
  <c r="E99" i="8" s="1"/>
  <c r="C103" i="18"/>
  <c r="C110" i="8" s="1"/>
  <c r="E103" i="18"/>
  <c r="E110" i="8" s="1"/>
  <c r="C107" i="18"/>
  <c r="E107" i="18"/>
  <c r="E11" i="20" s="1"/>
  <c r="C108" i="18"/>
  <c r="C22" i="20" s="1"/>
  <c r="E108" i="18"/>
  <c r="C109" i="18"/>
  <c r="C33" i="20" s="1"/>
  <c r="E109" i="18"/>
  <c r="E33" i="20" s="1"/>
  <c r="C110" i="18"/>
  <c r="C44" i="20" s="1"/>
  <c r="E110" i="18"/>
  <c r="E44" i="20" s="1"/>
  <c r="C111" i="18"/>
  <c r="C55" i="20" s="1"/>
  <c r="E111" i="18"/>
  <c r="C112" i="18"/>
  <c r="C66" i="20" s="1"/>
  <c r="E112" i="18"/>
  <c r="E66" i="20" s="1"/>
  <c r="C113" i="18"/>
  <c r="E113" i="18"/>
  <c r="E77" i="20" s="1"/>
  <c r="C114" i="18"/>
  <c r="C88" i="20" s="1"/>
  <c r="E114" i="18"/>
  <c r="E88" i="20" s="1"/>
  <c r="C115" i="18"/>
  <c r="C99" i="20" s="1"/>
  <c r="E115" i="18"/>
  <c r="E99" i="20" s="1"/>
  <c r="C116" i="18"/>
  <c r="C110" i="20" s="1"/>
  <c r="E116" i="18"/>
  <c r="E110" i="20" s="1"/>
  <c r="C120" i="18"/>
  <c r="C11" i="9" s="1"/>
  <c r="E120" i="18"/>
  <c r="E11" i="9" s="1"/>
  <c r="G120" i="18"/>
  <c r="G11" i="9" s="1"/>
  <c r="C121" i="18"/>
  <c r="E121" i="18"/>
  <c r="G121" i="18"/>
  <c r="C122" i="18"/>
  <c r="C33" i="9" s="1"/>
  <c r="E122" i="18"/>
  <c r="E33" i="9" s="1"/>
  <c r="G122" i="18"/>
  <c r="G33" i="9" s="1"/>
  <c r="C123" i="18"/>
  <c r="E123" i="18"/>
  <c r="G123" i="18"/>
  <c r="C124" i="18"/>
  <c r="C55" i="9" s="1"/>
  <c r="E124" i="18"/>
  <c r="E55" i="9" s="1"/>
  <c r="G124" i="18"/>
  <c r="G55" i="9" s="1"/>
  <c r="C125" i="18"/>
  <c r="E125" i="18"/>
  <c r="G125" i="18"/>
  <c r="C126" i="18"/>
  <c r="C77" i="9" s="1"/>
  <c r="E126" i="18"/>
  <c r="E77" i="9" s="1"/>
  <c r="G126" i="18"/>
  <c r="G77" i="9" s="1"/>
  <c r="C127" i="18"/>
  <c r="E127" i="18"/>
  <c r="G127" i="18"/>
  <c r="C128" i="18"/>
  <c r="C99" i="9" s="1"/>
  <c r="E128" i="18"/>
  <c r="E99" i="9" s="1"/>
  <c r="G128" i="18"/>
  <c r="G99" i="9" s="1"/>
  <c r="C129" i="18"/>
  <c r="E129" i="18"/>
  <c r="G129" i="18"/>
  <c r="C3" i="17"/>
  <c r="E3" i="17"/>
  <c r="E10" i="1" s="1"/>
  <c r="G3" i="17"/>
  <c r="C4" i="17"/>
  <c r="E4" i="17"/>
  <c r="G4" i="17"/>
  <c r="C5" i="17"/>
  <c r="E5" i="17"/>
  <c r="E32" i="1" s="1"/>
  <c r="G5" i="17"/>
  <c r="C6" i="17"/>
  <c r="E6" i="17"/>
  <c r="G6" i="17"/>
  <c r="C7" i="17"/>
  <c r="C54" i="1" s="1"/>
  <c r="E7" i="17"/>
  <c r="E54" i="1" s="1"/>
  <c r="G7" i="17"/>
  <c r="C8" i="17"/>
  <c r="E8" i="17"/>
  <c r="G8" i="17"/>
  <c r="C9" i="17"/>
  <c r="E9" i="17"/>
  <c r="E76" i="1" s="1"/>
  <c r="G9" i="17"/>
  <c r="C10" i="17"/>
  <c r="E10" i="17"/>
  <c r="E87" i="1" s="1"/>
  <c r="G10" i="17"/>
  <c r="C11" i="17"/>
  <c r="E11" i="17"/>
  <c r="E98" i="1" s="1"/>
  <c r="G11" i="17"/>
  <c r="C12" i="17"/>
  <c r="E12" i="17"/>
  <c r="G12" i="17"/>
  <c r="C16" i="17"/>
  <c r="E16" i="17"/>
  <c r="E10" i="2" s="1"/>
  <c r="C17" i="17"/>
  <c r="E17" i="17"/>
  <c r="C18" i="17"/>
  <c r="E18" i="17"/>
  <c r="C19" i="17"/>
  <c r="C43" i="2" s="1"/>
  <c r="E19" i="17"/>
  <c r="E43" i="2" s="1"/>
  <c r="C20" i="17"/>
  <c r="C54" i="2" s="1"/>
  <c r="E20" i="17"/>
  <c r="C21" i="17"/>
  <c r="E21" i="17"/>
  <c r="C22" i="17"/>
  <c r="E22" i="17"/>
  <c r="E76" i="2" s="1"/>
  <c r="C23" i="17"/>
  <c r="E23" i="17"/>
  <c r="C24" i="17"/>
  <c r="E24" i="17"/>
  <c r="C25" i="17"/>
  <c r="E25" i="17"/>
  <c r="E109" i="2" s="1"/>
  <c r="C29" i="17"/>
  <c r="C10" i="3" s="1"/>
  <c r="E29" i="17"/>
  <c r="C30" i="17"/>
  <c r="E30" i="17"/>
  <c r="C31" i="17"/>
  <c r="E31" i="17"/>
  <c r="E32" i="3" s="1"/>
  <c r="C32" i="17"/>
  <c r="E32" i="17"/>
  <c r="C33" i="17"/>
  <c r="E33" i="17"/>
  <c r="C34" i="17"/>
  <c r="C65" i="3" s="1"/>
  <c r="E34" i="17"/>
  <c r="E65" i="3" s="1"/>
  <c r="C35" i="17"/>
  <c r="E35" i="17"/>
  <c r="C36" i="17"/>
  <c r="E36" i="17"/>
  <c r="C37" i="17"/>
  <c r="C98" i="3" s="1"/>
  <c r="E37" i="17"/>
  <c r="E98" i="3" s="1"/>
  <c r="C38" i="17"/>
  <c r="E38" i="17"/>
  <c r="C42" i="17"/>
  <c r="C10" i="4" s="1"/>
  <c r="E42" i="17"/>
  <c r="C43" i="17"/>
  <c r="E43" i="17"/>
  <c r="E21" i="4" s="1"/>
  <c r="C44" i="17"/>
  <c r="C32" i="4" s="1"/>
  <c r="E44" i="17"/>
  <c r="C45" i="17"/>
  <c r="E45" i="17"/>
  <c r="C46" i="17"/>
  <c r="C54" i="4" s="1"/>
  <c r="E46" i="17"/>
  <c r="E54" i="4" s="1"/>
  <c r="C47" i="17"/>
  <c r="E47" i="17"/>
  <c r="C48" i="17"/>
  <c r="E48" i="17"/>
  <c r="C49" i="17"/>
  <c r="E49" i="17"/>
  <c r="E87" i="4" s="1"/>
  <c r="C50" i="17"/>
  <c r="E50" i="17"/>
  <c r="C51" i="17"/>
  <c r="E51" i="17"/>
  <c r="C55" i="17"/>
  <c r="E55" i="17"/>
  <c r="C56" i="17"/>
  <c r="E56" i="17"/>
  <c r="C57" i="17"/>
  <c r="C32" i="5" s="1"/>
  <c r="E57" i="17"/>
  <c r="C58" i="17"/>
  <c r="C43" i="5" s="1"/>
  <c r="E58" i="17"/>
  <c r="E43" i="5" s="1"/>
  <c r="C59" i="17"/>
  <c r="E59" i="17"/>
  <c r="C60" i="17"/>
  <c r="E60" i="17"/>
  <c r="C61" i="17"/>
  <c r="E61" i="17"/>
  <c r="E76" i="5" s="1"/>
  <c r="C62" i="17"/>
  <c r="E62" i="17"/>
  <c r="C63" i="17"/>
  <c r="E63" i="17"/>
  <c r="C64" i="17"/>
  <c r="E64" i="17"/>
  <c r="E109" i="5" s="1"/>
  <c r="C68" i="17"/>
  <c r="E68" i="17"/>
  <c r="G68" i="17"/>
  <c r="C69" i="17"/>
  <c r="E69" i="17"/>
  <c r="E21" i="6" s="1"/>
  <c r="G69" i="17"/>
  <c r="G21" i="6" s="1"/>
  <c r="C70" i="17"/>
  <c r="C32" i="6" s="1"/>
  <c r="E70" i="17"/>
  <c r="G70" i="17"/>
  <c r="C71" i="17"/>
  <c r="E71" i="17"/>
  <c r="G71" i="17"/>
  <c r="G43" i="6" s="1"/>
  <c r="C72" i="17"/>
  <c r="E72" i="17"/>
  <c r="G72" i="17"/>
  <c r="C73" i="17"/>
  <c r="E73" i="17"/>
  <c r="G73" i="17"/>
  <c r="G65" i="6" s="1"/>
  <c r="C74" i="17"/>
  <c r="C76" i="6" s="1"/>
  <c r="E74" i="17"/>
  <c r="G74" i="17"/>
  <c r="G76" i="6" s="1"/>
  <c r="C75" i="17"/>
  <c r="E75" i="17"/>
  <c r="E87" i="6" s="1"/>
  <c r="G75" i="17"/>
  <c r="G87" i="6" s="1"/>
  <c r="C76" i="17"/>
  <c r="E76" i="17"/>
  <c r="G76" i="17"/>
  <c r="C77" i="17"/>
  <c r="E77" i="17"/>
  <c r="G77" i="17"/>
  <c r="G109" i="6" s="1"/>
  <c r="C81" i="17"/>
  <c r="C10" i="7" s="1"/>
  <c r="E81" i="17"/>
  <c r="E10" i="7" s="1"/>
  <c r="C82" i="17"/>
  <c r="C21" i="7" s="1"/>
  <c r="E82" i="17"/>
  <c r="E21" i="7" s="1"/>
  <c r="C83" i="17"/>
  <c r="C32" i="7" s="1"/>
  <c r="E83" i="17"/>
  <c r="E32" i="7" s="1"/>
  <c r="C84" i="17"/>
  <c r="C43" i="7" s="1"/>
  <c r="E84" i="17"/>
  <c r="E43" i="7" s="1"/>
  <c r="C85" i="17"/>
  <c r="C54" i="7" s="1"/>
  <c r="E85" i="17"/>
  <c r="E54" i="7" s="1"/>
  <c r="C86" i="17"/>
  <c r="C65" i="7" s="1"/>
  <c r="E86" i="17"/>
  <c r="E65" i="7" s="1"/>
  <c r="C87" i="17"/>
  <c r="C76" i="7" s="1"/>
  <c r="E87" i="17"/>
  <c r="E76" i="7" s="1"/>
  <c r="C88" i="17"/>
  <c r="C87" i="7" s="1"/>
  <c r="E88" i="17"/>
  <c r="E87" i="7" s="1"/>
  <c r="C89" i="17"/>
  <c r="C98" i="7" s="1"/>
  <c r="E89" i="17"/>
  <c r="E98" i="7" s="1"/>
  <c r="C90" i="17"/>
  <c r="C109" i="7" s="1"/>
  <c r="E90" i="17"/>
  <c r="E109" i="7" s="1"/>
  <c r="C94" i="17"/>
  <c r="C10" i="8" s="1"/>
  <c r="E94" i="17"/>
  <c r="E10" i="8" s="1"/>
  <c r="C95" i="17"/>
  <c r="C21" i="8" s="1"/>
  <c r="E95" i="17"/>
  <c r="E21" i="8" s="1"/>
  <c r="C96" i="17"/>
  <c r="C32" i="8" s="1"/>
  <c r="E96" i="17"/>
  <c r="C97" i="17"/>
  <c r="C43" i="8" s="1"/>
  <c r="E97" i="17"/>
  <c r="E43" i="8" s="1"/>
  <c r="C98" i="17"/>
  <c r="C54" i="8" s="1"/>
  <c r="E98" i="17"/>
  <c r="E54" i="8" s="1"/>
  <c r="C99" i="17"/>
  <c r="C65" i="8" s="1"/>
  <c r="E99" i="17"/>
  <c r="E65" i="8" s="1"/>
  <c r="C100" i="17"/>
  <c r="C76" i="8" s="1"/>
  <c r="E100" i="17"/>
  <c r="E76" i="8" s="1"/>
  <c r="C101" i="17"/>
  <c r="C87" i="8" s="1"/>
  <c r="E101" i="17"/>
  <c r="E87" i="8" s="1"/>
  <c r="C102" i="17"/>
  <c r="C98" i="8" s="1"/>
  <c r="E102" i="17"/>
  <c r="E98" i="8" s="1"/>
  <c r="C103" i="17"/>
  <c r="C109" i="8" s="1"/>
  <c r="E103" i="17"/>
  <c r="E109" i="8" s="1"/>
  <c r="C107" i="17"/>
  <c r="C10" i="20" s="1"/>
  <c r="E107" i="17"/>
  <c r="E10" i="20" s="1"/>
  <c r="C108" i="17"/>
  <c r="C21" i="20" s="1"/>
  <c r="E108" i="17"/>
  <c r="E21" i="20" s="1"/>
  <c r="C109" i="17"/>
  <c r="C32" i="20" s="1"/>
  <c r="E109" i="17"/>
  <c r="E32" i="20" s="1"/>
  <c r="C110" i="17"/>
  <c r="C43" i="20" s="1"/>
  <c r="E110" i="17"/>
  <c r="E43" i="20" s="1"/>
  <c r="C111" i="17"/>
  <c r="C54" i="20" s="1"/>
  <c r="E111" i="17"/>
  <c r="C112" i="17"/>
  <c r="C65" i="20" s="1"/>
  <c r="E112" i="17"/>
  <c r="E65" i="20" s="1"/>
  <c r="C113" i="17"/>
  <c r="C76" i="20" s="1"/>
  <c r="E113" i="17"/>
  <c r="E76" i="20" s="1"/>
  <c r="C114" i="17"/>
  <c r="C87" i="20" s="1"/>
  <c r="E114" i="17"/>
  <c r="C115" i="17"/>
  <c r="E115" i="17"/>
  <c r="E98" i="20" s="1"/>
  <c r="C116" i="17"/>
  <c r="C109" i="20" s="1"/>
  <c r="E116" i="17"/>
  <c r="E109" i="20" s="1"/>
  <c r="C120" i="17"/>
  <c r="C10" i="9" s="1"/>
  <c r="E120" i="17"/>
  <c r="G120" i="17"/>
  <c r="C121" i="17"/>
  <c r="C21" i="9" s="1"/>
  <c r="E121" i="17"/>
  <c r="E21" i="9" s="1"/>
  <c r="G121" i="17"/>
  <c r="G21" i="9" s="1"/>
  <c r="C122" i="17"/>
  <c r="C32" i="9" s="1"/>
  <c r="E122" i="17"/>
  <c r="G122" i="17"/>
  <c r="C123" i="17"/>
  <c r="C43" i="9" s="1"/>
  <c r="E123" i="17"/>
  <c r="E43" i="9" s="1"/>
  <c r="G123" i="17"/>
  <c r="G43" i="9" s="1"/>
  <c r="C124" i="17"/>
  <c r="C54" i="9" s="1"/>
  <c r="E124" i="17"/>
  <c r="G124" i="17"/>
  <c r="C125" i="17"/>
  <c r="C65" i="9" s="1"/>
  <c r="E125" i="17"/>
  <c r="E65" i="9" s="1"/>
  <c r="G125" i="17"/>
  <c r="G65" i="9" s="1"/>
  <c r="C126" i="17"/>
  <c r="C76" i="9" s="1"/>
  <c r="E126" i="17"/>
  <c r="G126" i="17"/>
  <c r="C127" i="17"/>
  <c r="C87" i="9" s="1"/>
  <c r="E127" i="17"/>
  <c r="E87" i="9" s="1"/>
  <c r="G127" i="17"/>
  <c r="G87" i="9" s="1"/>
  <c r="C128" i="17"/>
  <c r="C98" i="9" s="1"/>
  <c r="E128" i="17"/>
  <c r="G128" i="17"/>
  <c r="C129" i="17"/>
  <c r="C109" i="9" s="1"/>
  <c r="E129" i="17"/>
  <c r="E109" i="9" s="1"/>
  <c r="G129" i="17"/>
  <c r="G109" i="9" s="1"/>
  <c r="C3" i="16"/>
  <c r="C9" i="1" s="1"/>
  <c r="E3" i="16"/>
  <c r="G3" i="16"/>
  <c r="C4" i="16"/>
  <c r="E4" i="16"/>
  <c r="G4" i="16"/>
  <c r="G20" i="1" s="1"/>
  <c r="C5" i="16"/>
  <c r="C31" i="1" s="1"/>
  <c r="E5" i="16"/>
  <c r="G5" i="16"/>
  <c r="G31" i="1" s="1"/>
  <c r="C6" i="16"/>
  <c r="E6" i="16"/>
  <c r="E42" i="1" s="1"/>
  <c r="G6" i="16"/>
  <c r="G42" i="1" s="1"/>
  <c r="C7" i="16"/>
  <c r="E7" i="16"/>
  <c r="G7" i="16"/>
  <c r="G53" i="1" s="1"/>
  <c r="C8" i="16"/>
  <c r="E8" i="16"/>
  <c r="E64" i="1" s="1"/>
  <c r="G8" i="16"/>
  <c r="G64" i="1" s="1"/>
  <c r="C9" i="16"/>
  <c r="E9" i="16"/>
  <c r="G9" i="16"/>
  <c r="C10" i="16"/>
  <c r="E10" i="16"/>
  <c r="G10" i="16"/>
  <c r="G86" i="1" s="1"/>
  <c r="C11" i="16"/>
  <c r="C97" i="1" s="1"/>
  <c r="E11" i="16"/>
  <c r="G11" i="16"/>
  <c r="C12" i="16"/>
  <c r="E12" i="16"/>
  <c r="E108" i="1" s="1"/>
  <c r="G12" i="16"/>
  <c r="G108" i="1" s="1"/>
  <c r="C16" i="16"/>
  <c r="C9" i="2" s="1"/>
  <c r="E16" i="16"/>
  <c r="C17" i="16"/>
  <c r="E17" i="16"/>
  <c r="C18" i="16"/>
  <c r="E18" i="16"/>
  <c r="E31" i="2" s="1"/>
  <c r="C19" i="16"/>
  <c r="E19" i="16"/>
  <c r="C20" i="16"/>
  <c r="E20" i="16"/>
  <c r="C21" i="16"/>
  <c r="E21" i="16"/>
  <c r="E64" i="2" s="1"/>
  <c r="C22" i="16"/>
  <c r="E22" i="16"/>
  <c r="C23" i="16"/>
  <c r="E23" i="16"/>
  <c r="C24" i="16"/>
  <c r="C97" i="2" s="1"/>
  <c r="E24" i="16"/>
  <c r="E97" i="2" s="1"/>
  <c r="C25" i="16"/>
  <c r="C108" i="2" s="1"/>
  <c r="E25" i="16"/>
  <c r="C29" i="16"/>
  <c r="E29" i="16"/>
  <c r="C30" i="16"/>
  <c r="E30" i="16"/>
  <c r="E20" i="3" s="1"/>
  <c r="C31" i="16"/>
  <c r="C31" i="3" s="1"/>
  <c r="E31" i="16"/>
  <c r="C32" i="16"/>
  <c r="E32" i="16"/>
  <c r="C33" i="16"/>
  <c r="E33" i="16"/>
  <c r="E53" i="3" s="1"/>
  <c r="C34" i="16"/>
  <c r="E34" i="16"/>
  <c r="C35" i="16"/>
  <c r="C75" i="3" s="1"/>
  <c r="E35" i="16"/>
  <c r="C36" i="16"/>
  <c r="E36" i="16"/>
  <c r="E86" i="3" s="1"/>
  <c r="C37" i="16"/>
  <c r="E37" i="16"/>
  <c r="C38" i="16"/>
  <c r="C108" i="3" s="1"/>
  <c r="E38" i="16"/>
  <c r="C42" i="16"/>
  <c r="E42" i="16"/>
  <c r="E9" i="4" s="1"/>
  <c r="C43" i="16"/>
  <c r="E43" i="16"/>
  <c r="C44" i="16"/>
  <c r="E44" i="16"/>
  <c r="C45" i="16"/>
  <c r="E45" i="16"/>
  <c r="E42" i="4" s="1"/>
  <c r="C46" i="16"/>
  <c r="C53" i="4" s="1"/>
  <c r="E46" i="16"/>
  <c r="C47" i="16"/>
  <c r="C64" i="4" s="1"/>
  <c r="E47" i="16"/>
  <c r="C48" i="16"/>
  <c r="C75" i="4" s="1"/>
  <c r="E48" i="16"/>
  <c r="E75" i="4" s="1"/>
  <c r="C49" i="16"/>
  <c r="E49" i="16"/>
  <c r="C50" i="16"/>
  <c r="E50" i="16"/>
  <c r="C51" i="16"/>
  <c r="E51" i="16"/>
  <c r="E108" i="4" s="1"/>
  <c r="C55" i="16"/>
  <c r="E55" i="16"/>
  <c r="C56" i="16"/>
  <c r="C20" i="5" s="1"/>
  <c r="E56" i="16"/>
  <c r="C57" i="16"/>
  <c r="E57" i="16"/>
  <c r="E31" i="5" s="1"/>
  <c r="C58" i="16"/>
  <c r="E58" i="16"/>
  <c r="C59" i="16"/>
  <c r="E59" i="16"/>
  <c r="C60" i="16"/>
  <c r="C64" i="5" s="1"/>
  <c r="E60" i="16"/>
  <c r="E64" i="5" s="1"/>
  <c r="C61" i="16"/>
  <c r="E61" i="16"/>
  <c r="C62" i="16"/>
  <c r="E62" i="16"/>
  <c r="C63" i="16"/>
  <c r="E63" i="16"/>
  <c r="E97" i="5" s="1"/>
  <c r="C64" i="16"/>
  <c r="C108" i="5" s="1"/>
  <c r="E64" i="16"/>
  <c r="C68" i="16"/>
  <c r="C9" i="6" s="1"/>
  <c r="E68" i="16"/>
  <c r="G68" i="16"/>
  <c r="G9" i="6" s="1"/>
  <c r="C69" i="16"/>
  <c r="C20" i="6" s="1"/>
  <c r="E69" i="16"/>
  <c r="G69" i="16"/>
  <c r="C70" i="16"/>
  <c r="C31" i="6" s="1"/>
  <c r="E70" i="16"/>
  <c r="G70" i="16"/>
  <c r="G31" i="6" s="1"/>
  <c r="C71" i="16"/>
  <c r="C42" i="6" s="1"/>
  <c r="E71" i="16"/>
  <c r="E42" i="6" s="1"/>
  <c r="G71" i="16"/>
  <c r="C72" i="16"/>
  <c r="E72" i="16"/>
  <c r="G72" i="16"/>
  <c r="G53" i="6" s="1"/>
  <c r="C73" i="16"/>
  <c r="C64" i="6" s="1"/>
  <c r="E73" i="16"/>
  <c r="E64" i="6" s="1"/>
  <c r="G73" i="16"/>
  <c r="C74" i="16"/>
  <c r="E74" i="16"/>
  <c r="G74" i="16"/>
  <c r="G75" i="6" s="1"/>
  <c r="C75" i="16"/>
  <c r="C86" i="6" s="1"/>
  <c r="E75" i="16"/>
  <c r="E86" i="6" s="1"/>
  <c r="G75" i="16"/>
  <c r="C76" i="16"/>
  <c r="C97" i="6" s="1"/>
  <c r="E76" i="16"/>
  <c r="G76" i="16"/>
  <c r="G97" i="6" s="1"/>
  <c r="C77" i="16"/>
  <c r="C108" i="6" s="1"/>
  <c r="E77" i="16"/>
  <c r="G77" i="16"/>
  <c r="C81" i="16"/>
  <c r="C9" i="7" s="1"/>
  <c r="E81" i="16"/>
  <c r="E9" i="7" s="1"/>
  <c r="C82" i="16"/>
  <c r="C20" i="7" s="1"/>
  <c r="E82" i="16"/>
  <c r="E20" i="7" s="1"/>
  <c r="C83" i="16"/>
  <c r="C31" i="7" s="1"/>
  <c r="E83" i="16"/>
  <c r="E31" i="7" s="1"/>
  <c r="C84" i="16"/>
  <c r="C42" i="7" s="1"/>
  <c r="E84" i="16"/>
  <c r="E42" i="7" s="1"/>
  <c r="C85" i="16"/>
  <c r="C53" i="7" s="1"/>
  <c r="E85" i="16"/>
  <c r="E53" i="7" s="1"/>
  <c r="C86" i="16"/>
  <c r="C64" i="7" s="1"/>
  <c r="E86" i="16"/>
  <c r="E64" i="7" s="1"/>
  <c r="C87" i="16"/>
  <c r="C75" i="7" s="1"/>
  <c r="E87" i="16"/>
  <c r="E75" i="7" s="1"/>
  <c r="C88" i="16"/>
  <c r="C86" i="7" s="1"/>
  <c r="E88" i="16"/>
  <c r="E86" i="7" s="1"/>
  <c r="C89" i="16"/>
  <c r="C97" i="7" s="1"/>
  <c r="E89" i="16"/>
  <c r="E97" i="7" s="1"/>
  <c r="C90" i="16"/>
  <c r="C108" i="7" s="1"/>
  <c r="E90" i="16"/>
  <c r="E108" i="7" s="1"/>
  <c r="C94" i="16"/>
  <c r="C9" i="8" s="1"/>
  <c r="E94" i="16"/>
  <c r="E9" i="8" s="1"/>
  <c r="C95" i="16"/>
  <c r="C20" i="8" s="1"/>
  <c r="E95" i="16"/>
  <c r="E20" i="8" s="1"/>
  <c r="C96" i="16"/>
  <c r="C31" i="8" s="1"/>
  <c r="E96" i="16"/>
  <c r="E31" i="8" s="1"/>
  <c r="C97" i="16"/>
  <c r="C42" i="8" s="1"/>
  <c r="E97" i="16"/>
  <c r="E42" i="8" s="1"/>
  <c r="C98" i="16"/>
  <c r="C53" i="8" s="1"/>
  <c r="E98" i="16"/>
  <c r="E53" i="8" s="1"/>
  <c r="C99" i="16"/>
  <c r="C64" i="8" s="1"/>
  <c r="E99" i="16"/>
  <c r="E64" i="8" s="1"/>
  <c r="C100" i="16"/>
  <c r="C75" i="8" s="1"/>
  <c r="E100" i="16"/>
  <c r="E75" i="8" s="1"/>
  <c r="C101" i="16"/>
  <c r="C86" i="8" s="1"/>
  <c r="E101" i="16"/>
  <c r="E86" i="8" s="1"/>
  <c r="C102" i="16"/>
  <c r="C97" i="8" s="1"/>
  <c r="E102" i="16"/>
  <c r="E97" i="8" s="1"/>
  <c r="C103" i="16"/>
  <c r="C108" i="8" s="1"/>
  <c r="E103" i="16"/>
  <c r="E108" i="8" s="1"/>
  <c r="C107" i="16"/>
  <c r="C9" i="20" s="1"/>
  <c r="E107" i="16"/>
  <c r="E9" i="20" s="1"/>
  <c r="C108" i="16"/>
  <c r="C20" i="20" s="1"/>
  <c r="E108" i="16"/>
  <c r="E20" i="20" s="1"/>
  <c r="C109" i="16"/>
  <c r="C31" i="20" s="1"/>
  <c r="E109" i="16"/>
  <c r="E31" i="20" s="1"/>
  <c r="C110" i="16"/>
  <c r="C42" i="20" s="1"/>
  <c r="E110" i="16"/>
  <c r="E42" i="20" s="1"/>
  <c r="C111" i="16"/>
  <c r="C53" i="20" s="1"/>
  <c r="E111" i="16"/>
  <c r="E53" i="20" s="1"/>
  <c r="C112" i="16"/>
  <c r="C64" i="20" s="1"/>
  <c r="E112" i="16"/>
  <c r="C113" i="16"/>
  <c r="C75" i="20" s="1"/>
  <c r="E113" i="16"/>
  <c r="E75" i="20" s="1"/>
  <c r="C114" i="16"/>
  <c r="E114" i="16"/>
  <c r="E86" i="20" s="1"/>
  <c r="C115" i="16"/>
  <c r="C97" i="20" s="1"/>
  <c r="E115" i="16"/>
  <c r="C116" i="16"/>
  <c r="C108" i="20" s="1"/>
  <c r="E116" i="16"/>
  <c r="E108" i="20" s="1"/>
  <c r="C120" i="16"/>
  <c r="C9" i="9" s="1"/>
  <c r="E120" i="16"/>
  <c r="E9" i="9" s="1"/>
  <c r="G120" i="16"/>
  <c r="G9" i="9" s="1"/>
  <c r="C121" i="16"/>
  <c r="C20" i="9" s="1"/>
  <c r="E121" i="16"/>
  <c r="E20" i="9" s="1"/>
  <c r="G121" i="16"/>
  <c r="C122" i="16"/>
  <c r="C31" i="9" s="1"/>
  <c r="E122" i="16"/>
  <c r="E31" i="9" s="1"/>
  <c r="G122" i="16"/>
  <c r="G31" i="9" s="1"/>
  <c r="C123" i="16"/>
  <c r="C42" i="9" s="1"/>
  <c r="E123" i="16"/>
  <c r="E42" i="9" s="1"/>
  <c r="G123" i="16"/>
  <c r="C124" i="16"/>
  <c r="C53" i="9" s="1"/>
  <c r="E124" i="16"/>
  <c r="E53" i="9" s="1"/>
  <c r="G124" i="16"/>
  <c r="G53" i="9" s="1"/>
  <c r="C125" i="16"/>
  <c r="C64" i="9" s="1"/>
  <c r="E125" i="16"/>
  <c r="E64" i="9" s="1"/>
  <c r="G125" i="16"/>
  <c r="C126" i="16"/>
  <c r="C75" i="9" s="1"/>
  <c r="E126" i="16"/>
  <c r="E75" i="9" s="1"/>
  <c r="G126" i="16"/>
  <c r="G75" i="9" s="1"/>
  <c r="C127" i="16"/>
  <c r="C86" i="9" s="1"/>
  <c r="E127" i="16"/>
  <c r="E86" i="9" s="1"/>
  <c r="G127" i="16"/>
  <c r="C128" i="16"/>
  <c r="C97" i="9" s="1"/>
  <c r="E128" i="16"/>
  <c r="E97" i="9" s="1"/>
  <c r="G128" i="16"/>
  <c r="G97" i="9" s="1"/>
  <c r="C129" i="16"/>
  <c r="C108" i="9" s="1"/>
  <c r="E129" i="16"/>
  <c r="E108" i="9" s="1"/>
  <c r="G129" i="16"/>
  <c r="C3" i="15"/>
  <c r="C8" i="1" s="1"/>
  <c r="E3" i="15"/>
  <c r="G3" i="15"/>
  <c r="G8" i="1" s="1"/>
  <c r="C4" i="15"/>
  <c r="C19" i="1" s="1"/>
  <c r="E4" i="15"/>
  <c r="G4" i="15"/>
  <c r="C5" i="15"/>
  <c r="E5" i="15"/>
  <c r="G5" i="15"/>
  <c r="G30" i="1" s="1"/>
  <c r="C6" i="15"/>
  <c r="C41" i="1" s="1"/>
  <c r="E6" i="15"/>
  <c r="G6" i="15"/>
  <c r="C7" i="15"/>
  <c r="C52" i="1" s="1"/>
  <c r="E7" i="15"/>
  <c r="G7" i="15"/>
  <c r="G52" i="1" s="1"/>
  <c r="C8" i="15"/>
  <c r="C63" i="1" s="1"/>
  <c r="E8" i="15"/>
  <c r="G8" i="15"/>
  <c r="C9" i="15"/>
  <c r="C74" i="1" s="1"/>
  <c r="E9" i="15"/>
  <c r="G9" i="15"/>
  <c r="G74" i="1" s="1"/>
  <c r="C10" i="15"/>
  <c r="C85" i="1" s="1"/>
  <c r="E10" i="15"/>
  <c r="G10" i="15"/>
  <c r="C11" i="15"/>
  <c r="E11" i="15"/>
  <c r="G11" i="15"/>
  <c r="G96" i="1" s="1"/>
  <c r="C12" i="15"/>
  <c r="C107" i="1" s="1"/>
  <c r="E12" i="15"/>
  <c r="G12" i="15"/>
  <c r="C16" i="15"/>
  <c r="C8" i="2" s="1"/>
  <c r="E16" i="15"/>
  <c r="C17" i="15"/>
  <c r="C19" i="2" s="1"/>
  <c r="E17" i="15"/>
  <c r="E19" i="2" s="1"/>
  <c r="C18" i="15"/>
  <c r="E18" i="15"/>
  <c r="C19" i="15"/>
  <c r="E19" i="15"/>
  <c r="C20" i="15"/>
  <c r="C52" i="2" s="1"/>
  <c r="E20" i="15"/>
  <c r="E52" i="2" s="1"/>
  <c r="C21" i="15"/>
  <c r="C63" i="2" s="1"/>
  <c r="E21" i="15"/>
  <c r="C22" i="15"/>
  <c r="C74" i="2" s="1"/>
  <c r="E22" i="15"/>
  <c r="C23" i="15"/>
  <c r="C85" i="2" s="1"/>
  <c r="E23" i="15"/>
  <c r="E85" i="2" s="1"/>
  <c r="C24" i="15"/>
  <c r="E24" i="15"/>
  <c r="C25" i="15"/>
  <c r="E25" i="15"/>
  <c r="C29" i="15"/>
  <c r="E29" i="15"/>
  <c r="E8" i="3" s="1"/>
  <c r="C30" i="15"/>
  <c r="C19" i="3" s="1"/>
  <c r="E30" i="15"/>
  <c r="C31" i="15"/>
  <c r="E31" i="15"/>
  <c r="C32" i="15"/>
  <c r="C41" i="3" s="1"/>
  <c r="E32" i="15"/>
  <c r="E41" i="3" s="1"/>
  <c r="C33" i="15"/>
  <c r="C52" i="3" s="1"/>
  <c r="E33" i="15"/>
  <c r="C34" i="15"/>
  <c r="E34" i="15"/>
  <c r="C35" i="15"/>
  <c r="C74" i="3" s="1"/>
  <c r="E35" i="15"/>
  <c r="E74" i="3" s="1"/>
  <c r="C36" i="15"/>
  <c r="C85" i="3" s="1"/>
  <c r="E36" i="15"/>
  <c r="C37" i="15"/>
  <c r="C96" i="3" s="1"/>
  <c r="E37" i="15"/>
  <c r="C38" i="15"/>
  <c r="C107" i="3" s="1"/>
  <c r="E38" i="15"/>
  <c r="E107" i="3" s="1"/>
  <c r="C42" i="15"/>
  <c r="E42" i="15"/>
  <c r="C43" i="15"/>
  <c r="E43" i="15"/>
  <c r="C44" i="15"/>
  <c r="C30" i="4" s="1"/>
  <c r="E44" i="15"/>
  <c r="E30" i="4" s="1"/>
  <c r="C45" i="15"/>
  <c r="C41" i="4" s="1"/>
  <c r="E45" i="15"/>
  <c r="C46" i="15"/>
  <c r="C52" i="4" s="1"/>
  <c r="E46" i="15"/>
  <c r="C47" i="15"/>
  <c r="C63" i="4" s="1"/>
  <c r="E47" i="15"/>
  <c r="E63" i="4" s="1"/>
  <c r="C48" i="15"/>
  <c r="E48" i="15"/>
  <c r="C49" i="15"/>
  <c r="E49" i="15"/>
  <c r="C50" i="15"/>
  <c r="C96" i="4" s="1"/>
  <c r="E50" i="15"/>
  <c r="E96" i="4" s="1"/>
  <c r="C51" i="15"/>
  <c r="C107" i="4" s="1"/>
  <c r="E51" i="15"/>
  <c r="C55" i="15"/>
  <c r="C8" i="5" s="1"/>
  <c r="E55" i="15"/>
  <c r="C56" i="15"/>
  <c r="C19" i="5" s="1"/>
  <c r="E56" i="15"/>
  <c r="E19" i="5" s="1"/>
  <c r="C57" i="15"/>
  <c r="E57" i="15"/>
  <c r="C58" i="15"/>
  <c r="E58" i="15"/>
  <c r="C59" i="15"/>
  <c r="E59" i="15"/>
  <c r="E52" i="5" s="1"/>
  <c r="C60" i="15"/>
  <c r="C63" i="5" s="1"/>
  <c r="E60" i="15"/>
  <c r="C61" i="15"/>
  <c r="C74" i="5" s="1"/>
  <c r="E61" i="15"/>
  <c r="C62" i="15"/>
  <c r="C85" i="5" s="1"/>
  <c r="E62" i="15"/>
  <c r="E85" i="5" s="1"/>
  <c r="C63" i="15"/>
  <c r="C96" i="5" s="1"/>
  <c r="E63" i="15"/>
  <c r="C64" i="15"/>
  <c r="E64" i="15"/>
  <c r="C68" i="15"/>
  <c r="E68" i="15"/>
  <c r="E8" i="6" s="1"/>
  <c r="G68" i="15"/>
  <c r="C69" i="15"/>
  <c r="E69" i="15"/>
  <c r="G69" i="15"/>
  <c r="C70" i="15"/>
  <c r="C30" i="6" s="1"/>
  <c r="E70" i="15"/>
  <c r="E30" i="6" s="1"/>
  <c r="G70" i="15"/>
  <c r="G30" i="6" s="1"/>
  <c r="C71" i="15"/>
  <c r="E71" i="15"/>
  <c r="G71" i="15"/>
  <c r="C72" i="15"/>
  <c r="C52" i="6" s="1"/>
  <c r="E72" i="15"/>
  <c r="E52" i="6" s="1"/>
  <c r="G72" i="15"/>
  <c r="C73" i="15"/>
  <c r="E73" i="15"/>
  <c r="G73" i="15"/>
  <c r="C74" i="15"/>
  <c r="C74" i="6" s="1"/>
  <c r="E74" i="15"/>
  <c r="E74" i="6" s="1"/>
  <c r="G74" i="15"/>
  <c r="G74" i="6" s="1"/>
  <c r="C75" i="15"/>
  <c r="E75" i="15"/>
  <c r="G75" i="15"/>
  <c r="C76" i="15"/>
  <c r="C96" i="6" s="1"/>
  <c r="E76" i="15"/>
  <c r="E96" i="6" s="1"/>
  <c r="G76" i="15"/>
  <c r="G96" i="6" s="1"/>
  <c r="C77" i="15"/>
  <c r="E77" i="15"/>
  <c r="G77" i="15"/>
  <c r="C81" i="15"/>
  <c r="C8" i="7" s="1"/>
  <c r="E81" i="15"/>
  <c r="E8" i="7" s="1"/>
  <c r="C82" i="15"/>
  <c r="C19" i="7" s="1"/>
  <c r="E82" i="15"/>
  <c r="E19" i="7" s="1"/>
  <c r="C83" i="15"/>
  <c r="C30" i="7" s="1"/>
  <c r="E83" i="15"/>
  <c r="E30" i="7" s="1"/>
  <c r="C84" i="15"/>
  <c r="C41" i="7" s="1"/>
  <c r="E84" i="15"/>
  <c r="E41" i="7" s="1"/>
  <c r="C85" i="15"/>
  <c r="C52" i="7" s="1"/>
  <c r="E85" i="15"/>
  <c r="E52" i="7" s="1"/>
  <c r="C86" i="15"/>
  <c r="C63" i="7" s="1"/>
  <c r="E86" i="15"/>
  <c r="E63" i="7" s="1"/>
  <c r="C87" i="15"/>
  <c r="C74" i="7" s="1"/>
  <c r="E87" i="15"/>
  <c r="E74" i="7" s="1"/>
  <c r="C88" i="15"/>
  <c r="C85" i="7" s="1"/>
  <c r="E88" i="15"/>
  <c r="E85" i="7" s="1"/>
  <c r="C89" i="15"/>
  <c r="C96" i="7" s="1"/>
  <c r="E89" i="15"/>
  <c r="E96" i="7" s="1"/>
  <c r="C90" i="15"/>
  <c r="C107" i="7" s="1"/>
  <c r="E90" i="15"/>
  <c r="E107" i="7" s="1"/>
  <c r="C94" i="15"/>
  <c r="C8" i="8" s="1"/>
  <c r="E94" i="15"/>
  <c r="E8" i="8" s="1"/>
  <c r="C95" i="15"/>
  <c r="C19" i="8" s="1"/>
  <c r="E95" i="15"/>
  <c r="E19" i="8" s="1"/>
  <c r="C96" i="15"/>
  <c r="C30" i="8" s="1"/>
  <c r="E96" i="15"/>
  <c r="E30" i="8" s="1"/>
  <c r="C97" i="15"/>
  <c r="C41" i="8" s="1"/>
  <c r="E97" i="15"/>
  <c r="E41" i="8" s="1"/>
  <c r="C98" i="15"/>
  <c r="C52" i="8" s="1"/>
  <c r="E98" i="15"/>
  <c r="E52" i="8" s="1"/>
  <c r="C99" i="15"/>
  <c r="C63" i="8" s="1"/>
  <c r="E99" i="15"/>
  <c r="E63" i="8" s="1"/>
  <c r="C100" i="15"/>
  <c r="C74" i="8" s="1"/>
  <c r="E100" i="15"/>
  <c r="E74" i="8" s="1"/>
  <c r="C101" i="15"/>
  <c r="C85" i="8" s="1"/>
  <c r="E101" i="15"/>
  <c r="E85" i="8" s="1"/>
  <c r="C102" i="15"/>
  <c r="C96" i="8" s="1"/>
  <c r="E102" i="15"/>
  <c r="E96" i="8" s="1"/>
  <c r="C103" i="15"/>
  <c r="C107" i="8" s="1"/>
  <c r="E103" i="15"/>
  <c r="E107" i="8" s="1"/>
  <c r="C107" i="15"/>
  <c r="C8" i="20" s="1"/>
  <c r="E107" i="15"/>
  <c r="E8" i="20" s="1"/>
  <c r="C108" i="15"/>
  <c r="C19" i="20" s="1"/>
  <c r="E108" i="15"/>
  <c r="C109" i="15"/>
  <c r="C30" i="20" s="1"/>
  <c r="E109" i="15"/>
  <c r="E30" i="20" s="1"/>
  <c r="C110" i="15"/>
  <c r="C41" i="20" s="1"/>
  <c r="E110" i="15"/>
  <c r="E41" i="20" s="1"/>
  <c r="C111" i="15"/>
  <c r="E111" i="15"/>
  <c r="C112" i="15"/>
  <c r="C63" i="20" s="1"/>
  <c r="E112" i="15"/>
  <c r="E63" i="20" s="1"/>
  <c r="C113" i="15"/>
  <c r="E113" i="15"/>
  <c r="C114" i="15"/>
  <c r="E114" i="15"/>
  <c r="C115" i="15"/>
  <c r="C96" i="20" s="1"/>
  <c r="E115" i="15"/>
  <c r="C116" i="15"/>
  <c r="C107" i="20" s="1"/>
  <c r="E116" i="15"/>
  <c r="E107" i="20" s="1"/>
  <c r="C120" i="15"/>
  <c r="C8" i="9" s="1"/>
  <c r="E120" i="15"/>
  <c r="E8" i="9" s="1"/>
  <c r="G120" i="15"/>
  <c r="G8" i="9" s="1"/>
  <c r="C121" i="15"/>
  <c r="C19" i="9" s="1"/>
  <c r="E121" i="15"/>
  <c r="E19" i="9" s="1"/>
  <c r="G121" i="15"/>
  <c r="G19" i="9" s="1"/>
  <c r="C122" i="15"/>
  <c r="C30" i="9" s="1"/>
  <c r="E122" i="15"/>
  <c r="E30" i="9" s="1"/>
  <c r="G122" i="15"/>
  <c r="G30" i="9" s="1"/>
  <c r="C123" i="15"/>
  <c r="C41" i="9" s="1"/>
  <c r="E123" i="15"/>
  <c r="E41" i="9" s="1"/>
  <c r="G123" i="15"/>
  <c r="G41" i="9" s="1"/>
  <c r="C124" i="15"/>
  <c r="C52" i="9" s="1"/>
  <c r="E124" i="15"/>
  <c r="E52" i="9" s="1"/>
  <c r="G124" i="15"/>
  <c r="G52" i="9" s="1"/>
  <c r="C125" i="15"/>
  <c r="C63" i="9" s="1"/>
  <c r="E125" i="15"/>
  <c r="E63" i="9" s="1"/>
  <c r="G125" i="15"/>
  <c r="G63" i="9" s="1"/>
  <c r="C126" i="15"/>
  <c r="C74" i="9" s="1"/>
  <c r="E126" i="15"/>
  <c r="E74" i="9" s="1"/>
  <c r="G126" i="15"/>
  <c r="G74" i="9" s="1"/>
  <c r="C127" i="15"/>
  <c r="C85" i="9" s="1"/>
  <c r="E127" i="15"/>
  <c r="E85" i="9" s="1"/>
  <c r="G127" i="15"/>
  <c r="G85" i="9" s="1"/>
  <c r="C128" i="15"/>
  <c r="C96" i="9" s="1"/>
  <c r="E128" i="15"/>
  <c r="E96" i="9" s="1"/>
  <c r="G128" i="15"/>
  <c r="G96" i="9" s="1"/>
  <c r="C129" i="15"/>
  <c r="C107" i="9" s="1"/>
  <c r="E129" i="15"/>
  <c r="E107" i="9" s="1"/>
  <c r="G129" i="15"/>
  <c r="G107" i="9" s="1"/>
  <c r="C3" i="14"/>
  <c r="E3" i="14"/>
  <c r="E7" i="1" s="1"/>
  <c r="G3" i="14"/>
  <c r="C4" i="14"/>
  <c r="E4" i="14"/>
  <c r="E18" i="1" s="1"/>
  <c r="G4" i="14"/>
  <c r="C5" i="14"/>
  <c r="C29" i="1" s="1"/>
  <c r="E5" i="14"/>
  <c r="E29" i="1" s="1"/>
  <c r="G5" i="14"/>
  <c r="C6" i="14"/>
  <c r="E6" i="14"/>
  <c r="G6" i="14"/>
  <c r="C7" i="14"/>
  <c r="E7" i="14"/>
  <c r="G7" i="14"/>
  <c r="G51" i="1" s="1"/>
  <c r="C8" i="14"/>
  <c r="E8" i="14"/>
  <c r="E62" i="1" s="1"/>
  <c r="G8" i="14"/>
  <c r="C9" i="14"/>
  <c r="E9" i="14"/>
  <c r="E73" i="1" s="1"/>
  <c r="G9" i="14"/>
  <c r="C10" i="14"/>
  <c r="C84" i="1" s="1"/>
  <c r="E10" i="14"/>
  <c r="G10" i="14"/>
  <c r="C11" i="14"/>
  <c r="C95" i="1" s="1"/>
  <c r="E11" i="14"/>
  <c r="E95" i="1" s="1"/>
  <c r="G11" i="14"/>
  <c r="C12" i="14"/>
  <c r="E12" i="14"/>
  <c r="G12" i="14"/>
  <c r="C16" i="14"/>
  <c r="C7" i="2" s="1"/>
  <c r="E16" i="14"/>
  <c r="E7" i="2" s="1"/>
  <c r="C17" i="14"/>
  <c r="E17" i="14"/>
  <c r="E18" i="2" s="1"/>
  <c r="C18" i="14"/>
  <c r="C29" i="2" s="1"/>
  <c r="E18" i="14"/>
  <c r="C19" i="14"/>
  <c r="C40" i="2" s="1"/>
  <c r="E19" i="14"/>
  <c r="C20" i="14"/>
  <c r="E20" i="14"/>
  <c r="C21" i="14"/>
  <c r="E21" i="14"/>
  <c r="E62" i="2" s="1"/>
  <c r="C22" i="14"/>
  <c r="E22" i="14"/>
  <c r="E73" i="2" s="1"/>
  <c r="C23" i="14"/>
  <c r="C84" i="2" s="1"/>
  <c r="E23" i="14"/>
  <c r="E84" i="2" s="1"/>
  <c r="C24" i="14"/>
  <c r="C95" i="2" s="1"/>
  <c r="E24" i="14"/>
  <c r="C25" i="14"/>
  <c r="E25" i="14"/>
  <c r="C29" i="14"/>
  <c r="E29" i="14"/>
  <c r="C30" i="14"/>
  <c r="C18" i="3" s="1"/>
  <c r="E30" i="14"/>
  <c r="C31" i="14"/>
  <c r="C29" i="3" s="1"/>
  <c r="E31" i="14"/>
  <c r="E29" i="3" s="1"/>
  <c r="C32" i="14"/>
  <c r="C40" i="3" s="1"/>
  <c r="E32" i="14"/>
  <c r="E40" i="3" s="1"/>
  <c r="C33" i="14"/>
  <c r="C51" i="3" s="1"/>
  <c r="E33" i="14"/>
  <c r="C34" i="14"/>
  <c r="C62" i="3" s="1"/>
  <c r="E34" i="14"/>
  <c r="E62" i="3" s="1"/>
  <c r="C35" i="14"/>
  <c r="C73" i="3" s="1"/>
  <c r="E35" i="14"/>
  <c r="C36" i="14"/>
  <c r="C84" i="3" s="1"/>
  <c r="E36" i="14"/>
  <c r="C37" i="14"/>
  <c r="E37" i="14"/>
  <c r="E95" i="3" s="1"/>
  <c r="C38" i="14"/>
  <c r="C106" i="3" s="1"/>
  <c r="E38" i="14"/>
  <c r="C42" i="14"/>
  <c r="C7" i="4" s="1"/>
  <c r="E42" i="14"/>
  <c r="C43" i="14"/>
  <c r="C18" i="4" s="1"/>
  <c r="E43" i="14"/>
  <c r="E18" i="4" s="1"/>
  <c r="C44" i="14"/>
  <c r="C29" i="4" s="1"/>
  <c r="E44" i="14"/>
  <c r="C45" i="14"/>
  <c r="C40" i="4" s="1"/>
  <c r="E45" i="14"/>
  <c r="C46" i="14"/>
  <c r="E46" i="14"/>
  <c r="E51" i="4" s="1"/>
  <c r="C47" i="14"/>
  <c r="E47" i="14"/>
  <c r="C48" i="14"/>
  <c r="C73" i="4" s="1"/>
  <c r="E48" i="14"/>
  <c r="C49" i="14"/>
  <c r="C84" i="4" s="1"/>
  <c r="E49" i="14"/>
  <c r="E84" i="4" s="1"/>
  <c r="C50" i="14"/>
  <c r="E50" i="14"/>
  <c r="C51" i="14"/>
  <c r="E51" i="14"/>
  <c r="E106" i="4" s="1"/>
  <c r="C55" i="14"/>
  <c r="E55" i="14"/>
  <c r="E7" i="5" s="1"/>
  <c r="C56" i="14"/>
  <c r="C18" i="5" s="1"/>
  <c r="E56" i="14"/>
  <c r="C57" i="14"/>
  <c r="C29" i="5" s="1"/>
  <c r="E57" i="14"/>
  <c r="C58" i="14"/>
  <c r="C40" i="5" s="1"/>
  <c r="E58" i="14"/>
  <c r="E40" i="5" s="1"/>
  <c r="C59" i="14"/>
  <c r="E59" i="14"/>
  <c r="C60" i="14"/>
  <c r="E60" i="14"/>
  <c r="E62" i="5" s="1"/>
  <c r="C61" i="14"/>
  <c r="C73" i="5" s="1"/>
  <c r="E61" i="14"/>
  <c r="E73" i="5" s="1"/>
  <c r="C62" i="14"/>
  <c r="E62" i="14"/>
  <c r="C63" i="14"/>
  <c r="C95" i="5" s="1"/>
  <c r="E63" i="14"/>
  <c r="C64" i="14"/>
  <c r="C106" i="5" s="1"/>
  <c r="E64" i="14"/>
  <c r="E106" i="5" s="1"/>
  <c r="C68" i="14"/>
  <c r="E68" i="14"/>
  <c r="G68" i="14"/>
  <c r="G7" i="6" s="1"/>
  <c r="C69" i="14"/>
  <c r="E69" i="14"/>
  <c r="E18" i="6" s="1"/>
  <c r="G69" i="14"/>
  <c r="G18" i="6" s="1"/>
  <c r="C70" i="14"/>
  <c r="C29" i="6" s="1"/>
  <c r="E70" i="14"/>
  <c r="E29" i="6" s="1"/>
  <c r="G70" i="14"/>
  <c r="G29" i="6" s="1"/>
  <c r="C71" i="14"/>
  <c r="E71" i="14"/>
  <c r="E40" i="6" s="1"/>
  <c r="G71" i="14"/>
  <c r="G40" i="6" s="1"/>
  <c r="C72" i="14"/>
  <c r="E72" i="14"/>
  <c r="G72" i="14"/>
  <c r="C73" i="14"/>
  <c r="E73" i="14"/>
  <c r="E62" i="6" s="1"/>
  <c r="G73" i="14"/>
  <c r="G62" i="6" s="1"/>
  <c r="C74" i="14"/>
  <c r="C73" i="6" s="1"/>
  <c r="E74" i="14"/>
  <c r="G74" i="14"/>
  <c r="G73" i="6" s="1"/>
  <c r="C75" i="14"/>
  <c r="E75" i="14"/>
  <c r="E84" i="6" s="1"/>
  <c r="G75" i="14"/>
  <c r="G84" i="6" s="1"/>
  <c r="C76" i="14"/>
  <c r="C95" i="6" s="1"/>
  <c r="E76" i="14"/>
  <c r="G76" i="14"/>
  <c r="C77" i="14"/>
  <c r="E77" i="14"/>
  <c r="E106" i="6" s="1"/>
  <c r="G77" i="14"/>
  <c r="G106" i="6" s="1"/>
  <c r="C81" i="14"/>
  <c r="C7" i="7" s="1"/>
  <c r="E81" i="14"/>
  <c r="E7" i="7" s="1"/>
  <c r="C82" i="14"/>
  <c r="C18" i="7" s="1"/>
  <c r="E82" i="14"/>
  <c r="E18" i="7" s="1"/>
  <c r="C83" i="14"/>
  <c r="C29" i="7" s="1"/>
  <c r="E83" i="14"/>
  <c r="E29" i="7" s="1"/>
  <c r="C84" i="14"/>
  <c r="C40" i="7" s="1"/>
  <c r="E84" i="14"/>
  <c r="E40" i="7" s="1"/>
  <c r="C85" i="14"/>
  <c r="C51" i="7" s="1"/>
  <c r="E85" i="14"/>
  <c r="E51" i="7" s="1"/>
  <c r="C86" i="14"/>
  <c r="C62" i="7" s="1"/>
  <c r="E86" i="14"/>
  <c r="E62" i="7" s="1"/>
  <c r="C87" i="14"/>
  <c r="C73" i="7" s="1"/>
  <c r="E87" i="14"/>
  <c r="E73" i="7" s="1"/>
  <c r="C88" i="14"/>
  <c r="C84" i="7" s="1"/>
  <c r="E88" i="14"/>
  <c r="E84" i="7" s="1"/>
  <c r="C89" i="14"/>
  <c r="C95" i="7" s="1"/>
  <c r="E89" i="14"/>
  <c r="E95" i="7" s="1"/>
  <c r="C90" i="14"/>
  <c r="C106" i="7" s="1"/>
  <c r="E90" i="14"/>
  <c r="E106" i="7" s="1"/>
  <c r="C94" i="14"/>
  <c r="C7" i="8" s="1"/>
  <c r="E94" i="14"/>
  <c r="E7" i="8" s="1"/>
  <c r="C95" i="14"/>
  <c r="C18" i="8" s="1"/>
  <c r="E95" i="14"/>
  <c r="E18" i="8" s="1"/>
  <c r="C96" i="14"/>
  <c r="C29" i="8" s="1"/>
  <c r="E96" i="14"/>
  <c r="E29" i="8" s="1"/>
  <c r="C97" i="14"/>
  <c r="C40" i="8" s="1"/>
  <c r="E97" i="14"/>
  <c r="E40" i="8" s="1"/>
  <c r="C98" i="14"/>
  <c r="C51" i="8" s="1"/>
  <c r="E98" i="14"/>
  <c r="E51" i="8" s="1"/>
  <c r="C99" i="14"/>
  <c r="C62" i="8" s="1"/>
  <c r="E99" i="14"/>
  <c r="E62" i="8" s="1"/>
  <c r="C100" i="14"/>
  <c r="C73" i="8" s="1"/>
  <c r="E100" i="14"/>
  <c r="E73" i="8" s="1"/>
  <c r="C101" i="14"/>
  <c r="C84" i="8" s="1"/>
  <c r="E101" i="14"/>
  <c r="E84" i="8" s="1"/>
  <c r="C102" i="14"/>
  <c r="C95" i="8" s="1"/>
  <c r="E102" i="14"/>
  <c r="E95" i="8" s="1"/>
  <c r="C103" i="14"/>
  <c r="C106" i="8" s="1"/>
  <c r="E103" i="14"/>
  <c r="E106" i="8" s="1"/>
  <c r="C107" i="14"/>
  <c r="C7" i="20" s="1"/>
  <c r="E107" i="14"/>
  <c r="C108" i="14"/>
  <c r="C18" i="20" s="1"/>
  <c r="E108" i="14"/>
  <c r="E18" i="20" s="1"/>
  <c r="C109" i="14"/>
  <c r="E109" i="14"/>
  <c r="E29" i="20" s="1"/>
  <c r="C110" i="14"/>
  <c r="C40" i="20" s="1"/>
  <c r="E110" i="14"/>
  <c r="C111" i="14"/>
  <c r="C51" i="20" s="1"/>
  <c r="E111" i="14"/>
  <c r="C112" i="14"/>
  <c r="C62" i="20" s="1"/>
  <c r="E112" i="14"/>
  <c r="E62" i="20" s="1"/>
  <c r="C113" i="14"/>
  <c r="C73" i="20" s="1"/>
  <c r="E113" i="14"/>
  <c r="C114" i="14"/>
  <c r="C84" i="20" s="1"/>
  <c r="E114" i="14"/>
  <c r="E84" i="20" s="1"/>
  <c r="C115" i="14"/>
  <c r="E115" i="14"/>
  <c r="E95" i="20" s="1"/>
  <c r="C116" i="14"/>
  <c r="C106" i="20" s="1"/>
  <c r="E116" i="14"/>
  <c r="E106" i="20" s="1"/>
  <c r="C120" i="14"/>
  <c r="C7" i="9" s="1"/>
  <c r="E120" i="14"/>
  <c r="E7" i="9" s="1"/>
  <c r="G120" i="14"/>
  <c r="G7" i="9" s="1"/>
  <c r="C121" i="14"/>
  <c r="E121" i="14"/>
  <c r="E18" i="9" s="1"/>
  <c r="G121" i="14"/>
  <c r="G18" i="9" s="1"/>
  <c r="C122" i="14"/>
  <c r="C29" i="9" s="1"/>
  <c r="E122" i="14"/>
  <c r="E29" i="9" s="1"/>
  <c r="G122" i="14"/>
  <c r="G29" i="9" s="1"/>
  <c r="C123" i="14"/>
  <c r="E123" i="14"/>
  <c r="E40" i="9" s="1"/>
  <c r="G123" i="14"/>
  <c r="G40" i="9" s="1"/>
  <c r="C124" i="14"/>
  <c r="C51" i="9" s="1"/>
  <c r="E124" i="14"/>
  <c r="E51" i="9" s="1"/>
  <c r="G124" i="14"/>
  <c r="G51" i="9" s="1"/>
  <c r="C125" i="14"/>
  <c r="E125" i="14"/>
  <c r="E62" i="9" s="1"/>
  <c r="G125" i="14"/>
  <c r="G62" i="9" s="1"/>
  <c r="C126" i="14"/>
  <c r="C73" i="9" s="1"/>
  <c r="E126" i="14"/>
  <c r="E73" i="9" s="1"/>
  <c r="G126" i="14"/>
  <c r="G73" i="9" s="1"/>
  <c r="C127" i="14"/>
  <c r="E127" i="14"/>
  <c r="E84" i="9" s="1"/>
  <c r="G127" i="14"/>
  <c r="G84" i="9" s="1"/>
  <c r="C128" i="14"/>
  <c r="C95" i="9" s="1"/>
  <c r="E128" i="14"/>
  <c r="E95" i="9" s="1"/>
  <c r="G128" i="14"/>
  <c r="G95" i="9" s="1"/>
  <c r="C129" i="14"/>
  <c r="E129" i="14"/>
  <c r="E106" i="9" s="1"/>
  <c r="G129" i="14"/>
  <c r="G106" i="9" s="1"/>
  <c r="C3" i="13"/>
  <c r="E3" i="13"/>
  <c r="G3" i="13"/>
  <c r="C4" i="13"/>
  <c r="E4" i="13"/>
  <c r="E17" i="1" s="1"/>
  <c r="G4" i="13"/>
  <c r="G17" i="1" s="1"/>
  <c r="C5" i="13"/>
  <c r="E5" i="13"/>
  <c r="G5" i="13"/>
  <c r="C6" i="13"/>
  <c r="E6" i="13"/>
  <c r="E39" i="1" s="1"/>
  <c r="G6" i="13"/>
  <c r="G39" i="1" s="1"/>
  <c r="C7" i="13"/>
  <c r="E7" i="13"/>
  <c r="G7" i="13"/>
  <c r="G50" i="1" s="1"/>
  <c r="C8" i="13"/>
  <c r="C61" i="1" s="1"/>
  <c r="E8" i="13"/>
  <c r="E61" i="1" s="1"/>
  <c r="G8" i="13"/>
  <c r="G61" i="1" s="1"/>
  <c r="C9" i="13"/>
  <c r="C72" i="1" s="1"/>
  <c r="E9" i="13"/>
  <c r="G9" i="13"/>
  <c r="C10" i="13"/>
  <c r="E10" i="13"/>
  <c r="E83" i="1" s="1"/>
  <c r="G10" i="13"/>
  <c r="G83" i="1" s="1"/>
  <c r="C11" i="13"/>
  <c r="C94" i="1" s="1"/>
  <c r="E11" i="13"/>
  <c r="G11" i="13"/>
  <c r="C12" i="13"/>
  <c r="C105" i="1" s="1"/>
  <c r="E12" i="13"/>
  <c r="E105" i="1" s="1"/>
  <c r="G12" i="13"/>
  <c r="G105" i="1" s="1"/>
  <c r="C16" i="13"/>
  <c r="E16" i="13"/>
  <c r="C17" i="13"/>
  <c r="C17" i="2" s="1"/>
  <c r="E17" i="13"/>
  <c r="C18" i="13"/>
  <c r="E18" i="13"/>
  <c r="E28" i="2" s="1"/>
  <c r="C19" i="13"/>
  <c r="C39" i="2" s="1"/>
  <c r="E19" i="13"/>
  <c r="C20" i="13"/>
  <c r="C50" i="2" s="1"/>
  <c r="E20" i="13"/>
  <c r="E50" i="2" s="1"/>
  <c r="C21" i="13"/>
  <c r="C61" i="2" s="1"/>
  <c r="E21" i="13"/>
  <c r="E61" i="2" s="1"/>
  <c r="C22" i="13"/>
  <c r="C72" i="2" s="1"/>
  <c r="E22" i="13"/>
  <c r="C23" i="13"/>
  <c r="C83" i="2" s="1"/>
  <c r="E23" i="13"/>
  <c r="C24" i="13"/>
  <c r="C94" i="2" s="1"/>
  <c r="E24" i="13"/>
  <c r="E94" i="2" s="1"/>
  <c r="C25" i="13"/>
  <c r="C105" i="2" s="1"/>
  <c r="E25" i="13"/>
  <c r="E105" i="2" s="1"/>
  <c r="C29" i="13"/>
  <c r="C6" i="3" s="1"/>
  <c r="E29" i="13"/>
  <c r="E6" i="3" s="1"/>
  <c r="C30" i="13"/>
  <c r="E30" i="13"/>
  <c r="E17" i="3" s="1"/>
  <c r="C31" i="13"/>
  <c r="C28" i="3" s="1"/>
  <c r="E31" i="13"/>
  <c r="C32" i="13"/>
  <c r="C39" i="3" s="1"/>
  <c r="E32" i="13"/>
  <c r="E39" i="3" s="1"/>
  <c r="C33" i="13"/>
  <c r="C50" i="3" s="1"/>
  <c r="E33" i="13"/>
  <c r="E50" i="3" s="1"/>
  <c r="C34" i="13"/>
  <c r="C61" i="3" s="1"/>
  <c r="E34" i="13"/>
  <c r="C35" i="13"/>
  <c r="E35" i="13"/>
  <c r="E72" i="3" s="1"/>
  <c r="C36" i="13"/>
  <c r="C83" i="3" s="1"/>
  <c r="E36" i="13"/>
  <c r="E83" i="3" s="1"/>
  <c r="C37" i="13"/>
  <c r="C94" i="3" s="1"/>
  <c r="E37" i="13"/>
  <c r="C38" i="13"/>
  <c r="C105" i="3" s="1"/>
  <c r="E38" i="13"/>
  <c r="C42" i="13"/>
  <c r="C6" i="4" s="1"/>
  <c r="E42" i="13"/>
  <c r="E6" i="4" s="1"/>
  <c r="C43" i="13"/>
  <c r="E43" i="13"/>
  <c r="C44" i="13"/>
  <c r="C28" i="4" s="1"/>
  <c r="E44" i="13"/>
  <c r="C45" i="13"/>
  <c r="C39" i="4" s="1"/>
  <c r="E45" i="13"/>
  <c r="E39" i="4" s="1"/>
  <c r="C46" i="13"/>
  <c r="E46" i="13"/>
  <c r="C47" i="13"/>
  <c r="C61" i="4" s="1"/>
  <c r="E47" i="13"/>
  <c r="E61" i="4" s="1"/>
  <c r="C48" i="13"/>
  <c r="C72" i="4" s="1"/>
  <c r="E48" i="13"/>
  <c r="E72" i="4" s="1"/>
  <c r="C49" i="13"/>
  <c r="C83" i="4" s="1"/>
  <c r="E49" i="13"/>
  <c r="E83" i="4" s="1"/>
  <c r="C50" i="13"/>
  <c r="C94" i="4" s="1"/>
  <c r="E50" i="13"/>
  <c r="E94" i="4" s="1"/>
  <c r="C51" i="13"/>
  <c r="E51" i="13"/>
  <c r="E105" i="4" s="1"/>
  <c r="C55" i="13"/>
  <c r="C6" i="5" s="1"/>
  <c r="E55" i="13"/>
  <c r="C56" i="13"/>
  <c r="C17" i="5" s="1"/>
  <c r="E56" i="13"/>
  <c r="E17" i="5" s="1"/>
  <c r="C57" i="13"/>
  <c r="C28" i="5" s="1"/>
  <c r="E57" i="13"/>
  <c r="E28" i="5" s="1"/>
  <c r="C58" i="13"/>
  <c r="C39" i="5" s="1"/>
  <c r="E58" i="13"/>
  <c r="C59" i="13"/>
  <c r="E59" i="13"/>
  <c r="C60" i="13"/>
  <c r="C61" i="5" s="1"/>
  <c r="E60" i="13"/>
  <c r="E61" i="5" s="1"/>
  <c r="C61" i="13"/>
  <c r="C72" i="5" s="1"/>
  <c r="E61" i="13"/>
  <c r="C62" i="13"/>
  <c r="C83" i="5" s="1"/>
  <c r="E62" i="13"/>
  <c r="C63" i="13"/>
  <c r="C94" i="5" s="1"/>
  <c r="E63" i="13"/>
  <c r="E94" i="5" s="1"/>
  <c r="C64" i="13"/>
  <c r="C105" i="5" s="1"/>
  <c r="E64" i="13"/>
  <c r="C68" i="13"/>
  <c r="C6" i="6" s="1"/>
  <c r="E68" i="13"/>
  <c r="E6" i="6" s="1"/>
  <c r="G68" i="13"/>
  <c r="G6" i="6" s="1"/>
  <c r="C69" i="13"/>
  <c r="C17" i="6" s="1"/>
  <c r="E69" i="13"/>
  <c r="E17" i="6" s="1"/>
  <c r="G69" i="13"/>
  <c r="C70" i="13"/>
  <c r="C28" i="6" s="1"/>
  <c r="E70" i="13"/>
  <c r="E28" i="6" s="1"/>
  <c r="G70" i="13"/>
  <c r="G28" i="6" s="1"/>
  <c r="C71" i="13"/>
  <c r="C39" i="6" s="1"/>
  <c r="E71" i="13"/>
  <c r="E39" i="6" s="1"/>
  <c r="G71" i="13"/>
  <c r="C72" i="13"/>
  <c r="C50" i="6" s="1"/>
  <c r="E72" i="13"/>
  <c r="E50" i="6" s="1"/>
  <c r="G72" i="13"/>
  <c r="G50" i="6" s="1"/>
  <c r="C73" i="13"/>
  <c r="C61" i="6" s="1"/>
  <c r="E73" i="13"/>
  <c r="G73" i="13"/>
  <c r="C74" i="13"/>
  <c r="C72" i="6" s="1"/>
  <c r="E74" i="13"/>
  <c r="E72" i="6" s="1"/>
  <c r="G74" i="13"/>
  <c r="G72" i="6" s="1"/>
  <c r="C75" i="13"/>
  <c r="C83" i="6" s="1"/>
  <c r="E75" i="13"/>
  <c r="E83" i="6" s="1"/>
  <c r="G75" i="13"/>
  <c r="C76" i="13"/>
  <c r="C94" i="6" s="1"/>
  <c r="E76" i="13"/>
  <c r="E94" i="6" s="1"/>
  <c r="G76" i="13"/>
  <c r="G94" i="6" s="1"/>
  <c r="C77" i="13"/>
  <c r="C105" i="6" s="1"/>
  <c r="E77" i="13"/>
  <c r="E105" i="6" s="1"/>
  <c r="G77" i="13"/>
  <c r="C81" i="13"/>
  <c r="C6" i="7" s="1"/>
  <c r="E81" i="13"/>
  <c r="E6" i="7" s="1"/>
  <c r="C82" i="13"/>
  <c r="C17" i="7" s="1"/>
  <c r="E82" i="13"/>
  <c r="E17" i="7" s="1"/>
  <c r="C83" i="13"/>
  <c r="C28" i="7" s="1"/>
  <c r="E83" i="13"/>
  <c r="E28" i="7" s="1"/>
  <c r="C84" i="13"/>
  <c r="C39" i="7" s="1"/>
  <c r="E84" i="13"/>
  <c r="E39" i="7" s="1"/>
  <c r="C85" i="13"/>
  <c r="C50" i="7" s="1"/>
  <c r="E85" i="13"/>
  <c r="E50" i="7" s="1"/>
  <c r="C86" i="13"/>
  <c r="C61" i="7" s="1"/>
  <c r="E86" i="13"/>
  <c r="E61" i="7" s="1"/>
  <c r="C87" i="13"/>
  <c r="C72" i="7" s="1"/>
  <c r="E87" i="13"/>
  <c r="E72" i="7" s="1"/>
  <c r="C88" i="13"/>
  <c r="C83" i="7" s="1"/>
  <c r="E88" i="13"/>
  <c r="E83" i="7" s="1"/>
  <c r="C89" i="13"/>
  <c r="C94" i="7" s="1"/>
  <c r="E89" i="13"/>
  <c r="E94" i="7" s="1"/>
  <c r="C90" i="13"/>
  <c r="C105" i="7" s="1"/>
  <c r="E90" i="13"/>
  <c r="E105" i="7" s="1"/>
  <c r="C94" i="13"/>
  <c r="C6" i="8" s="1"/>
  <c r="E94" i="13"/>
  <c r="E6" i="8" s="1"/>
  <c r="C95" i="13"/>
  <c r="C17" i="8" s="1"/>
  <c r="E95" i="13"/>
  <c r="E17" i="8" s="1"/>
  <c r="C96" i="13"/>
  <c r="C28" i="8" s="1"/>
  <c r="E96" i="13"/>
  <c r="E28" i="8" s="1"/>
  <c r="C97" i="13"/>
  <c r="C39" i="8" s="1"/>
  <c r="E97" i="13"/>
  <c r="E39" i="8" s="1"/>
  <c r="C98" i="13"/>
  <c r="C50" i="8" s="1"/>
  <c r="E98" i="13"/>
  <c r="E50" i="8" s="1"/>
  <c r="C99" i="13"/>
  <c r="C61" i="8" s="1"/>
  <c r="E99" i="13"/>
  <c r="E61" i="8" s="1"/>
  <c r="C100" i="13"/>
  <c r="C72" i="8" s="1"/>
  <c r="E100" i="13"/>
  <c r="E72" i="8" s="1"/>
  <c r="C101" i="13"/>
  <c r="C83" i="8" s="1"/>
  <c r="E101" i="13"/>
  <c r="E83" i="8" s="1"/>
  <c r="C102" i="13"/>
  <c r="C94" i="8" s="1"/>
  <c r="E102" i="13"/>
  <c r="E94" i="8" s="1"/>
  <c r="C103" i="13"/>
  <c r="C105" i="8" s="1"/>
  <c r="E103" i="13"/>
  <c r="E105" i="8" s="1"/>
  <c r="C107" i="13"/>
  <c r="C6" i="20" s="1"/>
  <c r="E107" i="13"/>
  <c r="E6" i="20" s="1"/>
  <c r="C108" i="13"/>
  <c r="E108" i="13"/>
  <c r="E17" i="20" s="1"/>
  <c r="C109" i="13"/>
  <c r="C28" i="20" s="1"/>
  <c r="E109" i="13"/>
  <c r="C110" i="13"/>
  <c r="C39" i="20" s="1"/>
  <c r="E110" i="13"/>
  <c r="E39" i="20" s="1"/>
  <c r="C111" i="13"/>
  <c r="C50" i="20" s="1"/>
  <c r="E111" i="13"/>
  <c r="E50" i="20" s="1"/>
  <c r="C112" i="13"/>
  <c r="E112" i="13"/>
  <c r="C113" i="13"/>
  <c r="C72" i="20" s="1"/>
  <c r="E113" i="13"/>
  <c r="E72" i="20" s="1"/>
  <c r="C114" i="13"/>
  <c r="E114" i="13"/>
  <c r="E83" i="20" s="1"/>
  <c r="C115" i="13"/>
  <c r="E115" i="13"/>
  <c r="C116" i="13"/>
  <c r="C105" i="20" s="1"/>
  <c r="E116" i="13"/>
  <c r="E105" i="20" s="1"/>
  <c r="C120" i="13"/>
  <c r="E120" i="13"/>
  <c r="G120" i="13"/>
  <c r="G6" i="9" s="1"/>
  <c r="C121" i="13"/>
  <c r="C17" i="9" s="1"/>
  <c r="E121" i="13"/>
  <c r="E17" i="9" s="1"/>
  <c r="G121" i="13"/>
  <c r="G17" i="9" s="1"/>
  <c r="C122" i="13"/>
  <c r="E122" i="13"/>
  <c r="E28" i="9" s="1"/>
  <c r="G122" i="13"/>
  <c r="G28" i="9" s="1"/>
  <c r="C123" i="13"/>
  <c r="C39" i="9" s="1"/>
  <c r="E123" i="13"/>
  <c r="E39" i="9" s="1"/>
  <c r="G123" i="13"/>
  <c r="G39" i="9" s="1"/>
  <c r="C124" i="13"/>
  <c r="E124" i="13"/>
  <c r="G124" i="13"/>
  <c r="G50" i="9" s="1"/>
  <c r="C125" i="13"/>
  <c r="C61" i="9" s="1"/>
  <c r="E125" i="13"/>
  <c r="E61" i="9" s="1"/>
  <c r="G125" i="13"/>
  <c r="G61" i="9" s="1"/>
  <c r="C126" i="13"/>
  <c r="E126" i="13"/>
  <c r="E72" i="9" s="1"/>
  <c r="G126" i="13"/>
  <c r="G72" i="9" s="1"/>
  <c r="C127" i="13"/>
  <c r="C83" i="9" s="1"/>
  <c r="E127" i="13"/>
  <c r="E83" i="9" s="1"/>
  <c r="G127" i="13"/>
  <c r="G83" i="9" s="1"/>
  <c r="C128" i="13"/>
  <c r="E128" i="13"/>
  <c r="G128" i="13"/>
  <c r="G94" i="9" s="1"/>
  <c r="C129" i="13"/>
  <c r="C105" i="9" s="1"/>
  <c r="E129" i="13"/>
  <c r="E105" i="9" s="1"/>
  <c r="G129" i="13"/>
  <c r="G105" i="9" s="1"/>
  <c r="C3" i="12"/>
  <c r="C5" i="1" s="1"/>
  <c r="E3" i="12"/>
  <c r="E5" i="1" s="1"/>
  <c r="G3" i="12"/>
  <c r="G5" i="1" s="1"/>
  <c r="C4" i="12"/>
  <c r="C16" i="1" s="1"/>
  <c r="E4" i="12"/>
  <c r="G4" i="12"/>
  <c r="G16" i="1" s="1"/>
  <c r="C5" i="12"/>
  <c r="C27" i="1" s="1"/>
  <c r="E5" i="12"/>
  <c r="E27" i="1" s="1"/>
  <c r="G5" i="12"/>
  <c r="G27" i="1" s="1"/>
  <c r="C6" i="12"/>
  <c r="C38" i="1" s="1"/>
  <c r="E6" i="12"/>
  <c r="E38" i="1" s="1"/>
  <c r="G6" i="12"/>
  <c r="G38" i="1" s="1"/>
  <c r="C7" i="12"/>
  <c r="C49" i="1" s="1"/>
  <c r="E7" i="12"/>
  <c r="E49" i="1" s="1"/>
  <c r="G7" i="12"/>
  <c r="G49" i="1" s="1"/>
  <c r="C8" i="12"/>
  <c r="C60" i="1" s="1"/>
  <c r="E8" i="12"/>
  <c r="G8" i="12"/>
  <c r="C9" i="12"/>
  <c r="C71" i="1" s="1"/>
  <c r="E9" i="12"/>
  <c r="G9" i="12"/>
  <c r="G71" i="1" s="1"/>
  <c r="C10" i="12"/>
  <c r="C82" i="1" s="1"/>
  <c r="E10" i="12"/>
  <c r="E82" i="1" s="1"/>
  <c r="G10" i="12"/>
  <c r="G82" i="1" s="1"/>
  <c r="C11" i="12"/>
  <c r="C93" i="1" s="1"/>
  <c r="E11" i="12"/>
  <c r="E93" i="1" s="1"/>
  <c r="G11" i="12"/>
  <c r="G93" i="1" s="1"/>
  <c r="C12" i="12"/>
  <c r="C104" i="1" s="1"/>
  <c r="E12" i="12"/>
  <c r="E104" i="1" s="1"/>
  <c r="G12" i="12"/>
  <c r="G104" i="1" s="1"/>
  <c r="C16" i="12"/>
  <c r="C5" i="2" s="1"/>
  <c r="E16" i="12"/>
  <c r="E5" i="2" s="1"/>
  <c r="C17" i="12"/>
  <c r="C16" i="2" s="1"/>
  <c r="E17" i="12"/>
  <c r="E16" i="2" s="1"/>
  <c r="C18" i="12"/>
  <c r="C27" i="2" s="1"/>
  <c r="E18" i="12"/>
  <c r="E27" i="2" s="1"/>
  <c r="C19" i="12"/>
  <c r="C38" i="2" s="1"/>
  <c r="E19" i="12"/>
  <c r="E38" i="2" s="1"/>
  <c r="C20" i="12"/>
  <c r="C49" i="2" s="1"/>
  <c r="E20" i="12"/>
  <c r="E49" i="2" s="1"/>
  <c r="C21" i="12"/>
  <c r="C60" i="2" s="1"/>
  <c r="E21" i="12"/>
  <c r="E60" i="2" s="1"/>
  <c r="C22" i="12"/>
  <c r="C71" i="2" s="1"/>
  <c r="E22" i="12"/>
  <c r="E71" i="2" s="1"/>
  <c r="C23" i="12"/>
  <c r="C82" i="2" s="1"/>
  <c r="E23" i="12"/>
  <c r="E82" i="2" s="1"/>
  <c r="C24" i="12"/>
  <c r="C93" i="2" s="1"/>
  <c r="E24" i="12"/>
  <c r="C25" i="12"/>
  <c r="E25" i="12"/>
  <c r="E104" i="2" s="1"/>
  <c r="C29" i="12"/>
  <c r="C5" i="3" s="1"/>
  <c r="E29" i="12"/>
  <c r="E5" i="3" s="1"/>
  <c r="C30" i="12"/>
  <c r="C16" i="3" s="1"/>
  <c r="E30" i="12"/>
  <c r="E16" i="3" s="1"/>
  <c r="C31" i="12"/>
  <c r="C27" i="3" s="1"/>
  <c r="E31" i="12"/>
  <c r="E27" i="3" s="1"/>
  <c r="C32" i="12"/>
  <c r="C38" i="3" s="1"/>
  <c r="E32" i="12"/>
  <c r="E38" i="3" s="1"/>
  <c r="C33" i="12"/>
  <c r="C49" i="3" s="1"/>
  <c r="E33" i="12"/>
  <c r="E49" i="3" s="1"/>
  <c r="C34" i="12"/>
  <c r="C60" i="3" s="1"/>
  <c r="E34" i="12"/>
  <c r="E60" i="3" s="1"/>
  <c r="C35" i="12"/>
  <c r="C71" i="3" s="1"/>
  <c r="E35" i="12"/>
  <c r="E71" i="3" s="1"/>
  <c r="C36" i="12"/>
  <c r="E36" i="12"/>
  <c r="E82" i="3" s="1"/>
  <c r="C37" i="12"/>
  <c r="C93" i="3" s="1"/>
  <c r="E37" i="12"/>
  <c r="C38" i="12"/>
  <c r="C104" i="3" s="1"/>
  <c r="E38" i="12"/>
  <c r="E104" i="3" s="1"/>
  <c r="C42" i="12"/>
  <c r="C5" i="4" s="1"/>
  <c r="E42" i="12"/>
  <c r="E5" i="4" s="1"/>
  <c r="C43" i="12"/>
  <c r="C16" i="4" s="1"/>
  <c r="E43" i="12"/>
  <c r="E16" i="4" s="1"/>
  <c r="C44" i="12"/>
  <c r="C27" i="4" s="1"/>
  <c r="E44" i="12"/>
  <c r="E27" i="4" s="1"/>
  <c r="C45" i="12"/>
  <c r="C38" i="4" s="1"/>
  <c r="E45" i="12"/>
  <c r="E38" i="4" s="1"/>
  <c r="C46" i="12"/>
  <c r="C49" i="4" s="1"/>
  <c r="E46" i="12"/>
  <c r="E49" i="4" s="1"/>
  <c r="C47" i="12"/>
  <c r="C60" i="4" s="1"/>
  <c r="E47" i="12"/>
  <c r="E60" i="4" s="1"/>
  <c r="C48" i="12"/>
  <c r="C71" i="4" s="1"/>
  <c r="E48" i="12"/>
  <c r="E71" i="4" s="1"/>
  <c r="C49" i="12"/>
  <c r="C82" i="4" s="1"/>
  <c r="E49" i="12"/>
  <c r="E82" i="4" s="1"/>
  <c r="C50" i="12"/>
  <c r="C93" i="4" s="1"/>
  <c r="E50" i="12"/>
  <c r="E93" i="4" s="1"/>
  <c r="C51" i="12"/>
  <c r="C104" i="4" s="1"/>
  <c r="E51" i="12"/>
  <c r="E104" i="4" s="1"/>
  <c r="C55" i="12"/>
  <c r="C5" i="5" s="1"/>
  <c r="E55" i="12"/>
  <c r="E5" i="5" s="1"/>
  <c r="C56" i="12"/>
  <c r="C16" i="5" s="1"/>
  <c r="E56" i="12"/>
  <c r="E16" i="5" s="1"/>
  <c r="C57" i="12"/>
  <c r="C27" i="5" s="1"/>
  <c r="E57" i="12"/>
  <c r="E27" i="5" s="1"/>
  <c r="C58" i="12"/>
  <c r="C38" i="5" s="1"/>
  <c r="E58" i="12"/>
  <c r="E38" i="5" s="1"/>
  <c r="C59" i="12"/>
  <c r="E59" i="12"/>
  <c r="E49" i="5" s="1"/>
  <c r="C60" i="12"/>
  <c r="E60" i="12"/>
  <c r="E60" i="5" s="1"/>
  <c r="C61" i="12"/>
  <c r="C71" i="5" s="1"/>
  <c r="E61" i="12"/>
  <c r="E71" i="5" s="1"/>
  <c r="C62" i="12"/>
  <c r="C82" i="5" s="1"/>
  <c r="E62" i="12"/>
  <c r="E82" i="5" s="1"/>
  <c r="C63" i="12"/>
  <c r="C93" i="5" s="1"/>
  <c r="E63" i="12"/>
  <c r="E93" i="5" s="1"/>
  <c r="C64" i="12"/>
  <c r="C104" i="5" s="1"/>
  <c r="E64" i="12"/>
  <c r="E104" i="5" s="1"/>
  <c r="C68" i="12"/>
  <c r="C5" i="6" s="1"/>
  <c r="E68" i="12"/>
  <c r="E5" i="6" s="1"/>
  <c r="G68" i="12"/>
  <c r="C69" i="12"/>
  <c r="C16" i="6" s="1"/>
  <c r="E69" i="12"/>
  <c r="E16" i="6" s="1"/>
  <c r="G69" i="12"/>
  <c r="G16" i="6" s="1"/>
  <c r="C70" i="12"/>
  <c r="C27" i="6" s="1"/>
  <c r="E70" i="12"/>
  <c r="E27" i="6" s="1"/>
  <c r="G70" i="12"/>
  <c r="C71" i="12"/>
  <c r="C38" i="6" s="1"/>
  <c r="E71" i="12"/>
  <c r="E38" i="6" s="1"/>
  <c r="G71" i="12"/>
  <c r="G38" i="6" s="1"/>
  <c r="C72" i="12"/>
  <c r="C49" i="6" s="1"/>
  <c r="E72" i="12"/>
  <c r="E49" i="6" s="1"/>
  <c r="G72" i="12"/>
  <c r="C73" i="12"/>
  <c r="C60" i="6" s="1"/>
  <c r="E73" i="12"/>
  <c r="E60" i="6" s="1"/>
  <c r="G73" i="12"/>
  <c r="G60" i="6" s="1"/>
  <c r="C74" i="12"/>
  <c r="C71" i="6" s="1"/>
  <c r="E74" i="12"/>
  <c r="E71" i="6" s="1"/>
  <c r="G74" i="12"/>
  <c r="G71" i="6" s="1"/>
  <c r="C75" i="12"/>
  <c r="C82" i="6" s="1"/>
  <c r="E75" i="12"/>
  <c r="E82" i="6" s="1"/>
  <c r="G75" i="12"/>
  <c r="G82" i="6" s="1"/>
  <c r="C76" i="12"/>
  <c r="C93" i="6" s="1"/>
  <c r="E76" i="12"/>
  <c r="E93" i="6" s="1"/>
  <c r="G76" i="12"/>
  <c r="G93" i="6" s="1"/>
  <c r="C77" i="12"/>
  <c r="C104" i="6" s="1"/>
  <c r="E77" i="12"/>
  <c r="E104" i="6" s="1"/>
  <c r="G77" i="12"/>
  <c r="G104" i="6" s="1"/>
  <c r="C81" i="12"/>
  <c r="C5" i="7" s="1"/>
  <c r="E81" i="12"/>
  <c r="E5" i="7" s="1"/>
  <c r="C82" i="12"/>
  <c r="C16" i="7" s="1"/>
  <c r="E82" i="12"/>
  <c r="E16" i="7" s="1"/>
  <c r="C83" i="12"/>
  <c r="C27" i="7" s="1"/>
  <c r="E83" i="12"/>
  <c r="E27" i="7" s="1"/>
  <c r="C84" i="12"/>
  <c r="C38" i="7" s="1"/>
  <c r="E84" i="12"/>
  <c r="E38" i="7" s="1"/>
  <c r="C85" i="12"/>
  <c r="C49" i="7" s="1"/>
  <c r="E85" i="12"/>
  <c r="E49" i="7" s="1"/>
  <c r="C86" i="12"/>
  <c r="C60" i="7" s="1"/>
  <c r="E86" i="12"/>
  <c r="E60" i="7" s="1"/>
  <c r="C87" i="12"/>
  <c r="C71" i="7" s="1"/>
  <c r="E87" i="12"/>
  <c r="E71" i="7" s="1"/>
  <c r="C88" i="12"/>
  <c r="C82" i="7" s="1"/>
  <c r="E88" i="12"/>
  <c r="E82" i="7" s="1"/>
  <c r="C89" i="12"/>
  <c r="C93" i="7" s="1"/>
  <c r="E89" i="12"/>
  <c r="E93" i="7" s="1"/>
  <c r="C90" i="12"/>
  <c r="C104" i="7" s="1"/>
  <c r="E90" i="12"/>
  <c r="E104" i="7" s="1"/>
  <c r="C94" i="12"/>
  <c r="C5" i="8" s="1"/>
  <c r="E94" i="12"/>
  <c r="E5" i="8" s="1"/>
  <c r="C95" i="12"/>
  <c r="C16" i="8" s="1"/>
  <c r="E95" i="12"/>
  <c r="E16" i="8" s="1"/>
  <c r="C96" i="12"/>
  <c r="C27" i="8" s="1"/>
  <c r="E96" i="12"/>
  <c r="E27" i="8" s="1"/>
  <c r="C97" i="12"/>
  <c r="C38" i="8" s="1"/>
  <c r="E97" i="12"/>
  <c r="E38" i="8" s="1"/>
  <c r="C98" i="12"/>
  <c r="C49" i="8" s="1"/>
  <c r="E98" i="12"/>
  <c r="E49" i="8" s="1"/>
  <c r="C99" i="12"/>
  <c r="C60" i="8" s="1"/>
  <c r="E99" i="12"/>
  <c r="E60" i="8" s="1"/>
  <c r="C100" i="12"/>
  <c r="C71" i="8" s="1"/>
  <c r="E100" i="12"/>
  <c r="E71" i="8" s="1"/>
  <c r="C101" i="12"/>
  <c r="C82" i="8" s="1"/>
  <c r="E101" i="12"/>
  <c r="E82" i="8" s="1"/>
  <c r="C102" i="12"/>
  <c r="C93" i="8" s="1"/>
  <c r="E102" i="12"/>
  <c r="E93" i="8" s="1"/>
  <c r="C103" i="12"/>
  <c r="C104" i="8" s="1"/>
  <c r="E103" i="12"/>
  <c r="E104" i="8" s="1"/>
  <c r="C107" i="12"/>
  <c r="E107" i="12"/>
  <c r="C108" i="12"/>
  <c r="C16" i="20" s="1"/>
  <c r="E108" i="12"/>
  <c r="E16" i="20" s="1"/>
  <c r="C109" i="12"/>
  <c r="E109" i="12"/>
  <c r="C110" i="12"/>
  <c r="E110" i="12"/>
  <c r="C111" i="12"/>
  <c r="C49" i="20" s="1"/>
  <c r="E111" i="12"/>
  <c r="C112" i="12"/>
  <c r="E112" i="12"/>
  <c r="C113" i="12"/>
  <c r="E113" i="12"/>
  <c r="C114" i="12"/>
  <c r="C82" i="20" s="1"/>
  <c r="E114" i="12"/>
  <c r="C115" i="12"/>
  <c r="E115" i="12"/>
  <c r="C116" i="12"/>
  <c r="E116" i="12"/>
  <c r="E104" i="20" s="1"/>
  <c r="C120" i="12"/>
  <c r="C5" i="9" s="1"/>
  <c r="E120" i="12"/>
  <c r="E5" i="9" s="1"/>
  <c r="G120" i="12"/>
  <c r="G5" i="9" s="1"/>
  <c r="C121" i="12"/>
  <c r="E121" i="12"/>
  <c r="G121" i="12"/>
  <c r="G16" i="9" s="1"/>
  <c r="C122" i="12"/>
  <c r="C27" i="9" s="1"/>
  <c r="E122" i="12"/>
  <c r="E27" i="9" s="1"/>
  <c r="G122" i="12"/>
  <c r="G27" i="9" s="1"/>
  <c r="C123" i="12"/>
  <c r="E123" i="12"/>
  <c r="G123" i="12"/>
  <c r="G38" i="9" s="1"/>
  <c r="C124" i="12"/>
  <c r="C49" i="9" s="1"/>
  <c r="E124" i="12"/>
  <c r="E49" i="9" s="1"/>
  <c r="G124" i="12"/>
  <c r="G49" i="9" s="1"/>
  <c r="C125" i="12"/>
  <c r="E125" i="12"/>
  <c r="G125" i="12"/>
  <c r="G60" i="9" s="1"/>
  <c r="C126" i="12"/>
  <c r="C71" i="9" s="1"/>
  <c r="E126" i="12"/>
  <c r="E71" i="9" s="1"/>
  <c r="G126" i="12"/>
  <c r="G71" i="9" s="1"/>
  <c r="C127" i="12"/>
  <c r="E127" i="12"/>
  <c r="G127" i="12"/>
  <c r="G82" i="9" s="1"/>
  <c r="C128" i="12"/>
  <c r="C93" i="9" s="1"/>
  <c r="E128" i="12"/>
  <c r="E93" i="9" s="1"/>
  <c r="G128" i="12"/>
  <c r="G93" i="9" s="1"/>
  <c r="C129" i="12"/>
  <c r="E129" i="12"/>
  <c r="G129" i="12"/>
  <c r="G104" i="9" s="1"/>
  <c r="G49" i="6"/>
  <c r="G27" i="6"/>
  <c r="G5" i="6"/>
  <c r="C82" i="3"/>
  <c r="E60" i="1"/>
  <c r="C104" i="2"/>
  <c r="E96" i="1"/>
  <c r="C8" i="6"/>
  <c r="E63" i="1"/>
  <c r="E107" i="1"/>
  <c r="E85" i="3"/>
  <c r="C17" i="1"/>
  <c r="E17" i="2"/>
  <c r="E105" i="3"/>
  <c r="E28" i="4"/>
  <c r="C83" i="1"/>
  <c r="E51" i="2"/>
  <c r="E106" i="3"/>
  <c r="E95" i="4"/>
  <c r="C40" i="1"/>
  <c r="C62" i="1"/>
  <c r="E18" i="5"/>
  <c r="E51" i="6"/>
  <c r="E73" i="6"/>
  <c r="E95" i="6"/>
  <c r="C62" i="5"/>
  <c r="E62" i="4"/>
  <c r="C62" i="2"/>
  <c r="E83" i="2"/>
  <c r="C28" i="2"/>
  <c r="E50" i="1"/>
  <c r="E83" i="5"/>
  <c r="G107" i="6"/>
  <c r="E85" i="4"/>
  <c r="E74" i="4"/>
  <c r="C52" i="5"/>
  <c r="C8" i="3"/>
  <c r="E12" i="6"/>
  <c r="E67" i="6"/>
  <c r="C34" i="6"/>
  <c r="C78" i="5"/>
  <c r="C56" i="4"/>
  <c r="E56" i="1"/>
  <c r="G44" i="6"/>
  <c r="G55" i="6"/>
  <c r="G110" i="6"/>
  <c r="E66" i="6"/>
  <c r="E33" i="5"/>
  <c r="E44" i="5"/>
  <c r="E110" i="5"/>
  <c r="C55" i="5"/>
  <c r="C77" i="5"/>
  <c r="E11" i="4"/>
  <c r="E88" i="4"/>
  <c r="C99" i="4"/>
  <c r="C110" i="4"/>
  <c r="E66" i="3"/>
  <c r="C88" i="3"/>
  <c r="E33" i="2"/>
  <c r="E44" i="2"/>
  <c r="E55" i="2"/>
  <c r="G22" i="1"/>
  <c r="G77" i="1"/>
  <c r="G88" i="1"/>
  <c r="E55" i="1"/>
  <c r="C11" i="1"/>
  <c r="G10" i="6"/>
  <c r="E43" i="6"/>
  <c r="E54" i="6"/>
  <c r="E98" i="6"/>
  <c r="E109" i="6"/>
  <c r="C10" i="6"/>
  <c r="C65" i="6"/>
  <c r="E21" i="5"/>
  <c r="E32" i="5"/>
  <c r="E98" i="5"/>
  <c r="C54" i="5"/>
  <c r="C109" i="5"/>
  <c r="E10" i="4"/>
  <c r="E65" i="4"/>
  <c r="E76" i="4"/>
  <c r="C87" i="4"/>
  <c r="C98" i="4"/>
  <c r="E43" i="3"/>
  <c r="E109" i="3"/>
  <c r="C76" i="3"/>
  <c r="E87" i="2"/>
  <c r="E98" i="2"/>
  <c r="C32" i="2"/>
  <c r="G10" i="1"/>
  <c r="G65" i="1"/>
  <c r="G76" i="1"/>
  <c r="C43" i="1"/>
  <c r="E9" i="6"/>
  <c r="E20" i="6"/>
  <c r="E31" i="6"/>
  <c r="E75" i="6"/>
  <c r="E97" i="6"/>
  <c r="E108" i="6"/>
  <c r="C53" i="6"/>
  <c r="E9" i="5"/>
  <c r="E53" i="5"/>
  <c r="E75" i="5"/>
  <c r="C9" i="5"/>
  <c r="C31" i="5"/>
  <c r="C75" i="5"/>
  <c r="E31" i="4"/>
  <c r="E53" i="4"/>
  <c r="E97" i="4"/>
  <c r="C9" i="4"/>
  <c r="C31" i="4"/>
  <c r="E9" i="3"/>
  <c r="E31" i="3"/>
  <c r="E64" i="3"/>
  <c r="E97" i="3"/>
  <c r="C42" i="3"/>
  <c r="C53" i="3"/>
  <c r="C97" i="3"/>
  <c r="E9" i="2"/>
  <c r="E53" i="2"/>
  <c r="E75" i="2"/>
  <c r="C31" i="2"/>
  <c r="C42" i="2"/>
  <c r="C75" i="2"/>
  <c r="C86" i="2"/>
  <c r="G75" i="1"/>
  <c r="G97" i="1"/>
  <c r="E9" i="1"/>
  <c r="E53" i="1"/>
  <c r="E75" i="1"/>
  <c r="C20" i="1"/>
  <c r="C53" i="1"/>
  <c r="C64" i="1"/>
  <c r="G52" i="6"/>
  <c r="E30" i="5"/>
  <c r="E41" i="5"/>
  <c r="E96" i="5"/>
  <c r="E107" i="5"/>
  <c r="E8" i="4"/>
  <c r="E52" i="3"/>
  <c r="E63" i="3"/>
  <c r="C30" i="3"/>
  <c r="E30" i="2"/>
  <c r="E41" i="2"/>
  <c r="E96" i="2"/>
  <c r="G19" i="1"/>
  <c r="G85" i="1"/>
  <c r="E30" i="1"/>
  <c r="E52" i="1"/>
  <c r="E53" i="6"/>
  <c r="C53" i="5"/>
  <c r="C97" i="4"/>
  <c r="C9" i="3"/>
  <c r="C53" i="2"/>
  <c r="G9" i="1"/>
  <c r="E31" i="1"/>
  <c r="C40" i="6"/>
  <c r="C51" i="6"/>
  <c r="C62" i="6"/>
  <c r="C106" i="6"/>
  <c r="E84" i="5"/>
  <c r="C84" i="5"/>
  <c r="E40" i="4"/>
  <c r="C62" i="4"/>
  <c r="E84" i="3"/>
  <c r="C106" i="2"/>
  <c r="G40" i="1"/>
  <c r="G62" i="1"/>
  <c r="E84" i="1"/>
  <c r="C18" i="1"/>
  <c r="C106" i="1"/>
  <c r="G39" i="6"/>
  <c r="G61" i="6"/>
  <c r="G105" i="6"/>
  <c r="E61" i="6"/>
  <c r="E50" i="5"/>
  <c r="E105" i="5"/>
  <c r="E17" i="4"/>
  <c r="C50" i="4"/>
  <c r="C105" i="4"/>
  <c r="E28" i="3"/>
  <c r="E61" i="3"/>
  <c r="E39" i="2"/>
  <c r="E72" i="2"/>
  <c r="C6" i="2"/>
  <c r="G28" i="1"/>
  <c r="G94" i="1"/>
  <c r="C6" i="1"/>
  <c r="C50" i="1"/>
  <c r="E50" i="4"/>
  <c r="C60" i="5"/>
  <c r="C49" i="5"/>
  <c r="E16" i="1"/>
  <c r="G129" i="11"/>
  <c r="G103" i="9" s="1"/>
  <c r="E129" i="11"/>
  <c r="E103" i="9" s="1"/>
  <c r="C129" i="11"/>
  <c r="C103" i="9" s="1"/>
  <c r="G128" i="11"/>
  <c r="G92" i="9" s="1"/>
  <c r="E128" i="11"/>
  <c r="E92" i="9" s="1"/>
  <c r="C128" i="11"/>
  <c r="C92" i="9" s="1"/>
  <c r="G127" i="11"/>
  <c r="G81" i="9" s="1"/>
  <c r="E127" i="11"/>
  <c r="E81" i="9" s="1"/>
  <c r="C127" i="11"/>
  <c r="C81" i="9" s="1"/>
  <c r="G126" i="11"/>
  <c r="G70" i="9" s="1"/>
  <c r="E126" i="11"/>
  <c r="C126" i="11"/>
  <c r="C70" i="9" s="1"/>
  <c r="G125" i="11"/>
  <c r="G59" i="9" s="1"/>
  <c r="E125" i="11"/>
  <c r="E59" i="9" s="1"/>
  <c r="C125" i="11"/>
  <c r="C59" i="9" s="1"/>
  <c r="G124" i="11"/>
  <c r="G48" i="9" s="1"/>
  <c r="E124" i="11"/>
  <c r="E48" i="9" s="1"/>
  <c r="C124" i="11"/>
  <c r="C48" i="9" s="1"/>
  <c r="G123" i="11"/>
  <c r="G37" i="9" s="1"/>
  <c r="E123" i="11"/>
  <c r="E37" i="9" s="1"/>
  <c r="C123" i="11"/>
  <c r="C37" i="9" s="1"/>
  <c r="G122" i="11"/>
  <c r="G26" i="9" s="1"/>
  <c r="E122" i="11"/>
  <c r="C122" i="11"/>
  <c r="C26" i="9" s="1"/>
  <c r="G121" i="11"/>
  <c r="G15" i="9" s="1"/>
  <c r="E121" i="11"/>
  <c r="E15" i="9" s="1"/>
  <c r="C121" i="11"/>
  <c r="C15" i="9" s="1"/>
  <c r="G120" i="11"/>
  <c r="G4" i="9" s="1"/>
  <c r="E120" i="11"/>
  <c r="E4" i="9" s="1"/>
  <c r="C120" i="11"/>
  <c r="C4" i="9" s="1"/>
  <c r="E116" i="11"/>
  <c r="E103" i="20" s="1"/>
  <c r="C116" i="11"/>
  <c r="C103" i="20" s="1"/>
  <c r="E115" i="11"/>
  <c r="E92" i="20" s="1"/>
  <c r="C115" i="11"/>
  <c r="C92" i="20" s="1"/>
  <c r="E114" i="11"/>
  <c r="E81" i="20" s="1"/>
  <c r="C114" i="11"/>
  <c r="C81" i="20" s="1"/>
  <c r="E113" i="11"/>
  <c r="E70" i="20" s="1"/>
  <c r="C113" i="11"/>
  <c r="C70" i="20" s="1"/>
  <c r="E112" i="11"/>
  <c r="E59" i="20" s="1"/>
  <c r="C112" i="11"/>
  <c r="C59" i="20" s="1"/>
  <c r="E111" i="11"/>
  <c r="E48" i="20" s="1"/>
  <c r="C111" i="11"/>
  <c r="C48" i="20" s="1"/>
  <c r="E110" i="11"/>
  <c r="E37" i="20" s="1"/>
  <c r="C110" i="11"/>
  <c r="C37" i="20" s="1"/>
  <c r="E109" i="11"/>
  <c r="E26" i="20" s="1"/>
  <c r="C109" i="11"/>
  <c r="C26" i="20" s="1"/>
  <c r="E108" i="11"/>
  <c r="E15" i="20" s="1"/>
  <c r="C108" i="11"/>
  <c r="C15" i="20" s="1"/>
  <c r="E107" i="11"/>
  <c r="E4" i="20" s="1"/>
  <c r="C107" i="11"/>
  <c r="C4" i="20" s="1"/>
  <c r="E103" i="11"/>
  <c r="E103" i="8" s="1"/>
  <c r="C103" i="11"/>
  <c r="C103" i="8" s="1"/>
  <c r="E102" i="11"/>
  <c r="E92" i="8" s="1"/>
  <c r="C102" i="11"/>
  <c r="C92" i="8" s="1"/>
  <c r="E101" i="11"/>
  <c r="E81" i="8" s="1"/>
  <c r="C101" i="11"/>
  <c r="C81" i="8" s="1"/>
  <c r="E100" i="11"/>
  <c r="E70" i="8" s="1"/>
  <c r="C100" i="11"/>
  <c r="C70" i="8" s="1"/>
  <c r="E99" i="11"/>
  <c r="E59" i="8" s="1"/>
  <c r="C99" i="11"/>
  <c r="C59" i="8" s="1"/>
  <c r="E98" i="11"/>
  <c r="E48" i="8" s="1"/>
  <c r="C98" i="11"/>
  <c r="C48" i="8" s="1"/>
  <c r="E97" i="11"/>
  <c r="E37" i="8" s="1"/>
  <c r="C97" i="11"/>
  <c r="C37" i="8" s="1"/>
  <c r="E96" i="11"/>
  <c r="E26" i="8" s="1"/>
  <c r="C96" i="11"/>
  <c r="C26" i="8" s="1"/>
  <c r="E95" i="11"/>
  <c r="E15" i="8" s="1"/>
  <c r="C95" i="11"/>
  <c r="C15" i="8" s="1"/>
  <c r="E94" i="11"/>
  <c r="E4" i="8" s="1"/>
  <c r="C94" i="11"/>
  <c r="C4" i="8" s="1"/>
  <c r="E90" i="11"/>
  <c r="E103" i="7" s="1"/>
  <c r="C90" i="11"/>
  <c r="C103" i="7" s="1"/>
  <c r="E89" i="11"/>
  <c r="E92" i="7" s="1"/>
  <c r="C89" i="11"/>
  <c r="C92" i="7" s="1"/>
  <c r="E88" i="11"/>
  <c r="E81" i="7" s="1"/>
  <c r="C88" i="11"/>
  <c r="C81" i="7" s="1"/>
  <c r="E87" i="11"/>
  <c r="E70" i="7" s="1"/>
  <c r="C87" i="11"/>
  <c r="C70" i="7" s="1"/>
  <c r="E86" i="11"/>
  <c r="E59" i="7" s="1"/>
  <c r="C86" i="11"/>
  <c r="C59" i="7" s="1"/>
  <c r="E85" i="11"/>
  <c r="E48" i="7" s="1"/>
  <c r="C85" i="11"/>
  <c r="C48" i="7" s="1"/>
  <c r="E84" i="11"/>
  <c r="E37" i="7" s="1"/>
  <c r="C84" i="11"/>
  <c r="C37" i="7" s="1"/>
  <c r="E83" i="11"/>
  <c r="E26" i="7" s="1"/>
  <c r="C83" i="11"/>
  <c r="C26" i="7" s="1"/>
  <c r="E82" i="11"/>
  <c r="E15" i="7" s="1"/>
  <c r="C82" i="11"/>
  <c r="C15" i="7" s="1"/>
  <c r="E81" i="11"/>
  <c r="E4" i="7" s="1"/>
  <c r="C81" i="11"/>
  <c r="C4" i="7" s="1"/>
  <c r="G77" i="11"/>
  <c r="E77" i="11"/>
  <c r="C77" i="11"/>
  <c r="G76" i="11"/>
  <c r="E76" i="11"/>
  <c r="C76" i="11"/>
  <c r="G75" i="11"/>
  <c r="E75" i="11"/>
  <c r="C75" i="11"/>
  <c r="G74" i="11"/>
  <c r="E74" i="11"/>
  <c r="C74" i="11"/>
  <c r="G73" i="11"/>
  <c r="E73" i="11"/>
  <c r="C73" i="11"/>
  <c r="G72" i="11"/>
  <c r="E72" i="11"/>
  <c r="C72" i="11"/>
  <c r="G71" i="11"/>
  <c r="E71" i="11"/>
  <c r="C71" i="11"/>
  <c r="G70" i="11"/>
  <c r="E70" i="11"/>
  <c r="C70" i="11"/>
  <c r="G69" i="11"/>
  <c r="E69" i="11"/>
  <c r="C69" i="11"/>
  <c r="G68" i="11"/>
  <c r="E68" i="11"/>
  <c r="C68" i="11"/>
  <c r="E64" i="11"/>
  <c r="C64" i="11"/>
  <c r="E63" i="11"/>
  <c r="C63" i="11"/>
  <c r="E62" i="11"/>
  <c r="C62" i="11"/>
  <c r="E61" i="11"/>
  <c r="C61" i="11"/>
  <c r="E60" i="11"/>
  <c r="C60" i="11"/>
  <c r="E59" i="11"/>
  <c r="C59" i="11"/>
  <c r="E58" i="11"/>
  <c r="C58" i="11"/>
  <c r="E57" i="11"/>
  <c r="C57" i="11"/>
  <c r="E56" i="11"/>
  <c r="C56" i="11"/>
  <c r="E55" i="11"/>
  <c r="C55" i="11"/>
  <c r="E51" i="11"/>
  <c r="E103" i="4" s="1"/>
  <c r="C51" i="11"/>
  <c r="C103" i="4" s="1"/>
  <c r="E50" i="11"/>
  <c r="E92" i="4" s="1"/>
  <c r="C50" i="11"/>
  <c r="C92" i="4" s="1"/>
  <c r="E49" i="11"/>
  <c r="E81" i="4" s="1"/>
  <c r="C49" i="11"/>
  <c r="C81" i="4" s="1"/>
  <c r="E48" i="11"/>
  <c r="E70" i="4" s="1"/>
  <c r="C48" i="11"/>
  <c r="C70" i="4" s="1"/>
  <c r="E47" i="11"/>
  <c r="E59" i="4" s="1"/>
  <c r="C47" i="11"/>
  <c r="C59" i="4" s="1"/>
  <c r="E46" i="11"/>
  <c r="E48" i="4" s="1"/>
  <c r="C46" i="11"/>
  <c r="C48" i="4" s="1"/>
  <c r="E45" i="11"/>
  <c r="E37" i="4" s="1"/>
  <c r="C45" i="11"/>
  <c r="C37" i="4" s="1"/>
  <c r="E44" i="11"/>
  <c r="E26" i="4" s="1"/>
  <c r="C44" i="11"/>
  <c r="C26" i="4" s="1"/>
  <c r="E43" i="11"/>
  <c r="E15" i="4" s="1"/>
  <c r="C43" i="11"/>
  <c r="C15" i="4" s="1"/>
  <c r="E42" i="11"/>
  <c r="E4" i="4" s="1"/>
  <c r="C42" i="11"/>
  <c r="C4" i="4" s="1"/>
  <c r="E38" i="11"/>
  <c r="E103" i="3" s="1"/>
  <c r="C38" i="11"/>
  <c r="C103" i="3" s="1"/>
  <c r="E37" i="11"/>
  <c r="E92" i="3" s="1"/>
  <c r="C37" i="11"/>
  <c r="C92" i="3" s="1"/>
  <c r="E36" i="11"/>
  <c r="E81" i="3" s="1"/>
  <c r="C36" i="11"/>
  <c r="C81" i="3" s="1"/>
  <c r="E35" i="11"/>
  <c r="E70" i="3" s="1"/>
  <c r="C35" i="11"/>
  <c r="C70" i="3" s="1"/>
  <c r="E34" i="11"/>
  <c r="E59" i="3" s="1"/>
  <c r="C34" i="11"/>
  <c r="C59" i="3" s="1"/>
  <c r="E33" i="11"/>
  <c r="E48" i="3" s="1"/>
  <c r="C33" i="11"/>
  <c r="C48" i="3" s="1"/>
  <c r="E32" i="11"/>
  <c r="E37" i="3" s="1"/>
  <c r="C32" i="11"/>
  <c r="C37" i="3" s="1"/>
  <c r="E31" i="11"/>
  <c r="E26" i="3" s="1"/>
  <c r="C31" i="11"/>
  <c r="C26" i="3" s="1"/>
  <c r="E30" i="11"/>
  <c r="E15" i="3" s="1"/>
  <c r="C30" i="11"/>
  <c r="C15" i="3" s="1"/>
  <c r="E29" i="11"/>
  <c r="E4" i="3" s="1"/>
  <c r="C29" i="11"/>
  <c r="C4" i="3" s="1"/>
  <c r="E25" i="11"/>
  <c r="E103" i="2" s="1"/>
  <c r="C25" i="11"/>
  <c r="C103" i="2" s="1"/>
  <c r="E24" i="11"/>
  <c r="E92" i="2" s="1"/>
  <c r="C24" i="11"/>
  <c r="C92" i="2" s="1"/>
  <c r="E23" i="11"/>
  <c r="E81" i="2" s="1"/>
  <c r="C23" i="11"/>
  <c r="C81" i="2" s="1"/>
  <c r="E22" i="11"/>
  <c r="E70" i="2" s="1"/>
  <c r="C22" i="11"/>
  <c r="C70" i="2" s="1"/>
  <c r="E21" i="11"/>
  <c r="E59" i="2" s="1"/>
  <c r="C21" i="11"/>
  <c r="C59" i="2" s="1"/>
  <c r="E20" i="11"/>
  <c r="E48" i="2" s="1"/>
  <c r="C20" i="11"/>
  <c r="C48" i="2" s="1"/>
  <c r="E19" i="11"/>
  <c r="E37" i="2" s="1"/>
  <c r="C19" i="11"/>
  <c r="C37" i="2" s="1"/>
  <c r="E18" i="11"/>
  <c r="E26" i="2" s="1"/>
  <c r="C18" i="11"/>
  <c r="C26" i="2" s="1"/>
  <c r="E17" i="11"/>
  <c r="E15" i="2" s="1"/>
  <c r="C17" i="11"/>
  <c r="C15" i="2" s="1"/>
  <c r="E16" i="11"/>
  <c r="E4" i="2" s="1"/>
  <c r="C16" i="11"/>
  <c r="C4" i="2" s="1"/>
  <c r="G12" i="11"/>
  <c r="G103" i="1" s="1"/>
  <c r="E12" i="11"/>
  <c r="E103" i="1" s="1"/>
  <c r="C12" i="11"/>
  <c r="C103" i="1" s="1"/>
  <c r="G11" i="11"/>
  <c r="G92" i="1" s="1"/>
  <c r="E11" i="11"/>
  <c r="E92" i="1" s="1"/>
  <c r="C11" i="11"/>
  <c r="C92" i="1" s="1"/>
  <c r="G10" i="11"/>
  <c r="G81" i="1" s="1"/>
  <c r="E10" i="11"/>
  <c r="E81" i="1" s="1"/>
  <c r="C10" i="11"/>
  <c r="C81" i="1" s="1"/>
  <c r="G9" i="11"/>
  <c r="G70" i="1" s="1"/>
  <c r="E9" i="11"/>
  <c r="E70" i="1" s="1"/>
  <c r="C9" i="11"/>
  <c r="C70" i="1" s="1"/>
  <c r="G8" i="11"/>
  <c r="G59" i="1" s="1"/>
  <c r="E8" i="11"/>
  <c r="E59" i="1" s="1"/>
  <c r="C8" i="11"/>
  <c r="C59" i="1" s="1"/>
  <c r="G7" i="11"/>
  <c r="G48" i="1" s="1"/>
  <c r="E7" i="11"/>
  <c r="E48" i="1" s="1"/>
  <c r="C7" i="11"/>
  <c r="C48" i="1" s="1"/>
  <c r="G6" i="11"/>
  <c r="G37" i="1" s="1"/>
  <c r="E6" i="11"/>
  <c r="E37" i="1" s="1"/>
  <c r="C6" i="11"/>
  <c r="C37" i="1" s="1"/>
  <c r="G5" i="11"/>
  <c r="G26" i="1" s="1"/>
  <c r="E5" i="11"/>
  <c r="E26" i="1" s="1"/>
  <c r="C5" i="11"/>
  <c r="C26" i="1" s="1"/>
  <c r="G4" i="11"/>
  <c r="G15" i="1" s="1"/>
  <c r="E4" i="11"/>
  <c r="E15" i="1" s="1"/>
  <c r="C4" i="11"/>
  <c r="C15" i="1" s="1"/>
  <c r="G3" i="11"/>
  <c r="G4" i="1" s="1"/>
  <c r="E3" i="11"/>
  <c r="E4" i="1" s="1"/>
  <c r="C3" i="11"/>
  <c r="C4" i="1" s="1"/>
  <c r="G111" i="6"/>
  <c r="F111" i="6"/>
  <c r="E111" i="6"/>
  <c r="D111" i="6"/>
  <c r="C111" i="6"/>
  <c r="B111" i="6"/>
  <c r="F110" i="6"/>
  <c r="E110" i="6"/>
  <c r="D110" i="6"/>
  <c r="C110" i="6"/>
  <c r="B110" i="6"/>
  <c r="F109" i="6"/>
  <c r="D109" i="6"/>
  <c r="C109" i="6"/>
  <c r="B109" i="6"/>
  <c r="G108" i="6"/>
  <c r="F108" i="6"/>
  <c r="D108" i="6"/>
  <c r="B108" i="6"/>
  <c r="F107" i="6"/>
  <c r="E107" i="6"/>
  <c r="D107" i="6"/>
  <c r="C107" i="6"/>
  <c r="B107" i="6"/>
  <c r="F106" i="6"/>
  <c r="D106" i="6"/>
  <c r="B106" i="6"/>
  <c r="F105" i="6"/>
  <c r="D105" i="6"/>
  <c r="B105" i="6"/>
  <c r="F104" i="6"/>
  <c r="D104" i="6"/>
  <c r="B104" i="6"/>
  <c r="F103" i="6"/>
  <c r="D103" i="6"/>
  <c r="B103" i="6"/>
  <c r="G102" i="6"/>
  <c r="F102" i="6"/>
  <c r="E102" i="6"/>
  <c r="D102" i="6"/>
  <c r="C102" i="6"/>
  <c r="B102" i="6"/>
  <c r="F100" i="6"/>
  <c r="E100" i="6"/>
  <c r="D100" i="6"/>
  <c r="C100" i="6"/>
  <c r="B100" i="6"/>
  <c r="F99" i="6"/>
  <c r="D99" i="6"/>
  <c r="B99" i="6"/>
  <c r="G98" i="6"/>
  <c r="F98" i="6"/>
  <c r="D98" i="6"/>
  <c r="C98" i="6"/>
  <c r="B98" i="6"/>
  <c r="F97" i="6"/>
  <c r="D97" i="6"/>
  <c r="B97" i="6"/>
  <c r="F96" i="6"/>
  <c r="D96" i="6"/>
  <c r="B96" i="6"/>
  <c r="G95" i="6"/>
  <c r="F95" i="6"/>
  <c r="D95" i="6"/>
  <c r="B95" i="6"/>
  <c r="F94" i="6"/>
  <c r="D94" i="6"/>
  <c r="B94" i="6"/>
  <c r="F93" i="6"/>
  <c r="D93" i="6"/>
  <c r="B93" i="6"/>
  <c r="F92" i="6"/>
  <c r="D92" i="6"/>
  <c r="B92" i="6"/>
  <c r="G91" i="6"/>
  <c r="F91" i="6"/>
  <c r="E91" i="6"/>
  <c r="D91" i="6"/>
  <c r="C91" i="6"/>
  <c r="B91" i="6"/>
  <c r="G89" i="6"/>
  <c r="F89" i="6"/>
  <c r="E89" i="6"/>
  <c r="D89" i="6"/>
  <c r="B89" i="6"/>
  <c r="G88" i="6"/>
  <c r="F88" i="6"/>
  <c r="E88" i="6"/>
  <c r="D88" i="6"/>
  <c r="C88" i="6"/>
  <c r="B88" i="6"/>
  <c r="F87" i="6"/>
  <c r="D87" i="6"/>
  <c r="C87" i="6"/>
  <c r="B87" i="6"/>
  <c r="G86" i="6"/>
  <c r="F86" i="6"/>
  <c r="D86" i="6"/>
  <c r="B86" i="6"/>
  <c r="G85" i="6"/>
  <c r="F85" i="6"/>
  <c r="E85" i="6"/>
  <c r="D85" i="6"/>
  <c r="C85" i="6"/>
  <c r="B85" i="6"/>
  <c r="F84" i="6"/>
  <c r="D84" i="6"/>
  <c r="C84" i="6"/>
  <c r="B84" i="6"/>
  <c r="G83" i="6"/>
  <c r="F83" i="6"/>
  <c r="D83" i="6"/>
  <c r="B83" i="6"/>
  <c r="F82" i="6"/>
  <c r="D82" i="6"/>
  <c r="B82" i="6"/>
  <c r="F81" i="6"/>
  <c r="D81" i="6"/>
  <c r="B81" i="6"/>
  <c r="G80" i="6"/>
  <c r="F80" i="6"/>
  <c r="E80" i="6"/>
  <c r="D80" i="6"/>
  <c r="C80" i="6"/>
  <c r="B80" i="6"/>
  <c r="G78" i="6"/>
  <c r="F78" i="6"/>
  <c r="E78" i="6"/>
  <c r="D78" i="6"/>
  <c r="C78" i="6"/>
  <c r="B78" i="6"/>
  <c r="G77" i="6"/>
  <c r="F77" i="6"/>
  <c r="D77" i="6"/>
  <c r="C77" i="6"/>
  <c r="B77" i="6"/>
  <c r="F76" i="6"/>
  <c r="E76" i="6"/>
  <c r="D76" i="6"/>
  <c r="B76" i="6"/>
  <c r="F75" i="6"/>
  <c r="D75" i="6"/>
  <c r="C75" i="6"/>
  <c r="B75" i="6"/>
  <c r="F74" i="6"/>
  <c r="D74" i="6"/>
  <c r="B74" i="6"/>
  <c r="F73" i="6"/>
  <c r="D73" i="6"/>
  <c r="B73" i="6"/>
  <c r="F72" i="6"/>
  <c r="D72" i="6"/>
  <c r="B72" i="6"/>
  <c r="F71" i="6"/>
  <c r="D71" i="6"/>
  <c r="B71" i="6"/>
  <c r="F70" i="6"/>
  <c r="D70" i="6"/>
  <c r="B70" i="6"/>
  <c r="G69" i="6"/>
  <c r="F69" i="6"/>
  <c r="E69" i="6"/>
  <c r="D69" i="6"/>
  <c r="C69" i="6"/>
  <c r="B69" i="6"/>
  <c r="G67" i="6"/>
  <c r="F67" i="6"/>
  <c r="D67" i="6"/>
  <c r="B67" i="6"/>
  <c r="G66" i="6"/>
  <c r="F66" i="6"/>
  <c r="D66" i="6"/>
  <c r="C66" i="6"/>
  <c r="B66" i="6"/>
  <c r="F65" i="6"/>
  <c r="E65" i="6"/>
  <c r="D65" i="6"/>
  <c r="B65" i="6"/>
  <c r="G64" i="6"/>
  <c r="F64" i="6"/>
  <c r="D64" i="6"/>
  <c r="B64" i="6"/>
  <c r="G63" i="6"/>
  <c r="F63" i="6"/>
  <c r="E63" i="6"/>
  <c r="D63" i="6"/>
  <c r="C63" i="6"/>
  <c r="B63" i="6"/>
  <c r="F62" i="6"/>
  <c r="D62" i="6"/>
  <c r="B62" i="6"/>
  <c r="F61" i="6"/>
  <c r="D61" i="6"/>
  <c r="B61" i="6"/>
  <c r="F60" i="6"/>
  <c r="D60" i="6"/>
  <c r="B60" i="6"/>
  <c r="F59" i="6"/>
  <c r="D59" i="6"/>
  <c r="B59" i="6"/>
  <c r="G58" i="6"/>
  <c r="F58" i="6"/>
  <c r="E58" i="6"/>
  <c r="D58" i="6"/>
  <c r="C58" i="6"/>
  <c r="B58" i="6"/>
  <c r="F56" i="6"/>
  <c r="E56" i="6"/>
  <c r="D56" i="6"/>
  <c r="C56" i="6"/>
  <c r="B56" i="6"/>
  <c r="F55" i="6"/>
  <c r="D55" i="6"/>
  <c r="C55" i="6"/>
  <c r="B55" i="6"/>
  <c r="G54" i="6"/>
  <c r="F54" i="6"/>
  <c r="D54" i="6"/>
  <c r="C54" i="6"/>
  <c r="B54" i="6"/>
  <c r="F53" i="6"/>
  <c r="D53" i="6"/>
  <c r="B53" i="6"/>
  <c r="F52" i="6"/>
  <c r="D52" i="6"/>
  <c r="B52" i="6"/>
  <c r="G51" i="6"/>
  <c r="F51" i="6"/>
  <c r="D51" i="6"/>
  <c r="B51" i="6"/>
  <c r="F50" i="6"/>
  <c r="D50" i="6"/>
  <c r="B50" i="6"/>
  <c r="F49" i="6"/>
  <c r="D49" i="6"/>
  <c r="B49" i="6"/>
  <c r="F48" i="6"/>
  <c r="D48" i="6"/>
  <c r="B48" i="6"/>
  <c r="G47" i="6"/>
  <c r="F47" i="6"/>
  <c r="E47" i="6"/>
  <c r="D47" i="6"/>
  <c r="C47" i="6"/>
  <c r="B47" i="6"/>
  <c r="G45" i="6"/>
  <c r="F45" i="6"/>
  <c r="E45" i="6"/>
  <c r="D45" i="6"/>
  <c r="B45" i="6"/>
  <c r="F44" i="6"/>
  <c r="E44" i="6"/>
  <c r="D44" i="6"/>
  <c r="C44" i="6"/>
  <c r="B44" i="6"/>
  <c r="F43" i="6"/>
  <c r="D43" i="6"/>
  <c r="C43" i="6"/>
  <c r="B43" i="6"/>
  <c r="G42" i="6"/>
  <c r="F42" i="6"/>
  <c r="D42" i="6"/>
  <c r="B42" i="6"/>
  <c r="G41" i="6"/>
  <c r="F41" i="6"/>
  <c r="E41" i="6"/>
  <c r="D41" i="6"/>
  <c r="C41" i="6"/>
  <c r="B41" i="6"/>
  <c r="F40" i="6"/>
  <c r="D40" i="6"/>
  <c r="B40" i="6"/>
  <c r="F39" i="6"/>
  <c r="D39" i="6"/>
  <c r="B39" i="6"/>
  <c r="F38" i="6"/>
  <c r="D38" i="6"/>
  <c r="B38" i="6"/>
  <c r="F37" i="6"/>
  <c r="D37" i="6"/>
  <c r="B37" i="6"/>
  <c r="G36" i="6"/>
  <c r="F36" i="6"/>
  <c r="E36" i="6"/>
  <c r="D36" i="6"/>
  <c r="C36" i="6"/>
  <c r="B36" i="6"/>
  <c r="F34" i="6"/>
  <c r="E34" i="6"/>
  <c r="D34" i="6"/>
  <c r="B34" i="6"/>
  <c r="G33" i="6"/>
  <c r="F33" i="6"/>
  <c r="D33" i="6"/>
  <c r="B33" i="6"/>
  <c r="G32" i="6"/>
  <c r="F32" i="6"/>
  <c r="E32" i="6"/>
  <c r="D32" i="6"/>
  <c r="B32" i="6"/>
  <c r="F31" i="6"/>
  <c r="D31" i="6"/>
  <c r="B31" i="6"/>
  <c r="F30" i="6"/>
  <c r="D30" i="6"/>
  <c r="B30" i="6"/>
  <c r="F29" i="6"/>
  <c r="D29" i="6"/>
  <c r="B29" i="6"/>
  <c r="F28" i="6"/>
  <c r="D28" i="6"/>
  <c r="B28" i="6"/>
  <c r="F27" i="6"/>
  <c r="D27" i="6"/>
  <c r="B27" i="6"/>
  <c r="F26" i="6"/>
  <c r="D26" i="6"/>
  <c r="B26" i="6"/>
  <c r="G25" i="6"/>
  <c r="F25" i="6"/>
  <c r="E25" i="6"/>
  <c r="D25" i="6"/>
  <c r="C25" i="6"/>
  <c r="B25" i="6"/>
  <c r="G23" i="6"/>
  <c r="F23" i="6"/>
  <c r="D23" i="6"/>
  <c r="B23" i="6"/>
  <c r="G22" i="6"/>
  <c r="F22" i="6"/>
  <c r="E22" i="6"/>
  <c r="D22" i="6"/>
  <c r="C22" i="6"/>
  <c r="B22" i="6"/>
  <c r="F21" i="6"/>
  <c r="D21" i="6"/>
  <c r="C21" i="6"/>
  <c r="B21" i="6"/>
  <c r="G20" i="6"/>
  <c r="F20" i="6"/>
  <c r="D20" i="6"/>
  <c r="B20" i="6"/>
  <c r="G19" i="6"/>
  <c r="F19" i="6"/>
  <c r="E19" i="6"/>
  <c r="D19" i="6"/>
  <c r="C19" i="6"/>
  <c r="B19" i="6"/>
  <c r="F18" i="6"/>
  <c r="D18" i="6"/>
  <c r="C18" i="6"/>
  <c r="B18" i="6"/>
  <c r="G17" i="6"/>
  <c r="F17" i="6"/>
  <c r="D17" i="6"/>
  <c r="B17" i="6"/>
  <c r="F16" i="6"/>
  <c r="D16" i="6"/>
  <c r="B16" i="6"/>
  <c r="F15" i="6"/>
  <c r="D15" i="6"/>
  <c r="B15" i="6"/>
  <c r="G14" i="6"/>
  <c r="F14" i="6"/>
  <c r="E14" i="6"/>
  <c r="D14" i="6"/>
  <c r="C14" i="6"/>
  <c r="B14" i="6"/>
  <c r="G12" i="6"/>
  <c r="F12" i="6"/>
  <c r="D12" i="6"/>
  <c r="C12" i="6"/>
  <c r="B12" i="6"/>
  <c r="G11" i="6"/>
  <c r="F11" i="6"/>
  <c r="D11" i="6"/>
  <c r="B11" i="6"/>
  <c r="F10" i="6"/>
  <c r="E10" i="6"/>
  <c r="D10" i="6"/>
  <c r="B10" i="6"/>
  <c r="F9" i="6"/>
  <c r="D9" i="6"/>
  <c r="B9" i="6"/>
  <c r="G8" i="6"/>
  <c r="F8" i="6"/>
  <c r="D8" i="6"/>
  <c r="B8" i="6"/>
  <c r="F7" i="6"/>
  <c r="E7" i="6"/>
  <c r="D7" i="6"/>
  <c r="C7" i="6"/>
  <c r="B7" i="6"/>
  <c r="F6" i="6"/>
  <c r="D6" i="6"/>
  <c r="B6" i="6"/>
  <c r="F5" i="6"/>
  <c r="D5" i="6"/>
  <c r="B5" i="6"/>
  <c r="F4" i="6"/>
  <c r="D4" i="6"/>
  <c r="B4" i="6"/>
  <c r="G3" i="6"/>
  <c r="F3" i="6"/>
  <c r="E3" i="6"/>
  <c r="D3" i="6"/>
  <c r="C3" i="6"/>
  <c r="B3" i="6"/>
  <c r="E111" i="5"/>
  <c r="D111" i="5"/>
  <c r="C111" i="5"/>
  <c r="B111" i="5"/>
  <c r="D110" i="5"/>
  <c r="C110" i="5"/>
  <c r="B110" i="5"/>
  <c r="D109" i="5"/>
  <c r="B109" i="5"/>
  <c r="E108" i="5"/>
  <c r="D108" i="5"/>
  <c r="B108" i="5"/>
  <c r="D107" i="5"/>
  <c r="C107" i="5"/>
  <c r="B107" i="5"/>
  <c r="D106" i="5"/>
  <c r="B106" i="5"/>
  <c r="D105" i="5"/>
  <c r="B105" i="5"/>
  <c r="D104" i="5"/>
  <c r="B104" i="5"/>
  <c r="D103" i="5"/>
  <c r="B103" i="5"/>
  <c r="E102" i="5"/>
  <c r="D102" i="5"/>
  <c r="C102" i="5"/>
  <c r="B102" i="5"/>
  <c r="D100" i="5"/>
  <c r="C100" i="5"/>
  <c r="B100" i="5"/>
  <c r="E99" i="5"/>
  <c r="D99" i="5"/>
  <c r="C99" i="5"/>
  <c r="B99" i="5"/>
  <c r="D98" i="5"/>
  <c r="C98" i="5"/>
  <c r="B98" i="5"/>
  <c r="D97" i="5"/>
  <c r="C97" i="5"/>
  <c r="B97" i="5"/>
  <c r="D96" i="5"/>
  <c r="B96" i="5"/>
  <c r="E95" i="5"/>
  <c r="D95" i="5"/>
  <c r="B95" i="5"/>
  <c r="D94" i="5"/>
  <c r="B94" i="5"/>
  <c r="D93" i="5"/>
  <c r="B93" i="5"/>
  <c r="D92" i="5"/>
  <c r="B92" i="5"/>
  <c r="E91" i="5"/>
  <c r="D91" i="5"/>
  <c r="C91" i="5"/>
  <c r="B91" i="5"/>
  <c r="E89" i="5"/>
  <c r="D89" i="5"/>
  <c r="C89" i="5"/>
  <c r="B89" i="5"/>
  <c r="D88" i="5"/>
  <c r="C88" i="5"/>
  <c r="B88" i="5"/>
  <c r="E87" i="5"/>
  <c r="D87" i="5"/>
  <c r="C87" i="5"/>
  <c r="B87" i="5"/>
  <c r="E86" i="5"/>
  <c r="D86" i="5"/>
  <c r="C86" i="5"/>
  <c r="B86" i="5"/>
  <c r="D85" i="5"/>
  <c r="B85" i="5"/>
  <c r="D84" i="5"/>
  <c r="B84" i="5"/>
  <c r="D83" i="5"/>
  <c r="B83" i="5"/>
  <c r="D82" i="5"/>
  <c r="B82" i="5"/>
  <c r="D81" i="5"/>
  <c r="B81" i="5"/>
  <c r="E80" i="5"/>
  <c r="D80" i="5"/>
  <c r="C80" i="5"/>
  <c r="B80" i="5"/>
  <c r="E78" i="5"/>
  <c r="D78" i="5"/>
  <c r="B78" i="5"/>
  <c r="E77" i="5"/>
  <c r="D77" i="5"/>
  <c r="B77" i="5"/>
  <c r="D76" i="5"/>
  <c r="C76" i="5"/>
  <c r="B76" i="5"/>
  <c r="D75" i="5"/>
  <c r="B75" i="5"/>
  <c r="E74" i="5"/>
  <c r="D74" i="5"/>
  <c r="B74" i="5"/>
  <c r="D73" i="5"/>
  <c r="B73" i="5"/>
  <c r="E72" i="5"/>
  <c r="D72" i="5"/>
  <c r="B72" i="5"/>
  <c r="D71" i="5"/>
  <c r="B71" i="5"/>
  <c r="D70" i="5"/>
  <c r="B70" i="5"/>
  <c r="E69" i="5"/>
  <c r="D69" i="5"/>
  <c r="C69" i="5"/>
  <c r="B69" i="5"/>
  <c r="D67" i="5"/>
  <c r="C67" i="5"/>
  <c r="B67" i="5"/>
  <c r="E66" i="5"/>
  <c r="D66" i="5"/>
  <c r="B66" i="5"/>
  <c r="E65" i="5"/>
  <c r="D65" i="5"/>
  <c r="C65" i="5"/>
  <c r="B65" i="5"/>
  <c r="D64" i="5"/>
  <c r="B64" i="5"/>
  <c r="E63" i="5"/>
  <c r="D63" i="5"/>
  <c r="B63" i="5"/>
  <c r="D62" i="5"/>
  <c r="B62" i="5"/>
  <c r="D61" i="5"/>
  <c r="B61" i="5"/>
  <c r="D60" i="5"/>
  <c r="B60" i="5"/>
  <c r="D59" i="5"/>
  <c r="B59" i="5"/>
  <c r="E58" i="5"/>
  <c r="D58" i="5"/>
  <c r="C58" i="5"/>
  <c r="B58" i="5"/>
  <c r="E56" i="5"/>
  <c r="D56" i="5"/>
  <c r="C56" i="5"/>
  <c r="B56" i="5"/>
  <c r="D55" i="5"/>
  <c r="B55" i="5"/>
  <c r="E54" i="5"/>
  <c r="D54" i="5"/>
  <c r="B54" i="5"/>
  <c r="D53" i="5"/>
  <c r="B53" i="5"/>
  <c r="D52" i="5"/>
  <c r="B52" i="5"/>
  <c r="E51" i="5"/>
  <c r="D51" i="5"/>
  <c r="C51" i="5"/>
  <c r="B51" i="5"/>
  <c r="D50" i="5"/>
  <c r="C50" i="5"/>
  <c r="B50" i="5"/>
  <c r="D49" i="5"/>
  <c r="B49" i="5"/>
  <c r="D48" i="5"/>
  <c r="B48" i="5"/>
  <c r="E47" i="5"/>
  <c r="D47" i="5"/>
  <c r="C47" i="5"/>
  <c r="B47" i="5"/>
  <c r="E45" i="5"/>
  <c r="D45" i="5"/>
  <c r="C45" i="5"/>
  <c r="B45" i="5"/>
  <c r="D44" i="5"/>
  <c r="C44" i="5"/>
  <c r="B44" i="5"/>
  <c r="D43" i="5"/>
  <c r="B43" i="5"/>
  <c r="E42" i="5"/>
  <c r="D42" i="5"/>
  <c r="C42" i="5"/>
  <c r="B42" i="5"/>
  <c r="D41" i="5"/>
  <c r="C41" i="5"/>
  <c r="B41" i="5"/>
  <c r="D40" i="5"/>
  <c r="B40" i="5"/>
  <c r="E39" i="5"/>
  <c r="D39" i="5"/>
  <c r="B39" i="5"/>
  <c r="D38" i="5"/>
  <c r="B38" i="5"/>
  <c r="D37" i="5"/>
  <c r="B37" i="5"/>
  <c r="E36" i="5"/>
  <c r="D36" i="5"/>
  <c r="C36" i="5"/>
  <c r="B36" i="5"/>
  <c r="D34" i="5"/>
  <c r="C34" i="5"/>
  <c r="B34" i="5"/>
  <c r="D33" i="5"/>
  <c r="C33" i="5"/>
  <c r="B33" i="5"/>
  <c r="D32" i="5"/>
  <c r="B32" i="5"/>
  <c r="D31" i="5"/>
  <c r="B31" i="5"/>
  <c r="D30" i="5"/>
  <c r="C30" i="5"/>
  <c r="B30" i="5"/>
  <c r="E29" i="5"/>
  <c r="D29" i="5"/>
  <c r="B29" i="5"/>
  <c r="D28" i="5"/>
  <c r="B28" i="5"/>
  <c r="D27" i="5"/>
  <c r="B27" i="5"/>
  <c r="D26" i="5"/>
  <c r="B26" i="5"/>
  <c r="E25" i="5"/>
  <c r="D25" i="5"/>
  <c r="C25" i="5"/>
  <c r="B25" i="5"/>
  <c r="E23" i="5"/>
  <c r="D23" i="5"/>
  <c r="C23" i="5"/>
  <c r="B23" i="5"/>
  <c r="D22" i="5"/>
  <c r="C22" i="5"/>
  <c r="B22" i="5"/>
  <c r="D21" i="5"/>
  <c r="C21" i="5"/>
  <c r="B21" i="5"/>
  <c r="E20" i="5"/>
  <c r="D20" i="5"/>
  <c r="B20" i="5"/>
  <c r="D19" i="5"/>
  <c r="B19" i="5"/>
  <c r="D18" i="5"/>
  <c r="B18" i="5"/>
  <c r="D17" i="5"/>
  <c r="B17" i="5"/>
  <c r="D16" i="5"/>
  <c r="B16" i="5"/>
  <c r="D15" i="5"/>
  <c r="B15" i="5"/>
  <c r="E14" i="5"/>
  <c r="D14" i="5"/>
  <c r="C14" i="5"/>
  <c r="B14" i="5"/>
  <c r="E12" i="5"/>
  <c r="D12" i="5"/>
  <c r="C12" i="5"/>
  <c r="B12" i="5"/>
  <c r="E11" i="5"/>
  <c r="D11" i="5"/>
  <c r="B11" i="5"/>
  <c r="E10" i="5"/>
  <c r="D10" i="5"/>
  <c r="C10" i="5"/>
  <c r="B10" i="5"/>
  <c r="D9" i="5"/>
  <c r="B9" i="5"/>
  <c r="E8" i="5"/>
  <c r="D8" i="5"/>
  <c r="B8" i="5"/>
  <c r="D7" i="5"/>
  <c r="C7" i="5"/>
  <c r="B7" i="5"/>
  <c r="E6" i="5"/>
  <c r="D6" i="5"/>
  <c r="B6" i="5"/>
  <c r="D5" i="5"/>
  <c r="B5" i="5"/>
  <c r="D4" i="5"/>
  <c r="B4" i="5"/>
  <c r="E3" i="5"/>
  <c r="D3" i="5"/>
  <c r="C3" i="5"/>
  <c r="B3" i="5"/>
  <c r="D111" i="4"/>
  <c r="C111" i="4"/>
  <c r="B111" i="4"/>
  <c r="E110" i="4"/>
  <c r="D110" i="4"/>
  <c r="B110" i="4"/>
  <c r="E109" i="4"/>
  <c r="D109" i="4"/>
  <c r="C109" i="4"/>
  <c r="B109" i="4"/>
  <c r="D108" i="4"/>
  <c r="C108" i="4"/>
  <c r="B108" i="4"/>
  <c r="E107" i="4"/>
  <c r="D107" i="4"/>
  <c r="B107" i="4"/>
  <c r="D106" i="4"/>
  <c r="C106" i="4"/>
  <c r="B106" i="4"/>
  <c r="D105" i="4"/>
  <c r="B105" i="4"/>
  <c r="D104" i="4"/>
  <c r="B104" i="4"/>
  <c r="D103" i="4"/>
  <c r="B103" i="4"/>
  <c r="E102" i="4"/>
  <c r="D102" i="4"/>
  <c r="C102" i="4"/>
  <c r="B102" i="4"/>
  <c r="E100" i="4"/>
  <c r="D100" i="4"/>
  <c r="C100" i="4"/>
  <c r="B100" i="4"/>
  <c r="D99" i="4"/>
  <c r="B99" i="4"/>
  <c r="E98" i="4"/>
  <c r="D98" i="4"/>
  <c r="B98" i="4"/>
  <c r="D97" i="4"/>
  <c r="B97" i="4"/>
  <c r="D96" i="4"/>
  <c r="B96" i="4"/>
  <c r="D95" i="4"/>
  <c r="C95" i="4"/>
  <c r="B95" i="4"/>
  <c r="D94" i="4"/>
  <c r="B94" i="4"/>
  <c r="D93" i="4"/>
  <c r="B93" i="4"/>
  <c r="D92" i="4"/>
  <c r="B92" i="4"/>
  <c r="E91" i="4"/>
  <c r="D91" i="4"/>
  <c r="C91" i="4"/>
  <c r="B91" i="4"/>
  <c r="E89" i="4"/>
  <c r="D89" i="4"/>
  <c r="C89" i="4"/>
  <c r="B89" i="4"/>
  <c r="D88" i="4"/>
  <c r="C88" i="4"/>
  <c r="B88" i="4"/>
  <c r="D87" i="4"/>
  <c r="B87" i="4"/>
  <c r="E86" i="4"/>
  <c r="D86" i="4"/>
  <c r="C86" i="4"/>
  <c r="B86" i="4"/>
  <c r="D85" i="4"/>
  <c r="C85" i="4"/>
  <c r="B85" i="4"/>
  <c r="D84" i="4"/>
  <c r="B84" i="4"/>
  <c r="D83" i="4"/>
  <c r="B83" i="4"/>
  <c r="D82" i="4"/>
  <c r="B82" i="4"/>
  <c r="D81" i="4"/>
  <c r="B81" i="4"/>
  <c r="E80" i="4"/>
  <c r="D80" i="4"/>
  <c r="C80" i="4"/>
  <c r="B80" i="4"/>
  <c r="D78" i="4"/>
  <c r="C78" i="4"/>
  <c r="B78" i="4"/>
  <c r="E77" i="4"/>
  <c r="D77" i="4"/>
  <c r="C77" i="4"/>
  <c r="B77" i="4"/>
  <c r="D76" i="4"/>
  <c r="C76" i="4"/>
  <c r="B76" i="4"/>
  <c r="D75" i="4"/>
  <c r="B75" i="4"/>
  <c r="D74" i="4"/>
  <c r="C74" i="4"/>
  <c r="B74" i="4"/>
  <c r="E73" i="4"/>
  <c r="D73" i="4"/>
  <c r="B73" i="4"/>
  <c r="D72" i="4"/>
  <c r="B72" i="4"/>
  <c r="D71" i="4"/>
  <c r="B71" i="4"/>
  <c r="D70" i="4"/>
  <c r="B70" i="4"/>
  <c r="E69" i="4"/>
  <c r="D69" i="4"/>
  <c r="C69" i="4"/>
  <c r="B69" i="4"/>
  <c r="E67" i="4"/>
  <c r="D67" i="4"/>
  <c r="C67" i="4"/>
  <c r="B67" i="4"/>
  <c r="D66" i="4"/>
  <c r="C66" i="4"/>
  <c r="B66" i="4"/>
  <c r="D65" i="4"/>
  <c r="C65" i="4"/>
  <c r="B65" i="4"/>
  <c r="E64" i="4"/>
  <c r="D64" i="4"/>
  <c r="B64" i="4"/>
  <c r="D63" i="4"/>
  <c r="B63" i="4"/>
  <c r="D62" i="4"/>
  <c r="B62" i="4"/>
  <c r="D61" i="4"/>
  <c r="B61" i="4"/>
  <c r="D60" i="4"/>
  <c r="B60" i="4"/>
  <c r="D59" i="4"/>
  <c r="B59" i="4"/>
  <c r="E58" i="4"/>
  <c r="D58" i="4"/>
  <c r="C58" i="4"/>
  <c r="B58" i="4"/>
  <c r="E56" i="4"/>
  <c r="D56" i="4"/>
  <c r="B56" i="4"/>
  <c r="E55" i="4"/>
  <c r="D55" i="4"/>
  <c r="C55" i="4"/>
  <c r="B55" i="4"/>
  <c r="D54" i="4"/>
  <c r="B54" i="4"/>
  <c r="D53" i="4"/>
  <c r="B53" i="4"/>
  <c r="E52" i="4"/>
  <c r="D52" i="4"/>
  <c r="B52" i="4"/>
  <c r="D51" i="4"/>
  <c r="C51" i="4"/>
  <c r="B51" i="4"/>
  <c r="D50" i="4"/>
  <c r="B50" i="4"/>
  <c r="D49" i="4"/>
  <c r="B49" i="4"/>
  <c r="D48" i="4"/>
  <c r="B48" i="4"/>
  <c r="E47" i="4"/>
  <c r="D47" i="4"/>
  <c r="C47" i="4"/>
  <c r="B47" i="4"/>
  <c r="D45" i="4"/>
  <c r="C45" i="4"/>
  <c r="B45" i="4"/>
  <c r="E44" i="4"/>
  <c r="D44" i="4"/>
  <c r="C44" i="4"/>
  <c r="B44" i="4"/>
  <c r="E43" i="4"/>
  <c r="D43" i="4"/>
  <c r="C43" i="4"/>
  <c r="B43" i="4"/>
  <c r="D42" i="4"/>
  <c r="C42" i="4"/>
  <c r="B42" i="4"/>
  <c r="E41" i="4"/>
  <c r="D41" i="4"/>
  <c r="B41" i="4"/>
  <c r="D40" i="4"/>
  <c r="B40" i="4"/>
  <c r="D39" i="4"/>
  <c r="B39" i="4"/>
  <c r="D38" i="4"/>
  <c r="B38" i="4"/>
  <c r="D37" i="4"/>
  <c r="B37" i="4"/>
  <c r="E36" i="4"/>
  <c r="D36" i="4"/>
  <c r="C36" i="4"/>
  <c r="B36" i="4"/>
  <c r="E34" i="4"/>
  <c r="D34" i="4"/>
  <c r="C34" i="4"/>
  <c r="B34" i="4"/>
  <c r="D33" i="4"/>
  <c r="C33" i="4"/>
  <c r="B33" i="4"/>
  <c r="E32" i="4"/>
  <c r="D32" i="4"/>
  <c r="B32" i="4"/>
  <c r="D31" i="4"/>
  <c r="B31" i="4"/>
  <c r="D30" i="4"/>
  <c r="B30" i="4"/>
  <c r="E29" i="4"/>
  <c r="D29" i="4"/>
  <c r="B29" i="4"/>
  <c r="D28" i="4"/>
  <c r="B28" i="4"/>
  <c r="D27" i="4"/>
  <c r="B27" i="4"/>
  <c r="D26" i="4"/>
  <c r="B26" i="4"/>
  <c r="E25" i="4"/>
  <c r="D25" i="4"/>
  <c r="C25" i="4"/>
  <c r="B25" i="4"/>
  <c r="E23" i="4"/>
  <c r="D23" i="4"/>
  <c r="C23" i="4"/>
  <c r="B23" i="4"/>
  <c r="E22" i="4"/>
  <c r="D22" i="4"/>
  <c r="C22" i="4"/>
  <c r="B22" i="4"/>
  <c r="D21" i="4"/>
  <c r="C21" i="4"/>
  <c r="B21" i="4"/>
  <c r="E20" i="4"/>
  <c r="D20" i="4"/>
  <c r="C20" i="4"/>
  <c r="B20" i="4"/>
  <c r="E19" i="4"/>
  <c r="D19" i="4"/>
  <c r="C19" i="4"/>
  <c r="B19" i="4"/>
  <c r="D18" i="4"/>
  <c r="B18" i="4"/>
  <c r="D17" i="4"/>
  <c r="C17" i="4"/>
  <c r="B17" i="4"/>
  <c r="D16" i="4"/>
  <c r="B16" i="4"/>
  <c r="D15" i="4"/>
  <c r="B15" i="4"/>
  <c r="E14" i="4"/>
  <c r="D14" i="4"/>
  <c r="C14" i="4"/>
  <c r="B14" i="4"/>
  <c r="E12" i="4"/>
  <c r="D12" i="4"/>
  <c r="C12" i="4"/>
  <c r="B12" i="4"/>
  <c r="D11" i="4"/>
  <c r="C11" i="4"/>
  <c r="B11" i="4"/>
  <c r="D10" i="4"/>
  <c r="B10" i="4"/>
  <c r="D9" i="4"/>
  <c r="B9" i="4"/>
  <c r="D8" i="4"/>
  <c r="C8" i="4"/>
  <c r="B8" i="4"/>
  <c r="E7" i="4"/>
  <c r="D7" i="4"/>
  <c r="B7" i="4"/>
  <c r="D6" i="4"/>
  <c r="B6" i="4"/>
  <c r="D5" i="4"/>
  <c r="B5" i="4"/>
  <c r="D4" i="4"/>
  <c r="B4" i="4"/>
  <c r="E3" i="4"/>
  <c r="D3" i="4"/>
  <c r="C3" i="4"/>
  <c r="B3" i="4"/>
  <c r="E111" i="3"/>
  <c r="D111" i="3"/>
  <c r="C111" i="3"/>
  <c r="B111" i="3"/>
  <c r="D110" i="3"/>
  <c r="C110" i="3"/>
  <c r="B110" i="3"/>
  <c r="D109" i="3"/>
  <c r="C109" i="3"/>
  <c r="B109" i="3"/>
  <c r="E108" i="3"/>
  <c r="D108" i="3"/>
  <c r="B108" i="3"/>
  <c r="D107" i="3"/>
  <c r="B107" i="3"/>
  <c r="D106" i="3"/>
  <c r="B106" i="3"/>
  <c r="D105" i="3"/>
  <c r="B105" i="3"/>
  <c r="D104" i="3"/>
  <c r="B104" i="3"/>
  <c r="D103" i="3"/>
  <c r="B103" i="3"/>
  <c r="E102" i="3"/>
  <c r="D102" i="3"/>
  <c r="C102" i="3"/>
  <c r="B102" i="3"/>
  <c r="E100" i="3"/>
  <c r="D100" i="3"/>
  <c r="C100" i="3"/>
  <c r="B100" i="3"/>
  <c r="E99" i="3"/>
  <c r="D99" i="3"/>
  <c r="C99" i="3"/>
  <c r="B99" i="3"/>
  <c r="D98" i="3"/>
  <c r="B98" i="3"/>
  <c r="D97" i="3"/>
  <c r="B97" i="3"/>
  <c r="E96" i="3"/>
  <c r="D96" i="3"/>
  <c r="B96" i="3"/>
  <c r="D95" i="3"/>
  <c r="C95" i="3"/>
  <c r="B95" i="3"/>
  <c r="E94" i="3"/>
  <c r="D94" i="3"/>
  <c r="B94" i="3"/>
  <c r="E93" i="3"/>
  <c r="D93" i="3"/>
  <c r="B93" i="3"/>
  <c r="D92" i="3"/>
  <c r="B92" i="3"/>
  <c r="E91" i="3"/>
  <c r="D91" i="3"/>
  <c r="C91" i="3"/>
  <c r="B91" i="3"/>
  <c r="D89" i="3"/>
  <c r="C89" i="3"/>
  <c r="B89" i="3"/>
  <c r="E88" i="3"/>
  <c r="D88" i="3"/>
  <c r="B88" i="3"/>
  <c r="E87" i="3"/>
  <c r="D87" i="3"/>
  <c r="C87" i="3"/>
  <c r="B87" i="3"/>
  <c r="D86" i="3"/>
  <c r="C86" i="3"/>
  <c r="B86" i="3"/>
  <c r="D85" i="3"/>
  <c r="B85" i="3"/>
  <c r="D84" i="3"/>
  <c r="B84" i="3"/>
  <c r="D83" i="3"/>
  <c r="B83" i="3"/>
  <c r="D82" i="3"/>
  <c r="B82" i="3"/>
  <c r="D81" i="3"/>
  <c r="B81" i="3"/>
  <c r="E80" i="3"/>
  <c r="D80" i="3"/>
  <c r="C80" i="3"/>
  <c r="B80" i="3"/>
  <c r="E78" i="3"/>
  <c r="D78" i="3"/>
  <c r="C78" i="3"/>
  <c r="B78" i="3"/>
  <c r="D77" i="3"/>
  <c r="C77" i="3"/>
  <c r="B77" i="3"/>
  <c r="E76" i="3"/>
  <c r="D76" i="3"/>
  <c r="B76" i="3"/>
  <c r="E75" i="3"/>
  <c r="D75" i="3"/>
  <c r="B75" i="3"/>
  <c r="D74" i="3"/>
  <c r="B74" i="3"/>
  <c r="E73" i="3"/>
  <c r="D73" i="3"/>
  <c r="B73" i="3"/>
  <c r="D72" i="3"/>
  <c r="C72" i="3"/>
  <c r="B72" i="3"/>
  <c r="D71" i="3"/>
  <c r="B71" i="3"/>
  <c r="D70" i="3"/>
  <c r="B70" i="3"/>
  <c r="E69" i="3"/>
  <c r="D69" i="3"/>
  <c r="C69" i="3"/>
  <c r="B69" i="3"/>
  <c r="E67" i="3"/>
  <c r="D67" i="3"/>
  <c r="C67" i="3"/>
  <c r="B67" i="3"/>
  <c r="D66" i="3"/>
  <c r="C66" i="3"/>
  <c r="B66" i="3"/>
  <c r="D65" i="3"/>
  <c r="B65" i="3"/>
  <c r="D64" i="3"/>
  <c r="C64" i="3"/>
  <c r="B64" i="3"/>
  <c r="D63" i="3"/>
  <c r="C63" i="3"/>
  <c r="B63" i="3"/>
  <c r="D62" i="3"/>
  <c r="B62" i="3"/>
  <c r="D61" i="3"/>
  <c r="B61" i="3"/>
  <c r="D60" i="3"/>
  <c r="B60" i="3"/>
  <c r="D59" i="3"/>
  <c r="B59" i="3"/>
  <c r="E58" i="3"/>
  <c r="D58" i="3"/>
  <c r="C58" i="3"/>
  <c r="B58" i="3"/>
  <c r="D56" i="3"/>
  <c r="C56" i="3"/>
  <c r="B56" i="3"/>
  <c r="E55" i="3"/>
  <c r="D55" i="3"/>
  <c r="C55" i="3"/>
  <c r="B55" i="3"/>
  <c r="E54" i="3"/>
  <c r="D54" i="3"/>
  <c r="C54" i="3"/>
  <c r="B54" i="3"/>
  <c r="D53" i="3"/>
  <c r="B53" i="3"/>
  <c r="D52" i="3"/>
  <c r="B52" i="3"/>
  <c r="E51" i="3"/>
  <c r="D51" i="3"/>
  <c r="B51" i="3"/>
  <c r="D50" i="3"/>
  <c r="B50" i="3"/>
  <c r="D49" i="3"/>
  <c r="B49" i="3"/>
  <c r="D48" i="3"/>
  <c r="B48" i="3"/>
  <c r="E47" i="3"/>
  <c r="D47" i="3"/>
  <c r="C47" i="3"/>
  <c r="B47" i="3"/>
  <c r="E45" i="3"/>
  <c r="D45" i="3"/>
  <c r="C45" i="3"/>
  <c r="B45" i="3"/>
  <c r="D44" i="3"/>
  <c r="C44" i="3"/>
  <c r="B44" i="3"/>
  <c r="D43" i="3"/>
  <c r="C43" i="3"/>
  <c r="B43" i="3"/>
  <c r="E42" i="3"/>
  <c r="D42" i="3"/>
  <c r="B42" i="3"/>
  <c r="D41" i="3"/>
  <c r="B41" i="3"/>
  <c r="D40" i="3"/>
  <c r="B40" i="3"/>
  <c r="D39" i="3"/>
  <c r="B39" i="3"/>
  <c r="D38" i="3"/>
  <c r="B38" i="3"/>
  <c r="D37" i="3"/>
  <c r="B37" i="3"/>
  <c r="E36" i="3"/>
  <c r="D36" i="3"/>
  <c r="C36" i="3"/>
  <c r="B36" i="3"/>
  <c r="E34" i="3"/>
  <c r="D34" i="3"/>
  <c r="C34" i="3"/>
  <c r="B34" i="3"/>
  <c r="E33" i="3"/>
  <c r="D33" i="3"/>
  <c r="C33" i="3"/>
  <c r="B33" i="3"/>
  <c r="D32" i="3"/>
  <c r="C32" i="3"/>
  <c r="B32" i="3"/>
  <c r="D31" i="3"/>
  <c r="B31" i="3"/>
  <c r="E30" i="3"/>
  <c r="D30" i="3"/>
  <c r="B30" i="3"/>
  <c r="D29" i="3"/>
  <c r="B29" i="3"/>
  <c r="D28" i="3"/>
  <c r="B28" i="3"/>
  <c r="D27" i="3"/>
  <c r="B27" i="3"/>
  <c r="D26" i="3"/>
  <c r="B26" i="3"/>
  <c r="E25" i="3"/>
  <c r="D25" i="3"/>
  <c r="C25" i="3"/>
  <c r="B25" i="3"/>
  <c r="E23" i="3"/>
  <c r="D23" i="3"/>
  <c r="C23" i="3"/>
  <c r="B23" i="3"/>
  <c r="E22" i="3"/>
  <c r="D22" i="3"/>
  <c r="B22" i="3"/>
  <c r="E21" i="3"/>
  <c r="D21" i="3"/>
  <c r="C21" i="3"/>
  <c r="B21" i="3"/>
  <c r="D20" i="3"/>
  <c r="C20" i="3"/>
  <c r="B20" i="3"/>
  <c r="E19" i="3"/>
  <c r="D19" i="3"/>
  <c r="B19" i="3"/>
  <c r="E18" i="3"/>
  <c r="D18" i="3"/>
  <c r="B18" i="3"/>
  <c r="D17" i="3"/>
  <c r="C17" i="3"/>
  <c r="B17" i="3"/>
  <c r="D16" i="3"/>
  <c r="B16" i="3"/>
  <c r="D15" i="3"/>
  <c r="B15" i="3"/>
  <c r="E14" i="3"/>
  <c r="D14" i="3"/>
  <c r="C14" i="3"/>
  <c r="B14" i="3"/>
  <c r="E12" i="3"/>
  <c r="D12" i="3"/>
  <c r="C12" i="3"/>
  <c r="B12" i="3"/>
  <c r="D11" i="3"/>
  <c r="B11" i="3"/>
  <c r="E10" i="3"/>
  <c r="D10" i="3"/>
  <c r="B10" i="3"/>
  <c r="D9" i="3"/>
  <c r="B9" i="3"/>
  <c r="D8" i="3"/>
  <c r="B8" i="3"/>
  <c r="E7" i="3"/>
  <c r="D7" i="3"/>
  <c r="C7" i="3"/>
  <c r="B7" i="3"/>
  <c r="D6" i="3"/>
  <c r="B6" i="3"/>
  <c r="D5" i="3"/>
  <c r="B5" i="3"/>
  <c r="D4" i="3"/>
  <c r="B4" i="3"/>
  <c r="E3" i="3"/>
  <c r="D3" i="3"/>
  <c r="C3" i="3"/>
  <c r="B3" i="3"/>
  <c r="E111" i="2"/>
  <c r="D111" i="2"/>
  <c r="C111" i="2"/>
  <c r="B111" i="2"/>
  <c r="E110" i="2"/>
  <c r="D110" i="2"/>
  <c r="C110" i="2"/>
  <c r="B110" i="2"/>
  <c r="D109" i="2"/>
  <c r="C109" i="2"/>
  <c r="B109" i="2"/>
  <c r="E108" i="2"/>
  <c r="D108" i="2"/>
  <c r="B108" i="2"/>
  <c r="E107" i="2"/>
  <c r="D107" i="2"/>
  <c r="C107" i="2"/>
  <c r="B107" i="2"/>
  <c r="E106" i="2"/>
  <c r="D106" i="2"/>
  <c r="B106" i="2"/>
  <c r="D105" i="2"/>
  <c r="B105" i="2"/>
  <c r="D104" i="2"/>
  <c r="B104" i="2"/>
  <c r="D103" i="2"/>
  <c r="B103" i="2"/>
  <c r="E102" i="2"/>
  <c r="D102" i="2"/>
  <c r="C102" i="2"/>
  <c r="B102" i="2"/>
  <c r="D100" i="2"/>
  <c r="C100" i="2"/>
  <c r="B100" i="2"/>
  <c r="E99" i="2"/>
  <c r="D99" i="2"/>
  <c r="C99" i="2"/>
  <c r="B99" i="2"/>
  <c r="D98" i="2"/>
  <c r="C98" i="2"/>
  <c r="B98" i="2"/>
  <c r="D97" i="2"/>
  <c r="B97" i="2"/>
  <c r="D96" i="2"/>
  <c r="C96" i="2"/>
  <c r="B96" i="2"/>
  <c r="E95" i="2"/>
  <c r="D95" i="2"/>
  <c r="B95" i="2"/>
  <c r="D94" i="2"/>
  <c r="B94" i="2"/>
  <c r="E93" i="2"/>
  <c r="D93" i="2"/>
  <c r="B93" i="2"/>
  <c r="D92" i="2"/>
  <c r="B92" i="2"/>
  <c r="E91" i="2"/>
  <c r="D91" i="2"/>
  <c r="C91" i="2"/>
  <c r="B91" i="2"/>
  <c r="E89" i="2"/>
  <c r="D89" i="2"/>
  <c r="C89" i="2"/>
  <c r="B89" i="2"/>
  <c r="D88" i="2"/>
  <c r="C88" i="2"/>
  <c r="B88" i="2"/>
  <c r="D87" i="2"/>
  <c r="C87" i="2"/>
  <c r="B87" i="2"/>
  <c r="E86" i="2"/>
  <c r="D86" i="2"/>
  <c r="B86" i="2"/>
  <c r="D85" i="2"/>
  <c r="B85" i="2"/>
  <c r="D84" i="2"/>
  <c r="B84" i="2"/>
  <c r="D83" i="2"/>
  <c r="B83" i="2"/>
  <c r="D82" i="2"/>
  <c r="B82" i="2"/>
  <c r="D81" i="2"/>
  <c r="B81" i="2"/>
  <c r="E80" i="2"/>
  <c r="D80" i="2"/>
  <c r="C80" i="2"/>
  <c r="B80" i="2"/>
  <c r="E78" i="2"/>
  <c r="D78" i="2"/>
  <c r="C78" i="2"/>
  <c r="B78" i="2"/>
  <c r="E77" i="2"/>
  <c r="D77" i="2"/>
  <c r="C77" i="2"/>
  <c r="B77" i="2"/>
  <c r="D76" i="2"/>
  <c r="C76" i="2"/>
  <c r="B76" i="2"/>
  <c r="D75" i="2"/>
  <c r="B75" i="2"/>
  <c r="E74" i="2"/>
  <c r="D74" i="2"/>
  <c r="B74" i="2"/>
  <c r="D73" i="2"/>
  <c r="C73" i="2"/>
  <c r="B73" i="2"/>
  <c r="D72" i="2"/>
  <c r="B72" i="2"/>
  <c r="D71" i="2"/>
  <c r="B71" i="2"/>
  <c r="D70" i="2"/>
  <c r="B70" i="2"/>
  <c r="E69" i="2"/>
  <c r="D69" i="2"/>
  <c r="C69" i="2"/>
  <c r="B69" i="2"/>
  <c r="D67" i="2"/>
  <c r="B67" i="2"/>
  <c r="E66" i="2"/>
  <c r="D66" i="2"/>
  <c r="B66" i="2"/>
  <c r="E65" i="2"/>
  <c r="D65" i="2"/>
  <c r="C65" i="2"/>
  <c r="B65" i="2"/>
  <c r="D64" i="2"/>
  <c r="C64" i="2"/>
  <c r="B64" i="2"/>
  <c r="E63" i="2"/>
  <c r="D63" i="2"/>
  <c r="B63" i="2"/>
  <c r="D62" i="2"/>
  <c r="B62" i="2"/>
  <c r="D61" i="2"/>
  <c r="B61" i="2"/>
  <c r="D60" i="2"/>
  <c r="B60" i="2"/>
  <c r="D59" i="2"/>
  <c r="B59" i="2"/>
  <c r="E58" i="2"/>
  <c r="D58" i="2"/>
  <c r="C58" i="2"/>
  <c r="B58" i="2"/>
  <c r="E56" i="2"/>
  <c r="D56" i="2"/>
  <c r="C56" i="2"/>
  <c r="B56" i="2"/>
  <c r="D55" i="2"/>
  <c r="C55" i="2"/>
  <c r="B55" i="2"/>
  <c r="E54" i="2"/>
  <c r="D54" i="2"/>
  <c r="B54" i="2"/>
  <c r="D53" i="2"/>
  <c r="B53" i="2"/>
  <c r="D52" i="2"/>
  <c r="B52" i="2"/>
  <c r="D51" i="2"/>
  <c r="C51" i="2"/>
  <c r="B51" i="2"/>
  <c r="D50" i="2"/>
  <c r="B50" i="2"/>
  <c r="D49" i="2"/>
  <c r="B49" i="2"/>
  <c r="D48" i="2"/>
  <c r="B48" i="2"/>
  <c r="E47" i="2"/>
  <c r="D47" i="2"/>
  <c r="C47" i="2"/>
  <c r="B47" i="2"/>
  <c r="E45" i="2"/>
  <c r="D45" i="2"/>
  <c r="C45" i="2"/>
  <c r="B45" i="2"/>
  <c r="D44" i="2"/>
  <c r="C44" i="2"/>
  <c r="B44" i="2"/>
  <c r="D43" i="2"/>
  <c r="B43" i="2"/>
  <c r="E42" i="2"/>
  <c r="D42" i="2"/>
  <c r="B42" i="2"/>
  <c r="D41" i="2"/>
  <c r="C41" i="2"/>
  <c r="B41" i="2"/>
  <c r="E40" i="2"/>
  <c r="D40" i="2"/>
  <c r="B40" i="2"/>
  <c r="D39" i="2"/>
  <c r="B39" i="2"/>
  <c r="D38" i="2"/>
  <c r="B38" i="2"/>
  <c r="D37" i="2"/>
  <c r="B37" i="2"/>
  <c r="E36" i="2"/>
  <c r="D36" i="2"/>
  <c r="C36" i="2"/>
  <c r="B36" i="2"/>
  <c r="D34" i="2"/>
  <c r="C34" i="2"/>
  <c r="B34" i="2"/>
  <c r="D33" i="2"/>
  <c r="C33" i="2"/>
  <c r="B33" i="2"/>
  <c r="E32" i="2"/>
  <c r="D32" i="2"/>
  <c r="B32" i="2"/>
  <c r="D31" i="2"/>
  <c r="B31" i="2"/>
  <c r="D30" i="2"/>
  <c r="C30" i="2"/>
  <c r="B30" i="2"/>
  <c r="E29" i="2"/>
  <c r="D29" i="2"/>
  <c r="B29" i="2"/>
  <c r="D28" i="2"/>
  <c r="B28" i="2"/>
  <c r="D27" i="2"/>
  <c r="B27" i="2"/>
  <c r="D26" i="2"/>
  <c r="B26" i="2"/>
  <c r="E25" i="2"/>
  <c r="D25" i="2"/>
  <c r="C25" i="2"/>
  <c r="B25" i="2"/>
  <c r="E23" i="2"/>
  <c r="D23" i="2"/>
  <c r="C23" i="2"/>
  <c r="B23" i="2"/>
  <c r="D22" i="2"/>
  <c r="C22" i="2"/>
  <c r="B22" i="2"/>
  <c r="E21" i="2"/>
  <c r="D21" i="2"/>
  <c r="C21" i="2"/>
  <c r="B21" i="2"/>
  <c r="E20" i="2"/>
  <c r="D20" i="2"/>
  <c r="C20" i="2"/>
  <c r="B20" i="2"/>
  <c r="D19" i="2"/>
  <c r="B19" i="2"/>
  <c r="D18" i="2"/>
  <c r="C18" i="2"/>
  <c r="B18" i="2"/>
  <c r="D17" i="2"/>
  <c r="B17" i="2"/>
  <c r="D16" i="2"/>
  <c r="B16" i="2"/>
  <c r="D15" i="2"/>
  <c r="B15" i="2"/>
  <c r="E14" i="2"/>
  <c r="D14" i="2"/>
  <c r="C14" i="2"/>
  <c r="B14" i="2"/>
  <c r="E12" i="2"/>
  <c r="D12" i="2"/>
  <c r="C12" i="2"/>
  <c r="B12" i="2"/>
  <c r="E11" i="2"/>
  <c r="D11" i="2"/>
  <c r="B11" i="2"/>
  <c r="D10" i="2"/>
  <c r="C10" i="2"/>
  <c r="B10" i="2"/>
  <c r="D9" i="2"/>
  <c r="B9" i="2"/>
  <c r="E8" i="2"/>
  <c r="D8" i="2"/>
  <c r="B8" i="2"/>
  <c r="D7" i="2"/>
  <c r="B7" i="2"/>
  <c r="E6" i="2"/>
  <c r="D6" i="2"/>
  <c r="B6" i="2"/>
  <c r="D5" i="2"/>
  <c r="B5" i="2"/>
  <c r="D4" i="2"/>
  <c r="B4" i="2"/>
  <c r="E3" i="2"/>
  <c r="D3" i="2"/>
  <c r="C3" i="2"/>
  <c r="B3" i="2"/>
  <c r="F111" i="1"/>
  <c r="E111" i="1"/>
  <c r="D111" i="1"/>
  <c r="C111" i="1"/>
  <c r="B111" i="1"/>
  <c r="G110" i="1"/>
  <c r="F110" i="1"/>
  <c r="D110" i="1"/>
  <c r="B110" i="1"/>
  <c r="G109" i="1"/>
  <c r="F109" i="1"/>
  <c r="E109" i="1"/>
  <c r="D109" i="1"/>
  <c r="C109" i="1"/>
  <c r="B109" i="1"/>
  <c r="F108" i="1"/>
  <c r="D108" i="1"/>
  <c r="C108" i="1"/>
  <c r="B108" i="1"/>
  <c r="G107" i="1"/>
  <c r="F107" i="1"/>
  <c r="D107" i="1"/>
  <c r="B107" i="1"/>
  <c r="G106" i="1"/>
  <c r="F106" i="1"/>
  <c r="E106" i="1"/>
  <c r="D106" i="1"/>
  <c r="B106" i="1"/>
  <c r="F105" i="1"/>
  <c r="D105" i="1"/>
  <c r="B105" i="1"/>
  <c r="F104" i="1"/>
  <c r="D104" i="1"/>
  <c r="B104" i="1"/>
  <c r="F103" i="1"/>
  <c r="D103" i="1"/>
  <c r="B103" i="1"/>
  <c r="G102" i="1"/>
  <c r="F102" i="1"/>
  <c r="E102" i="1"/>
  <c r="D102" i="1"/>
  <c r="C102" i="1"/>
  <c r="B102" i="1"/>
  <c r="F100" i="1"/>
  <c r="E100" i="1"/>
  <c r="D100" i="1"/>
  <c r="C100" i="1"/>
  <c r="B100" i="1"/>
  <c r="G99" i="1"/>
  <c r="F99" i="1"/>
  <c r="E99" i="1"/>
  <c r="D99" i="1"/>
  <c r="C99" i="1"/>
  <c r="B99" i="1"/>
  <c r="G98" i="1"/>
  <c r="F98" i="1"/>
  <c r="D98" i="1"/>
  <c r="C98" i="1"/>
  <c r="B98" i="1"/>
  <c r="F97" i="1"/>
  <c r="E97" i="1"/>
  <c r="D97" i="1"/>
  <c r="B97" i="1"/>
  <c r="F96" i="1"/>
  <c r="D96" i="1"/>
  <c r="C96" i="1"/>
  <c r="B96" i="1"/>
  <c r="G95" i="1"/>
  <c r="F95" i="1"/>
  <c r="D95" i="1"/>
  <c r="B95" i="1"/>
  <c r="F94" i="1"/>
  <c r="E94" i="1"/>
  <c r="D94" i="1"/>
  <c r="B94" i="1"/>
  <c r="F93" i="1"/>
  <c r="D93" i="1"/>
  <c r="B93" i="1"/>
  <c r="F92" i="1"/>
  <c r="D92" i="1"/>
  <c r="B92" i="1"/>
  <c r="G91" i="1"/>
  <c r="F91" i="1"/>
  <c r="E91" i="1"/>
  <c r="D91" i="1"/>
  <c r="C91" i="1"/>
  <c r="B91" i="1"/>
  <c r="F89" i="1"/>
  <c r="E89" i="1"/>
  <c r="D89" i="1"/>
  <c r="C89" i="1"/>
  <c r="B89" i="1"/>
  <c r="F88" i="1"/>
  <c r="E88" i="1"/>
  <c r="D88" i="1"/>
  <c r="C88" i="1"/>
  <c r="B88" i="1"/>
  <c r="G87" i="1"/>
  <c r="F87" i="1"/>
  <c r="D87" i="1"/>
  <c r="C87" i="1"/>
  <c r="B87" i="1"/>
  <c r="F86" i="1"/>
  <c r="E86" i="1"/>
  <c r="D86" i="1"/>
  <c r="C86" i="1"/>
  <c r="B86" i="1"/>
  <c r="F85" i="1"/>
  <c r="E85" i="1"/>
  <c r="D85" i="1"/>
  <c r="B85" i="1"/>
  <c r="G84" i="1"/>
  <c r="F84" i="1"/>
  <c r="D84" i="1"/>
  <c r="B84" i="1"/>
  <c r="F83" i="1"/>
  <c r="D83" i="1"/>
  <c r="B83" i="1"/>
  <c r="F82" i="1"/>
  <c r="D82" i="1"/>
  <c r="B82" i="1"/>
  <c r="F81" i="1"/>
  <c r="D81" i="1"/>
  <c r="B81" i="1"/>
  <c r="G80" i="1"/>
  <c r="F80" i="1"/>
  <c r="E80" i="1"/>
  <c r="D80" i="1"/>
  <c r="C80" i="1"/>
  <c r="B80" i="1"/>
  <c r="G78" i="1"/>
  <c r="F78" i="1"/>
  <c r="E78" i="1"/>
  <c r="D78" i="1"/>
  <c r="C78" i="1"/>
  <c r="B78" i="1"/>
  <c r="F77" i="1"/>
  <c r="E77" i="1"/>
  <c r="D77" i="1"/>
  <c r="C77" i="1"/>
  <c r="B77" i="1"/>
  <c r="F76" i="1"/>
  <c r="D76" i="1"/>
  <c r="C76" i="1"/>
  <c r="B76" i="1"/>
  <c r="F75" i="1"/>
  <c r="D75" i="1"/>
  <c r="C75" i="1"/>
  <c r="B75" i="1"/>
  <c r="F74" i="1"/>
  <c r="E74" i="1"/>
  <c r="D74" i="1"/>
  <c r="B74" i="1"/>
  <c r="G73" i="1"/>
  <c r="F73" i="1"/>
  <c r="D73" i="1"/>
  <c r="C73" i="1"/>
  <c r="B73" i="1"/>
  <c r="G72" i="1"/>
  <c r="F72" i="1"/>
  <c r="E72" i="1"/>
  <c r="D72" i="1"/>
  <c r="B72" i="1"/>
  <c r="F71" i="1"/>
  <c r="E71" i="1"/>
  <c r="D71" i="1"/>
  <c r="B71" i="1"/>
  <c r="F70" i="1"/>
  <c r="D70" i="1"/>
  <c r="B70" i="1"/>
  <c r="G69" i="1"/>
  <c r="F69" i="1"/>
  <c r="E69" i="1"/>
  <c r="D69" i="1"/>
  <c r="C69" i="1"/>
  <c r="B69" i="1"/>
  <c r="G67" i="1"/>
  <c r="F67" i="1"/>
  <c r="E67" i="1"/>
  <c r="D67" i="1"/>
  <c r="C67" i="1"/>
  <c r="B67" i="1"/>
  <c r="G66" i="1"/>
  <c r="F66" i="1"/>
  <c r="D66" i="1"/>
  <c r="B66" i="1"/>
  <c r="F65" i="1"/>
  <c r="E65" i="1"/>
  <c r="D65" i="1"/>
  <c r="C65" i="1"/>
  <c r="B65" i="1"/>
  <c r="F64" i="1"/>
  <c r="D64" i="1"/>
  <c r="B64" i="1"/>
  <c r="G63" i="1"/>
  <c r="F63" i="1"/>
  <c r="D63" i="1"/>
  <c r="B63" i="1"/>
  <c r="F62" i="1"/>
  <c r="D62" i="1"/>
  <c r="B62" i="1"/>
  <c r="F61" i="1"/>
  <c r="D61" i="1"/>
  <c r="B61" i="1"/>
  <c r="G60" i="1"/>
  <c r="F60" i="1"/>
  <c r="D60" i="1"/>
  <c r="B60" i="1"/>
  <c r="F59" i="1"/>
  <c r="D59" i="1"/>
  <c r="B59" i="1"/>
  <c r="G58" i="1"/>
  <c r="F58" i="1"/>
  <c r="E58" i="1"/>
  <c r="D58" i="1"/>
  <c r="C58" i="1"/>
  <c r="B58" i="1"/>
  <c r="G56" i="1"/>
  <c r="F56" i="1"/>
  <c r="D56" i="1"/>
  <c r="C56" i="1"/>
  <c r="B56" i="1"/>
  <c r="G55" i="1"/>
  <c r="F55" i="1"/>
  <c r="D55" i="1"/>
  <c r="C55" i="1"/>
  <c r="B55" i="1"/>
  <c r="G54" i="1"/>
  <c r="F54" i="1"/>
  <c r="D54" i="1"/>
  <c r="B54" i="1"/>
  <c r="F53" i="1"/>
  <c r="D53" i="1"/>
  <c r="B53" i="1"/>
  <c r="F52" i="1"/>
  <c r="D52" i="1"/>
  <c r="B52" i="1"/>
  <c r="F51" i="1"/>
  <c r="E51" i="1"/>
  <c r="D51" i="1"/>
  <c r="C51" i="1"/>
  <c r="B51" i="1"/>
  <c r="F50" i="1"/>
  <c r="D50" i="1"/>
  <c r="B50" i="1"/>
  <c r="F49" i="1"/>
  <c r="D49" i="1"/>
  <c r="B49" i="1"/>
  <c r="F48" i="1"/>
  <c r="D48" i="1"/>
  <c r="B48" i="1"/>
  <c r="G47" i="1"/>
  <c r="F47" i="1"/>
  <c r="E47" i="1"/>
  <c r="D47" i="1"/>
  <c r="C47" i="1"/>
  <c r="B47" i="1"/>
  <c r="F45" i="1"/>
  <c r="E45" i="1"/>
  <c r="D45" i="1"/>
  <c r="C45" i="1"/>
  <c r="B45" i="1"/>
  <c r="G44" i="1"/>
  <c r="F44" i="1"/>
  <c r="E44" i="1"/>
  <c r="D44" i="1"/>
  <c r="B44" i="1"/>
  <c r="G43" i="1"/>
  <c r="F43" i="1"/>
  <c r="E43" i="1"/>
  <c r="D43" i="1"/>
  <c r="B43" i="1"/>
  <c r="F42" i="1"/>
  <c r="D42" i="1"/>
  <c r="C42" i="1"/>
  <c r="B42" i="1"/>
  <c r="G41" i="1"/>
  <c r="F41" i="1"/>
  <c r="E41" i="1"/>
  <c r="D41" i="1"/>
  <c r="B41" i="1"/>
  <c r="F40" i="1"/>
  <c r="E40" i="1"/>
  <c r="D40" i="1"/>
  <c r="B40" i="1"/>
  <c r="F39" i="1"/>
  <c r="D39" i="1"/>
  <c r="C39" i="1"/>
  <c r="B39" i="1"/>
  <c r="F38" i="1"/>
  <c r="D38" i="1"/>
  <c r="B38" i="1"/>
  <c r="F37" i="1"/>
  <c r="D37" i="1"/>
  <c r="B37" i="1"/>
  <c r="G36" i="1"/>
  <c r="F36" i="1"/>
  <c r="E36" i="1"/>
  <c r="D36" i="1"/>
  <c r="C36" i="1"/>
  <c r="B36" i="1"/>
  <c r="G34" i="1"/>
  <c r="F34" i="1"/>
  <c r="E34" i="1"/>
  <c r="D34" i="1"/>
  <c r="C34" i="1"/>
  <c r="B34" i="1"/>
  <c r="F33" i="1"/>
  <c r="E33" i="1"/>
  <c r="D33" i="1"/>
  <c r="C33" i="1"/>
  <c r="B33" i="1"/>
  <c r="G32" i="1"/>
  <c r="F32" i="1"/>
  <c r="D32" i="1"/>
  <c r="C32" i="1"/>
  <c r="B32" i="1"/>
  <c r="F31" i="1"/>
  <c r="D31" i="1"/>
  <c r="B31" i="1"/>
  <c r="F30" i="1"/>
  <c r="D30" i="1"/>
  <c r="C30" i="1"/>
  <c r="B30" i="1"/>
  <c r="G29" i="1"/>
  <c r="F29" i="1"/>
  <c r="D29" i="1"/>
  <c r="B29" i="1"/>
  <c r="F28" i="1"/>
  <c r="E28" i="1"/>
  <c r="D28" i="1"/>
  <c r="C28" i="1"/>
  <c r="B28" i="1"/>
  <c r="F27" i="1"/>
  <c r="D27" i="1"/>
  <c r="B27" i="1"/>
  <c r="F26" i="1"/>
  <c r="D26" i="1"/>
  <c r="B26" i="1"/>
  <c r="G25" i="1"/>
  <c r="F25" i="1"/>
  <c r="E25" i="1"/>
  <c r="D25" i="1"/>
  <c r="C25" i="1"/>
  <c r="B25" i="1"/>
  <c r="F23" i="1"/>
  <c r="E23" i="1"/>
  <c r="D23" i="1"/>
  <c r="C23" i="1"/>
  <c r="B23" i="1"/>
  <c r="F22" i="1"/>
  <c r="E22" i="1"/>
  <c r="D22" i="1"/>
  <c r="C22" i="1"/>
  <c r="B22" i="1"/>
  <c r="G21" i="1"/>
  <c r="F21" i="1"/>
  <c r="E21" i="1"/>
  <c r="D21" i="1"/>
  <c r="C21" i="1"/>
  <c r="B21" i="1"/>
  <c r="F20" i="1"/>
  <c r="E20" i="1"/>
  <c r="D20" i="1"/>
  <c r="B20" i="1"/>
  <c r="F19" i="1"/>
  <c r="E19" i="1"/>
  <c r="D19" i="1"/>
  <c r="B19" i="1"/>
  <c r="G18" i="1"/>
  <c r="F18" i="1"/>
  <c r="D18" i="1"/>
  <c r="B18" i="1"/>
  <c r="F17" i="1"/>
  <c r="D17" i="1"/>
  <c r="B17" i="1"/>
  <c r="F16" i="1"/>
  <c r="D16" i="1"/>
  <c r="B16" i="1"/>
  <c r="F15" i="1"/>
  <c r="D15" i="1"/>
  <c r="B15" i="1"/>
  <c r="G14" i="1"/>
  <c r="F14" i="1"/>
  <c r="E14" i="1"/>
  <c r="D14" i="1"/>
  <c r="C14" i="1"/>
  <c r="B14" i="1"/>
  <c r="G12" i="1"/>
  <c r="F12" i="1"/>
  <c r="E12" i="1"/>
  <c r="D12" i="1"/>
  <c r="C12" i="1"/>
  <c r="B12" i="1"/>
  <c r="F11" i="1"/>
  <c r="E11" i="1"/>
  <c r="D11" i="1"/>
  <c r="B11" i="1"/>
  <c r="F10" i="1"/>
  <c r="D10" i="1"/>
  <c r="C10" i="1"/>
  <c r="B10" i="1"/>
  <c r="F9" i="1"/>
  <c r="D9" i="1"/>
  <c r="B9" i="1"/>
  <c r="F8" i="1"/>
  <c r="E8" i="1"/>
  <c r="D8" i="1"/>
  <c r="B8" i="1"/>
  <c r="G7" i="1"/>
  <c r="F7" i="1"/>
  <c r="D7" i="1"/>
  <c r="C7" i="1"/>
  <c r="B7" i="1"/>
  <c r="G6" i="1"/>
  <c r="F6" i="1"/>
  <c r="E6" i="1"/>
  <c r="D6" i="1"/>
  <c r="B6" i="1"/>
  <c r="F5" i="1"/>
  <c r="D5" i="1"/>
  <c r="B5" i="1"/>
  <c r="F4" i="1"/>
  <c r="D4" i="1"/>
  <c r="B4" i="1"/>
  <c r="G3" i="1"/>
  <c r="F3" i="1"/>
  <c r="E3" i="1"/>
  <c r="D3" i="1"/>
  <c r="C3" i="1"/>
  <c r="B3" i="1"/>
  <c r="C29" i="20" l="1"/>
  <c r="C95" i="20"/>
  <c r="C98" i="20"/>
  <c r="E7" i="20"/>
  <c r="E40" i="20"/>
  <c r="E51" i="20"/>
  <c r="E73" i="20"/>
  <c r="C5" i="20"/>
  <c r="C11" i="20"/>
  <c r="C27" i="20"/>
  <c r="C38" i="20"/>
  <c r="C52" i="20"/>
  <c r="C60" i="20"/>
  <c r="C71" i="20"/>
  <c r="C74" i="20"/>
  <c r="C77" i="20"/>
  <c r="C85" i="20"/>
  <c r="C93" i="20"/>
  <c r="C104" i="20"/>
  <c r="E5" i="20"/>
  <c r="E19" i="20"/>
  <c r="E22" i="20"/>
  <c r="E27" i="20"/>
  <c r="E38" i="20"/>
  <c r="E49" i="20"/>
  <c r="E52" i="20"/>
  <c r="E55" i="20"/>
  <c r="E60" i="20"/>
  <c r="E71" i="20"/>
  <c r="E74" i="20"/>
  <c r="E82" i="20"/>
  <c r="E85" i="20"/>
  <c r="E93" i="20"/>
  <c r="E96" i="20"/>
  <c r="C17" i="20"/>
  <c r="C61" i="20"/>
  <c r="C83" i="20"/>
  <c r="C86" i="20"/>
  <c r="C94" i="20"/>
  <c r="E28" i="20"/>
  <c r="E34" i="20"/>
  <c r="E61" i="20"/>
  <c r="E64" i="20"/>
  <c r="E67" i="20"/>
  <c r="E94" i="20"/>
  <c r="E97" i="20"/>
  <c r="E100" i="20"/>
</calcChain>
</file>

<file path=xl/sharedStrings.xml><?xml version="1.0" encoding="utf-8"?>
<sst xmlns="http://schemas.openxmlformats.org/spreadsheetml/2006/main" count="5120" uniqueCount="165">
  <si>
    <t>Data Flow</t>
  </si>
  <si>
    <t>Batch Sequential</t>
  </si>
  <si>
    <t>Pipe and Filter</t>
  </si>
  <si>
    <t>Process Control</t>
  </si>
  <si>
    <t>Effects</t>
  </si>
  <si>
    <t>Justification</t>
  </si>
  <si>
    <t>Availability</t>
  </si>
  <si>
    <t>1조</t>
  </si>
  <si>
    <t>2조</t>
  </si>
  <si>
    <t>3조</t>
  </si>
  <si>
    <t>4조</t>
  </si>
  <si>
    <t>5조</t>
  </si>
  <si>
    <t>6조</t>
  </si>
  <si>
    <t>7조</t>
  </si>
  <si>
    <t>8조</t>
  </si>
  <si>
    <t>9조</t>
  </si>
  <si>
    <t>Deployability</t>
  </si>
  <si>
    <t>Integrability</t>
  </si>
  <si>
    <t>Energy Efficiency</t>
  </si>
  <si>
    <t>Modifiability</t>
  </si>
  <si>
    <t>Performance</t>
  </si>
  <si>
    <t>Safety</t>
  </si>
  <si>
    <t>Security</t>
  </si>
  <si>
    <t>Testability</t>
  </si>
  <si>
    <t>Usability</t>
  </si>
  <si>
    <t>Data Centered</t>
  </si>
  <si>
    <t>Shared Repository</t>
  </si>
  <si>
    <t>Blackboard</t>
  </si>
  <si>
    <t>Implicit Invocation</t>
  </si>
  <si>
    <t>Non-Buffered Event Based</t>
  </si>
  <si>
    <t>Buffered Message Based</t>
  </si>
  <si>
    <t>Interaction-Oriented</t>
  </si>
  <si>
    <t>MVC</t>
  </si>
  <si>
    <t>PAC</t>
  </si>
  <si>
    <t>Hierarchical</t>
  </si>
  <si>
    <t>Main-subroutine</t>
  </si>
  <si>
    <t>Master-Slave</t>
  </si>
  <si>
    <t>Layered</t>
  </si>
  <si>
    <t>Virtual Machine</t>
  </si>
  <si>
    <t>Microkernel</t>
  </si>
  <si>
    <t>Distributed</t>
  </si>
  <si>
    <t>Multi-tier</t>
  </si>
  <si>
    <t>Client-Server</t>
  </si>
  <si>
    <t>Broker</t>
  </si>
  <si>
    <t>Dispatcher</t>
  </si>
  <si>
    <t>Microservice</t>
  </si>
  <si>
    <t>Edge-based</t>
  </si>
  <si>
    <t>Shared Respository</t>
  </si>
  <si>
    <t>Deployment</t>
  </si>
  <si>
    <t>Container-based</t>
  </si>
  <si>
    <t>Cloud-based</t>
  </si>
  <si>
    <t>SOA</t>
    <phoneticPr fontId="7" type="noConversion"/>
  </si>
  <si>
    <t>Mico-Service</t>
    <phoneticPr fontId="7" type="noConversion"/>
  </si>
  <si>
    <t>Data Flow</t>
    <phoneticPr fontId="7" type="noConversion"/>
  </si>
  <si>
    <t>Batch Sequential</t>
    <phoneticPr fontId="7" type="noConversion"/>
  </si>
  <si>
    <t>Pipe and Filter</t>
    <phoneticPr fontId="7" type="noConversion"/>
  </si>
  <si>
    <t>Process Control</t>
    <phoneticPr fontId="7" type="noConversion"/>
  </si>
  <si>
    <t>Effects</t>
    <phoneticPr fontId="7" type="noConversion"/>
  </si>
  <si>
    <t>Justification</t>
    <phoneticPr fontId="7" type="noConversion"/>
  </si>
  <si>
    <t>Availability</t>
    <phoneticPr fontId="7" type="noConversion"/>
  </si>
  <si>
    <t/>
  </si>
  <si>
    <t>Deployability</t>
    <phoneticPr fontId="7" type="noConversion"/>
  </si>
  <si>
    <t>Integrability</t>
    <phoneticPr fontId="7" type="noConversion"/>
  </si>
  <si>
    <t>Energy Efficiency</t>
    <phoneticPr fontId="7" type="noConversion"/>
  </si>
  <si>
    <t>Modifiability</t>
    <phoneticPr fontId="7" type="noConversion"/>
  </si>
  <si>
    <t>Performance</t>
    <phoneticPr fontId="7" type="noConversion"/>
  </si>
  <si>
    <t>Safety</t>
    <phoneticPr fontId="7" type="noConversion"/>
  </si>
  <si>
    <t>Security</t>
    <phoneticPr fontId="7" type="noConversion"/>
  </si>
  <si>
    <t>Testability</t>
    <phoneticPr fontId="7" type="noConversion"/>
  </si>
  <si>
    <t>Usability</t>
    <phoneticPr fontId="7" type="noConversion"/>
  </si>
  <si>
    <t>Data Centered</t>
    <phoneticPr fontId="7" type="noConversion"/>
  </si>
  <si>
    <t>Shared Respository</t>
    <phoneticPr fontId="7" type="noConversion"/>
  </si>
  <si>
    <t>Blackboard</t>
    <phoneticPr fontId="7" type="noConversion"/>
  </si>
  <si>
    <t>Implicit Invocation</t>
    <phoneticPr fontId="7" type="noConversion"/>
  </si>
  <si>
    <t>Non-Buffered Event Based</t>
    <phoneticPr fontId="7" type="noConversion"/>
  </si>
  <si>
    <t>Buffered Message Based</t>
    <phoneticPr fontId="7" type="noConversion"/>
  </si>
  <si>
    <t>Interaction-Oriented</t>
    <phoneticPr fontId="7" type="noConversion"/>
  </si>
  <si>
    <t>MVC</t>
    <phoneticPr fontId="7" type="noConversion"/>
  </si>
  <si>
    <t>PAC</t>
    <phoneticPr fontId="7" type="noConversion"/>
  </si>
  <si>
    <t>Hierarchical</t>
    <phoneticPr fontId="7" type="noConversion"/>
  </si>
  <si>
    <t>Main-subroutine</t>
    <phoneticPr fontId="7" type="noConversion"/>
  </si>
  <si>
    <t>Master-Slave</t>
    <phoneticPr fontId="7" type="noConversion"/>
  </si>
  <si>
    <t>Layered</t>
    <phoneticPr fontId="7" type="noConversion"/>
  </si>
  <si>
    <t>Virtual Machine</t>
    <phoneticPr fontId="7" type="noConversion"/>
  </si>
  <si>
    <t>Microkernel</t>
    <phoneticPr fontId="7" type="noConversion"/>
  </si>
  <si>
    <t>Distributed</t>
    <phoneticPr fontId="7" type="noConversion"/>
  </si>
  <si>
    <t>Multi-tier</t>
    <phoneticPr fontId="7" type="noConversion"/>
  </si>
  <si>
    <t>Client-Server</t>
    <phoneticPr fontId="7" type="noConversion"/>
  </si>
  <si>
    <t>Broker</t>
    <phoneticPr fontId="7" type="noConversion"/>
  </si>
  <si>
    <t>Dispatcher</t>
    <phoneticPr fontId="7" type="noConversion"/>
  </si>
  <si>
    <t>Deployment</t>
    <phoneticPr fontId="7" type="noConversion"/>
  </si>
  <si>
    <t>Container-based</t>
    <phoneticPr fontId="7" type="noConversion"/>
  </si>
  <si>
    <t>Cloud-based</t>
    <phoneticPr fontId="7" type="noConversion"/>
  </si>
  <si>
    <t>Edge-based</t>
    <phoneticPr fontId="7" type="noConversion"/>
  </si>
  <si>
    <t>='1조'!C55</t>
  </si>
  <si>
    <t>='1조'!E55</t>
  </si>
  <si>
    <t>='1조'!C56</t>
  </si>
  <si>
    <t>='1조'!E56</t>
  </si>
  <si>
    <t>='1조'!C57</t>
  </si>
  <si>
    <t>='1조'!E57</t>
  </si>
  <si>
    <t>='1조'!C58</t>
  </si>
  <si>
    <t>='1조'!E58</t>
  </si>
  <si>
    <t>='1조'!C59</t>
  </si>
  <si>
    <t>='1조'!E59</t>
  </si>
  <si>
    <t>='1조'!C60</t>
  </si>
  <si>
    <t>='1조'!E60</t>
  </si>
  <si>
    <t>='1조'!C61</t>
  </si>
  <si>
    <t>='1조'!E61</t>
  </si>
  <si>
    <t>='1조'!C62</t>
  </si>
  <si>
    <t>='1조'!E62</t>
  </si>
  <si>
    <t>='1조'!C63</t>
  </si>
  <si>
    <t>='1조'!E63</t>
  </si>
  <si>
    <t>='1조'!C64</t>
  </si>
  <si>
    <t>='1조'!E64</t>
  </si>
  <si>
    <t>='1조'!C68</t>
  </si>
  <si>
    <t>='1조'!E68</t>
  </si>
  <si>
    <t>='1조'!G68</t>
  </si>
  <si>
    <t>='1조'!C69</t>
  </si>
  <si>
    <t>='1조'!E69</t>
  </si>
  <si>
    <t>='1조'!G69</t>
  </si>
  <si>
    <t>='1조'!C70</t>
  </si>
  <si>
    <t>='1조'!E70</t>
  </si>
  <si>
    <t>='1조'!G70</t>
  </si>
  <si>
    <t>='1조'!C71</t>
  </si>
  <si>
    <t>='1조'!E71</t>
  </si>
  <si>
    <t>='1조'!G71</t>
  </si>
  <si>
    <t>='1조'!C72</t>
  </si>
  <si>
    <t>='1조'!E72</t>
  </si>
  <si>
    <t>='1조'!G72</t>
  </si>
  <si>
    <t>='1조'!C73</t>
  </si>
  <si>
    <t>='1조'!E73</t>
  </si>
  <si>
    <t>='1조'!G73</t>
  </si>
  <si>
    <t>='1조'!C74</t>
  </si>
  <si>
    <t>='1조'!E74</t>
  </si>
  <si>
    <t>='1조'!G74</t>
  </si>
  <si>
    <t>='1조'!C75</t>
  </si>
  <si>
    <t>='1조'!E75</t>
  </si>
  <si>
    <t>='1조'!G75</t>
  </si>
  <si>
    <t>='1조'!C76</t>
  </si>
  <si>
    <t>='1조'!E76</t>
  </si>
  <si>
    <t>='1조'!G76</t>
  </si>
  <si>
    <t>='1조'!C77</t>
  </si>
  <si>
    <t>='1조'!E77</t>
  </si>
  <si>
    <t>='1조'!G77</t>
  </si>
  <si>
    <t>Multi-Tier</t>
  </si>
  <si>
    <t>SOA</t>
  </si>
  <si>
    <t>Micro-service</t>
  </si>
  <si>
    <r>
      <t>1</t>
    </r>
    <r>
      <rPr>
        <sz val="11"/>
        <color rgb="FF000000"/>
        <rFont val="&quot;맑은 고딕&quot;"/>
        <family val="3"/>
        <charset val="129"/>
      </rPr>
      <t>조</t>
    </r>
  </si>
  <si>
    <r>
      <t>2</t>
    </r>
    <r>
      <rPr>
        <sz val="11"/>
        <color rgb="FF000000"/>
        <rFont val="&quot;맑은 고딕&quot;"/>
        <family val="3"/>
        <charset val="129"/>
      </rPr>
      <t>조</t>
    </r>
  </si>
  <si>
    <r>
      <t>3</t>
    </r>
    <r>
      <rPr>
        <sz val="11"/>
        <color rgb="FF000000"/>
        <rFont val="&quot;맑은 고딕&quot;"/>
        <family val="3"/>
        <charset val="129"/>
      </rPr>
      <t>조</t>
    </r>
  </si>
  <si>
    <r>
      <t>4</t>
    </r>
    <r>
      <rPr>
        <sz val="11"/>
        <color rgb="FF000000"/>
        <rFont val="&quot;맑은 고딕&quot;"/>
        <family val="3"/>
        <charset val="129"/>
      </rPr>
      <t>조</t>
    </r>
  </si>
  <si>
    <r>
      <t>5</t>
    </r>
    <r>
      <rPr>
        <sz val="11"/>
        <color rgb="FF000000"/>
        <rFont val="&quot;맑은 고딕&quot;"/>
        <family val="3"/>
        <charset val="129"/>
      </rPr>
      <t>조</t>
    </r>
  </si>
  <si>
    <r>
      <t>6</t>
    </r>
    <r>
      <rPr>
        <sz val="11"/>
        <color rgb="FF000000"/>
        <rFont val="&quot;맑은 고딕&quot;"/>
        <family val="3"/>
        <charset val="129"/>
      </rPr>
      <t>조</t>
    </r>
  </si>
  <si>
    <r>
      <t>7</t>
    </r>
    <r>
      <rPr>
        <sz val="11"/>
        <color rgb="FF000000"/>
        <rFont val="&quot;맑은 고딕&quot;"/>
        <family val="3"/>
        <charset val="129"/>
      </rPr>
      <t>조</t>
    </r>
  </si>
  <si>
    <r>
      <t>8</t>
    </r>
    <r>
      <rPr>
        <sz val="11"/>
        <color rgb="FF000000"/>
        <rFont val="&quot;맑은 고딕&quot;"/>
        <family val="3"/>
        <charset val="129"/>
      </rPr>
      <t>조</t>
    </r>
  </si>
  <si>
    <r>
      <t>9</t>
    </r>
    <r>
      <rPr>
        <sz val="11"/>
        <color rgb="FF000000"/>
        <rFont val="&quot;맑은 고딕&quot;"/>
        <family val="3"/>
        <charset val="129"/>
      </rPr>
      <t>조</t>
    </r>
  </si>
  <si>
    <r>
      <t>1</t>
    </r>
    <r>
      <rPr>
        <sz val="11"/>
        <color theme="1"/>
        <rFont val="Arial"/>
        <family val="2"/>
      </rPr>
      <t>조</t>
    </r>
  </si>
  <si>
    <r>
      <t>2</t>
    </r>
    <r>
      <rPr>
        <sz val="11"/>
        <color theme="1"/>
        <rFont val="Arial"/>
        <family val="2"/>
      </rPr>
      <t>조</t>
    </r>
  </si>
  <si>
    <r>
      <t>3</t>
    </r>
    <r>
      <rPr>
        <sz val="11"/>
        <color theme="1"/>
        <rFont val="Arial"/>
        <family val="2"/>
      </rPr>
      <t>조</t>
    </r>
  </si>
  <si>
    <r>
      <t>4</t>
    </r>
    <r>
      <rPr>
        <sz val="11"/>
        <color theme="1"/>
        <rFont val="Arial"/>
        <family val="2"/>
      </rPr>
      <t>조</t>
    </r>
  </si>
  <si>
    <r>
      <t>5</t>
    </r>
    <r>
      <rPr>
        <sz val="11"/>
        <color theme="1"/>
        <rFont val="Arial"/>
        <family val="2"/>
      </rPr>
      <t>조</t>
    </r>
  </si>
  <si>
    <r>
      <t>6</t>
    </r>
    <r>
      <rPr>
        <sz val="11"/>
        <color theme="1"/>
        <rFont val="Arial"/>
        <family val="2"/>
      </rPr>
      <t>조</t>
    </r>
  </si>
  <si>
    <r>
      <t>7</t>
    </r>
    <r>
      <rPr>
        <sz val="11"/>
        <color theme="1"/>
        <rFont val="Arial"/>
        <family val="2"/>
      </rPr>
      <t>조</t>
    </r>
  </si>
  <si>
    <r>
      <t>8</t>
    </r>
    <r>
      <rPr>
        <sz val="11"/>
        <color theme="1"/>
        <rFont val="Arial"/>
        <family val="2"/>
      </rPr>
      <t>조</t>
    </r>
  </si>
  <si>
    <r>
      <t>9</t>
    </r>
    <r>
      <rPr>
        <sz val="11"/>
        <color theme="1"/>
        <rFont val="Arial"/>
        <family val="2"/>
      </rPr>
      <t>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</si>
</sst>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rgb="FF000000"/>
      <name val="&quot;맑은 고딕&quot;"/>
      <family val="3"/>
      <charset val="129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6" xfId="0" applyFont="1" applyBorder="1" applyAlignment="1">
      <alignment wrapText="1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wrapText="1"/>
    </xf>
    <xf numFmtId="49" fontId="6" fillId="0" borderId="6" xfId="0" applyNumberFormat="1" applyFont="1" applyBorder="1" applyAlignment="1">
      <alignment horizontal="center" wrapText="1"/>
    </xf>
    <xf numFmtId="49" fontId="6" fillId="0" borderId="6" xfId="0" applyNumberFormat="1" applyFont="1" applyBorder="1" applyAlignment="1">
      <alignment wrapText="1"/>
    </xf>
    <xf numFmtId="0" fontId="6" fillId="0" borderId="6" xfId="0" quotePrefix="1" applyFont="1" applyBorder="1" applyAlignment="1">
      <alignment horizontal="center" wrapText="1"/>
    </xf>
    <xf numFmtId="0" fontId="5" fillId="0" borderId="0" xfId="0" applyFont="1" applyAlignment="1">
      <alignment wrapText="1"/>
    </xf>
    <xf numFmtId="49" fontId="5" fillId="0" borderId="6" xfId="0" applyNumberFormat="1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6" fillId="0" borderId="0" xfId="0" applyFont="1"/>
    <xf numFmtId="0" fontId="3" fillId="0" borderId="0" xfId="0" applyFont="1"/>
    <xf numFmtId="49" fontId="6" fillId="0" borderId="0" xfId="0" applyNumberFormat="1" applyFont="1"/>
    <xf numFmtId="49" fontId="4" fillId="0" borderId="0" xfId="0" applyNumberFormat="1" applyFont="1"/>
    <xf numFmtId="49" fontId="5" fillId="0" borderId="6" xfId="0" applyNumberFormat="1" applyFont="1" applyBorder="1" applyAlignment="1">
      <alignment horizontal="center" wrapText="1"/>
    </xf>
    <xf numFmtId="49" fontId="5" fillId="0" borderId="6" xfId="0" quotePrefix="1" applyNumberFormat="1" applyFont="1" applyBorder="1" applyAlignment="1">
      <alignment horizontal="center" wrapText="1"/>
    </xf>
    <xf numFmtId="0" fontId="4" fillId="2" borderId="4" xfId="0" applyFont="1" applyFill="1" applyBorder="1"/>
    <xf numFmtId="0" fontId="5" fillId="0" borderId="5" xfId="0" applyFont="1" applyBorder="1" applyAlignment="1">
      <alignment horizontal="center" wrapText="1"/>
    </xf>
    <xf numFmtId="49" fontId="5" fillId="0" borderId="5" xfId="0" applyNumberFormat="1" applyFont="1" applyBorder="1" applyAlignment="1">
      <alignment horizontal="center" wrapText="1"/>
    </xf>
    <xf numFmtId="0" fontId="4" fillId="2" borderId="7" xfId="0" applyFont="1" applyFill="1" applyBorder="1"/>
    <xf numFmtId="49" fontId="4" fillId="3" borderId="6" xfId="0" applyNumberFormat="1" applyFont="1" applyFill="1" applyBorder="1"/>
    <xf numFmtId="49" fontId="4" fillId="4" borderId="6" xfId="0" applyNumberFormat="1" applyFont="1" applyFill="1" applyBorder="1"/>
    <xf numFmtId="49" fontId="4" fillId="5" borderId="6" xfId="0" applyNumberFormat="1" applyFont="1" applyFill="1" applyBorder="1"/>
    <xf numFmtId="0" fontId="4" fillId="4" borderId="6" xfId="0" applyFont="1" applyFill="1" applyBorder="1"/>
    <xf numFmtId="0" fontId="4" fillId="3" borderId="6" xfId="0" applyFont="1" applyFill="1" applyBorder="1"/>
    <xf numFmtId="0" fontId="4" fillId="4" borderId="0" xfId="0" applyFont="1" applyFill="1"/>
    <xf numFmtId="0" fontId="4" fillId="5" borderId="6" xfId="0" applyFont="1" applyFill="1" applyBorder="1"/>
    <xf numFmtId="0" fontId="4" fillId="3" borderId="0" xfId="0" applyFont="1" applyFill="1"/>
    <xf numFmtId="0" fontId="5" fillId="2" borderId="1" xfId="0" applyFont="1" applyFill="1" applyBorder="1" applyAlignment="1">
      <alignment horizontal="center" wrapText="1"/>
    </xf>
    <xf numFmtId="0" fontId="2" fillId="0" borderId="7" xfId="0" applyFont="1" applyBorder="1"/>
    <xf numFmtId="0" fontId="5" fillId="2" borderId="2" xfId="0" applyFont="1" applyFill="1" applyBorder="1" applyAlignment="1">
      <alignment horizontal="center" wrapText="1"/>
    </xf>
    <xf numFmtId="0" fontId="2" fillId="0" borderId="3" xfId="0" applyFont="1" applyBorder="1"/>
    <xf numFmtId="49" fontId="5" fillId="2" borderId="2" xfId="0" applyNumberFormat="1" applyFont="1" applyFill="1" applyBorder="1" applyAlignment="1">
      <alignment horizontal="center" wrapText="1"/>
    </xf>
    <xf numFmtId="0" fontId="6" fillId="0" borderId="0" xfId="0" applyFont="1"/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49" fontId="5" fillId="2" borderId="8" xfId="0" applyNumberFormat="1" applyFont="1" applyFill="1" applyBorder="1" applyAlignment="1">
      <alignment horizontal="center" wrapText="1"/>
    </xf>
    <xf numFmtId="49" fontId="5" fillId="2" borderId="3" xfId="0" applyNumberFormat="1" applyFont="1" applyFill="1" applyBorder="1" applyAlignment="1">
      <alignment horizontal="center" wrapText="1"/>
    </xf>
    <xf numFmtId="0" fontId="4" fillId="0" borderId="9" xfId="0" applyFont="1" applyBorder="1"/>
    <xf numFmtId="0" fontId="4" fillId="0" borderId="0" xfId="0" applyFont="1"/>
    <xf numFmtId="0" fontId="3" fillId="0" borderId="10" xfId="0" applyFont="1" applyBorder="1"/>
    <xf numFmtId="0" fontId="8" fillId="6" borderId="10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12" fillId="7" borderId="11" xfId="0" applyFont="1" applyFill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left" vertical="center"/>
    </xf>
    <xf numFmtId="49" fontId="12" fillId="7" borderId="11" xfId="0" applyNumberFormat="1" applyFont="1" applyFill="1" applyBorder="1" applyAlignment="1">
      <alignment horizontal="center" vertical="center"/>
    </xf>
    <xf numFmtId="49" fontId="3" fillId="0" borderId="11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49" fontId="11" fillId="7" borderId="11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1"/>
  <sheetViews>
    <sheetView workbookViewId="0">
      <pane ySplit="2" topLeftCell="A59" activePane="bottomLeft" state="frozen"/>
      <selection pane="bottomLeft" activeCell="C7" sqref="C7"/>
    </sheetView>
  </sheetViews>
  <sheetFormatPr defaultColWidth="14.42578125" defaultRowHeight="15" customHeight="1"/>
  <cols>
    <col min="1" max="1" width="17.5703125" bestFit="1" customWidth="1"/>
    <col min="2" max="2" width="7.7109375" bestFit="1" customWidth="1"/>
    <col min="3" max="3" width="41.28515625" bestFit="1" customWidth="1"/>
    <col min="4" max="4" width="7.7109375" bestFit="1" customWidth="1"/>
    <col min="5" max="5" width="39" bestFit="1" customWidth="1"/>
    <col min="6" max="6" width="7.7109375" bestFit="1" customWidth="1"/>
    <col min="7" max="7" width="40" bestFit="1" customWidth="1"/>
  </cols>
  <sheetData>
    <row r="1" spans="1:7">
      <c r="A1" s="52"/>
      <c r="B1" s="52" t="s">
        <v>1</v>
      </c>
      <c r="C1" s="52"/>
      <c r="D1" s="52" t="s">
        <v>2</v>
      </c>
      <c r="E1" s="52"/>
      <c r="F1" s="52" t="s">
        <v>3</v>
      </c>
      <c r="G1" s="52"/>
    </row>
    <row r="2" spans="1:7">
      <c r="A2" s="52"/>
      <c r="B2" s="47" t="s">
        <v>4</v>
      </c>
      <c r="C2" s="47" t="s">
        <v>5</v>
      </c>
      <c r="D2" s="47" t="s">
        <v>4</v>
      </c>
      <c r="E2" s="47" t="s">
        <v>5</v>
      </c>
      <c r="F2" s="47" t="s">
        <v>4</v>
      </c>
      <c r="G2" s="47" t="s">
        <v>5</v>
      </c>
    </row>
    <row r="3" spans="1:7">
      <c r="A3" s="53" t="s">
        <v>6</v>
      </c>
      <c r="B3" s="55">
        <f>'Detailed Reasoning'!B$3</f>
        <v>0</v>
      </c>
      <c r="C3" s="55">
        <f>'Detailed Reasoning'!C$3</f>
        <v>0</v>
      </c>
      <c r="D3" s="55">
        <f>'Detailed Reasoning'!D$3</f>
        <v>0</v>
      </c>
      <c r="E3" s="55">
        <f>'Detailed Reasoning'!E$3</f>
        <v>0</v>
      </c>
      <c r="F3" s="55">
        <f>'Detailed Reasoning'!F$3</f>
        <v>0</v>
      </c>
      <c r="G3" s="55">
        <f>'Detailed Reasoning'!G$3</f>
        <v>0</v>
      </c>
    </row>
    <row r="4" spans="1:7">
      <c r="A4" s="54" t="s">
        <v>147</v>
      </c>
      <c r="B4" s="56">
        <f>'1조'!B$3</f>
        <v>0</v>
      </c>
      <c r="C4" s="51" t="str">
        <f>'1조'!C3</f>
        <v>1조 - Batch Sequential - Availability</v>
      </c>
      <c r="D4" s="56">
        <f>'1조'!D$3</f>
        <v>0</v>
      </c>
      <c r="E4" s="51" t="str">
        <f>'1조'!E3</f>
        <v>1조 - Pipe and Filter - Availability</v>
      </c>
      <c r="F4" s="56">
        <f>'1조'!F$3</f>
        <v>0</v>
      </c>
      <c r="G4" s="51" t="str">
        <f>'1조'!G3</f>
        <v>1조 - Process Control - Availability</v>
      </c>
    </row>
    <row r="5" spans="1:7">
      <c r="A5" s="54" t="s">
        <v>148</v>
      </c>
      <c r="B5" s="56" t="str">
        <f>'2조'!B$3</f>
        <v/>
      </c>
      <c r="C5" s="51" t="str">
        <f>'2조'!C$3</f>
        <v>2조 - Batch Sequential - Availability</v>
      </c>
      <c r="D5" s="56" t="str">
        <f>'2조'!D$3</f>
        <v/>
      </c>
      <c r="E5" s="57" t="str">
        <f>'2조'!E$3</f>
        <v>2조 - Pipe and Filter - Availability</v>
      </c>
      <c r="F5" s="56" t="str">
        <f>'2조'!F$3</f>
        <v/>
      </c>
      <c r="G5" s="57" t="str">
        <f>'2조'!G$3</f>
        <v>2조 - Process Control - Availability</v>
      </c>
    </row>
    <row r="6" spans="1:7">
      <c r="A6" s="54" t="s">
        <v>149</v>
      </c>
      <c r="B6" s="56" t="str">
        <f>'3조'!B$3</f>
        <v/>
      </c>
      <c r="C6" s="57" t="str">
        <f>'3조'!C$3</f>
        <v>3조 - Batch Sequential - Availability</v>
      </c>
      <c r="D6" s="56" t="str">
        <f>'3조'!D$3</f>
        <v/>
      </c>
      <c r="E6" s="57" t="str">
        <f>'3조'!E$3</f>
        <v>3조 - Pipe and Filter - Availability</v>
      </c>
      <c r="F6" s="56" t="str">
        <f>'3조'!F$3</f>
        <v/>
      </c>
      <c r="G6" s="57" t="str">
        <f>'3조'!G$3</f>
        <v>3조 - Process Control - Availability</v>
      </c>
    </row>
    <row r="7" spans="1:7">
      <c r="A7" s="54" t="s">
        <v>150</v>
      </c>
      <c r="B7" s="56" t="str">
        <f>'4조'!B$3</f>
        <v/>
      </c>
      <c r="C7" s="57" t="str">
        <f>'4조'!C$3</f>
        <v>4조 - Batch Sequential - Availability</v>
      </c>
      <c r="D7" s="56" t="str">
        <f>'4조'!D$3</f>
        <v/>
      </c>
      <c r="E7" s="57" t="str">
        <f>'4조'!E$3</f>
        <v>4조 - Pipe and Filter - Availability</v>
      </c>
      <c r="F7" s="56" t="str">
        <f>'4조'!F$3</f>
        <v/>
      </c>
      <c r="G7" s="57" t="str">
        <f>'4조'!G$3</f>
        <v>4조 - Process Control - Availability</v>
      </c>
    </row>
    <row r="8" spans="1:7">
      <c r="A8" s="54" t="s">
        <v>151</v>
      </c>
      <c r="B8" s="56" t="str">
        <f>'5조'!B$3</f>
        <v/>
      </c>
      <c r="C8" s="57" t="str">
        <f>'5조'!C$3</f>
        <v>5조 - Batch Sequential - Availability</v>
      </c>
      <c r="D8" s="56" t="str">
        <f>'5조'!D$3</f>
        <v/>
      </c>
      <c r="E8" s="57" t="str">
        <f>'5조'!E$3</f>
        <v>5조 - Pipe and Filter - Availability</v>
      </c>
      <c r="F8" s="56" t="str">
        <f>'5조'!F$3</f>
        <v/>
      </c>
      <c r="G8" s="57" t="str">
        <f>'5조'!G$3</f>
        <v>5조 - Process Control - Availability</v>
      </c>
    </row>
    <row r="9" spans="1:7">
      <c r="A9" s="54" t="s">
        <v>152</v>
      </c>
      <c r="B9" s="56" t="str">
        <f>'6조'!B$3</f>
        <v/>
      </c>
      <c r="C9" s="57" t="str">
        <f>'6조'!C$3</f>
        <v>6조 - Batch Sequential - Availability</v>
      </c>
      <c r="D9" s="56" t="str">
        <f>'6조'!D$3</f>
        <v/>
      </c>
      <c r="E9" s="57" t="str">
        <f>'6조'!E$3</f>
        <v>6조 - Pipe and Filter - Availability</v>
      </c>
      <c r="F9" s="56" t="str">
        <f>'6조'!F$3</f>
        <v/>
      </c>
      <c r="G9" s="57" t="str">
        <f>'6조'!G$3</f>
        <v>6조 - Process Control - Availability</v>
      </c>
    </row>
    <row r="10" spans="1:7">
      <c r="A10" s="54" t="s">
        <v>153</v>
      </c>
      <c r="B10" s="56" t="str">
        <f>'7조'!B$3</f>
        <v/>
      </c>
      <c r="C10" s="57" t="str">
        <f>'7조'!C$3</f>
        <v>7조 - Batch Sequential - Availability</v>
      </c>
      <c r="D10" s="56" t="str">
        <f>'7조'!D$3</f>
        <v/>
      </c>
      <c r="E10" s="57" t="str">
        <f>'7조'!E$3</f>
        <v>7조 - Pipe and Filter - Availability</v>
      </c>
      <c r="F10" s="56" t="str">
        <f>'7조'!F$3</f>
        <v/>
      </c>
      <c r="G10" s="57" t="str">
        <f>'7조'!G$3</f>
        <v>7조 - Process Control - Availability</v>
      </c>
    </row>
    <row r="11" spans="1:7">
      <c r="A11" s="54" t="s">
        <v>154</v>
      </c>
      <c r="B11" s="56" t="str">
        <f>'8조'!B$3</f>
        <v/>
      </c>
      <c r="C11" s="57" t="str">
        <f>'8조'!C$3</f>
        <v>8조 - Batch Sequential - Availability</v>
      </c>
      <c r="D11" s="56" t="str">
        <f>'8조'!D$3</f>
        <v/>
      </c>
      <c r="E11" s="57" t="str">
        <f>'8조'!E$3</f>
        <v>8조 - Pipe and Filter - Availability</v>
      </c>
      <c r="F11" s="56" t="str">
        <f>'8조'!F$3</f>
        <v/>
      </c>
      <c r="G11" s="57" t="str">
        <f>'8조'!G$3</f>
        <v>8조 - Process Control - Availability</v>
      </c>
    </row>
    <row r="12" spans="1:7">
      <c r="A12" s="54" t="s">
        <v>155</v>
      </c>
      <c r="B12" s="56" t="str">
        <f>'9조'!B$3</f>
        <v/>
      </c>
      <c r="C12" s="57" t="str">
        <f>'9조'!C$3</f>
        <v>9조 - Batch Sequential - Availability</v>
      </c>
      <c r="D12" s="56" t="str">
        <f>'9조'!D$3</f>
        <v/>
      </c>
      <c r="E12" s="57" t="str">
        <f>'9조'!E$3</f>
        <v>9조 - Pipe and Filter - Availability</v>
      </c>
      <c r="F12" s="56" t="str">
        <f>'9조'!F$3</f>
        <v/>
      </c>
      <c r="G12" s="57" t="str">
        <f>'9조'!G$3</f>
        <v>9조 - Process Control - Availability</v>
      </c>
    </row>
    <row r="13" spans="1:7">
      <c r="A13" s="51"/>
      <c r="B13" s="50"/>
      <c r="C13" s="51"/>
      <c r="D13" s="50"/>
      <c r="E13" s="51"/>
      <c r="F13" s="50"/>
      <c r="G13" s="51"/>
    </row>
    <row r="14" spans="1:7">
      <c r="A14" s="53" t="s">
        <v>16</v>
      </c>
      <c r="B14" s="55">
        <f>'Detailed Reasoning'!B$4</f>
        <v>0</v>
      </c>
      <c r="C14" s="55">
        <f>'Detailed Reasoning'!C$4</f>
        <v>0</v>
      </c>
      <c r="D14" s="55">
        <f>'Detailed Reasoning'!D$4</f>
        <v>0</v>
      </c>
      <c r="E14" s="55">
        <f>'Detailed Reasoning'!E$4</f>
        <v>0</v>
      </c>
      <c r="F14" s="55">
        <f>'Detailed Reasoning'!F$4</f>
        <v>0</v>
      </c>
      <c r="G14" s="55">
        <f>'Detailed Reasoning'!G$4</f>
        <v>0</v>
      </c>
    </row>
    <row r="15" spans="1:7">
      <c r="A15" s="54" t="s">
        <v>147</v>
      </c>
      <c r="B15" s="56">
        <f>'1조'!B$4</f>
        <v>0</v>
      </c>
      <c r="C15" s="51" t="str">
        <f>'1조'!C4</f>
        <v>1조 - Batch Sequential - Deployability</v>
      </c>
      <c r="D15" s="56">
        <f>'1조'!D$4</f>
        <v>0</v>
      </c>
      <c r="E15" s="51" t="str">
        <f>'1조'!E4</f>
        <v>1조 - Pipe and Filter - Deployability</v>
      </c>
      <c r="F15" s="56">
        <f>'1조'!F$4</f>
        <v>0</v>
      </c>
      <c r="G15" s="51" t="str">
        <f>'1조'!G4</f>
        <v>1조 - Process Control - Deployability</v>
      </c>
    </row>
    <row r="16" spans="1:7">
      <c r="A16" s="54" t="s">
        <v>148</v>
      </c>
      <c r="B16" s="56" t="str">
        <f>'2조'!B$4</f>
        <v/>
      </c>
      <c r="C16" s="57" t="str">
        <f>'2조'!C$4</f>
        <v>2조 - Batch Sequential - Deployability</v>
      </c>
      <c r="D16" s="56" t="str">
        <f>'2조'!D$4</f>
        <v/>
      </c>
      <c r="E16" s="57" t="str">
        <f>'2조'!E$4</f>
        <v>2조 - Pipe and Filter - Deployability</v>
      </c>
      <c r="F16" s="56" t="str">
        <f>'2조'!F$4</f>
        <v/>
      </c>
      <c r="G16" s="57" t="str">
        <f>'2조'!G$4</f>
        <v>2조 - Process Control - Deployability</v>
      </c>
    </row>
    <row r="17" spans="1:7">
      <c r="A17" s="54" t="s">
        <v>149</v>
      </c>
      <c r="B17" s="56" t="str">
        <f>'3조'!B$4</f>
        <v/>
      </c>
      <c r="C17" s="57" t="str">
        <f>'3조'!C$4</f>
        <v>3조 - Batch Sequential - Deployability</v>
      </c>
      <c r="D17" s="56" t="str">
        <f>'3조'!D$4</f>
        <v/>
      </c>
      <c r="E17" s="57" t="str">
        <f>'3조'!E$4</f>
        <v>3조 - Pipe and Filter - Deployability</v>
      </c>
      <c r="F17" s="56" t="str">
        <f>'3조'!F$4</f>
        <v/>
      </c>
      <c r="G17" s="57" t="str">
        <f>'3조'!G$4</f>
        <v>3조 - Process Control - Deployability</v>
      </c>
    </row>
    <row r="18" spans="1:7">
      <c r="A18" s="54" t="s">
        <v>150</v>
      </c>
      <c r="B18" s="56" t="str">
        <f>'4조'!B$4</f>
        <v/>
      </c>
      <c r="C18" s="57" t="str">
        <f>'4조'!C$4</f>
        <v>4조 - Batch Sequential - Deployability</v>
      </c>
      <c r="D18" s="56" t="str">
        <f>'4조'!D$4</f>
        <v/>
      </c>
      <c r="E18" s="57" t="str">
        <f>'4조'!E$4</f>
        <v>4조 - Pipe and Filter - Deployability</v>
      </c>
      <c r="F18" s="56" t="str">
        <f>'4조'!F$4</f>
        <v/>
      </c>
      <c r="G18" s="57" t="str">
        <f>'4조'!G$4</f>
        <v>4조 - Process Control - Deployability</v>
      </c>
    </row>
    <row r="19" spans="1:7">
      <c r="A19" s="54" t="s">
        <v>151</v>
      </c>
      <c r="B19" s="56" t="str">
        <f>'5조'!B$4</f>
        <v/>
      </c>
      <c r="C19" s="57" t="str">
        <f>'5조'!C$4</f>
        <v>5조 - Batch Sequential - Deployability</v>
      </c>
      <c r="D19" s="56" t="str">
        <f>'5조'!D$4</f>
        <v/>
      </c>
      <c r="E19" s="57" t="str">
        <f>'5조'!E$4</f>
        <v>5조 - Pipe and Filter - Deployability</v>
      </c>
      <c r="F19" s="56" t="str">
        <f>'5조'!F$4</f>
        <v/>
      </c>
      <c r="G19" s="57" t="str">
        <f>'5조'!G$4</f>
        <v>5조 - Process Control - Deployability</v>
      </c>
    </row>
    <row r="20" spans="1:7">
      <c r="A20" s="54" t="s">
        <v>152</v>
      </c>
      <c r="B20" s="56" t="str">
        <f>'6조'!B$4</f>
        <v/>
      </c>
      <c r="C20" s="57" t="str">
        <f>'6조'!C$4</f>
        <v>6조 - Batch Sequential - Deployability</v>
      </c>
      <c r="D20" s="56" t="str">
        <f>'6조'!D$4</f>
        <v/>
      </c>
      <c r="E20" s="57" t="str">
        <f>'6조'!E$4</f>
        <v>6조 - Pipe and Filter - Deployability</v>
      </c>
      <c r="F20" s="56" t="str">
        <f>'6조'!F$4</f>
        <v/>
      </c>
      <c r="G20" s="57" t="str">
        <f>'6조'!G$4</f>
        <v>6조 - Process Control - Deployability</v>
      </c>
    </row>
    <row r="21" spans="1:7">
      <c r="A21" s="54" t="s">
        <v>153</v>
      </c>
      <c r="B21" s="56" t="str">
        <f>'7조'!B$4</f>
        <v/>
      </c>
      <c r="C21" s="57" t="str">
        <f>'7조'!C$4</f>
        <v>7조 - Batch Sequential - Deployability</v>
      </c>
      <c r="D21" s="56" t="str">
        <f>'7조'!D$4</f>
        <v/>
      </c>
      <c r="E21" s="57" t="str">
        <f>'7조'!E$4</f>
        <v>7조 - Pipe and Filter - Deployability</v>
      </c>
      <c r="F21" s="56" t="str">
        <f>'7조'!F$4</f>
        <v/>
      </c>
      <c r="G21" s="57" t="str">
        <f>'7조'!G$4</f>
        <v>7조 - Process Control - Deployability</v>
      </c>
    </row>
    <row r="22" spans="1:7">
      <c r="A22" s="54" t="s">
        <v>154</v>
      </c>
      <c r="B22" s="56" t="str">
        <f>'8조'!B$4</f>
        <v/>
      </c>
      <c r="C22" s="57" t="str">
        <f>'8조'!C$4</f>
        <v>8조 - Batch Sequential - Deployability</v>
      </c>
      <c r="D22" s="56" t="str">
        <f>'8조'!D$4</f>
        <v/>
      </c>
      <c r="E22" s="57" t="str">
        <f>'8조'!E$4</f>
        <v>8조 - Pipe and Filter - Deployability</v>
      </c>
      <c r="F22" s="56" t="str">
        <f>'8조'!F$4</f>
        <v/>
      </c>
      <c r="G22" s="57" t="str">
        <f>'8조'!G$4</f>
        <v>8조 - Process Control - Deployability</v>
      </c>
    </row>
    <row r="23" spans="1:7">
      <c r="A23" s="54" t="s">
        <v>155</v>
      </c>
      <c r="B23" s="56" t="str">
        <f>'9조'!B$4</f>
        <v/>
      </c>
      <c r="C23" s="57" t="str">
        <f>'9조'!C$4</f>
        <v>9조 - Batch Sequential - Deployability</v>
      </c>
      <c r="D23" s="56" t="str">
        <f>'9조'!D$4</f>
        <v/>
      </c>
      <c r="E23" s="57" t="str">
        <f>'9조'!E$4</f>
        <v>9조 - Pipe and Filter - Deployability</v>
      </c>
      <c r="F23" s="56" t="str">
        <f>'9조'!F$4</f>
        <v/>
      </c>
      <c r="G23" s="57" t="str">
        <f>'9조'!G$4</f>
        <v>9조 - Process Control - Deployability</v>
      </c>
    </row>
    <row r="24" spans="1:7">
      <c r="A24" s="51"/>
      <c r="B24" s="50"/>
      <c r="C24" s="51"/>
      <c r="D24" s="50"/>
      <c r="E24" s="51"/>
      <c r="F24" s="50"/>
      <c r="G24" s="51"/>
    </row>
    <row r="25" spans="1:7">
      <c r="A25" s="53" t="s">
        <v>17</v>
      </c>
      <c r="B25" s="55">
        <f>'Detailed Reasoning'!B$5</f>
        <v>0</v>
      </c>
      <c r="C25" s="55">
        <f>'Detailed Reasoning'!C$5</f>
        <v>0</v>
      </c>
      <c r="D25" s="55">
        <f>'Detailed Reasoning'!D$5</f>
        <v>0</v>
      </c>
      <c r="E25" s="55">
        <f>'Detailed Reasoning'!E$5</f>
        <v>0</v>
      </c>
      <c r="F25" s="55">
        <f>'Detailed Reasoning'!F$5</f>
        <v>0</v>
      </c>
      <c r="G25" s="55">
        <f>'Detailed Reasoning'!G$5</f>
        <v>0</v>
      </c>
    </row>
    <row r="26" spans="1:7">
      <c r="A26" s="54" t="s">
        <v>147</v>
      </c>
      <c r="B26" s="56">
        <f>'1조'!B$5</f>
        <v>0</v>
      </c>
      <c r="C26" s="51" t="str">
        <f>'1조'!C5</f>
        <v>1조 - Batch Sequential - Integrability</v>
      </c>
      <c r="D26" s="56">
        <f>'1조'!D$5</f>
        <v>0</v>
      </c>
      <c r="E26" s="51" t="str">
        <f>'1조'!E5</f>
        <v>1조 - Pipe and Filter - Integrability</v>
      </c>
      <c r="F26" s="56">
        <f>'1조'!F$5</f>
        <v>0</v>
      </c>
      <c r="G26" s="51" t="str">
        <f>'1조'!G5</f>
        <v>1조 - Process Control - Integrability</v>
      </c>
    </row>
    <row r="27" spans="1:7">
      <c r="A27" s="54" t="s">
        <v>148</v>
      </c>
      <c r="B27" s="56" t="str">
        <f>'2조'!B$5</f>
        <v/>
      </c>
      <c r="C27" s="57" t="str">
        <f>'2조'!C$5</f>
        <v>2조 - Batch Sequential - Integrability</v>
      </c>
      <c r="D27" s="56" t="str">
        <f>'2조'!D$5</f>
        <v/>
      </c>
      <c r="E27" s="57" t="str">
        <f>'2조'!E$5</f>
        <v>2조 - Pipe and Filter - Integrability</v>
      </c>
      <c r="F27" s="56" t="str">
        <f>'2조'!F$5</f>
        <v/>
      </c>
      <c r="G27" s="57" t="str">
        <f>'2조'!G$5</f>
        <v>2조 - Process Control - Integrability</v>
      </c>
    </row>
    <row r="28" spans="1:7">
      <c r="A28" s="54" t="s">
        <v>149</v>
      </c>
      <c r="B28" s="56" t="str">
        <f>'3조'!B$5</f>
        <v/>
      </c>
      <c r="C28" s="57" t="str">
        <f>'3조'!C$5</f>
        <v>3조 - Batch Sequential - Integrability</v>
      </c>
      <c r="D28" s="56" t="str">
        <f>'3조'!D$5</f>
        <v/>
      </c>
      <c r="E28" s="57" t="str">
        <f>'3조'!E$5</f>
        <v>3조 - Pipe and Filter - Integrability</v>
      </c>
      <c r="F28" s="56" t="str">
        <f>'3조'!F$5</f>
        <v/>
      </c>
      <c r="G28" s="57" t="str">
        <f>'3조'!G$5</f>
        <v>3조 - Process Control - Integrability</v>
      </c>
    </row>
    <row r="29" spans="1:7">
      <c r="A29" s="54" t="s">
        <v>150</v>
      </c>
      <c r="B29" s="56" t="str">
        <f>'4조'!B$5</f>
        <v/>
      </c>
      <c r="C29" s="57" t="str">
        <f>'4조'!C$5</f>
        <v>4조 - Batch Sequential - Integrability</v>
      </c>
      <c r="D29" s="56" t="str">
        <f>'4조'!D$5</f>
        <v/>
      </c>
      <c r="E29" s="57" t="str">
        <f>'4조'!E$5</f>
        <v>4조 - Pipe and Filter - Integrability</v>
      </c>
      <c r="F29" s="56" t="str">
        <f>'4조'!F$5</f>
        <v/>
      </c>
      <c r="G29" s="57" t="str">
        <f>'4조'!G$5</f>
        <v>4조 - Process Control - Integrability</v>
      </c>
    </row>
    <row r="30" spans="1:7">
      <c r="A30" s="54" t="s">
        <v>151</v>
      </c>
      <c r="B30" s="56" t="str">
        <f>'5조'!B$5</f>
        <v/>
      </c>
      <c r="C30" s="57" t="str">
        <f>'5조'!C$5</f>
        <v>5조 - Batch Sequential - Integrability</v>
      </c>
      <c r="D30" s="56" t="str">
        <f>'5조'!D$5</f>
        <v/>
      </c>
      <c r="E30" s="57" t="str">
        <f>'5조'!E$5</f>
        <v>5조 - Pipe and Filter - Integrability</v>
      </c>
      <c r="F30" s="56" t="str">
        <f>'5조'!F$5</f>
        <v/>
      </c>
      <c r="G30" s="57" t="str">
        <f>'5조'!G$5</f>
        <v>5조 - Process Control - Integrability</v>
      </c>
    </row>
    <row r="31" spans="1:7">
      <c r="A31" s="54" t="s">
        <v>152</v>
      </c>
      <c r="B31" s="56" t="str">
        <f>'6조'!B$5</f>
        <v/>
      </c>
      <c r="C31" s="57" t="str">
        <f>'6조'!C$5</f>
        <v>6조 - Batch Sequential - Integrability</v>
      </c>
      <c r="D31" s="56" t="str">
        <f>'6조'!D$5</f>
        <v/>
      </c>
      <c r="E31" s="57" t="str">
        <f>'6조'!E$5</f>
        <v>6조 - Pipe and Filter - Integrability</v>
      </c>
      <c r="F31" s="56" t="str">
        <f>'6조'!F$5</f>
        <v/>
      </c>
      <c r="G31" s="57" t="str">
        <f>'6조'!G$5</f>
        <v>6조 - Process Control - Integrability</v>
      </c>
    </row>
    <row r="32" spans="1:7">
      <c r="A32" s="54" t="s">
        <v>153</v>
      </c>
      <c r="B32" s="56" t="str">
        <f>'7조'!B$5</f>
        <v/>
      </c>
      <c r="C32" s="57" t="str">
        <f>'7조'!C$5</f>
        <v>7조 - Batch Sequential - Integrability</v>
      </c>
      <c r="D32" s="56" t="str">
        <f>'7조'!D$5</f>
        <v/>
      </c>
      <c r="E32" s="57" t="str">
        <f>'7조'!E$5</f>
        <v>7조 - Pipe and Filter - Integrability</v>
      </c>
      <c r="F32" s="56" t="str">
        <f>'7조'!F$5</f>
        <v/>
      </c>
      <c r="G32" s="57" t="str">
        <f>'7조'!G$5</f>
        <v>7조 - Process Control - Integrability</v>
      </c>
    </row>
    <row r="33" spans="1:7">
      <c r="A33" s="54" t="s">
        <v>154</v>
      </c>
      <c r="B33" s="56" t="str">
        <f>'8조'!B$5</f>
        <v/>
      </c>
      <c r="C33" s="57" t="str">
        <f>'8조'!C$5</f>
        <v>8조 - Batch Sequential - Integrability</v>
      </c>
      <c r="D33" s="56" t="str">
        <f>'8조'!D$5</f>
        <v/>
      </c>
      <c r="E33" s="57" t="str">
        <f>'8조'!E$5</f>
        <v>8조 - Pipe and Filter - Integrability</v>
      </c>
      <c r="F33" s="56" t="str">
        <f>'8조'!F$5</f>
        <v/>
      </c>
      <c r="G33" s="57" t="str">
        <f>'8조'!G$5</f>
        <v>8조 - Process Control - Integrability</v>
      </c>
    </row>
    <row r="34" spans="1:7">
      <c r="A34" s="54" t="s">
        <v>155</v>
      </c>
      <c r="B34" s="56" t="str">
        <f>'9조'!B$5</f>
        <v/>
      </c>
      <c r="C34" s="57" t="str">
        <f>'9조'!C$5</f>
        <v>9조 - Batch Sequential - Integrability</v>
      </c>
      <c r="D34" s="56" t="str">
        <f>'9조'!D$5</f>
        <v/>
      </c>
      <c r="E34" s="57" t="str">
        <f>'9조'!E$5</f>
        <v>9조 - Pipe and Filter - Integrability</v>
      </c>
      <c r="F34" s="56" t="str">
        <f>'9조'!F$5</f>
        <v/>
      </c>
      <c r="G34" s="57" t="str">
        <f>'9조'!G$5</f>
        <v>9조 - Process Control - Integrability</v>
      </c>
    </row>
    <row r="35" spans="1:7">
      <c r="A35" s="51"/>
      <c r="B35" s="50"/>
      <c r="C35" s="51"/>
      <c r="D35" s="50"/>
      <c r="E35" s="51"/>
      <c r="F35" s="50"/>
      <c r="G35" s="51"/>
    </row>
    <row r="36" spans="1:7">
      <c r="A36" s="53" t="s">
        <v>18</v>
      </c>
      <c r="B36" s="55">
        <f>'Detailed Reasoning'!B$6</f>
        <v>0</v>
      </c>
      <c r="C36" s="55">
        <f>'Detailed Reasoning'!C$6</f>
        <v>0</v>
      </c>
      <c r="D36" s="55">
        <f>'Detailed Reasoning'!D$6</f>
        <v>0</v>
      </c>
      <c r="E36" s="55">
        <f>'Detailed Reasoning'!E$6</f>
        <v>0</v>
      </c>
      <c r="F36" s="55">
        <f>'Detailed Reasoning'!F$6</f>
        <v>0</v>
      </c>
      <c r="G36" s="55">
        <f>'Detailed Reasoning'!G$6</f>
        <v>0</v>
      </c>
    </row>
    <row r="37" spans="1:7">
      <c r="A37" s="49" t="s">
        <v>156</v>
      </c>
      <c r="B37" s="56">
        <f>'1조'!B$6</f>
        <v>0</v>
      </c>
      <c r="C37" s="51" t="str">
        <f>'1조'!C6</f>
        <v>1조 - Batch Sequential - Energy Efficiency</v>
      </c>
      <c r="D37" s="56">
        <f>'1조'!D$6</f>
        <v>0</v>
      </c>
      <c r="E37" s="51" t="str">
        <f>'1조'!E6</f>
        <v>1조 - Pipe and Filter - Energy Efficiency</v>
      </c>
      <c r="F37" s="56">
        <f>'1조'!F$6</f>
        <v>0</v>
      </c>
      <c r="G37" s="51" t="str">
        <f>'1조'!G6</f>
        <v>1조 - Process Control - Energy Efficiency</v>
      </c>
    </row>
    <row r="38" spans="1:7">
      <c r="A38" s="49" t="s">
        <v>157</v>
      </c>
      <c r="B38" s="56" t="str">
        <f>'2조'!B$6</f>
        <v/>
      </c>
      <c r="C38" s="57" t="str">
        <f>'2조'!C$6</f>
        <v>2조 - Batch Sequential - Energy Efficiency</v>
      </c>
      <c r="D38" s="56" t="str">
        <f>'2조'!D$6</f>
        <v/>
      </c>
      <c r="E38" s="57" t="str">
        <f>'2조'!E$6</f>
        <v>2조 - Pipe and Filter - Energy Efficiency</v>
      </c>
      <c r="F38" s="56" t="str">
        <f>'2조'!F$6</f>
        <v/>
      </c>
      <c r="G38" s="57" t="str">
        <f>'2조'!G$6</f>
        <v>2조 - Process Control - Energy Efficiency</v>
      </c>
    </row>
    <row r="39" spans="1:7">
      <c r="A39" s="49" t="s">
        <v>158</v>
      </c>
      <c r="B39" s="56" t="str">
        <f>'3조'!B$6</f>
        <v/>
      </c>
      <c r="C39" s="57" t="str">
        <f>'3조'!C$6</f>
        <v>3조 - Batch Sequential - Energy Efficiency</v>
      </c>
      <c r="D39" s="56" t="str">
        <f>'3조'!D$6</f>
        <v/>
      </c>
      <c r="E39" s="57" t="str">
        <f>'3조'!E$6</f>
        <v>3조 - Pipe and Filter - Energy Efficiency</v>
      </c>
      <c r="F39" s="56" t="str">
        <f>'3조'!F$6</f>
        <v/>
      </c>
      <c r="G39" s="57" t="str">
        <f>'3조'!G$6</f>
        <v>3조 - Process Control - Energy Efficiency</v>
      </c>
    </row>
    <row r="40" spans="1:7">
      <c r="A40" s="49" t="s">
        <v>159</v>
      </c>
      <c r="B40" s="56" t="str">
        <f>'4조'!B$6</f>
        <v/>
      </c>
      <c r="C40" s="57" t="str">
        <f>'4조'!C$6</f>
        <v>4조 - Batch Sequential - Energy Efficiency</v>
      </c>
      <c r="D40" s="56" t="str">
        <f>'4조'!D$6</f>
        <v/>
      </c>
      <c r="E40" s="57" t="str">
        <f>'4조'!E$6</f>
        <v>4조 - Pipe and Filter - Energy Efficiency</v>
      </c>
      <c r="F40" s="56" t="str">
        <f>'4조'!F$6</f>
        <v/>
      </c>
      <c r="G40" s="57" t="str">
        <f>'4조'!G$6</f>
        <v>4조 - Process Control - Energy Efficiency</v>
      </c>
    </row>
    <row r="41" spans="1:7">
      <c r="A41" s="49" t="s">
        <v>160</v>
      </c>
      <c r="B41" s="56" t="str">
        <f>'5조'!B$6</f>
        <v/>
      </c>
      <c r="C41" s="57" t="str">
        <f>'5조'!C$6</f>
        <v>5조 - Batch Sequential - Energy Efficiency</v>
      </c>
      <c r="D41" s="56" t="str">
        <f>'5조'!D$6</f>
        <v/>
      </c>
      <c r="E41" s="57" t="str">
        <f>'5조'!E$6</f>
        <v>5조 - Pipe and Filter - Energy Efficiency</v>
      </c>
      <c r="F41" s="56" t="str">
        <f>'5조'!F$6</f>
        <v/>
      </c>
      <c r="G41" s="57" t="str">
        <f>'5조'!G$6</f>
        <v>5조 - Process Control - Energy Efficiency</v>
      </c>
    </row>
    <row r="42" spans="1:7">
      <c r="A42" s="49" t="s">
        <v>161</v>
      </c>
      <c r="B42" s="56" t="str">
        <f>'6조'!B$6</f>
        <v/>
      </c>
      <c r="C42" s="57" t="str">
        <f>'6조'!C$6</f>
        <v>6조 - Batch Sequential - Energy Efficiency</v>
      </c>
      <c r="D42" s="56" t="str">
        <f>'6조'!D$6</f>
        <v/>
      </c>
      <c r="E42" s="57" t="str">
        <f>'6조'!E$6</f>
        <v>6조 - Pipe and Filter - Energy Efficiency</v>
      </c>
      <c r="F42" s="56" t="str">
        <f>'6조'!F$6</f>
        <v/>
      </c>
      <c r="G42" s="57" t="str">
        <f>'6조'!G$6</f>
        <v>6조 - Process Control - Energy Efficiency</v>
      </c>
    </row>
    <row r="43" spans="1:7">
      <c r="A43" s="49" t="s">
        <v>162</v>
      </c>
      <c r="B43" s="56" t="str">
        <f>'7조'!B$6</f>
        <v/>
      </c>
      <c r="C43" s="57" t="str">
        <f>'7조'!C$6</f>
        <v>7조 - Batch Sequential - Energy Efficiency</v>
      </c>
      <c r="D43" s="56" t="str">
        <f>'7조'!D$6</f>
        <v/>
      </c>
      <c r="E43" s="57" t="str">
        <f>'7조'!E$6</f>
        <v>7조 - Pipe and Filter - Energy Efficiency</v>
      </c>
      <c r="F43" s="56" t="str">
        <f>'7조'!F$6</f>
        <v/>
      </c>
      <c r="G43" s="57" t="str">
        <f>'7조'!G$6</f>
        <v>7조 - Process Control - Energy Efficiency</v>
      </c>
    </row>
    <row r="44" spans="1:7">
      <c r="A44" s="49" t="s">
        <v>163</v>
      </c>
      <c r="B44" s="56" t="str">
        <f>'8조'!B$6</f>
        <v/>
      </c>
      <c r="C44" s="57" t="str">
        <f>'8조'!C$6</f>
        <v>8조 - Batch Sequential - Energy Efficiency</v>
      </c>
      <c r="D44" s="56" t="str">
        <f>'8조'!D$6</f>
        <v/>
      </c>
      <c r="E44" s="57" t="str">
        <f>'8조'!E$6</f>
        <v>8조 - Pipe and Filter - Energy Efficiency</v>
      </c>
      <c r="F44" s="56" t="str">
        <f>'8조'!F$6</f>
        <v/>
      </c>
      <c r="G44" s="57" t="str">
        <f>'8조'!G$6</f>
        <v>8조 - Process Control - Energy Efficiency</v>
      </c>
    </row>
    <row r="45" spans="1:7">
      <c r="A45" s="49" t="s">
        <v>164</v>
      </c>
      <c r="B45" s="56" t="str">
        <f>'9조'!B$6</f>
        <v/>
      </c>
      <c r="C45" s="57" t="str">
        <f>'9조'!C$6</f>
        <v>9조 - Batch Sequential - Energy Efficiency</v>
      </c>
      <c r="D45" s="56" t="str">
        <f>'9조'!D$6</f>
        <v/>
      </c>
      <c r="E45" s="57" t="str">
        <f>'9조'!E$6</f>
        <v>9조 - Pipe and Filter - Energy Efficiency</v>
      </c>
      <c r="F45" s="56" t="str">
        <f>'9조'!F$6</f>
        <v/>
      </c>
      <c r="G45" s="57" t="str">
        <f>'9조'!G$6</f>
        <v>9조 - Process Control - Energy Efficiency</v>
      </c>
    </row>
    <row r="46" spans="1:7">
      <c r="A46" s="49"/>
      <c r="B46" s="48"/>
      <c r="C46" s="49"/>
      <c r="D46" s="48"/>
      <c r="E46" s="49"/>
      <c r="F46" s="50"/>
      <c r="G46" s="51"/>
    </row>
    <row r="47" spans="1:7">
      <c r="A47" s="53" t="s">
        <v>19</v>
      </c>
      <c r="B47" s="55">
        <f>'Detailed Reasoning'!B$7</f>
        <v>0</v>
      </c>
      <c r="C47" s="55">
        <f>'Detailed Reasoning'!C$7</f>
        <v>0</v>
      </c>
      <c r="D47" s="55">
        <f>'Detailed Reasoning'!D$7</f>
        <v>0</v>
      </c>
      <c r="E47" s="55">
        <f>'Detailed Reasoning'!E$7</f>
        <v>0</v>
      </c>
      <c r="F47" s="55">
        <f>'Detailed Reasoning'!F$7</f>
        <v>0</v>
      </c>
      <c r="G47" s="55">
        <f>'Detailed Reasoning'!G$7</f>
        <v>0</v>
      </c>
    </row>
    <row r="48" spans="1:7">
      <c r="A48" s="54" t="s">
        <v>147</v>
      </c>
      <c r="B48" s="56">
        <f>'1조'!B$7</f>
        <v>0</v>
      </c>
      <c r="C48" s="51" t="str">
        <f>'1조'!C7</f>
        <v>1조 - Batch Sequential - Modifiability</v>
      </c>
      <c r="D48" s="56">
        <f>'1조'!D$7</f>
        <v>0</v>
      </c>
      <c r="E48" s="51" t="str">
        <f>'1조'!E7</f>
        <v>1조 - Pipe and Filter - Modifiability</v>
      </c>
      <c r="F48" s="56">
        <f>'1조'!F$7</f>
        <v>0</v>
      </c>
      <c r="G48" s="51" t="str">
        <f>'1조'!G7</f>
        <v>1조 - Process Control - Modifiability</v>
      </c>
    </row>
    <row r="49" spans="1:7">
      <c r="A49" s="54" t="s">
        <v>148</v>
      </c>
      <c r="B49" s="56" t="str">
        <f>'2조'!B$7</f>
        <v/>
      </c>
      <c r="C49" s="57" t="str">
        <f>'2조'!C$7</f>
        <v>2조 - Batch Sequential - Modifiability</v>
      </c>
      <c r="D49" s="56" t="str">
        <f>'2조'!D$7</f>
        <v/>
      </c>
      <c r="E49" s="57" t="str">
        <f>'2조'!E$7</f>
        <v>2조 - Pipe and Filter - Modifiability</v>
      </c>
      <c r="F49" s="56" t="str">
        <f>'2조'!F$7</f>
        <v/>
      </c>
      <c r="G49" s="57" t="str">
        <f>'2조'!G$7</f>
        <v>2조 - Process Control - Modifiability</v>
      </c>
    </row>
    <row r="50" spans="1:7">
      <c r="A50" s="54" t="s">
        <v>149</v>
      </c>
      <c r="B50" s="56" t="str">
        <f>'3조'!B$7</f>
        <v/>
      </c>
      <c r="C50" s="57" t="str">
        <f>'3조'!C$7</f>
        <v>3조 - Batch Sequential - Modifiability</v>
      </c>
      <c r="D50" s="56" t="str">
        <f>'3조'!D$7</f>
        <v/>
      </c>
      <c r="E50" s="57" t="str">
        <f>'3조'!E$7</f>
        <v>3조 - Pipe and Filter - Modifiability</v>
      </c>
      <c r="F50" s="56" t="str">
        <f>'3조'!F$7</f>
        <v/>
      </c>
      <c r="G50" s="57" t="str">
        <f>'3조'!G$7</f>
        <v>3조 - Process Control - Modifiability</v>
      </c>
    </row>
    <row r="51" spans="1:7">
      <c r="A51" s="54" t="s">
        <v>150</v>
      </c>
      <c r="B51" s="56" t="str">
        <f>'4조'!B$7</f>
        <v/>
      </c>
      <c r="C51" s="57" t="str">
        <f>'4조'!C$7</f>
        <v>4조 - Batch Sequential - Modifiability</v>
      </c>
      <c r="D51" s="56" t="str">
        <f>'4조'!D$7</f>
        <v/>
      </c>
      <c r="E51" s="57" t="str">
        <f>'4조'!E$7</f>
        <v>4조 - Pipe and Filter - Modifiability</v>
      </c>
      <c r="F51" s="56" t="str">
        <f>'4조'!F$7</f>
        <v/>
      </c>
      <c r="G51" s="57" t="str">
        <f>'4조'!G$7</f>
        <v>4조 - Process Control - Modifiability</v>
      </c>
    </row>
    <row r="52" spans="1:7">
      <c r="A52" s="54" t="s">
        <v>151</v>
      </c>
      <c r="B52" s="56" t="str">
        <f>'5조'!B$7</f>
        <v/>
      </c>
      <c r="C52" s="57" t="str">
        <f>'5조'!C$7</f>
        <v>5조 - Batch Sequential - Modifiability</v>
      </c>
      <c r="D52" s="56" t="str">
        <f>'5조'!D$7</f>
        <v/>
      </c>
      <c r="E52" s="57" t="str">
        <f>'5조'!E$7</f>
        <v>5조 - Pipe and Filter - Modifiability</v>
      </c>
      <c r="F52" s="56" t="str">
        <f>'5조'!F$7</f>
        <v/>
      </c>
      <c r="G52" s="57" t="str">
        <f>'5조'!G$7</f>
        <v>5조 - Process Control - Modifiability</v>
      </c>
    </row>
    <row r="53" spans="1:7">
      <c r="A53" s="54" t="s">
        <v>152</v>
      </c>
      <c r="B53" s="56" t="str">
        <f>'6조'!B$7</f>
        <v/>
      </c>
      <c r="C53" s="57" t="str">
        <f>'6조'!C$7</f>
        <v>6조 - Batch Sequential - Modifiability</v>
      </c>
      <c r="D53" s="56" t="str">
        <f>'6조'!D$7</f>
        <v/>
      </c>
      <c r="E53" s="57" t="str">
        <f>'6조'!E$7</f>
        <v>6조 - Pipe and Filter - Modifiability</v>
      </c>
      <c r="F53" s="56" t="str">
        <f>'6조'!F$7</f>
        <v/>
      </c>
      <c r="G53" s="57" t="str">
        <f>'6조'!G$7</f>
        <v>6조 - Process Control - Modifiability</v>
      </c>
    </row>
    <row r="54" spans="1:7">
      <c r="A54" s="54" t="s">
        <v>153</v>
      </c>
      <c r="B54" s="56" t="str">
        <f>'7조'!B$7</f>
        <v/>
      </c>
      <c r="C54" s="57" t="str">
        <f>'7조'!C$7</f>
        <v>7조 - Batch Sequential - Modifiability</v>
      </c>
      <c r="D54" s="56" t="str">
        <f>'7조'!D$7</f>
        <v/>
      </c>
      <c r="E54" s="57" t="str">
        <f>'7조'!E$7</f>
        <v>7조 - Pipe and Filter - Modifiability</v>
      </c>
      <c r="F54" s="56" t="str">
        <f>'7조'!F$7</f>
        <v/>
      </c>
      <c r="G54" s="57" t="str">
        <f>'7조'!G$7</f>
        <v>7조 - Process Control - Modifiability</v>
      </c>
    </row>
    <row r="55" spans="1:7">
      <c r="A55" s="54" t="s">
        <v>154</v>
      </c>
      <c r="B55" s="56" t="str">
        <f>'8조'!B$7</f>
        <v/>
      </c>
      <c r="C55" s="57" t="str">
        <f>'8조'!C$7</f>
        <v>8조 - Batch Sequential - Modifiability</v>
      </c>
      <c r="D55" s="56" t="str">
        <f>'8조'!D$7</f>
        <v/>
      </c>
      <c r="E55" s="57" t="str">
        <f>'8조'!E$7</f>
        <v>8조 - Pipe and Filter - Modifiability</v>
      </c>
      <c r="F55" s="56" t="str">
        <f>'8조'!F$7</f>
        <v/>
      </c>
      <c r="G55" s="57" t="str">
        <f>'8조'!G$7</f>
        <v>8조 - Process Control - Modifiability</v>
      </c>
    </row>
    <row r="56" spans="1:7">
      <c r="A56" s="54" t="s">
        <v>155</v>
      </c>
      <c r="B56" s="56" t="str">
        <f>'9조'!B$7</f>
        <v/>
      </c>
      <c r="C56" s="57" t="str">
        <f>'9조'!C$7</f>
        <v>9조 - Batch Sequential - Modifiability</v>
      </c>
      <c r="D56" s="56" t="str">
        <f>'9조'!D$7</f>
        <v/>
      </c>
      <c r="E56" s="57" t="str">
        <f>'9조'!E$7</f>
        <v>9조 - Pipe and Filter - Modifiability</v>
      </c>
      <c r="F56" s="56" t="str">
        <f>'9조'!F$7</f>
        <v/>
      </c>
      <c r="G56" s="57" t="str">
        <f>'9조'!G$7</f>
        <v>9조 - Process Control - Modifiability</v>
      </c>
    </row>
    <row r="57" spans="1:7">
      <c r="A57" s="51"/>
      <c r="B57" s="50"/>
      <c r="C57" s="51"/>
      <c r="D57" s="50"/>
      <c r="E57" s="51"/>
      <c r="F57" s="50"/>
      <c r="G57" s="51"/>
    </row>
    <row r="58" spans="1:7">
      <c r="A58" s="53" t="s">
        <v>20</v>
      </c>
      <c r="B58" s="55">
        <f>'Detailed Reasoning'!B$8</f>
        <v>0</v>
      </c>
      <c r="C58" s="55">
        <f>'Detailed Reasoning'!C$8</f>
        <v>0</v>
      </c>
      <c r="D58" s="55">
        <f>'Detailed Reasoning'!D$8</f>
        <v>0</v>
      </c>
      <c r="E58" s="55">
        <f>'Detailed Reasoning'!E$8</f>
        <v>0</v>
      </c>
      <c r="F58" s="55">
        <f>'Detailed Reasoning'!F$8</f>
        <v>0</v>
      </c>
      <c r="G58" s="55">
        <f>'Detailed Reasoning'!G$8</f>
        <v>0</v>
      </c>
    </row>
    <row r="59" spans="1:7">
      <c r="A59" s="54" t="s">
        <v>147</v>
      </c>
      <c r="B59" s="56">
        <f>'1조'!B$8</f>
        <v>0</v>
      </c>
      <c r="C59" s="51" t="str">
        <f>'1조'!C8</f>
        <v>1조 - Batch Sequential - Performance</v>
      </c>
      <c r="D59" s="56">
        <f>'1조'!D$8</f>
        <v>0</v>
      </c>
      <c r="E59" s="51" t="str">
        <f>'1조'!E8</f>
        <v>1조 - Pipe and Filter - Performance</v>
      </c>
      <c r="F59" s="56">
        <f>'1조'!F$8</f>
        <v>0</v>
      </c>
      <c r="G59" s="51" t="str">
        <f>'1조'!G8</f>
        <v>1조 - Process Control - Performance</v>
      </c>
    </row>
    <row r="60" spans="1:7">
      <c r="A60" s="54" t="s">
        <v>148</v>
      </c>
      <c r="B60" s="56" t="str">
        <f>'2조'!B$8</f>
        <v/>
      </c>
      <c r="C60" s="57" t="str">
        <f>'2조'!C$8</f>
        <v>2조 - Batch Sequential - Performance</v>
      </c>
      <c r="D60" s="56" t="str">
        <f>'2조'!D$8</f>
        <v/>
      </c>
      <c r="E60" s="57" t="str">
        <f>'2조'!E$8</f>
        <v>2조 - Pipe and Filter - Performance</v>
      </c>
      <c r="F60" s="56" t="str">
        <f>'2조'!F$8</f>
        <v/>
      </c>
      <c r="G60" s="57" t="str">
        <f>'2조'!G$8</f>
        <v>2조 - Process Control - Performance</v>
      </c>
    </row>
    <row r="61" spans="1:7">
      <c r="A61" s="54" t="s">
        <v>149</v>
      </c>
      <c r="B61" s="56" t="str">
        <f>'3조'!B$8</f>
        <v/>
      </c>
      <c r="C61" s="57" t="str">
        <f>'3조'!C$8</f>
        <v>3조 - Batch Sequential - Performance</v>
      </c>
      <c r="D61" s="56" t="str">
        <f>'3조'!D$8</f>
        <v/>
      </c>
      <c r="E61" s="57" t="str">
        <f>'3조'!E$8</f>
        <v>3조 - Pipe and Filter - Performance</v>
      </c>
      <c r="F61" s="56" t="str">
        <f>'3조'!F$8</f>
        <v/>
      </c>
      <c r="G61" s="57" t="str">
        <f>'3조'!G$8</f>
        <v>3조 - Process Control - Performance</v>
      </c>
    </row>
    <row r="62" spans="1:7">
      <c r="A62" s="54" t="s">
        <v>150</v>
      </c>
      <c r="B62" s="56" t="str">
        <f>'4조'!B$8</f>
        <v/>
      </c>
      <c r="C62" s="57" t="str">
        <f>'4조'!C$8</f>
        <v>4조 - Batch Sequential - Performance</v>
      </c>
      <c r="D62" s="56" t="str">
        <f>'4조'!D$8</f>
        <v/>
      </c>
      <c r="E62" s="57" t="str">
        <f>'4조'!E$8</f>
        <v>4조 - Pipe and Filter - Performance</v>
      </c>
      <c r="F62" s="56" t="str">
        <f>'4조'!F$8</f>
        <v/>
      </c>
      <c r="G62" s="57" t="str">
        <f>'4조'!G$8</f>
        <v>4조 - Process Control - Performance</v>
      </c>
    </row>
    <row r="63" spans="1:7">
      <c r="A63" s="54" t="s">
        <v>151</v>
      </c>
      <c r="B63" s="56" t="str">
        <f>'5조'!B$8</f>
        <v/>
      </c>
      <c r="C63" s="57" t="str">
        <f>'5조'!C$8</f>
        <v>5조 - Batch Sequential - Performance</v>
      </c>
      <c r="D63" s="56" t="str">
        <f>'5조'!D$8</f>
        <v/>
      </c>
      <c r="E63" s="57" t="str">
        <f>'5조'!E$8</f>
        <v>5조 - Pipe and Filter - Performance</v>
      </c>
      <c r="F63" s="56" t="str">
        <f>'5조'!F$8</f>
        <v/>
      </c>
      <c r="G63" s="57" t="str">
        <f>'5조'!G$8</f>
        <v>5조 - Process Control - Performance</v>
      </c>
    </row>
    <row r="64" spans="1:7">
      <c r="A64" s="54" t="s">
        <v>152</v>
      </c>
      <c r="B64" s="56" t="str">
        <f>'6조'!B$8</f>
        <v/>
      </c>
      <c r="C64" s="57" t="str">
        <f>'6조'!C$8</f>
        <v>6조 - Batch Sequential - Performance</v>
      </c>
      <c r="D64" s="56" t="str">
        <f>'6조'!D$8</f>
        <v/>
      </c>
      <c r="E64" s="57" t="str">
        <f>'6조'!E$8</f>
        <v>6조 - Pipe and Filter - Performance</v>
      </c>
      <c r="F64" s="56" t="str">
        <f>'6조'!F$8</f>
        <v/>
      </c>
      <c r="G64" s="57" t="str">
        <f>'6조'!G$8</f>
        <v>6조 - Process Control - Performance</v>
      </c>
    </row>
    <row r="65" spans="1:7">
      <c r="A65" s="54" t="s">
        <v>153</v>
      </c>
      <c r="B65" s="56" t="str">
        <f>'7조'!B$8</f>
        <v/>
      </c>
      <c r="C65" s="57" t="str">
        <f>'7조'!C$8</f>
        <v>7조 - Batch Sequential - Performance</v>
      </c>
      <c r="D65" s="56" t="str">
        <f>'7조'!D$8</f>
        <v/>
      </c>
      <c r="E65" s="57" t="str">
        <f>'7조'!E$8</f>
        <v>7조 - Pipe and Filter - Performance</v>
      </c>
      <c r="F65" s="56" t="str">
        <f>'7조'!F$8</f>
        <v/>
      </c>
      <c r="G65" s="57" t="str">
        <f>'7조'!G$8</f>
        <v>7조 - Process Control - Performance</v>
      </c>
    </row>
    <row r="66" spans="1:7">
      <c r="A66" s="54" t="s">
        <v>154</v>
      </c>
      <c r="B66" s="56" t="str">
        <f>'8조'!B$8</f>
        <v/>
      </c>
      <c r="C66" s="57" t="str">
        <f>'8조'!C$8</f>
        <v>8조 - Batch Sequential - Performance</v>
      </c>
      <c r="D66" s="56" t="str">
        <f>'8조'!D$8</f>
        <v/>
      </c>
      <c r="E66" s="57" t="str">
        <f>'8조'!E$8</f>
        <v>8조 - Pipe and Filter - Performance</v>
      </c>
      <c r="F66" s="56" t="str">
        <f>'8조'!F$8</f>
        <v/>
      </c>
      <c r="G66" s="57" t="str">
        <f>'8조'!G$8</f>
        <v>8조 - Process Control - Performance</v>
      </c>
    </row>
    <row r="67" spans="1:7">
      <c r="A67" s="54" t="s">
        <v>155</v>
      </c>
      <c r="B67" s="56" t="str">
        <f>'9조'!B$8</f>
        <v/>
      </c>
      <c r="C67" s="57" t="str">
        <f>'9조'!C$8</f>
        <v>9조 - Batch Sequential - Performance</v>
      </c>
      <c r="D67" s="56" t="str">
        <f>'9조'!D$8</f>
        <v/>
      </c>
      <c r="E67" s="57" t="str">
        <f>'9조'!E$8</f>
        <v>9조 - Pipe and Filter - Performance</v>
      </c>
      <c r="F67" s="56" t="str">
        <f>'9조'!F$8</f>
        <v/>
      </c>
      <c r="G67" s="57" t="str">
        <f>'9조'!G$8</f>
        <v>9조 - Process Control - Performance</v>
      </c>
    </row>
    <row r="68" spans="1:7">
      <c r="A68" s="51"/>
      <c r="B68" s="50"/>
      <c r="C68" s="51"/>
      <c r="D68" s="50"/>
      <c r="E68" s="51"/>
      <c r="F68" s="50"/>
      <c r="G68" s="51"/>
    </row>
    <row r="69" spans="1:7">
      <c r="A69" s="53" t="s">
        <v>21</v>
      </c>
      <c r="B69" s="55">
        <f>'Detailed Reasoning'!B$9</f>
        <v>0</v>
      </c>
      <c r="C69" s="55">
        <f>'Detailed Reasoning'!C$9</f>
        <v>0</v>
      </c>
      <c r="D69" s="55">
        <f>'Detailed Reasoning'!D$9</f>
        <v>0</v>
      </c>
      <c r="E69" s="55">
        <f>'Detailed Reasoning'!E$9</f>
        <v>0</v>
      </c>
      <c r="F69" s="55">
        <f>'Detailed Reasoning'!F$9</f>
        <v>0</v>
      </c>
      <c r="G69" s="55">
        <f>'Detailed Reasoning'!G$9</f>
        <v>0</v>
      </c>
    </row>
    <row r="70" spans="1:7">
      <c r="A70" s="54" t="s">
        <v>147</v>
      </c>
      <c r="B70" s="56">
        <f>'1조'!B$9</f>
        <v>0</v>
      </c>
      <c r="C70" s="51" t="str">
        <f>'1조'!C9</f>
        <v>1조 - Batch Sequential - Safety</v>
      </c>
      <c r="D70" s="56">
        <f>'1조'!D$9</f>
        <v>0</v>
      </c>
      <c r="E70" s="51" t="str">
        <f>'1조'!E9</f>
        <v>1조 - Pipe and Filter - Safety</v>
      </c>
      <c r="F70" s="56">
        <f>'1조'!F$9</f>
        <v>0</v>
      </c>
      <c r="G70" s="51" t="str">
        <f>'1조'!G9</f>
        <v>1조 - Process Control - Safety</v>
      </c>
    </row>
    <row r="71" spans="1:7">
      <c r="A71" s="54" t="s">
        <v>148</v>
      </c>
      <c r="B71" s="56" t="str">
        <f>'2조'!B$9</f>
        <v/>
      </c>
      <c r="C71" s="57" t="str">
        <f>'2조'!C$9</f>
        <v>2조 - Batch Sequential - Safety</v>
      </c>
      <c r="D71" s="56" t="str">
        <f>'2조'!D$9</f>
        <v/>
      </c>
      <c r="E71" s="57" t="str">
        <f>'2조'!E$9</f>
        <v>2조 - Pipe and Filter - Safety</v>
      </c>
      <c r="F71" s="56" t="str">
        <f>'2조'!F$9</f>
        <v/>
      </c>
      <c r="G71" s="57" t="str">
        <f>'2조'!G$9</f>
        <v>2조 - Process Control - Safety</v>
      </c>
    </row>
    <row r="72" spans="1:7">
      <c r="A72" s="54" t="s">
        <v>149</v>
      </c>
      <c r="B72" s="56" t="str">
        <f>'3조'!B$9</f>
        <v/>
      </c>
      <c r="C72" s="57" t="str">
        <f>'3조'!C$9</f>
        <v>3조 - Batch Sequential - Safety</v>
      </c>
      <c r="D72" s="56" t="str">
        <f>'3조'!D$9</f>
        <v/>
      </c>
      <c r="E72" s="57" t="str">
        <f>'3조'!E$9</f>
        <v>3조 - Pipe and Filter - Safety</v>
      </c>
      <c r="F72" s="56" t="str">
        <f>'3조'!F$9</f>
        <v/>
      </c>
      <c r="G72" s="57" t="str">
        <f>'3조'!G$9</f>
        <v>3조 - Process Control - Safety</v>
      </c>
    </row>
    <row r="73" spans="1:7">
      <c r="A73" s="54" t="s">
        <v>150</v>
      </c>
      <c r="B73" s="56" t="str">
        <f>'4조'!B$9</f>
        <v/>
      </c>
      <c r="C73" s="57" t="str">
        <f>'4조'!C$9</f>
        <v>4조 - Batch Sequential - Safety</v>
      </c>
      <c r="D73" s="56" t="str">
        <f>'4조'!D$9</f>
        <v/>
      </c>
      <c r="E73" s="57" t="str">
        <f>'4조'!E$9</f>
        <v>4조 - Pipe and Filter - Safety</v>
      </c>
      <c r="F73" s="56" t="str">
        <f>'4조'!F$9</f>
        <v/>
      </c>
      <c r="G73" s="57" t="str">
        <f>'4조'!G$9</f>
        <v>4조 - Process Control - Safety</v>
      </c>
    </row>
    <row r="74" spans="1:7">
      <c r="A74" s="54" t="s">
        <v>151</v>
      </c>
      <c r="B74" s="56" t="str">
        <f>'5조'!B$9</f>
        <v/>
      </c>
      <c r="C74" s="57" t="str">
        <f>'5조'!C$9</f>
        <v>5조 - Batch Sequential - Safety</v>
      </c>
      <c r="D74" s="56" t="str">
        <f>'5조'!D$9</f>
        <v/>
      </c>
      <c r="E74" s="57" t="str">
        <f>'5조'!E$9</f>
        <v>5조 - Pipe and Filter - Safety</v>
      </c>
      <c r="F74" s="56" t="str">
        <f>'5조'!F$9</f>
        <v/>
      </c>
      <c r="G74" s="57" t="str">
        <f>'5조'!G$9</f>
        <v>5조 - Process Control - Safety</v>
      </c>
    </row>
    <row r="75" spans="1:7">
      <c r="A75" s="54" t="s">
        <v>152</v>
      </c>
      <c r="B75" s="56" t="str">
        <f>'6조'!B$9</f>
        <v/>
      </c>
      <c r="C75" s="57" t="str">
        <f>'6조'!C$9</f>
        <v>6조 - Batch Sequential - Safety</v>
      </c>
      <c r="D75" s="56" t="str">
        <f>'6조'!D$9</f>
        <v/>
      </c>
      <c r="E75" s="57" t="str">
        <f>'6조'!E$9</f>
        <v>6조 - Pipe and Filter - Safety</v>
      </c>
      <c r="F75" s="56" t="str">
        <f>'6조'!F$9</f>
        <v/>
      </c>
      <c r="G75" s="57" t="str">
        <f>'6조'!G$9</f>
        <v>6조 - Process Control - Safety</v>
      </c>
    </row>
    <row r="76" spans="1:7">
      <c r="A76" s="54" t="s">
        <v>153</v>
      </c>
      <c r="B76" s="56" t="str">
        <f>'7조'!B$9</f>
        <v/>
      </c>
      <c r="C76" s="57" t="str">
        <f>'7조'!C$9</f>
        <v>7조 - Batch Sequential - Safety</v>
      </c>
      <c r="D76" s="56" t="str">
        <f>'7조'!D$9</f>
        <v/>
      </c>
      <c r="E76" s="57" t="str">
        <f>'7조'!E$9</f>
        <v>7조 - Pipe and Filter - Safety</v>
      </c>
      <c r="F76" s="56" t="str">
        <f>'7조'!F$9</f>
        <v/>
      </c>
      <c r="G76" s="57" t="str">
        <f>'7조'!G$9</f>
        <v>7조 - Process Control - Safety</v>
      </c>
    </row>
    <row r="77" spans="1:7">
      <c r="A77" s="54" t="s">
        <v>154</v>
      </c>
      <c r="B77" s="56" t="str">
        <f>'8조'!B$9</f>
        <v/>
      </c>
      <c r="C77" s="57" t="str">
        <f>'8조'!C$9</f>
        <v>8조 - Batch Sequential - Safety</v>
      </c>
      <c r="D77" s="56" t="str">
        <f>'8조'!D$9</f>
        <v/>
      </c>
      <c r="E77" s="57" t="str">
        <f>'8조'!E$9</f>
        <v>8조 - Pipe and Filter - Safety</v>
      </c>
      <c r="F77" s="56" t="str">
        <f>'8조'!F$9</f>
        <v/>
      </c>
      <c r="G77" s="57" t="str">
        <f>'8조'!G$9</f>
        <v>8조 - Process Control - Safety</v>
      </c>
    </row>
    <row r="78" spans="1:7">
      <c r="A78" s="54" t="s">
        <v>155</v>
      </c>
      <c r="B78" s="56" t="str">
        <f>'9조'!B$9</f>
        <v/>
      </c>
      <c r="C78" s="57" t="str">
        <f>'9조'!C$9</f>
        <v>9조 - Batch Sequential - Safety</v>
      </c>
      <c r="D78" s="56" t="str">
        <f>'9조'!D$9</f>
        <v/>
      </c>
      <c r="E78" s="57" t="str">
        <f>'9조'!E$9</f>
        <v>9조 - Pipe and Filter - Safety</v>
      </c>
      <c r="F78" s="56" t="str">
        <f>'9조'!F$9</f>
        <v/>
      </c>
      <c r="G78" s="57" t="str">
        <f>'9조'!G$9</f>
        <v>9조 - Process Control - Safety</v>
      </c>
    </row>
    <row r="79" spans="1:7">
      <c r="A79" s="51"/>
      <c r="B79" s="50"/>
      <c r="C79" s="51"/>
      <c r="D79" s="50"/>
      <c r="E79" s="51"/>
      <c r="F79" s="50"/>
      <c r="G79" s="51"/>
    </row>
    <row r="80" spans="1:7">
      <c r="A80" s="53" t="s">
        <v>22</v>
      </c>
      <c r="B80" s="55">
        <f>'Detailed Reasoning'!B$10</f>
        <v>0</v>
      </c>
      <c r="C80" s="55">
        <f>'Detailed Reasoning'!C$10</f>
        <v>0</v>
      </c>
      <c r="D80" s="55">
        <f>'Detailed Reasoning'!D$10</f>
        <v>0</v>
      </c>
      <c r="E80" s="55">
        <f>'Detailed Reasoning'!E$10</f>
        <v>0</v>
      </c>
      <c r="F80" s="55">
        <f>'Detailed Reasoning'!F$10</f>
        <v>0</v>
      </c>
      <c r="G80" s="55">
        <f>'Detailed Reasoning'!G$10</f>
        <v>0</v>
      </c>
    </row>
    <row r="81" spans="1:7">
      <c r="A81" s="54" t="s">
        <v>147</v>
      </c>
      <c r="B81" s="56">
        <f>'1조'!B$10</f>
        <v>0</v>
      </c>
      <c r="C81" s="51" t="str">
        <f>'1조'!C10</f>
        <v>1조 - Batch Sequential - Security</v>
      </c>
      <c r="D81" s="56">
        <f>'1조'!D$10</f>
        <v>0</v>
      </c>
      <c r="E81" s="51" t="str">
        <f>'1조'!E10</f>
        <v>1조 - Pipe and Filter - Security</v>
      </c>
      <c r="F81" s="56">
        <f>'1조'!F$10</f>
        <v>0</v>
      </c>
      <c r="G81" s="51" t="str">
        <f>'1조'!G10</f>
        <v>1조 - Process Control - Security</v>
      </c>
    </row>
    <row r="82" spans="1:7">
      <c r="A82" s="54" t="s">
        <v>148</v>
      </c>
      <c r="B82" s="56" t="str">
        <f>'2조'!B$10</f>
        <v/>
      </c>
      <c r="C82" s="57" t="str">
        <f>'2조'!C$10</f>
        <v>2조 - Batch Sequential - Security</v>
      </c>
      <c r="D82" s="56" t="str">
        <f>'2조'!D$10</f>
        <v/>
      </c>
      <c r="E82" s="57" t="str">
        <f>'2조'!E$10</f>
        <v>2조 - Pipe and Filter - Security</v>
      </c>
      <c r="F82" s="56" t="str">
        <f>'2조'!F$10</f>
        <v/>
      </c>
      <c r="G82" s="57" t="str">
        <f>'2조'!G$10</f>
        <v>2조 - Process Control - Security</v>
      </c>
    </row>
    <row r="83" spans="1:7">
      <c r="A83" s="54" t="s">
        <v>149</v>
      </c>
      <c r="B83" s="56" t="str">
        <f>'3조'!B$10</f>
        <v/>
      </c>
      <c r="C83" s="57" t="str">
        <f>'3조'!C$10</f>
        <v>3조 - Batch Sequential - Security</v>
      </c>
      <c r="D83" s="56" t="str">
        <f>'3조'!D$10</f>
        <v/>
      </c>
      <c r="E83" s="57" t="str">
        <f>'3조'!E$10</f>
        <v>3조 - Pipe and Filter - Security</v>
      </c>
      <c r="F83" s="56" t="str">
        <f>'3조'!F$10</f>
        <v/>
      </c>
      <c r="G83" s="57" t="str">
        <f>'3조'!G$10</f>
        <v>3조 - Process Control - Security</v>
      </c>
    </row>
    <row r="84" spans="1:7">
      <c r="A84" s="54" t="s">
        <v>150</v>
      </c>
      <c r="B84" s="56" t="str">
        <f>'4조'!B$10</f>
        <v/>
      </c>
      <c r="C84" s="57" t="str">
        <f>'4조'!C$10</f>
        <v>4조 - Batch Sequential - Security</v>
      </c>
      <c r="D84" s="56" t="str">
        <f>'4조'!D$10</f>
        <v/>
      </c>
      <c r="E84" s="57" t="str">
        <f>'4조'!E$10</f>
        <v>4조 - Pipe and Filter - Security</v>
      </c>
      <c r="F84" s="56" t="str">
        <f>'4조'!F$10</f>
        <v/>
      </c>
      <c r="G84" s="57" t="str">
        <f>'4조'!G$10</f>
        <v>4조 - Process Control - Security</v>
      </c>
    </row>
    <row r="85" spans="1:7">
      <c r="A85" s="54" t="s">
        <v>151</v>
      </c>
      <c r="B85" s="56" t="str">
        <f>'5조'!B$10</f>
        <v/>
      </c>
      <c r="C85" s="57" t="str">
        <f>'5조'!C$10</f>
        <v>5조 - Batch Sequential - Security</v>
      </c>
      <c r="D85" s="56" t="str">
        <f>'5조'!D$10</f>
        <v/>
      </c>
      <c r="E85" s="57" t="str">
        <f>'5조'!E$10</f>
        <v>5조 - Pipe and Filter - Security</v>
      </c>
      <c r="F85" s="56" t="str">
        <f>'5조'!F$10</f>
        <v/>
      </c>
      <c r="G85" s="57" t="str">
        <f>'5조'!G$10</f>
        <v>5조 - Process Control - Security</v>
      </c>
    </row>
    <row r="86" spans="1:7">
      <c r="A86" s="54" t="s">
        <v>152</v>
      </c>
      <c r="B86" s="56" t="str">
        <f>'6조'!B$10</f>
        <v/>
      </c>
      <c r="C86" s="57" t="str">
        <f>'6조'!C$10</f>
        <v>6조 - Batch Sequential - Security</v>
      </c>
      <c r="D86" s="56" t="str">
        <f>'6조'!D$10</f>
        <v/>
      </c>
      <c r="E86" s="57" t="str">
        <f>'6조'!E$10</f>
        <v>6조 - Pipe and Filter - Security</v>
      </c>
      <c r="F86" s="56" t="str">
        <f>'6조'!F$10</f>
        <v/>
      </c>
      <c r="G86" s="57" t="str">
        <f>'6조'!G$10</f>
        <v>6조 - Process Control - Security</v>
      </c>
    </row>
    <row r="87" spans="1:7">
      <c r="A87" s="54" t="s">
        <v>153</v>
      </c>
      <c r="B87" s="56" t="str">
        <f>'7조'!B$10</f>
        <v/>
      </c>
      <c r="C87" s="57" t="str">
        <f>'7조'!C$10</f>
        <v>7조 - Batch Sequential - Security</v>
      </c>
      <c r="D87" s="56" t="str">
        <f>'7조'!D$10</f>
        <v/>
      </c>
      <c r="E87" s="57" t="str">
        <f>'7조'!E$10</f>
        <v>7조 - Pipe and Filter - Security</v>
      </c>
      <c r="F87" s="56" t="str">
        <f>'7조'!F$10</f>
        <v/>
      </c>
      <c r="G87" s="57" t="str">
        <f>'7조'!G$10</f>
        <v>7조 - Process Control - Security</v>
      </c>
    </row>
    <row r="88" spans="1:7">
      <c r="A88" s="54" t="s">
        <v>154</v>
      </c>
      <c r="B88" s="56" t="str">
        <f>'8조'!B$10</f>
        <v/>
      </c>
      <c r="C88" s="57" t="str">
        <f>'8조'!C$10</f>
        <v>8조 - Batch Sequential - Security</v>
      </c>
      <c r="D88" s="56" t="str">
        <f>'8조'!D$10</f>
        <v/>
      </c>
      <c r="E88" s="57" t="str">
        <f>'8조'!E$10</f>
        <v>8조 - Pipe and Filter - Security</v>
      </c>
      <c r="F88" s="56" t="str">
        <f>'8조'!F$10</f>
        <v/>
      </c>
      <c r="G88" s="57" t="str">
        <f>'8조'!G$10</f>
        <v>8조 - Process Control - Security</v>
      </c>
    </row>
    <row r="89" spans="1:7">
      <c r="A89" s="54" t="s">
        <v>155</v>
      </c>
      <c r="B89" s="56" t="str">
        <f>'9조'!B$10</f>
        <v/>
      </c>
      <c r="C89" s="57" t="str">
        <f>'9조'!C$10</f>
        <v>9조 - Batch Sequential - Security</v>
      </c>
      <c r="D89" s="56" t="str">
        <f>'9조'!D$10</f>
        <v/>
      </c>
      <c r="E89" s="57" t="str">
        <f>'9조'!E$10</f>
        <v>9조 - Pipe and Filter - Security</v>
      </c>
      <c r="F89" s="56" t="str">
        <f>'9조'!F$10</f>
        <v/>
      </c>
      <c r="G89" s="57" t="str">
        <f>'9조'!G$10</f>
        <v>9조 - Process Control - Security</v>
      </c>
    </row>
    <row r="90" spans="1:7">
      <c r="A90" s="51"/>
      <c r="B90" s="50"/>
      <c r="C90" s="51"/>
      <c r="D90" s="50"/>
      <c r="E90" s="51"/>
      <c r="F90" s="50"/>
      <c r="G90" s="51"/>
    </row>
    <row r="91" spans="1:7">
      <c r="A91" s="53" t="s">
        <v>23</v>
      </c>
      <c r="B91" s="55">
        <f>'Detailed Reasoning'!B$11</f>
        <v>0</v>
      </c>
      <c r="C91" s="55">
        <f>'Detailed Reasoning'!C$11</f>
        <v>0</v>
      </c>
      <c r="D91" s="55">
        <f>'Detailed Reasoning'!D$11</f>
        <v>0</v>
      </c>
      <c r="E91" s="55">
        <f>'Detailed Reasoning'!E$11</f>
        <v>0</v>
      </c>
      <c r="F91" s="55">
        <f>'Detailed Reasoning'!F$11</f>
        <v>0</v>
      </c>
      <c r="G91" s="55">
        <f>'Detailed Reasoning'!G$11</f>
        <v>0</v>
      </c>
    </row>
    <row r="92" spans="1:7">
      <c r="A92" s="54" t="s">
        <v>147</v>
      </c>
      <c r="B92" s="56">
        <f>'1조'!B$11</f>
        <v>0</v>
      </c>
      <c r="C92" s="51" t="str">
        <f>'1조'!C11</f>
        <v>1조 - Batch Sequential - Testability</v>
      </c>
      <c r="D92" s="56">
        <f>'1조'!D$11</f>
        <v>0</v>
      </c>
      <c r="E92" s="51" t="str">
        <f>'1조'!E11</f>
        <v>1조 - Pipe and Filter - Testability</v>
      </c>
      <c r="F92" s="56">
        <f>'1조'!F$11</f>
        <v>0</v>
      </c>
      <c r="G92" s="51" t="str">
        <f>'1조'!G11</f>
        <v>1조 - Process Control - Testability</v>
      </c>
    </row>
    <row r="93" spans="1:7">
      <c r="A93" s="54" t="s">
        <v>148</v>
      </c>
      <c r="B93" s="56" t="str">
        <f>'2조'!B$11</f>
        <v/>
      </c>
      <c r="C93" s="57" t="str">
        <f>'2조'!C$11</f>
        <v>2조 - Batch Sequential - Testability</v>
      </c>
      <c r="D93" s="56" t="str">
        <f>'2조'!D$11</f>
        <v/>
      </c>
      <c r="E93" s="57" t="str">
        <f>'2조'!E$11</f>
        <v>2조 - Pipe and Filter - Testability</v>
      </c>
      <c r="F93" s="56" t="str">
        <f>'2조'!F$11</f>
        <v/>
      </c>
      <c r="G93" s="57" t="str">
        <f>'2조'!G$11</f>
        <v>2조 - Process Control - Testability</v>
      </c>
    </row>
    <row r="94" spans="1:7">
      <c r="A94" s="54" t="s">
        <v>149</v>
      </c>
      <c r="B94" s="56" t="str">
        <f>'3조'!B$11</f>
        <v/>
      </c>
      <c r="C94" s="57" t="str">
        <f>'3조'!C$11</f>
        <v>3조 - Batch Sequential - Testability</v>
      </c>
      <c r="D94" s="56" t="str">
        <f>'3조'!D$11</f>
        <v/>
      </c>
      <c r="E94" s="57" t="str">
        <f>'3조'!E$11</f>
        <v>3조 - Pipe and Filter - Testability</v>
      </c>
      <c r="F94" s="56" t="str">
        <f>'3조'!F$11</f>
        <v/>
      </c>
      <c r="G94" s="57" t="str">
        <f>'3조'!G$11</f>
        <v>3조 - Process Control - Testability</v>
      </c>
    </row>
    <row r="95" spans="1:7">
      <c r="A95" s="54" t="s">
        <v>150</v>
      </c>
      <c r="B95" s="56" t="str">
        <f>'4조'!B$11</f>
        <v/>
      </c>
      <c r="C95" s="57" t="str">
        <f>'4조'!C$11</f>
        <v>4조 - Batch Sequential - Testability</v>
      </c>
      <c r="D95" s="56" t="str">
        <f>'4조'!D$11</f>
        <v/>
      </c>
      <c r="E95" s="57" t="str">
        <f>'4조'!E$11</f>
        <v>4조 - Pipe and Filter - Testability</v>
      </c>
      <c r="F95" s="56" t="str">
        <f>'4조'!F$11</f>
        <v/>
      </c>
      <c r="G95" s="57" t="str">
        <f>'4조'!G$11</f>
        <v>4조 - Process Control - Testability</v>
      </c>
    </row>
    <row r="96" spans="1:7">
      <c r="A96" s="54" t="s">
        <v>151</v>
      </c>
      <c r="B96" s="56" t="str">
        <f>'5조'!B$11</f>
        <v/>
      </c>
      <c r="C96" s="57" t="str">
        <f>'5조'!C$11</f>
        <v>5조 - Batch Sequential - Testability</v>
      </c>
      <c r="D96" s="56" t="str">
        <f>'5조'!D$11</f>
        <v/>
      </c>
      <c r="E96" s="57" t="str">
        <f>'5조'!E$11</f>
        <v>5조 - Pipe and Filter - Testability</v>
      </c>
      <c r="F96" s="56" t="str">
        <f>'5조'!F$11</f>
        <v/>
      </c>
      <c r="G96" s="57" t="str">
        <f>'5조'!G$11</f>
        <v>5조 - Process Control - Testability</v>
      </c>
    </row>
    <row r="97" spans="1:7">
      <c r="A97" s="54" t="s">
        <v>152</v>
      </c>
      <c r="B97" s="56" t="str">
        <f>'6조'!B$11</f>
        <v/>
      </c>
      <c r="C97" s="57" t="str">
        <f>'6조'!C$11</f>
        <v>6조 - Batch Sequential - Testability</v>
      </c>
      <c r="D97" s="56" t="str">
        <f>'6조'!D$11</f>
        <v/>
      </c>
      <c r="E97" s="57" t="str">
        <f>'6조'!E$11</f>
        <v>6조 - Pipe and Filter - Testability</v>
      </c>
      <c r="F97" s="56" t="str">
        <f>'6조'!F$11</f>
        <v/>
      </c>
      <c r="G97" s="57" t="str">
        <f>'6조'!G$11</f>
        <v>6조 - Process Control - Testability</v>
      </c>
    </row>
    <row r="98" spans="1:7">
      <c r="A98" s="54" t="s">
        <v>153</v>
      </c>
      <c r="B98" s="56" t="str">
        <f>'7조'!B$11</f>
        <v/>
      </c>
      <c r="C98" s="57" t="str">
        <f>'7조'!C$11</f>
        <v>7조 - Batch Sequential - Testability</v>
      </c>
      <c r="D98" s="56" t="str">
        <f>'7조'!D$11</f>
        <v/>
      </c>
      <c r="E98" s="57" t="str">
        <f>'7조'!E$11</f>
        <v>7조 - Pipe and Filter - Testability</v>
      </c>
      <c r="F98" s="56" t="str">
        <f>'7조'!F$11</f>
        <v/>
      </c>
      <c r="G98" s="57" t="str">
        <f>'7조'!G$11</f>
        <v>7조 - Process Control - Testability</v>
      </c>
    </row>
    <row r="99" spans="1:7">
      <c r="A99" s="54" t="s">
        <v>154</v>
      </c>
      <c r="B99" s="56" t="str">
        <f>'8조'!B$11</f>
        <v/>
      </c>
      <c r="C99" s="57" t="str">
        <f>'8조'!C$11</f>
        <v>8조 - Batch Sequential - Testability</v>
      </c>
      <c r="D99" s="56" t="str">
        <f>'8조'!D$11</f>
        <v/>
      </c>
      <c r="E99" s="57" t="str">
        <f>'8조'!E$11</f>
        <v>8조 - Pipe and Filter - Testability</v>
      </c>
      <c r="F99" s="56" t="str">
        <f>'8조'!F$11</f>
        <v/>
      </c>
      <c r="G99" s="57" t="str">
        <f>'8조'!G$11</f>
        <v>8조 - Process Control - Testability</v>
      </c>
    </row>
    <row r="100" spans="1:7">
      <c r="A100" s="54" t="s">
        <v>155</v>
      </c>
      <c r="B100" s="56" t="str">
        <f>'9조'!B$11</f>
        <v/>
      </c>
      <c r="C100" s="57" t="str">
        <f>'9조'!C$11</f>
        <v>9조 - Batch Sequential - Testability</v>
      </c>
      <c r="D100" s="56" t="str">
        <f>'9조'!D$11</f>
        <v/>
      </c>
      <c r="E100" s="57" t="str">
        <f>'9조'!E$11</f>
        <v>9조 - Pipe and Filter - Testability</v>
      </c>
      <c r="F100" s="56" t="str">
        <f>'9조'!F$11</f>
        <v/>
      </c>
      <c r="G100" s="57" t="str">
        <f>'9조'!G$11</f>
        <v>9조 - Process Control - Testability</v>
      </c>
    </row>
    <row r="101" spans="1:7" ht="15" customHeight="1">
      <c r="A101" s="51"/>
      <c r="B101" s="50"/>
      <c r="C101" s="51"/>
      <c r="D101" s="50"/>
      <c r="E101" s="51"/>
      <c r="F101" s="50"/>
      <c r="G101" s="51"/>
    </row>
    <row r="102" spans="1:7">
      <c r="A102" s="53" t="s">
        <v>24</v>
      </c>
      <c r="B102" s="55">
        <f>'Detailed Reasoning'!B$12</f>
        <v>0</v>
      </c>
      <c r="C102" s="55">
        <f>'Detailed Reasoning'!C$12</f>
        <v>0</v>
      </c>
      <c r="D102" s="55">
        <f>'Detailed Reasoning'!D$12</f>
        <v>0</v>
      </c>
      <c r="E102" s="55">
        <f>'Detailed Reasoning'!E$12</f>
        <v>0</v>
      </c>
      <c r="F102" s="55">
        <f>'Detailed Reasoning'!F$12</f>
        <v>0</v>
      </c>
      <c r="G102" s="55">
        <f>'Detailed Reasoning'!G$12</f>
        <v>0</v>
      </c>
    </row>
    <row r="103" spans="1:7">
      <c r="A103" s="54" t="s">
        <v>147</v>
      </c>
      <c r="B103" s="56">
        <f>'1조'!B$12</f>
        <v>0</v>
      </c>
      <c r="C103" s="51" t="str">
        <f>'1조'!C12</f>
        <v>1조 - Batch Sequential - Usability</v>
      </c>
      <c r="D103" s="56">
        <f>'1조'!D$12</f>
        <v>0</v>
      </c>
      <c r="E103" s="51" t="str">
        <f>'1조'!E12</f>
        <v>1조 - Pipe and Filter - Usability</v>
      </c>
      <c r="F103" s="56">
        <f>'1조'!F$12</f>
        <v>0</v>
      </c>
      <c r="G103" s="51" t="str">
        <f>'1조'!G12</f>
        <v>1조 - Process Control - Usability</v>
      </c>
    </row>
    <row r="104" spans="1:7">
      <c r="A104" s="54" t="s">
        <v>148</v>
      </c>
      <c r="B104" s="56" t="str">
        <f>'2조'!B$12</f>
        <v/>
      </c>
      <c r="C104" s="57" t="str">
        <f>'2조'!C$12</f>
        <v>2조 - Batch Sequential - Usability</v>
      </c>
      <c r="D104" s="56" t="str">
        <f>'2조'!D$12</f>
        <v/>
      </c>
      <c r="E104" s="57" t="str">
        <f>'2조'!E$12</f>
        <v>2조 - Pipe and Filter - Usability</v>
      </c>
      <c r="F104" s="56" t="str">
        <f>'2조'!F$12</f>
        <v/>
      </c>
      <c r="G104" s="57" t="str">
        <f>'2조'!G$12</f>
        <v>2조 - Process Control - Usability</v>
      </c>
    </row>
    <row r="105" spans="1:7">
      <c r="A105" s="54" t="s">
        <v>149</v>
      </c>
      <c r="B105" s="56" t="str">
        <f>'3조'!B$12</f>
        <v/>
      </c>
      <c r="C105" s="57" t="str">
        <f>'3조'!C$12</f>
        <v>3조 - Batch Sequential - Usability</v>
      </c>
      <c r="D105" s="56" t="str">
        <f>'3조'!D$12</f>
        <v/>
      </c>
      <c r="E105" s="57" t="str">
        <f>'3조'!E$12</f>
        <v>3조 - Pipe and Filter - Usability</v>
      </c>
      <c r="F105" s="56" t="str">
        <f>'3조'!F$12</f>
        <v/>
      </c>
      <c r="G105" s="57" t="str">
        <f>'3조'!G$12</f>
        <v>3조 - Process Control - Usability</v>
      </c>
    </row>
    <row r="106" spans="1:7">
      <c r="A106" s="54" t="s">
        <v>150</v>
      </c>
      <c r="B106" s="56" t="str">
        <f>'4조'!B$12</f>
        <v/>
      </c>
      <c r="C106" s="57" t="str">
        <f>'4조'!C$12</f>
        <v>4조 - Batch Sequential - Usability</v>
      </c>
      <c r="D106" s="56" t="str">
        <f>'4조'!D$12</f>
        <v/>
      </c>
      <c r="E106" s="57" t="str">
        <f>'4조'!E$12</f>
        <v>4조 - Pipe and Filter - Usability</v>
      </c>
      <c r="F106" s="56" t="str">
        <f>'4조'!F$12</f>
        <v/>
      </c>
      <c r="G106" s="57" t="str">
        <f>'4조'!G$12</f>
        <v>4조 - Process Control - Usability</v>
      </c>
    </row>
    <row r="107" spans="1:7">
      <c r="A107" s="54" t="s">
        <v>151</v>
      </c>
      <c r="B107" s="56" t="str">
        <f>'5조'!B$12</f>
        <v/>
      </c>
      <c r="C107" s="57" t="str">
        <f>'5조'!C$12</f>
        <v>5조 - Batch Sequential - Usability</v>
      </c>
      <c r="D107" s="56" t="str">
        <f>'5조'!D$12</f>
        <v/>
      </c>
      <c r="E107" s="57" t="str">
        <f>'5조'!E$12</f>
        <v>5조 - Pipe and Filter - Usability</v>
      </c>
      <c r="F107" s="56" t="str">
        <f>'5조'!F$12</f>
        <v/>
      </c>
      <c r="G107" s="57" t="str">
        <f>'5조'!G$12</f>
        <v>5조 - Process Control - Usability</v>
      </c>
    </row>
    <row r="108" spans="1:7">
      <c r="A108" s="54" t="s">
        <v>152</v>
      </c>
      <c r="B108" s="56" t="str">
        <f>'6조'!B$12</f>
        <v/>
      </c>
      <c r="C108" s="57" t="str">
        <f>'6조'!C$12</f>
        <v>6조 - Batch Sequential - Usability</v>
      </c>
      <c r="D108" s="56" t="str">
        <f>'6조'!D$12</f>
        <v/>
      </c>
      <c r="E108" s="57" t="str">
        <f>'6조'!E$12</f>
        <v>6조 - Pipe and Filter - Usability</v>
      </c>
      <c r="F108" s="56" t="str">
        <f>'6조'!F$12</f>
        <v/>
      </c>
      <c r="G108" s="57" t="str">
        <f>'6조'!G$12</f>
        <v>6조 - Process Control - Usability</v>
      </c>
    </row>
    <row r="109" spans="1:7">
      <c r="A109" s="54" t="s">
        <v>153</v>
      </c>
      <c r="B109" s="56" t="str">
        <f>'7조'!B$12</f>
        <v/>
      </c>
      <c r="C109" s="57" t="str">
        <f>'7조'!C$12</f>
        <v>7조 - Batch Sequential - Usability</v>
      </c>
      <c r="D109" s="56" t="str">
        <f>'7조'!D$12</f>
        <v/>
      </c>
      <c r="E109" s="57" t="str">
        <f>'7조'!E$12</f>
        <v>7조 - Pipe and Filter - Usability</v>
      </c>
      <c r="F109" s="56" t="str">
        <f>'7조'!F$12</f>
        <v/>
      </c>
      <c r="G109" s="57" t="str">
        <f>'7조'!G$12</f>
        <v>7조 - Process Control - Usability</v>
      </c>
    </row>
    <row r="110" spans="1:7">
      <c r="A110" s="54" t="s">
        <v>154</v>
      </c>
      <c r="B110" s="56" t="str">
        <f>'8조'!B$12</f>
        <v/>
      </c>
      <c r="C110" s="57" t="str">
        <f>'8조'!C$12</f>
        <v>8조 - Batch Sequential - Usability</v>
      </c>
      <c r="D110" s="56" t="str">
        <f>'8조'!D$12</f>
        <v/>
      </c>
      <c r="E110" s="57" t="str">
        <f>'8조'!E$12</f>
        <v>8조 - Pipe and Filter - Usability</v>
      </c>
      <c r="F110" s="56" t="str">
        <f>'8조'!F$12</f>
        <v/>
      </c>
      <c r="G110" s="57" t="str">
        <f>'8조'!G$12</f>
        <v>8조 - Process Control - Usability</v>
      </c>
    </row>
    <row r="111" spans="1:7">
      <c r="A111" s="54" t="s">
        <v>155</v>
      </c>
      <c r="B111" s="56" t="str">
        <f>'9조'!B$12</f>
        <v/>
      </c>
      <c r="C111" s="57" t="str">
        <f>'9조'!C$12</f>
        <v>9조 - Batch Sequential - Usability</v>
      </c>
      <c r="D111" s="56" t="str">
        <f>'9조'!D$12</f>
        <v/>
      </c>
      <c r="E111" s="57" t="str">
        <f>'9조'!E$12</f>
        <v>9조 - Pipe and Filter - Usability</v>
      </c>
      <c r="F111" s="56" t="str">
        <f>'9조'!F$12</f>
        <v/>
      </c>
      <c r="G111" s="57" t="str">
        <f>'9조'!G$12</f>
        <v>9조 - Process Control - Usability</v>
      </c>
    </row>
  </sheetData>
  <mergeCells count="4">
    <mergeCell ref="A1:A2"/>
    <mergeCell ref="B1:C1"/>
    <mergeCell ref="D1:E1"/>
    <mergeCell ref="F1:G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11"/>
  <sheetViews>
    <sheetView workbookViewId="0">
      <pane ySplit="2" topLeftCell="A87" activePane="bottomLeft" state="frozen"/>
      <selection pane="bottomLeft" activeCell="B103" sqref="B103:E111"/>
    </sheetView>
  </sheetViews>
  <sheetFormatPr defaultColWidth="14.42578125" defaultRowHeight="15" customHeight="1"/>
  <cols>
    <col min="1" max="1" width="17.5703125" bestFit="1" customWidth="1"/>
    <col min="2" max="2" width="7.7109375" bestFit="1" customWidth="1"/>
    <col min="3" max="3" width="43.7109375" bestFit="1" customWidth="1"/>
    <col min="4" max="4" width="7.7109375" bestFit="1" customWidth="1"/>
    <col min="5" max="5" width="35.5703125" bestFit="1" customWidth="1"/>
  </cols>
  <sheetData>
    <row r="1" spans="1:5">
      <c r="A1" s="52" t="s">
        <v>25</v>
      </c>
      <c r="B1" s="52" t="s">
        <v>26</v>
      </c>
      <c r="C1" s="52"/>
      <c r="D1" s="52" t="s">
        <v>27</v>
      </c>
      <c r="E1" s="52"/>
    </row>
    <row r="2" spans="1:5">
      <c r="A2" s="52"/>
      <c r="B2" s="47" t="s">
        <v>4</v>
      </c>
      <c r="C2" s="47" t="s">
        <v>5</v>
      </c>
      <c r="D2" s="47" t="s">
        <v>4</v>
      </c>
      <c r="E2" s="47" t="s">
        <v>5</v>
      </c>
    </row>
    <row r="3" spans="1:5">
      <c r="A3" s="53" t="s">
        <v>6</v>
      </c>
      <c r="B3" s="55">
        <f>'Detailed Reasoning'!B16</f>
        <v>0</v>
      </c>
      <c r="C3" s="55">
        <f>'Detailed Reasoning'!C16</f>
        <v>0</v>
      </c>
      <c r="D3" s="55">
        <f>'Detailed Reasoning'!D16</f>
        <v>0</v>
      </c>
      <c r="E3" s="55">
        <f>'Detailed Reasoning'!E16</f>
        <v>0</v>
      </c>
    </row>
    <row r="4" spans="1:5">
      <c r="A4" s="54" t="s">
        <v>147</v>
      </c>
      <c r="B4" s="56">
        <f>'1조'!B$16</f>
        <v>0</v>
      </c>
      <c r="C4" s="51" t="str">
        <f>'1조'!C16</f>
        <v>1조 - Shared Respository - Availability</v>
      </c>
      <c r="D4" s="56">
        <f>'1조'!D$16</f>
        <v>0</v>
      </c>
      <c r="E4" s="51" t="str">
        <f>'1조'!E16</f>
        <v>1조 - Blackboard - Availability</v>
      </c>
    </row>
    <row r="5" spans="1:5">
      <c r="A5" s="54" t="s">
        <v>148</v>
      </c>
      <c r="B5" s="56" t="str">
        <f>'2조'!B$16</f>
        <v/>
      </c>
      <c r="C5" s="57" t="str">
        <f>'2조'!C$16</f>
        <v>2조 - Shared Respository - Availability</v>
      </c>
      <c r="D5" s="56" t="str">
        <f>'2조'!D$16</f>
        <v/>
      </c>
      <c r="E5" s="57" t="str">
        <f>'2조'!E$16</f>
        <v>2조 - Blackboard - Availability</v>
      </c>
    </row>
    <row r="6" spans="1:5">
      <c r="A6" s="54" t="s">
        <v>149</v>
      </c>
      <c r="B6" s="56" t="str">
        <f>'3조'!B$16</f>
        <v/>
      </c>
      <c r="C6" s="57" t="str">
        <f>'3조'!C$16</f>
        <v>3조 - Shared Respository - Availability</v>
      </c>
      <c r="D6" s="56" t="str">
        <f>'3조'!D$16</f>
        <v/>
      </c>
      <c r="E6" s="57" t="str">
        <f>'3조'!E$16</f>
        <v>3조 - Blackboard - Availability</v>
      </c>
    </row>
    <row r="7" spans="1:5">
      <c r="A7" s="54" t="s">
        <v>150</v>
      </c>
      <c r="B7" s="56" t="str">
        <f>'4조'!B$16</f>
        <v/>
      </c>
      <c r="C7" s="57" t="str">
        <f>'4조'!C$16</f>
        <v>4조 - Shared Respository - Availability</v>
      </c>
      <c r="D7" s="56" t="str">
        <f>'4조'!D$16</f>
        <v/>
      </c>
      <c r="E7" s="57" t="str">
        <f>'4조'!E$16</f>
        <v>4조 - Blackboard - Availability</v>
      </c>
    </row>
    <row r="8" spans="1:5">
      <c r="A8" s="54" t="s">
        <v>151</v>
      </c>
      <c r="B8" s="56" t="str">
        <f>'5조'!B$16</f>
        <v/>
      </c>
      <c r="C8" s="57" t="str">
        <f>'5조'!C$16</f>
        <v>5조 - Shared Respository - Availability</v>
      </c>
      <c r="D8" s="56" t="str">
        <f>'5조'!D$16</f>
        <v/>
      </c>
      <c r="E8" s="57" t="str">
        <f>'5조'!E$16</f>
        <v>5조 - Blackboard - Availability</v>
      </c>
    </row>
    <row r="9" spans="1:5">
      <c r="A9" s="54" t="s">
        <v>152</v>
      </c>
      <c r="B9" s="56" t="str">
        <f>'6조'!B$16</f>
        <v/>
      </c>
      <c r="C9" s="57" t="str">
        <f>'6조'!C$16</f>
        <v>6조 - Shared Respository - Availability</v>
      </c>
      <c r="D9" s="56" t="str">
        <f>'6조'!D$16</f>
        <v/>
      </c>
      <c r="E9" s="57" t="str">
        <f>'6조'!E$16</f>
        <v>6조 - Blackboard - Availability</v>
      </c>
    </row>
    <row r="10" spans="1:5">
      <c r="A10" s="54" t="s">
        <v>153</v>
      </c>
      <c r="B10" s="56" t="str">
        <f>'7조'!B$16</f>
        <v/>
      </c>
      <c r="C10" s="57" t="str">
        <f>'7조'!C$16</f>
        <v>7조 - Shared Respository - Availability</v>
      </c>
      <c r="D10" s="56" t="str">
        <f>'7조'!D$16</f>
        <v/>
      </c>
      <c r="E10" s="57" t="str">
        <f>'7조'!E$16</f>
        <v>7조 - Blackboard - Availability</v>
      </c>
    </row>
    <row r="11" spans="1:5">
      <c r="A11" s="54" t="s">
        <v>154</v>
      </c>
      <c r="B11" s="56" t="str">
        <f>'8조'!B$16</f>
        <v/>
      </c>
      <c r="C11" s="57" t="str">
        <f>'8조'!C$16</f>
        <v>8조 - Shared Respository - Availability</v>
      </c>
      <c r="D11" s="56" t="str">
        <f>'8조'!D$16</f>
        <v/>
      </c>
      <c r="E11" s="57" t="str">
        <f>'8조'!E$16</f>
        <v>8조 - Blackboard - Availability</v>
      </c>
    </row>
    <row r="12" spans="1:5">
      <c r="A12" s="54" t="s">
        <v>155</v>
      </c>
      <c r="B12" s="56" t="str">
        <f>'9조'!B$16</f>
        <v/>
      </c>
      <c r="C12" s="57" t="str">
        <f>'9조'!C$16</f>
        <v>9조 - Shared Respository - Availability</v>
      </c>
      <c r="D12" s="56" t="str">
        <f>'9조'!D$16</f>
        <v/>
      </c>
      <c r="E12" s="57" t="str">
        <f>'9조'!E$16</f>
        <v>9조 - Blackboard - Availability</v>
      </c>
    </row>
    <row r="13" spans="1:5">
      <c r="A13" s="51"/>
      <c r="B13" s="50"/>
      <c r="C13" s="51"/>
      <c r="D13" s="50"/>
      <c r="E13" s="51"/>
    </row>
    <row r="14" spans="1:5" ht="15" customHeight="1">
      <c r="A14" s="53" t="s">
        <v>16</v>
      </c>
      <c r="B14" s="55">
        <f>'Detailed Reasoning'!B17</f>
        <v>0</v>
      </c>
      <c r="C14" s="55">
        <f>'Detailed Reasoning'!C17</f>
        <v>0</v>
      </c>
      <c r="D14" s="53">
        <f>'Detailed Reasoning'!D17</f>
        <v>0</v>
      </c>
      <c r="E14" s="53">
        <f>'Detailed Reasoning'!E17</f>
        <v>0</v>
      </c>
    </row>
    <row r="15" spans="1:5">
      <c r="A15" s="54" t="s">
        <v>147</v>
      </c>
      <c r="B15" s="56">
        <f>'1조'!B$17</f>
        <v>0</v>
      </c>
      <c r="C15" s="51" t="str">
        <f>'1조'!C17</f>
        <v>1조 - Shared Respository - Deployability</v>
      </c>
      <c r="D15" s="56">
        <f>'1조'!D$17</f>
        <v>0</v>
      </c>
      <c r="E15" s="51" t="str">
        <f>'1조'!E17</f>
        <v>1조 - Blackboard - Deployability</v>
      </c>
    </row>
    <row r="16" spans="1:5">
      <c r="A16" s="54" t="s">
        <v>148</v>
      </c>
      <c r="B16" s="56" t="str">
        <f>'2조'!B$17</f>
        <v/>
      </c>
      <c r="C16" s="57" t="str">
        <f>'2조'!C$17</f>
        <v>2조 - Shared Respository - Deployability</v>
      </c>
      <c r="D16" s="56" t="str">
        <f>'2조'!D$17</f>
        <v/>
      </c>
      <c r="E16" s="57" t="str">
        <f>'2조'!E$17</f>
        <v>2조 - Blackboard - Deployability</v>
      </c>
    </row>
    <row r="17" spans="1:5">
      <c r="A17" s="54" t="s">
        <v>149</v>
      </c>
      <c r="B17" s="56" t="str">
        <f>'3조'!B$17</f>
        <v/>
      </c>
      <c r="C17" s="57" t="str">
        <f>'3조'!C$17</f>
        <v>3조 - Shared Respository - Deployability</v>
      </c>
      <c r="D17" s="56" t="str">
        <f>'3조'!D$17</f>
        <v/>
      </c>
      <c r="E17" s="57" t="str">
        <f>'3조'!E$17</f>
        <v>3조 - Blackboard - Deployability</v>
      </c>
    </row>
    <row r="18" spans="1:5">
      <c r="A18" s="54" t="s">
        <v>150</v>
      </c>
      <c r="B18" s="56" t="str">
        <f>'4조'!B$17</f>
        <v/>
      </c>
      <c r="C18" s="57" t="str">
        <f>'4조'!C$17</f>
        <v>4조 - Shared Respository - Deployability</v>
      </c>
      <c r="D18" s="56" t="str">
        <f>'4조'!D$17</f>
        <v/>
      </c>
      <c r="E18" s="57" t="str">
        <f>'4조'!E$17</f>
        <v>4조 - Blackboard - Deployability</v>
      </c>
    </row>
    <row r="19" spans="1:5">
      <c r="A19" s="54" t="s">
        <v>151</v>
      </c>
      <c r="B19" s="56" t="str">
        <f>'5조'!B$17</f>
        <v/>
      </c>
      <c r="C19" s="57" t="str">
        <f>'5조'!C$17</f>
        <v>5조 - Shared Respository - Deployability</v>
      </c>
      <c r="D19" s="56" t="str">
        <f>'5조'!D$17</f>
        <v/>
      </c>
      <c r="E19" s="57" t="str">
        <f>'5조'!E$17</f>
        <v>5조 - Blackboard - Deployability</v>
      </c>
    </row>
    <row r="20" spans="1:5">
      <c r="A20" s="54" t="s">
        <v>152</v>
      </c>
      <c r="B20" s="56" t="str">
        <f>'6조'!B$17</f>
        <v/>
      </c>
      <c r="C20" s="57" t="str">
        <f>'6조'!C$17</f>
        <v>6조 - Shared Respository - Deployability</v>
      </c>
      <c r="D20" s="56" t="str">
        <f>'6조'!D$17</f>
        <v/>
      </c>
      <c r="E20" s="57" t="str">
        <f>'6조'!E$17</f>
        <v>6조 - Blackboard - Deployability</v>
      </c>
    </row>
    <row r="21" spans="1:5">
      <c r="A21" s="54" t="s">
        <v>153</v>
      </c>
      <c r="B21" s="56" t="str">
        <f>'7조'!B$17</f>
        <v/>
      </c>
      <c r="C21" s="57" t="str">
        <f>'7조'!C$17</f>
        <v>7조 - Shared Respository - Deployability</v>
      </c>
      <c r="D21" s="56" t="str">
        <f>'7조'!D$17</f>
        <v/>
      </c>
      <c r="E21" s="57" t="str">
        <f>'7조'!E$17</f>
        <v>7조 - Blackboard - Deployability</v>
      </c>
    </row>
    <row r="22" spans="1:5">
      <c r="A22" s="54" t="s">
        <v>154</v>
      </c>
      <c r="B22" s="56" t="str">
        <f>'8조'!B$17</f>
        <v/>
      </c>
      <c r="C22" s="57" t="str">
        <f>'8조'!C$17</f>
        <v>8조 - Shared Respository - Deployability</v>
      </c>
      <c r="D22" s="56" t="str">
        <f>'8조'!D$17</f>
        <v/>
      </c>
      <c r="E22" s="57" t="str">
        <f>'8조'!E$17</f>
        <v>8조 - Blackboard - Deployability</v>
      </c>
    </row>
    <row r="23" spans="1:5">
      <c r="A23" s="54" t="s">
        <v>155</v>
      </c>
      <c r="B23" s="56" t="str">
        <f>'9조'!B$17</f>
        <v/>
      </c>
      <c r="C23" s="57" t="str">
        <f>'9조'!C$17</f>
        <v>9조 - Shared Respository - Deployability</v>
      </c>
      <c r="D23" s="56" t="str">
        <f>'9조'!D$17</f>
        <v/>
      </c>
      <c r="E23" s="57" t="str">
        <f>'9조'!E$17</f>
        <v>9조 - Blackboard - Deployability</v>
      </c>
    </row>
    <row r="24" spans="1:5">
      <c r="A24" s="51"/>
      <c r="B24" s="50"/>
      <c r="C24" s="51"/>
      <c r="D24" s="50"/>
      <c r="E24" s="51"/>
    </row>
    <row r="25" spans="1:5" ht="15" customHeight="1">
      <c r="A25" s="53" t="s">
        <v>17</v>
      </c>
      <c r="B25" s="55">
        <f>'Detailed Reasoning'!B18</f>
        <v>0</v>
      </c>
      <c r="C25" s="55">
        <f>'Detailed Reasoning'!C18</f>
        <v>0</v>
      </c>
      <c r="D25" s="53">
        <f>'Detailed Reasoning'!D18</f>
        <v>0</v>
      </c>
      <c r="E25" s="53">
        <f>'Detailed Reasoning'!E18</f>
        <v>0</v>
      </c>
    </row>
    <row r="26" spans="1:5">
      <c r="A26" s="54" t="s">
        <v>147</v>
      </c>
      <c r="B26" s="56">
        <f>'1조'!B$18</f>
        <v>0</v>
      </c>
      <c r="C26" s="51" t="str">
        <f>'1조'!C18</f>
        <v>1조 - Shared Respository - Integrability</v>
      </c>
      <c r="D26" s="56">
        <f>'1조'!D$18</f>
        <v>0</v>
      </c>
      <c r="E26" s="51" t="str">
        <f>'1조'!E18</f>
        <v>1조 - Blackboard - Integrability</v>
      </c>
    </row>
    <row r="27" spans="1:5">
      <c r="A27" s="54" t="s">
        <v>148</v>
      </c>
      <c r="B27" s="56" t="str">
        <f>'2조'!B$18</f>
        <v/>
      </c>
      <c r="C27" s="57" t="str">
        <f>'2조'!C$18</f>
        <v>2조 - Shared Respository - Integrability</v>
      </c>
      <c r="D27" s="56" t="str">
        <f>'2조'!D$18</f>
        <v/>
      </c>
      <c r="E27" s="57" t="str">
        <f>'2조'!E$18</f>
        <v>2조 - Blackboard - Integrability</v>
      </c>
    </row>
    <row r="28" spans="1:5">
      <c r="A28" s="54" t="s">
        <v>149</v>
      </c>
      <c r="B28" s="56" t="str">
        <f>'3조'!B$18</f>
        <v/>
      </c>
      <c r="C28" s="57" t="str">
        <f>'3조'!C$18</f>
        <v>3조 - Shared Respository - Integrability</v>
      </c>
      <c r="D28" s="56" t="str">
        <f>'3조'!D$18</f>
        <v/>
      </c>
      <c r="E28" s="57" t="str">
        <f>'3조'!E$18</f>
        <v>3조 - Blackboard - Integrability</v>
      </c>
    </row>
    <row r="29" spans="1:5">
      <c r="A29" s="54" t="s">
        <v>150</v>
      </c>
      <c r="B29" s="56" t="str">
        <f>'4조'!B$18</f>
        <v/>
      </c>
      <c r="C29" s="57" t="str">
        <f>'4조'!C$18</f>
        <v>4조 - Shared Respository - Integrability</v>
      </c>
      <c r="D29" s="56" t="str">
        <f>'4조'!D$18</f>
        <v/>
      </c>
      <c r="E29" s="57" t="str">
        <f>'4조'!E$18</f>
        <v>4조 - Blackboard - Integrability</v>
      </c>
    </row>
    <row r="30" spans="1:5">
      <c r="A30" s="54" t="s">
        <v>151</v>
      </c>
      <c r="B30" s="56" t="str">
        <f>'5조'!B$18</f>
        <v/>
      </c>
      <c r="C30" s="57" t="str">
        <f>'5조'!C$18</f>
        <v>5조 - Shared Respository - Integrability</v>
      </c>
      <c r="D30" s="56" t="str">
        <f>'5조'!D$18</f>
        <v/>
      </c>
      <c r="E30" s="57" t="str">
        <f>'5조'!E$18</f>
        <v>5조 - Blackboard - Integrability</v>
      </c>
    </row>
    <row r="31" spans="1:5">
      <c r="A31" s="54" t="s">
        <v>152</v>
      </c>
      <c r="B31" s="56" t="str">
        <f>'6조'!B$18</f>
        <v/>
      </c>
      <c r="C31" s="57" t="str">
        <f>'6조'!C$18</f>
        <v>6조 - Shared Respository - Integrability</v>
      </c>
      <c r="D31" s="56" t="str">
        <f>'6조'!D$18</f>
        <v/>
      </c>
      <c r="E31" s="57" t="str">
        <f>'6조'!E$18</f>
        <v>6조 - Blackboard - Integrability</v>
      </c>
    </row>
    <row r="32" spans="1:5">
      <c r="A32" s="54" t="s">
        <v>153</v>
      </c>
      <c r="B32" s="56" t="str">
        <f>'7조'!B$18</f>
        <v/>
      </c>
      <c r="C32" s="57" t="str">
        <f>'7조'!C$18</f>
        <v>7조 - Shared Respository - Integrability</v>
      </c>
      <c r="D32" s="56" t="str">
        <f>'7조'!D$18</f>
        <v/>
      </c>
      <c r="E32" s="57" t="str">
        <f>'7조'!E$18</f>
        <v>7조 - Blackboard - Integrability</v>
      </c>
    </row>
    <row r="33" spans="1:5">
      <c r="A33" s="54" t="s">
        <v>154</v>
      </c>
      <c r="B33" s="56" t="str">
        <f>'8조'!B$18</f>
        <v/>
      </c>
      <c r="C33" s="57" t="str">
        <f>'8조'!C$18</f>
        <v>8조 - Shared Respository - Integrability</v>
      </c>
      <c r="D33" s="56" t="str">
        <f>'8조'!D$18</f>
        <v/>
      </c>
      <c r="E33" s="57" t="str">
        <f>'8조'!E$18</f>
        <v>8조 - Blackboard - Integrability</v>
      </c>
    </row>
    <row r="34" spans="1:5">
      <c r="A34" s="54" t="s">
        <v>155</v>
      </c>
      <c r="B34" s="56" t="str">
        <f>'9조'!B$18</f>
        <v/>
      </c>
      <c r="C34" s="57" t="str">
        <f>'9조'!C$18</f>
        <v>9조 - Shared Respository - Integrability</v>
      </c>
      <c r="D34" s="56" t="str">
        <f>'9조'!D$18</f>
        <v/>
      </c>
      <c r="E34" s="57" t="str">
        <f>'9조'!E$18</f>
        <v>9조 - Blackboard - Integrability</v>
      </c>
    </row>
    <row r="35" spans="1:5">
      <c r="A35" s="51"/>
      <c r="B35" s="50"/>
      <c r="C35" s="51"/>
      <c r="D35" s="50"/>
      <c r="E35" s="51"/>
    </row>
    <row r="36" spans="1:5">
      <c r="A36" s="53" t="s">
        <v>18</v>
      </c>
      <c r="B36" s="53">
        <f>'Detailed Reasoning'!B$19</f>
        <v>0</v>
      </c>
      <c r="C36" s="53">
        <f>'Detailed Reasoning'!C$19</f>
        <v>0</v>
      </c>
      <c r="D36" s="53">
        <f>'Detailed Reasoning'!D$19</f>
        <v>0</v>
      </c>
      <c r="E36" s="53">
        <f>'Detailed Reasoning'!E$19</f>
        <v>0</v>
      </c>
    </row>
    <row r="37" spans="1:5">
      <c r="A37" s="49" t="s">
        <v>156</v>
      </c>
      <c r="B37" s="56">
        <f>'1조'!B$19</f>
        <v>0</v>
      </c>
      <c r="C37" s="51" t="str">
        <f>'1조'!C19</f>
        <v>1조 - Shared Respository - Energy Efficiency</v>
      </c>
      <c r="D37" s="56">
        <f>'1조'!D$19</f>
        <v>0</v>
      </c>
      <c r="E37" s="51" t="str">
        <f>'1조'!E19</f>
        <v>1조 - Blackboard - Energy Efficiency</v>
      </c>
    </row>
    <row r="38" spans="1:5">
      <c r="A38" s="49" t="s">
        <v>157</v>
      </c>
      <c r="B38" s="56" t="str">
        <f>'2조'!B$19</f>
        <v/>
      </c>
      <c r="C38" s="57" t="str">
        <f>'2조'!C$19</f>
        <v>2조 - Shared Respository - Energy Efficiency</v>
      </c>
      <c r="D38" s="56" t="str">
        <f>'2조'!D$19</f>
        <v/>
      </c>
      <c r="E38" s="57" t="str">
        <f>'2조'!E$19</f>
        <v>2조 - Blackboard - Energy Efficiency</v>
      </c>
    </row>
    <row r="39" spans="1:5">
      <c r="A39" s="49" t="s">
        <v>158</v>
      </c>
      <c r="B39" s="56" t="str">
        <f>'3조'!B$19</f>
        <v/>
      </c>
      <c r="C39" s="57" t="str">
        <f>'3조'!C$19</f>
        <v>3조 - Shared Respository - Energy Efficiency</v>
      </c>
      <c r="D39" s="56" t="str">
        <f>'3조'!D$19</f>
        <v/>
      </c>
      <c r="E39" s="57" t="str">
        <f>'3조'!E$19</f>
        <v>3조 - Blackboard - Energy Efficiency</v>
      </c>
    </row>
    <row r="40" spans="1:5">
      <c r="A40" s="49" t="s">
        <v>159</v>
      </c>
      <c r="B40" s="56" t="str">
        <f>'4조'!B$19</f>
        <v/>
      </c>
      <c r="C40" s="57" t="str">
        <f>'4조'!C$19</f>
        <v>4조 - Shared Respository - Energy Efficiency</v>
      </c>
      <c r="D40" s="56" t="str">
        <f>'4조'!D$19</f>
        <v/>
      </c>
      <c r="E40" s="57" t="str">
        <f>'4조'!E$19</f>
        <v>4조 - Blackboard - Energy Efficiency</v>
      </c>
    </row>
    <row r="41" spans="1:5">
      <c r="A41" s="49" t="s">
        <v>160</v>
      </c>
      <c r="B41" s="56" t="str">
        <f>'5조'!B$19</f>
        <v/>
      </c>
      <c r="C41" s="57" t="str">
        <f>'5조'!C$19</f>
        <v>5조 - Shared Respository - Energy Efficiency</v>
      </c>
      <c r="D41" s="56" t="str">
        <f>'5조'!D$19</f>
        <v/>
      </c>
      <c r="E41" s="57" t="str">
        <f>'5조'!E$19</f>
        <v>5조 - Blackboard - Energy Efficiency</v>
      </c>
    </row>
    <row r="42" spans="1:5">
      <c r="A42" s="49" t="s">
        <v>161</v>
      </c>
      <c r="B42" s="56" t="str">
        <f>'6조'!B$19</f>
        <v/>
      </c>
      <c r="C42" s="57" t="str">
        <f>'6조'!C$19</f>
        <v>6조 - Shared Respository - Energy Efficiency</v>
      </c>
      <c r="D42" s="56" t="str">
        <f>'6조'!D$19</f>
        <v/>
      </c>
      <c r="E42" s="57" t="str">
        <f>'6조'!E$19</f>
        <v>6조 - Blackboard - Energy Efficiency</v>
      </c>
    </row>
    <row r="43" spans="1:5">
      <c r="A43" s="49" t="s">
        <v>162</v>
      </c>
      <c r="B43" s="56" t="str">
        <f>'7조'!B$19</f>
        <v/>
      </c>
      <c r="C43" s="57" t="str">
        <f>'7조'!C$19</f>
        <v>7조 - Shared Respository - Energy Efficiency</v>
      </c>
      <c r="D43" s="56" t="str">
        <f>'7조'!D$19</f>
        <v/>
      </c>
      <c r="E43" s="57" t="str">
        <f>'7조'!E$19</f>
        <v>7조 - Blackboard - Energy Efficiency</v>
      </c>
    </row>
    <row r="44" spans="1:5">
      <c r="A44" s="49" t="s">
        <v>163</v>
      </c>
      <c r="B44" s="56" t="str">
        <f>'8조'!B$19</f>
        <v/>
      </c>
      <c r="C44" s="57" t="str">
        <f>'8조'!C$19</f>
        <v>8조 - Shared Respository - Energy Efficiency</v>
      </c>
      <c r="D44" s="56" t="str">
        <f>'8조'!D$19</f>
        <v/>
      </c>
      <c r="E44" s="57" t="str">
        <f>'8조'!E$19</f>
        <v>8조 - Blackboard - Energy Efficiency</v>
      </c>
    </row>
    <row r="45" spans="1:5">
      <c r="A45" s="49" t="s">
        <v>164</v>
      </c>
      <c r="B45" s="56" t="str">
        <f>'9조'!B$19</f>
        <v/>
      </c>
      <c r="C45" s="57" t="str">
        <f>'9조'!C$19</f>
        <v>9조 - Shared Respository - Energy Efficiency</v>
      </c>
      <c r="D45" s="56" t="str">
        <f>'9조'!D$19</f>
        <v/>
      </c>
      <c r="E45" s="57" t="str">
        <f>'9조'!E$19</f>
        <v>9조 - Blackboard - Energy Efficiency</v>
      </c>
    </row>
    <row r="46" spans="1:5">
      <c r="A46" s="49"/>
      <c r="B46" s="48"/>
      <c r="C46" s="49"/>
      <c r="D46" s="48"/>
      <c r="E46" s="49"/>
    </row>
    <row r="47" spans="1:5">
      <c r="A47" s="53" t="s">
        <v>19</v>
      </c>
      <c r="B47" s="55">
        <f>'Detailed Reasoning'!B$20</f>
        <v>0</v>
      </c>
      <c r="C47" s="55">
        <f>'Detailed Reasoning'!C$20</f>
        <v>0</v>
      </c>
      <c r="D47" s="55">
        <f>'Detailed Reasoning'!D$20</f>
        <v>0</v>
      </c>
      <c r="E47" s="55">
        <f>'Detailed Reasoning'!E$20</f>
        <v>0</v>
      </c>
    </row>
    <row r="48" spans="1:5">
      <c r="A48" s="54" t="s">
        <v>147</v>
      </c>
      <c r="B48" s="56">
        <f>'1조'!B$20</f>
        <v>0</v>
      </c>
      <c r="C48" s="51" t="str">
        <f>'1조'!C20</f>
        <v>1조 - Shared Respository - Modifiability</v>
      </c>
      <c r="D48" s="56">
        <f>'1조'!D$20</f>
        <v>0</v>
      </c>
      <c r="E48" s="51" t="str">
        <f>'1조'!E20</f>
        <v>1조 - Blackboard - Modifiability</v>
      </c>
    </row>
    <row r="49" spans="1:5">
      <c r="A49" s="54" t="s">
        <v>148</v>
      </c>
      <c r="B49" s="56" t="str">
        <f>'2조'!B$20</f>
        <v/>
      </c>
      <c r="C49" s="57" t="str">
        <f>'2조'!C$20</f>
        <v>2조 - Shared Respository - Modifiability</v>
      </c>
      <c r="D49" s="56" t="str">
        <f>'2조'!D$20</f>
        <v/>
      </c>
      <c r="E49" s="57" t="str">
        <f>'2조'!E$20</f>
        <v>2조 - Blackboard - Modifiability</v>
      </c>
    </row>
    <row r="50" spans="1:5">
      <c r="A50" s="54" t="s">
        <v>149</v>
      </c>
      <c r="B50" s="56" t="str">
        <f>'3조'!B$20</f>
        <v/>
      </c>
      <c r="C50" s="57" t="str">
        <f>'3조'!C$20</f>
        <v>3조 - Shared Respository - Modifiability</v>
      </c>
      <c r="D50" s="56" t="str">
        <f>'3조'!D$20</f>
        <v/>
      </c>
      <c r="E50" s="57" t="str">
        <f>'3조'!E$20</f>
        <v>3조 - Blackboard - Modifiability</v>
      </c>
    </row>
    <row r="51" spans="1:5">
      <c r="A51" s="54" t="s">
        <v>150</v>
      </c>
      <c r="B51" s="56" t="str">
        <f>'4조'!B$20</f>
        <v/>
      </c>
      <c r="C51" s="57" t="str">
        <f>'4조'!C$20</f>
        <v>4조 - Shared Respository - Modifiability</v>
      </c>
      <c r="D51" s="56" t="str">
        <f>'4조'!D$20</f>
        <v/>
      </c>
      <c r="E51" s="57" t="str">
        <f>'4조'!E$20</f>
        <v>4조 - Blackboard - Modifiability</v>
      </c>
    </row>
    <row r="52" spans="1:5">
      <c r="A52" s="54" t="s">
        <v>151</v>
      </c>
      <c r="B52" s="56" t="str">
        <f>'5조'!B$20</f>
        <v/>
      </c>
      <c r="C52" s="57" t="str">
        <f>'5조'!C$20</f>
        <v>5조 - Shared Respository - Modifiability</v>
      </c>
      <c r="D52" s="56" t="str">
        <f>'5조'!D$20</f>
        <v/>
      </c>
      <c r="E52" s="57" t="str">
        <f>'5조'!E$20</f>
        <v>5조 - Blackboard - Modifiability</v>
      </c>
    </row>
    <row r="53" spans="1:5">
      <c r="A53" s="54" t="s">
        <v>152</v>
      </c>
      <c r="B53" s="56" t="str">
        <f>'6조'!B$20</f>
        <v/>
      </c>
      <c r="C53" s="57" t="str">
        <f>'6조'!C$20</f>
        <v>6조 - Shared Respository - Modifiability</v>
      </c>
      <c r="D53" s="56" t="str">
        <f>'6조'!D$20</f>
        <v/>
      </c>
      <c r="E53" s="57" t="str">
        <f>'6조'!E$20</f>
        <v>6조 - Blackboard - Modifiability</v>
      </c>
    </row>
    <row r="54" spans="1:5">
      <c r="A54" s="54" t="s">
        <v>153</v>
      </c>
      <c r="B54" s="56" t="str">
        <f>'7조'!B$20</f>
        <v/>
      </c>
      <c r="C54" s="57" t="str">
        <f>'7조'!C$20</f>
        <v>7조 - Shared Respository - Modifiability</v>
      </c>
      <c r="D54" s="56" t="str">
        <f>'7조'!D$20</f>
        <v/>
      </c>
      <c r="E54" s="57" t="str">
        <f>'7조'!E$20</f>
        <v>7조 - Blackboard - Modifiability</v>
      </c>
    </row>
    <row r="55" spans="1:5">
      <c r="A55" s="54" t="s">
        <v>154</v>
      </c>
      <c r="B55" s="56" t="str">
        <f>'8조'!B$20</f>
        <v/>
      </c>
      <c r="C55" s="57" t="str">
        <f>'8조'!C$20</f>
        <v>8조 - Shared Respository - Modifiability</v>
      </c>
      <c r="D55" s="56" t="str">
        <f>'8조'!D$20</f>
        <v/>
      </c>
      <c r="E55" s="57" t="str">
        <f>'8조'!E$20</f>
        <v>8조 - Blackboard - Modifiability</v>
      </c>
    </row>
    <row r="56" spans="1:5">
      <c r="A56" s="54" t="s">
        <v>155</v>
      </c>
      <c r="B56" s="56" t="str">
        <f>'9조'!B$20</f>
        <v/>
      </c>
      <c r="C56" s="57" t="str">
        <f>'9조'!C$20</f>
        <v>9조 - Shared Respository - Modifiability</v>
      </c>
      <c r="D56" s="56" t="str">
        <f>'9조'!D$20</f>
        <v/>
      </c>
      <c r="E56" s="57" t="str">
        <f>'9조'!E$20</f>
        <v>9조 - Blackboard - Modifiability</v>
      </c>
    </row>
    <row r="57" spans="1:5">
      <c r="A57" s="51"/>
      <c r="B57" s="50"/>
      <c r="C57" s="51"/>
      <c r="D57" s="50"/>
      <c r="E57" s="51"/>
    </row>
    <row r="58" spans="1:5">
      <c r="A58" s="53" t="s">
        <v>20</v>
      </c>
      <c r="B58" s="55">
        <f>'Detailed Reasoning'!B$21</f>
        <v>0</v>
      </c>
      <c r="C58" s="55">
        <f>'Detailed Reasoning'!C$21</f>
        <v>0</v>
      </c>
      <c r="D58" s="55">
        <f>'Detailed Reasoning'!D$21</f>
        <v>0</v>
      </c>
      <c r="E58" s="55">
        <f>'Detailed Reasoning'!E$21</f>
        <v>0</v>
      </c>
    </row>
    <row r="59" spans="1:5">
      <c r="A59" s="54" t="s">
        <v>147</v>
      </c>
      <c r="B59" s="56">
        <f>'1조'!B$21</f>
        <v>0</v>
      </c>
      <c r="C59" s="51" t="str">
        <f>'1조'!C21</f>
        <v>1조 - Shared Respository - Performance</v>
      </c>
      <c r="D59" s="56">
        <f>'1조'!D$21</f>
        <v>0</v>
      </c>
      <c r="E59" s="51" t="str">
        <f>'1조'!E21</f>
        <v>1조 - Blackboard - Performance</v>
      </c>
    </row>
    <row r="60" spans="1:5">
      <c r="A60" s="54" t="s">
        <v>148</v>
      </c>
      <c r="B60" s="56" t="str">
        <f>'2조'!B$21</f>
        <v/>
      </c>
      <c r="C60" s="57" t="str">
        <f>'2조'!C$21</f>
        <v>2조 - Shared Respository - Performance</v>
      </c>
      <c r="D60" s="56" t="str">
        <f>'2조'!D$21</f>
        <v/>
      </c>
      <c r="E60" s="57" t="str">
        <f>'2조'!E$21</f>
        <v>2조 - Blackboard - Performance</v>
      </c>
    </row>
    <row r="61" spans="1:5">
      <c r="A61" s="54" t="s">
        <v>149</v>
      </c>
      <c r="B61" s="56" t="str">
        <f>'3조'!B$21</f>
        <v/>
      </c>
      <c r="C61" s="57" t="str">
        <f>'3조'!C$21</f>
        <v>3조 - Shared Respository - Performance</v>
      </c>
      <c r="D61" s="56" t="str">
        <f>'3조'!D$21</f>
        <v/>
      </c>
      <c r="E61" s="57" t="str">
        <f>'3조'!E$21</f>
        <v>3조 - Blackboard - Performance</v>
      </c>
    </row>
    <row r="62" spans="1:5">
      <c r="A62" s="54" t="s">
        <v>150</v>
      </c>
      <c r="B62" s="56" t="str">
        <f>'4조'!B$21</f>
        <v/>
      </c>
      <c r="C62" s="57" t="str">
        <f>'4조'!C$21</f>
        <v>4조 - Shared Respository - Performance</v>
      </c>
      <c r="D62" s="56" t="str">
        <f>'4조'!D$21</f>
        <v/>
      </c>
      <c r="E62" s="57" t="str">
        <f>'4조'!E$21</f>
        <v>4조 - Blackboard - Performance</v>
      </c>
    </row>
    <row r="63" spans="1:5">
      <c r="A63" s="54" t="s">
        <v>151</v>
      </c>
      <c r="B63" s="56" t="str">
        <f>'5조'!B$21</f>
        <v/>
      </c>
      <c r="C63" s="57" t="str">
        <f>'5조'!C$21</f>
        <v>5조 - Shared Respository - Performance</v>
      </c>
      <c r="D63" s="56" t="str">
        <f>'5조'!D$21</f>
        <v/>
      </c>
      <c r="E63" s="57" t="str">
        <f>'5조'!E$21</f>
        <v>5조 - Blackboard - Performance</v>
      </c>
    </row>
    <row r="64" spans="1:5">
      <c r="A64" s="54" t="s">
        <v>152</v>
      </c>
      <c r="B64" s="56" t="str">
        <f>'6조'!B$21</f>
        <v/>
      </c>
      <c r="C64" s="57" t="str">
        <f>'6조'!C$21</f>
        <v>6조 - Shared Respository - Performance</v>
      </c>
      <c r="D64" s="56" t="str">
        <f>'6조'!D$21</f>
        <v/>
      </c>
      <c r="E64" s="57" t="str">
        <f>'6조'!E$21</f>
        <v>6조 - Blackboard - Performance</v>
      </c>
    </row>
    <row r="65" spans="1:5">
      <c r="A65" s="54" t="s">
        <v>153</v>
      </c>
      <c r="B65" s="56" t="str">
        <f>'7조'!B$21</f>
        <v/>
      </c>
      <c r="C65" s="57" t="str">
        <f>'7조'!C$21</f>
        <v>7조 - Shared Respository - Performance</v>
      </c>
      <c r="D65" s="56" t="str">
        <f>'7조'!D$21</f>
        <v/>
      </c>
      <c r="E65" s="57" t="str">
        <f>'7조'!E$21</f>
        <v>7조 - Blackboard - Performance</v>
      </c>
    </row>
    <row r="66" spans="1:5">
      <c r="A66" s="54" t="s">
        <v>154</v>
      </c>
      <c r="B66" s="56" t="str">
        <f>'8조'!B$21</f>
        <v/>
      </c>
      <c r="C66" s="57" t="str">
        <f>'8조'!C$21</f>
        <v>8조 - Shared Respository - Performance</v>
      </c>
      <c r="D66" s="56" t="str">
        <f>'8조'!D$21</f>
        <v/>
      </c>
      <c r="E66" s="57" t="str">
        <f>'8조'!E$21</f>
        <v>8조 - Blackboard - Performance</v>
      </c>
    </row>
    <row r="67" spans="1:5">
      <c r="A67" s="54" t="s">
        <v>155</v>
      </c>
      <c r="B67" s="56" t="str">
        <f>'9조'!B$21</f>
        <v/>
      </c>
      <c r="C67" s="57" t="str">
        <f>'9조'!C$21</f>
        <v>9조 - Shared Respository - Performance</v>
      </c>
      <c r="D67" s="56" t="str">
        <f>'9조'!D$21</f>
        <v/>
      </c>
      <c r="E67" s="57" t="str">
        <f>'9조'!E$21</f>
        <v>9조 - Blackboard - Performance</v>
      </c>
    </row>
    <row r="68" spans="1:5">
      <c r="A68" s="51"/>
      <c r="B68" s="50"/>
      <c r="C68" s="51"/>
      <c r="D68" s="50"/>
      <c r="E68" s="51"/>
    </row>
    <row r="69" spans="1:5">
      <c r="A69" s="53" t="s">
        <v>21</v>
      </c>
      <c r="B69" s="55">
        <f>'Detailed Reasoning'!B$22</f>
        <v>0</v>
      </c>
      <c r="C69" s="55">
        <f>'Detailed Reasoning'!C$22</f>
        <v>0</v>
      </c>
      <c r="D69" s="55">
        <f>'Detailed Reasoning'!D$22</f>
        <v>0</v>
      </c>
      <c r="E69" s="55">
        <f>'Detailed Reasoning'!E$22</f>
        <v>0</v>
      </c>
    </row>
    <row r="70" spans="1:5">
      <c r="A70" s="54" t="s">
        <v>147</v>
      </c>
      <c r="B70" s="56">
        <f>'1조'!B$22</f>
        <v>0</v>
      </c>
      <c r="C70" s="51" t="str">
        <f>'1조'!C22</f>
        <v>1조 - Shared Respository - Safety</v>
      </c>
      <c r="D70" s="56">
        <f>'1조'!D$22</f>
        <v>0</v>
      </c>
      <c r="E70" s="51" t="str">
        <f>'1조'!E22</f>
        <v>1조 - Blackboard - Safety</v>
      </c>
    </row>
    <row r="71" spans="1:5">
      <c r="A71" s="54" t="s">
        <v>148</v>
      </c>
      <c r="B71" s="56" t="str">
        <f>'2조'!B$22</f>
        <v/>
      </c>
      <c r="C71" s="57" t="str">
        <f>'2조'!C$22</f>
        <v>2조 - Shared Respository - Safety</v>
      </c>
      <c r="D71" s="56" t="str">
        <f>'2조'!D$22</f>
        <v/>
      </c>
      <c r="E71" s="57" t="str">
        <f>'2조'!E$22</f>
        <v>2조 - Blackboard - Safety</v>
      </c>
    </row>
    <row r="72" spans="1:5">
      <c r="A72" s="54" t="s">
        <v>149</v>
      </c>
      <c r="B72" s="56" t="str">
        <f>'3조'!B$22</f>
        <v/>
      </c>
      <c r="C72" s="57" t="str">
        <f>'3조'!C$22</f>
        <v>3조 - Shared Respository - Safety</v>
      </c>
      <c r="D72" s="56" t="str">
        <f>'3조'!D$22</f>
        <v/>
      </c>
      <c r="E72" s="57" t="str">
        <f>'3조'!E$22</f>
        <v>3조 - Blackboard - Safety</v>
      </c>
    </row>
    <row r="73" spans="1:5">
      <c r="A73" s="54" t="s">
        <v>150</v>
      </c>
      <c r="B73" s="56" t="str">
        <f>'4조'!B$22</f>
        <v/>
      </c>
      <c r="C73" s="57" t="str">
        <f>'4조'!C$22</f>
        <v>4조 - Shared Respository - Safety</v>
      </c>
      <c r="D73" s="56" t="str">
        <f>'4조'!D$22</f>
        <v/>
      </c>
      <c r="E73" s="57" t="str">
        <f>'4조'!E$22</f>
        <v>4조 - Blackboard - Safety</v>
      </c>
    </row>
    <row r="74" spans="1:5">
      <c r="A74" s="54" t="s">
        <v>151</v>
      </c>
      <c r="B74" s="56" t="str">
        <f>'5조'!B$22</f>
        <v/>
      </c>
      <c r="C74" s="57" t="str">
        <f>'5조'!C$22</f>
        <v>5조 - Shared Respository - Safety</v>
      </c>
      <c r="D74" s="56" t="str">
        <f>'5조'!D$22</f>
        <v/>
      </c>
      <c r="E74" s="57" t="str">
        <f>'5조'!E$22</f>
        <v>5조 - Blackboard - Safety</v>
      </c>
    </row>
    <row r="75" spans="1:5">
      <c r="A75" s="54" t="s">
        <v>152</v>
      </c>
      <c r="B75" s="56" t="str">
        <f>'6조'!B$22</f>
        <v/>
      </c>
      <c r="C75" s="57" t="str">
        <f>'6조'!C$22</f>
        <v>6조 - Shared Respository - Safety</v>
      </c>
      <c r="D75" s="56" t="str">
        <f>'6조'!D$22</f>
        <v/>
      </c>
      <c r="E75" s="57" t="str">
        <f>'6조'!E$22</f>
        <v>6조 - Blackboard - Safety</v>
      </c>
    </row>
    <row r="76" spans="1:5">
      <c r="A76" s="54" t="s">
        <v>153</v>
      </c>
      <c r="B76" s="56" t="str">
        <f>'7조'!B$22</f>
        <v/>
      </c>
      <c r="C76" s="57" t="str">
        <f>'7조'!C$22</f>
        <v>7조 - Shared Respository - Safety</v>
      </c>
      <c r="D76" s="56" t="str">
        <f>'7조'!D$22</f>
        <v/>
      </c>
      <c r="E76" s="57" t="str">
        <f>'7조'!E$22</f>
        <v>7조 - Blackboard - Safety</v>
      </c>
    </row>
    <row r="77" spans="1:5">
      <c r="A77" s="54" t="s">
        <v>154</v>
      </c>
      <c r="B77" s="56" t="str">
        <f>'8조'!B$22</f>
        <v/>
      </c>
      <c r="C77" s="57" t="str">
        <f>'8조'!C$22</f>
        <v>8조 - Shared Respository - Safety</v>
      </c>
      <c r="D77" s="56" t="str">
        <f>'8조'!D$22</f>
        <v/>
      </c>
      <c r="E77" s="57" t="str">
        <f>'8조'!E$22</f>
        <v>8조 - Blackboard - Safety</v>
      </c>
    </row>
    <row r="78" spans="1:5">
      <c r="A78" s="54" t="s">
        <v>155</v>
      </c>
      <c r="B78" s="56" t="str">
        <f>'9조'!B$22</f>
        <v/>
      </c>
      <c r="C78" s="57" t="str">
        <f>'9조'!C$22</f>
        <v>9조 - Shared Respository - Safety</v>
      </c>
      <c r="D78" s="56" t="str">
        <f>'9조'!D$22</f>
        <v/>
      </c>
      <c r="E78" s="57" t="str">
        <f>'9조'!E$22</f>
        <v>9조 - Blackboard - Safety</v>
      </c>
    </row>
    <row r="79" spans="1:5">
      <c r="A79" s="51"/>
      <c r="B79" s="50"/>
      <c r="C79" s="51"/>
      <c r="D79" s="50"/>
      <c r="E79" s="51"/>
    </row>
    <row r="80" spans="1:5">
      <c r="A80" s="53" t="s">
        <v>22</v>
      </c>
      <c r="B80" s="55">
        <f>'Detailed Reasoning'!B$23</f>
        <v>0</v>
      </c>
      <c r="C80" s="55">
        <f>'Detailed Reasoning'!C$23</f>
        <v>0</v>
      </c>
      <c r="D80" s="55">
        <f>'Detailed Reasoning'!D$23</f>
        <v>0</v>
      </c>
      <c r="E80" s="55">
        <f>'Detailed Reasoning'!E$23</f>
        <v>0</v>
      </c>
    </row>
    <row r="81" spans="1:5">
      <c r="A81" s="54" t="s">
        <v>147</v>
      </c>
      <c r="B81" s="56">
        <f>'1조'!B$23</f>
        <v>0</v>
      </c>
      <c r="C81" s="51" t="str">
        <f>'1조'!C23</f>
        <v>1조 - Shared Respository - Security</v>
      </c>
      <c r="D81" s="56">
        <f>'1조'!D$23</f>
        <v>0</v>
      </c>
      <c r="E81" s="51" t="str">
        <f>'1조'!E23</f>
        <v>1조 - Blackboard - Security</v>
      </c>
    </row>
    <row r="82" spans="1:5">
      <c r="A82" s="54" t="s">
        <v>148</v>
      </c>
      <c r="B82" s="56" t="str">
        <f>'2조'!B$23</f>
        <v/>
      </c>
      <c r="C82" s="57" t="str">
        <f>'2조'!C$23</f>
        <v>2조 - Shared Respository - Security</v>
      </c>
      <c r="D82" s="56" t="str">
        <f>'2조'!D$23</f>
        <v/>
      </c>
      <c r="E82" s="57" t="str">
        <f>'2조'!E$23</f>
        <v>2조 - Blackboard - Security</v>
      </c>
    </row>
    <row r="83" spans="1:5">
      <c r="A83" s="54" t="s">
        <v>149</v>
      </c>
      <c r="B83" s="56" t="str">
        <f>'3조'!B$23</f>
        <v/>
      </c>
      <c r="C83" s="57" t="str">
        <f>'3조'!C$23</f>
        <v>3조 - Shared Respository - Security</v>
      </c>
      <c r="D83" s="56" t="str">
        <f>'3조'!D$23</f>
        <v/>
      </c>
      <c r="E83" s="57" t="str">
        <f>'3조'!E$23</f>
        <v>3조 - Blackboard - Security</v>
      </c>
    </row>
    <row r="84" spans="1:5">
      <c r="A84" s="54" t="s">
        <v>150</v>
      </c>
      <c r="B84" s="56" t="str">
        <f>'4조'!B$23</f>
        <v/>
      </c>
      <c r="C84" s="57" t="str">
        <f>'4조'!C$23</f>
        <v>4조 - Shared Respository - Security</v>
      </c>
      <c r="D84" s="56" t="str">
        <f>'4조'!D$23</f>
        <v/>
      </c>
      <c r="E84" s="57" t="str">
        <f>'4조'!E$23</f>
        <v>4조 - Blackboard - Security</v>
      </c>
    </row>
    <row r="85" spans="1:5">
      <c r="A85" s="54" t="s">
        <v>151</v>
      </c>
      <c r="B85" s="56" t="str">
        <f>'5조'!B$23</f>
        <v/>
      </c>
      <c r="C85" s="57" t="str">
        <f>'5조'!C$23</f>
        <v>5조 - Shared Respository - Security</v>
      </c>
      <c r="D85" s="56" t="str">
        <f>'5조'!D$23</f>
        <v/>
      </c>
      <c r="E85" s="57" t="str">
        <f>'5조'!E$23</f>
        <v>5조 - Blackboard - Security</v>
      </c>
    </row>
    <row r="86" spans="1:5">
      <c r="A86" s="54" t="s">
        <v>152</v>
      </c>
      <c r="B86" s="56" t="str">
        <f>'6조'!B$23</f>
        <v/>
      </c>
      <c r="C86" s="57" t="str">
        <f>'6조'!C$23</f>
        <v>6조 - Shared Respository - Security</v>
      </c>
      <c r="D86" s="56" t="str">
        <f>'6조'!D$23</f>
        <v/>
      </c>
      <c r="E86" s="57" t="str">
        <f>'6조'!E$23</f>
        <v>6조 - Blackboard - Security</v>
      </c>
    </row>
    <row r="87" spans="1:5">
      <c r="A87" s="54" t="s">
        <v>153</v>
      </c>
      <c r="B87" s="56" t="str">
        <f>'7조'!B$23</f>
        <v/>
      </c>
      <c r="C87" s="57" t="str">
        <f>'7조'!C$23</f>
        <v>7조 - Shared Respository - Security</v>
      </c>
      <c r="D87" s="56" t="str">
        <f>'7조'!D$23</f>
        <v/>
      </c>
      <c r="E87" s="57" t="str">
        <f>'7조'!E$23</f>
        <v>7조 - Blackboard - Security</v>
      </c>
    </row>
    <row r="88" spans="1:5">
      <c r="A88" s="54" t="s">
        <v>154</v>
      </c>
      <c r="B88" s="56" t="str">
        <f>'8조'!B$23</f>
        <v/>
      </c>
      <c r="C88" s="57" t="str">
        <f>'8조'!C$23</f>
        <v>8조 - Shared Respository - Security</v>
      </c>
      <c r="D88" s="56" t="str">
        <f>'8조'!D$23</f>
        <v/>
      </c>
      <c r="E88" s="57" t="str">
        <f>'8조'!E$23</f>
        <v>8조 - Blackboard - Security</v>
      </c>
    </row>
    <row r="89" spans="1:5">
      <c r="A89" s="54" t="s">
        <v>155</v>
      </c>
      <c r="B89" s="56" t="str">
        <f>'9조'!B$23</f>
        <v/>
      </c>
      <c r="C89" s="57" t="str">
        <f>'9조'!C$23</f>
        <v>9조 - Shared Respository - Security</v>
      </c>
      <c r="D89" s="56" t="str">
        <f>'9조'!D$23</f>
        <v/>
      </c>
      <c r="E89" s="57" t="str">
        <f>'9조'!E$23</f>
        <v>9조 - Blackboard - Security</v>
      </c>
    </row>
    <row r="90" spans="1:5">
      <c r="A90" s="51"/>
      <c r="B90" s="50"/>
      <c r="C90" s="51"/>
      <c r="D90" s="50"/>
      <c r="E90" s="51"/>
    </row>
    <row r="91" spans="1:5">
      <c r="A91" s="53" t="s">
        <v>23</v>
      </c>
      <c r="B91" s="55">
        <f>'Detailed Reasoning'!B$24</f>
        <v>0</v>
      </c>
      <c r="C91" s="55">
        <f>'Detailed Reasoning'!C$24</f>
        <v>0</v>
      </c>
      <c r="D91" s="55">
        <f>'Detailed Reasoning'!D$24</f>
        <v>0</v>
      </c>
      <c r="E91" s="55">
        <f>'Detailed Reasoning'!E$24</f>
        <v>0</v>
      </c>
    </row>
    <row r="92" spans="1:5">
      <c r="A92" s="54" t="s">
        <v>147</v>
      </c>
      <c r="B92" s="56">
        <f>'1조'!B$24</f>
        <v>0</v>
      </c>
      <c r="C92" s="51" t="str">
        <f>'1조'!C24</f>
        <v>1조 - Shared Respository - Testability</v>
      </c>
      <c r="D92" s="56">
        <f>'1조'!D$24</f>
        <v>0</v>
      </c>
      <c r="E92" s="51" t="str">
        <f>'1조'!E24</f>
        <v>1조 - Blackboard - Testability</v>
      </c>
    </row>
    <row r="93" spans="1:5">
      <c r="A93" s="54" t="s">
        <v>148</v>
      </c>
      <c r="B93" s="56" t="str">
        <f>'2조'!B$24</f>
        <v/>
      </c>
      <c r="C93" s="57" t="str">
        <f>'2조'!C$24</f>
        <v>2조 - Shared Respository - Testability</v>
      </c>
      <c r="D93" s="56" t="str">
        <f>'2조'!D$24</f>
        <v/>
      </c>
      <c r="E93" s="57" t="str">
        <f>'2조'!E$24</f>
        <v>2조 - Blackboard - Testability</v>
      </c>
    </row>
    <row r="94" spans="1:5">
      <c r="A94" s="54" t="s">
        <v>149</v>
      </c>
      <c r="B94" s="56" t="str">
        <f>'3조'!B$24</f>
        <v/>
      </c>
      <c r="C94" s="57" t="str">
        <f>'3조'!C$24</f>
        <v>3조 - Shared Respository - Testability</v>
      </c>
      <c r="D94" s="56" t="str">
        <f>'3조'!D$24</f>
        <v/>
      </c>
      <c r="E94" s="57" t="str">
        <f>'3조'!E$24</f>
        <v>3조 - Blackboard - Testability</v>
      </c>
    </row>
    <row r="95" spans="1:5">
      <c r="A95" s="54" t="s">
        <v>150</v>
      </c>
      <c r="B95" s="56" t="str">
        <f>'4조'!B$24</f>
        <v/>
      </c>
      <c r="C95" s="57" t="str">
        <f>'4조'!C$24</f>
        <v>4조 - Shared Respository - Testability</v>
      </c>
      <c r="D95" s="56" t="str">
        <f>'4조'!D$24</f>
        <v/>
      </c>
      <c r="E95" s="57" t="str">
        <f>'4조'!E$24</f>
        <v>4조 - Blackboard - Testability</v>
      </c>
    </row>
    <row r="96" spans="1:5">
      <c r="A96" s="54" t="s">
        <v>151</v>
      </c>
      <c r="B96" s="56" t="str">
        <f>'5조'!B$24</f>
        <v/>
      </c>
      <c r="C96" s="57" t="str">
        <f>'5조'!C$24</f>
        <v>5조 - Shared Respository - Testability</v>
      </c>
      <c r="D96" s="56" t="str">
        <f>'5조'!D$24</f>
        <v/>
      </c>
      <c r="E96" s="57" t="str">
        <f>'5조'!E$24</f>
        <v>5조 - Blackboard - Testability</v>
      </c>
    </row>
    <row r="97" spans="1:5">
      <c r="A97" s="54" t="s">
        <v>152</v>
      </c>
      <c r="B97" s="56" t="str">
        <f>'6조'!B$24</f>
        <v/>
      </c>
      <c r="C97" s="57" t="str">
        <f>'6조'!C$24</f>
        <v>6조 - Shared Respository - Testability</v>
      </c>
      <c r="D97" s="56" t="str">
        <f>'6조'!D$24</f>
        <v/>
      </c>
      <c r="E97" s="57" t="str">
        <f>'6조'!E$24</f>
        <v>6조 - Blackboard - Testability</v>
      </c>
    </row>
    <row r="98" spans="1:5">
      <c r="A98" s="54" t="s">
        <v>153</v>
      </c>
      <c r="B98" s="56" t="str">
        <f>'7조'!B$24</f>
        <v/>
      </c>
      <c r="C98" s="57" t="str">
        <f>'7조'!C$24</f>
        <v>7조 - Shared Respository - Testability</v>
      </c>
      <c r="D98" s="56" t="str">
        <f>'7조'!D$24</f>
        <v/>
      </c>
      <c r="E98" s="57" t="str">
        <f>'7조'!E$24</f>
        <v>7조 - Blackboard - Testability</v>
      </c>
    </row>
    <row r="99" spans="1:5">
      <c r="A99" s="54" t="s">
        <v>154</v>
      </c>
      <c r="B99" s="56" t="str">
        <f>'8조'!B$24</f>
        <v/>
      </c>
      <c r="C99" s="57" t="str">
        <f>'8조'!C$24</f>
        <v>8조 - Shared Respository - Testability</v>
      </c>
      <c r="D99" s="56" t="str">
        <f>'8조'!D$24</f>
        <v/>
      </c>
      <c r="E99" s="57" t="str">
        <f>'8조'!E$24</f>
        <v>8조 - Blackboard - Testability</v>
      </c>
    </row>
    <row r="100" spans="1:5">
      <c r="A100" s="54" t="s">
        <v>155</v>
      </c>
      <c r="B100" s="56" t="str">
        <f>'9조'!B$24</f>
        <v/>
      </c>
      <c r="C100" s="57" t="str">
        <f>'9조'!C$24</f>
        <v>9조 - Shared Respository - Testability</v>
      </c>
      <c r="D100" s="56" t="str">
        <f>'9조'!D$24</f>
        <v/>
      </c>
      <c r="E100" s="57" t="str">
        <f>'9조'!E$24</f>
        <v>9조 - Blackboard - Testability</v>
      </c>
    </row>
    <row r="101" spans="1:5" ht="15" customHeight="1">
      <c r="A101" s="51"/>
      <c r="B101" s="50"/>
      <c r="C101" s="51"/>
      <c r="D101" s="50"/>
      <c r="E101" s="51"/>
    </row>
    <row r="102" spans="1:5">
      <c r="A102" s="53" t="s">
        <v>24</v>
      </c>
      <c r="B102" s="55">
        <f>'Detailed Reasoning'!B$25</f>
        <v>0</v>
      </c>
      <c r="C102" s="55">
        <f>'Detailed Reasoning'!C$25</f>
        <v>0</v>
      </c>
      <c r="D102" s="55">
        <f>'Detailed Reasoning'!D$25</f>
        <v>0</v>
      </c>
      <c r="E102" s="55">
        <f>'Detailed Reasoning'!E$25</f>
        <v>0</v>
      </c>
    </row>
    <row r="103" spans="1:5">
      <c r="A103" s="54" t="s">
        <v>147</v>
      </c>
      <c r="B103" s="56">
        <f>'1조'!B$25</f>
        <v>0</v>
      </c>
      <c r="C103" s="51" t="str">
        <f>'1조'!C25</f>
        <v>1조 - Shared Respository - Usability</v>
      </c>
      <c r="D103" s="56">
        <f>'1조'!D$25</f>
        <v>0</v>
      </c>
      <c r="E103" s="51" t="str">
        <f>'1조'!E25</f>
        <v>1조 - Blackboard - Usability</v>
      </c>
    </row>
    <row r="104" spans="1:5">
      <c r="A104" s="54" t="s">
        <v>148</v>
      </c>
      <c r="B104" s="56" t="str">
        <f>'2조'!B$25</f>
        <v/>
      </c>
      <c r="C104" s="57" t="str">
        <f>'2조'!C$25</f>
        <v>2조 - Shared Respository - Usability</v>
      </c>
      <c r="D104" s="56" t="str">
        <f>'2조'!D$25</f>
        <v/>
      </c>
      <c r="E104" s="57" t="str">
        <f>'2조'!E$25</f>
        <v>2조 - Blackboard - Usability</v>
      </c>
    </row>
    <row r="105" spans="1:5">
      <c r="A105" s="54" t="s">
        <v>149</v>
      </c>
      <c r="B105" s="56" t="str">
        <f>'3조'!B$25</f>
        <v/>
      </c>
      <c r="C105" s="57" t="str">
        <f>'3조'!C$25</f>
        <v>3조 - Shared Respository - Usability</v>
      </c>
      <c r="D105" s="56" t="str">
        <f>'3조'!D$25</f>
        <v/>
      </c>
      <c r="E105" s="57" t="str">
        <f>'3조'!E$25</f>
        <v>3조 - Blackboard - Usability</v>
      </c>
    </row>
    <row r="106" spans="1:5">
      <c r="A106" s="54" t="s">
        <v>150</v>
      </c>
      <c r="B106" s="56" t="str">
        <f>'4조'!B$25</f>
        <v/>
      </c>
      <c r="C106" s="57" t="str">
        <f>'4조'!C$25</f>
        <v>4조 - Shared Respository - Usability</v>
      </c>
      <c r="D106" s="56" t="str">
        <f>'4조'!D$25</f>
        <v/>
      </c>
      <c r="E106" s="57" t="str">
        <f>'4조'!E$25</f>
        <v>4조 - Blackboard - Usability</v>
      </c>
    </row>
    <row r="107" spans="1:5">
      <c r="A107" s="54" t="s">
        <v>151</v>
      </c>
      <c r="B107" s="56" t="str">
        <f>'5조'!B$25</f>
        <v/>
      </c>
      <c r="C107" s="57" t="str">
        <f>'5조'!C$25</f>
        <v>5조 - Shared Respository - Usability</v>
      </c>
      <c r="D107" s="56" t="str">
        <f>'5조'!D$25</f>
        <v/>
      </c>
      <c r="E107" s="57" t="str">
        <f>'5조'!E$25</f>
        <v>5조 - Blackboard - Usability</v>
      </c>
    </row>
    <row r="108" spans="1:5">
      <c r="A108" s="54" t="s">
        <v>152</v>
      </c>
      <c r="B108" s="56" t="str">
        <f>'6조'!B$25</f>
        <v/>
      </c>
      <c r="C108" s="57" t="str">
        <f>'6조'!C$25</f>
        <v>6조 - Shared Respository - Usability</v>
      </c>
      <c r="D108" s="56" t="str">
        <f>'6조'!D$25</f>
        <v/>
      </c>
      <c r="E108" s="57" t="str">
        <f>'6조'!E$25</f>
        <v>6조 - Blackboard - Usability</v>
      </c>
    </row>
    <row r="109" spans="1:5">
      <c r="A109" s="54" t="s">
        <v>153</v>
      </c>
      <c r="B109" s="56" t="str">
        <f>'7조'!B$25</f>
        <v/>
      </c>
      <c r="C109" s="57" t="str">
        <f>'7조'!C$25</f>
        <v>7조 - Shared Respository - Usability</v>
      </c>
      <c r="D109" s="56" t="str">
        <f>'7조'!D$25</f>
        <v/>
      </c>
      <c r="E109" s="57" t="str">
        <f>'7조'!E$25</f>
        <v>7조 - Blackboard - Usability</v>
      </c>
    </row>
    <row r="110" spans="1:5">
      <c r="A110" s="54" t="s">
        <v>154</v>
      </c>
      <c r="B110" s="56" t="str">
        <f>'8조'!B$25</f>
        <v/>
      </c>
      <c r="C110" s="57" t="str">
        <f>'8조'!C$25</f>
        <v>8조 - Shared Respository - Usability</v>
      </c>
      <c r="D110" s="56" t="str">
        <f>'8조'!D$25</f>
        <v/>
      </c>
      <c r="E110" s="57" t="str">
        <f>'8조'!E$25</f>
        <v>8조 - Blackboard - Usability</v>
      </c>
    </row>
    <row r="111" spans="1:5">
      <c r="A111" s="54" t="s">
        <v>155</v>
      </c>
      <c r="B111" s="56" t="str">
        <f>'9조'!B$25</f>
        <v/>
      </c>
      <c r="C111" s="57" t="str">
        <f>'9조'!C$25</f>
        <v>9조 - Shared Respository - Usability</v>
      </c>
      <c r="D111" s="56" t="str">
        <f>'9조'!D$25</f>
        <v/>
      </c>
      <c r="E111" s="57" t="str">
        <f>'9조'!E$25</f>
        <v>9조 - Blackboard - Usability</v>
      </c>
    </row>
  </sheetData>
  <mergeCells count="3">
    <mergeCell ref="A1:A2"/>
    <mergeCell ref="B1:C1"/>
    <mergeCell ref="D1:E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11"/>
  <sheetViews>
    <sheetView workbookViewId="0">
      <pane ySplit="2" topLeftCell="A75" activePane="bottomLeft" state="frozen"/>
      <selection pane="bottomLeft" activeCell="H92" sqref="H92"/>
    </sheetView>
  </sheetViews>
  <sheetFormatPr defaultColWidth="14.42578125" defaultRowHeight="15" customHeight="1"/>
  <cols>
    <col min="1" max="1" width="19.140625" bestFit="1" customWidth="1"/>
    <col min="2" max="2" width="7.7109375" bestFit="1" customWidth="1"/>
    <col min="3" max="3" width="51" bestFit="1" customWidth="1"/>
    <col min="4" max="4" width="7.7109375" bestFit="1" customWidth="1"/>
    <col min="5" max="5" width="49" bestFit="1" customWidth="1"/>
  </cols>
  <sheetData>
    <row r="1" spans="1:5">
      <c r="A1" s="52" t="s">
        <v>28</v>
      </c>
      <c r="B1" s="52" t="s">
        <v>29</v>
      </c>
      <c r="C1" s="52"/>
      <c r="D1" s="52" t="s">
        <v>30</v>
      </c>
      <c r="E1" s="52"/>
    </row>
    <row r="2" spans="1:5">
      <c r="A2" s="52"/>
      <c r="B2" s="47" t="s">
        <v>4</v>
      </c>
      <c r="C2" s="47" t="s">
        <v>5</v>
      </c>
      <c r="D2" s="47" t="s">
        <v>4</v>
      </c>
      <c r="E2" s="47" t="s">
        <v>5</v>
      </c>
    </row>
    <row r="3" spans="1:5" ht="15" customHeight="1">
      <c r="A3" s="53" t="s">
        <v>6</v>
      </c>
      <c r="B3" s="55">
        <f>'Detailed Reasoning'!B$29</f>
        <v>0</v>
      </c>
      <c r="C3" s="55">
        <f>'Detailed Reasoning'!C$29</f>
        <v>0</v>
      </c>
      <c r="D3" s="53">
        <f>'Detailed Reasoning'!D$29</f>
        <v>0</v>
      </c>
      <c r="E3" s="53">
        <f>'Detailed Reasoning'!E$29</f>
        <v>0</v>
      </c>
    </row>
    <row r="4" spans="1:5">
      <c r="A4" s="54" t="s">
        <v>147</v>
      </c>
      <c r="B4" s="56">
        <f>'1조'!B$29</f>
        <v>0</v>
      </c>
      <c r="C4" s="51" t="str">
        <f>'1조'!C29</f>
        <v>1조 - Non-Buffered Event Based - Availability</v>
      </c>
      <c r="D4" s="56">
        <f>'1조'!D$29</f>
        <v>0</v>
      </c>
      <c r="E4" s="51" t="str">
        <f>'1조'!E29</f>
        <v>1조 - Buffered Message Based - Availability</v>
      </c>
    </row>
    <row r="5" spans="1:5">
      <c r="A5" s="54" t="s">
        <v>148</v>
      </c>
      <c r="B5" s="56" t="str">
        <f>'2조'!B$29</f>
        <v/>
      </c>
      <c r="C5" s="57" t="str">
        <f>'2조'!C$29</f>
        <v>2조 - Non-Buffered Event Based - Availability</v>
      </c>
      <c r="D5" s="56" t="str">
        <f>'2조'!D$29</f>
        <v/>
      </c>
      <c r="E5" s="57" t="str">
        <f>'2조'!E$29</f>
        <v>2조 - Buffered Message Based - Availability</v>
      </c>
    </row>
    <row r="6" spans="1:5">
      <c r="A6" s="54" t="s">
        <v>149</v>
      </c>
      <c r="B6" s="56" t="str">
        <f>'3조'!B$29</f>
        <v/>
      </c>
      <c r="C6" s="57" t="str">
        <f>'3조'!C$29</f>
        <v>3조 - Non-Buffered Event Based - Availability</v>
      </c>
      <c r="D6" s="56" t="str">
        <f>'3조'!D$29</f>
        <v/>
      </c>
      <c r="E6" s="57" t="str">
        <f>'3조'!E$29</f>
        <v>3조 - Buffered Message Based - Availability</v>
      </c>
    </row>
    <row r="7" spans="1:5">
      <c r="A7" s="54" t="s">
        <v>150</v>
      </c>
      <c r="B7" s="56" t="str">
        <f>'4조'!B$29</f>
        <v/>
      </c>
      <c r="C7" s="57" t="str">
        <f>'4조'!C$29</f>
        <v>4조 - Non-Buffered Event Based - Availability</v>
      </c>
      <c r="D7" s="56" t="str">
        <f>'4조'!D$29</f>
        <v/>
      </c>
      <c r="E7" s="57" t="str">
        <f>'4조'!E$29</f>
        <v>4조 - Buffered Message Based - Availability</v>
      </c>
    </row>
    <row r="8" spans="1:5">
      <c r="A8" s="54" t="s">
        <v>151</v>
      </c>
      <c r="B8" s="56" t="str">
        <f>'5조'!B$29</f>
        <v/>
      </c>
      <c r="C8" s="57" t="str">
        <f>'5조'!C$29</f>
        <v>5조 - Non-Buffered Event Based - Availability</v>
      </c>
      <c r="D8" s="56" t="str">
        <f>'5조'!D$29</f>
        <v/>
      </c>
      <c r="E8" s="57" t="str">
        <f>'5조'!E$29</f>
        <v>5조 - Buffered Message Based - Availability</v>
      </c>
    </row>
    <row r="9" spans="1:5">
      <c r="A9" s="54" t="s">
        <v>152</v>
      </c>
      <c r="B9" s="56" t="str">
        <f>'6조'!B$29</f>
        <v/>
      </c>
      <c r="C9" s="57" t="str">
        <f>'6조'!C$29</f>
        <v>6조 - Non-Buffered Event Based - Availability</v>
      </c>
      <c r="D9" s="56" t="str">
        <f>'6조'!D$29</f>
        <v/>
      </c>
      <c r="E9" s="57" t="str">
        <f>'6조'!E$29</f>
        <v>6조 - Buffered Message Based - Availability</v>
      </c>
    </row>
    <row r="10" spans="1:5">
      <c r="A10" s="54" t="s">
        <v>153</v>
      </c>
      <c r="B10" s="56" t="str">
        <f>'7조'!B$29</f>
        <v/>
      </c>
      <c r="C10" s="57" t="str">
        <f>'7조'!C$29</f>
        <v>7조 - Non-Buffered Event Based - Availability</v>
      </c>
      <c r="D10" s="56" t="str">
        <f>'7조'!D$29</f>
        <v/>
      </c>
      <c r="E10" s="57" t="str">
        <f>'7조'!E$29</f>
        <v>7조 - Buffered Message Based - Availability</v>
      </c>
    </row>
    <row r="11" spans="1:5">
      <c r="A11" s="54" t="s">
        <v>154</v>
      </c>
      <c r="B11" s="56" t="str">
        <f>'8조'!B$29</f>
        <v/>
      </c>
      <c r="C11" s="57" t="str">
        <f>'8조'!C$29</f>
        <v>8조 - Non-Buffered Event Based - Availability</v>
      </c>
      <c r="D11" s="56" t="str">
        <f>'8조'!D$29</f>
        <v/>
      </c>
      <c r="E11" s="57" t="str">
        <f>'8조'!E$29</f>
        <v>8조 - Buffered Message Based - Availability</v>
      </c>
    </row>
    <row r="12" spans="1:5">
      <c r="A12" s="54" t="s">
        <v>155</v>
      </c>
      <c r="B12" s="56" t="str">
        <f>'9조'!B$29</f>
        <v/>
      </c>
      <c r="C12" s="57" t="str">
        <f>'9조'!C$29</f>
        <v>9조 - Non-Buffered Event Based - Availability</v>
      </c>
      <c r="D12" s="56" t="str">
        <f>'9조'!D$29</f>
        <v/>
      </c>
      <c r="E12" s="57" t="str">
        <f>'9조'!E$29</f>
        <v>9조 - Buffered Message Based - Availability</v>
      </c>
    </row>
    <row r="13" spans="1:5">
      <c r="A13" s="51"/>
      <c r="B13" s="50"/>
      <c r="C13" s="51"/>
      <c r="D13" s="50"/>
      <c r="E13" s="51"/>
    </row>
    <row r="14" spans="1:5" ht="15" customHeight="1">
      <c r="A14" s="53" t="s">
        <v>16</v>
      </c>
      <c r="B14" s="55">
        <f>'Detailed Reasoning'!B$30</f>
        <v>0</v>
      </c>
      <c r="C14" s="55">
        <f>'Detailed Reasoning'!C$30</f>
        <v>0</v>
      </c>
      <c r="D14" s="53">
        <f>'Detailed Reasoning'!D$30</f>
        <v>0</v>
      </c>
      <c r="E14" s="53">
        <f>'Detailed Reasoning'!E$30</f>
        <v>0</v>
      </c>
    </row>
    <row r="15" spans="1:5">
      <c r="A15" s="54" t="s">
        <v>147</v>
      </c>
      <c r="B15" s="56">
        <f>'1조'!B$30</f>
        <v>0</v>
      </c>
      <c r="C15" s="51" t="str">
        <f>'1조'!C30</f>
        <v>1조 - Non-Buffered Event Based - Deployability</v>
      </c>
      <c r="D15" s="56">
        <f>'1조'!D$30</f>
        <v>0</v>
      </c>
      <c r="E15" s="51" t="str">
        <f>'1조'!E30</f>
        <v>1조 - Buffered Message Based - Deployability</v>
      </c>
    </row>
    <row r="16" spans="1:5">
      <c r="A16" s="54" t="s">
        <v>148</v>
      </c>
      <c r="B16" s="56" t="str">
        <f>'2조'!B$30</f>
        <v/>
      </c>
      <c r="C16" s="57" t="str">
        <f>'2조'!C$30</f>
        <v>2조 - Non-Buffered Event Based - Deployability</v>
      </c>
      <c r="D16" s="56" t="str">
        <f>'2조'!D$30</f>
        <v/>
      </c>
      <c r="E16" s="57" t="str">
        <f>'2조'!E$30</f>
        <v>2조 - Buffered Message Based - Deployability</v>
      </c>
    </row>
    <row r="17" spans="1:5">
      <c r="A17" s="54" t="s">
        <v>149</v>
      </c>
      <c r="B17" s="56" t="str">
        <f>'3조'!B$30</f>
        <v/>
      </c>
      <c r="C17" s="57" t="str">
        <f>'3조'!C$30</f>
        <v>3조 - Non-Buffered Event Based - Deployability</v>
      </c>
      <c r="D17" s="56" t="str">
        <f>'3조'!D$30</f>
        <v/>
      </c>
      <c r="E17" s="57" t="str">
        <f>'3조'!E$30</f>
        <v>3조 - Buffered Message Based - Deployability</v>
      </c>
    </row>
    <row r="18" spans="1:5">
      <c r="A18" s="54" t="s">
        <v>150</v>
      </c>
      <c r="B18" s="56" t="str">
        <f>'4조'!B$30</f>
        <v/>
      </c>
      <c r="C18" s="57" t="str">
        <f>'4조'!C$30</f>
        <v>4조 - Non-Buffered Event Based - Deployability</v>
      </c>
      <c r="D18" s="56" t="str">
        <f>'4조'!D$30</f>
        <v/>
      </c>
      <c r="E18" s="57" t="str">
        <f>'4조'!E$30</f>
        <v>4조 - Buffered Message Based - Deployability</v>
      </c>
    </row>
    <row r="19" spans="1:5">
      <c r="A19" s="54" t="s">
        <v>151</v>
      </c>
      <c r="B19" s="56" t="str">
        <f>'5조'!B$30</f>
        <v/>
      </c>
      <c r="C19" s="57" t="str">
        <f>'5조'!C$30</f>
        <v>5조 - Non-Buffered Event Based - Deployability</v>
      </c>
      <c r="D19" s="56" t="str">
        <f>'5조'!D$30</f>
        <v/>
      </c>
      <c r="E19" s="57" t="str">
        <f>'5조'!E$30</f>
        <v>5조 - Buffered Message Based - Deployability</v>
      </c>
    </row>
    <row r="20" spans="1:5">
      <c r="A20" s="54" t="s">
        <v>152</v>
      </c>
      <c r="B20" s="56" t="str">
        <f>'6조'!B$30</f>
        <v/>
      </c>
      <c r="C20" s="57" t="str">
        <f>'6조'!C$30</f>
        <v>6조 - Non-Buffered Event Based - Deployability</v>
      </c>
      <c r="D20" s="56" t="str">
        <f>'6조'!D$30</f>
        <v/>
      </c>
      <c r="E20" s="57" t="str">
        <f>'6조'!E$30</f>
        <v>6조 - Buffered Message Based - Deployability</v>
      </c>
    </row>
    <row r="21" spans="1:5">
      <c r="A21" s="54" t="s">
        <v>153</v>
      </c>
      <c r="B21" s="56" t="str">
        <f>'7조'!B$30</f>
        <v/>
      </c>
      <c r="C21" s="57" t="str">
        <f>'7조'!C$30</f>
        <v>7조 - Non-Buffered Event Based - Deployability</v>
      </c>
      <c r="D21" s="56" t="str">
        <f>'7조'!D$30</f>
        <v/>
      </c>
      <c r="E21" s="57" t="str">
        <f>'7조'!E$30</f>
        <v>7조 - Buffered Message Based - Deployability</v>
      </c>
    </row>
    <row r="22" spans="1:5">
      <c r="A22" s="54" t="s">
        <v>154</v>
      </c>
      <c r="B22" s="56" t="str">
        <f>'8조'!B$30</f>
        <v/>
      </c>
      <c r="C22" s="57" t="str">
        <f>'8조'!C$30</f>
        <v>8조 - Non-Buffered Event Based - Deployability</v>
      </c>
      <c r="D22" s="56" t="str">
        <f>'8조'!D$30</f>
        <v/>
      </c>
      <c r="E22" s="57" t="str">
        <f>'8조'!E$30</f>
        <v>8조 - Buffered Message Based - Deployability</v>
      </c>
    </row>
    <row r="23" spans="1:5">
      <c r="A23" s="54" t="s">
        <v>155</v>
      </c>
      <c r="B23" s="56" t="str">
        <f>'9조'!B$30</f>
        <v/>
      </c>
      <c r="C23" s="57" t="str">
        <f>'9조'!C$30</f>
        <v>9조 - Non-Buffered Event Based - Deployability</v>
      </c>
      <c r="D23" s="56" t="str">
        <f>'9조'!D$30</f>
        <v/>
      </c>
      <c r="E23" s="57" t="str">
        <f>'9조'!E$30</f>
        <v>9조 - Buffered Message Based - Deployability</v>
      </c>
    </row>
    <row r="24" spans="1:5">
      <c r="A24" s="51"/>
      <c r="B24" s="50"/>
      <c r="C24" s="51"/>
      <c r="D24" s="50"/>
      <c r="E24" s="51"/>
    </row>
    <row r="25" spans="1:5" ht="15" customHeight="1">
      <c r="A25" s="53" t="s">
        <v>17</v>
      </c>
      <c r="B25" s="55">
        <f>'Detailed Reasoning'!B$31</f>
        <v>0</v>
      </c>
      <c r="C25" s="55">
        <f>'Detailed Reasoning'!C$31</f>
        <v>0</v>
      </c>
      <c r="D25" s="53">
        <f>'Detailed Reasoning'!D$31</f>
        <v>0</v>
      </c>
      <c r="E25" s="53">
        <f>'Detailed Reasoning'!E$31</f>
        <v>0</v>
      </c>
    </row>
    <row r="26" spans="1:5">
      <c r="A26" s="54" t="s">
        <v>147</v>
      </c>
      <c r="B26" s="56">
        <f>'1조'!B$31</f>
        <v>0</v>
      </c>
      <c r="C26" s="51" t="str">
        <f>'1조'!C31</f>
        <v>1조 - Non-Buffered Event Based - Integrability</v>
      </c>
      <c r="D26" s="56">
        <f>'1조'!D$31</f>
        <v>0</v>
      </c>
      <c r="E26" s="51" t="str">
        <f>'1조'!E31</f>
        <v>1조 - Buffered Message Based - Integrability</v>
      </c>
    </row>
    <row r="27" spans="1:5">
      <c r="A27" s="54" t="s">
        <v>148</v>
      </c>
      <c r="B27" s="56" t="str">
        <f>'2조'!B$31</f>
        <v/>
      </c>
      <c r="C27" s="57" t="str">
        <f>'2조'!C$31</f>
        <v>2조 - Non-Buffered Event Based - Integrability</v>
      </c>
      <c r="D27" s="56" t="str">
        <f>'2조'!D$31</f>
        <v/>
      </c>
      <c r="E27" s="57" t="str">
        <f>'2조'!E$31</f>
        <v>2조 - Buffered Message Based - Integrability</v>
      </c>
    </row>
    <row r="28" spans="1:5">
      <c r="A28" s="54" t="s">
        <v>149</v>
      </c>
      <c r="B28" s="56" t="str">
        <f>'3조'!B$31</f>
        <v/>
      </c>
      <c r="C28" s="57" t="str">
        <f>'3조'!C$31</f>
        <v>3조 - Non-Buffered Event Based - Integrability</v>
      </c>
      <c r="D28" s="56" t="str">
        <f>'3조'!D$31</f>
        <v/>
      </c>
      <c r="E28" s="57" t="str">
        <f>'3조'!E$31</f>
        <v>3조 - Buffered Message Based - Integrability</v>
      </c>
    </row>
    <row r="29" spans="1:5">
      <c r="A29" s="54" t="s">
        <v>150</v>
      </c>
      <c r="B29" s="56" t="str">
        <f>'4조'!B$31</f>
        <v/>
      </c>
      <c r="C29" s="57" t="str">
        <f>'4조'!C$31</f>
        <v>4조 - Non-Buffered Event Based - Integrability</v>
      </c>
      <c r="D29" s="56" t="str">
        <f>'4조'!D$31</f>
        <v/>
      </c>
      <c r="E29" s="57" t="str">
        <f>'4조'!E$31</f>
        <v>4조 - Buffered Message Based - Integrability</v>
      </c>
    </row>
    <row r="30" spans="1:5">
      <c r="A30" s="54" t="s">
        <v>151</v>
      </c>
      <c r="B30" s="56" t="str">
        <f>'5조'!B$31</f>
        <v/>
      </c>
      <c r="C30" s="57" t="str">
        <f>'5조'!C$31</f>
        <v>5조 - Non-Buffered Event Based - Integrability</v>
      </c>
      <c r="D30" s="56" t="str">
        <f>'5조'!D$31</f>
        <v/>
      </c>
      <c r="E30" s="57" t="str">
        <f>'5조'!E$31</f>
        <v>5조 - Buffered Message Based - Integrability</v>
      </c>
    </row>
    <row r="31" spans="1:5">
      <c r="A31" s="54" t="s">
        <v>152</v>
      </c>
      <c r="B31" s="56" t="str">
        <f>'6조'!B$31</f>
        <v/>
      </c>
      <c r="C31" s="57" t="str">
        <f>'6조'!C$31</f>
        <v>6조 - Non-Buffered Event Based - Integrability</v>
      </c>
      <c r="D31" s="56" t="str">
        <f>'6조'!D$31</f>
        <v/>
      </c>
      <c r="E31" s="57" t="str">
        <f>'6조'!E$31</f>
        <v>6조 - Buffered Message Based - Integrability</v>
      </c>
    </row>
    <row r="32" spans="1:5">
      <c r="A32" s="54" t="s">
        <v>153</v>
      </c>
      <c r="B32" s="56" t="str">
        <f>'7조'!B$31</f>
        <v/>
      </c>
      <c r="C32" s="57" t="str">
        <f>'7조'!C$31</f>
        <v>7조 - Non-Buffered Event Based - Integrability</v>
      </c>
      <c r="D32" s="56" t="str">
        <f>'7조'!D$31</f>
        <v/>
      </c>
      <c r="E32" s="57" t="str">
        <f>'7조'!E$31</f>
        <v>7조 - Buffered Message Based - Integrability</v>
      </c>
    </row>
    <row r="33" spans="1:5">
      <c r="A33" s="54" t="s">
        <v>154</v>
      </c>
      <c r="B33" s="56" t="str">
        <f>'8조'!B$31</f>
        <v/>
      </c>
      <c r="C33" s="57" t="str">
        <f>'8조'!C$31</f>
        <v>8조 - Non-Buffered Event Based - Integrability</v>
      </c>
      <c r="D33" s="56" t="str">
        <f>'8조'!D$31</f>
        <v/>
      </c>
      <c r="E33" s="57" t="str">
        <f>'8조'!E$31</f>
        <v>8조 - Buffered Message Based - Integrability</v>
      </c>
    </row>
    <row r="34" spans="1:5">
      <c r="A34" s="54" t="s">
        <v>155</v>
      </c>
      <c r="B34" s="56" t="str">
        <f>'9조'!B$31</f>
        <v/>
      </c>
      <c r="C34" s="57" t="str">
        <f>'9조'!C$31</f>
        <v>9조 - Non-Buffered Event Based - Integrability</v>
      </c>
      <c r="D34" s="56" t="str">
        <f>'9조'!D$31</f>
        <v/>
      </c>
      <c r="E34" s="57" t="str">
        <f>'9조'!E$31</f>
        <v>9조 - Buffered Message Based - Integrability</v>
      </c>
    </row>
    <row r="35" spans="1:5">
      <c r="A35" s="51"/>
      <c r="B35" s="50"/>
      <c r="C35" s="51"/>
      <c r="D35" s="50"/>
      <c r="E35" s="51"/>
    </row>
    <row r="36" spans="1:5">
      <c r="A36" s="53" t="s">
        <v>18</v>
      </c>
      <c r="B36" s="53">
        <f>'Detailed Reasoning'!B$32</f>
        <v>0</v>
      </c>
      <c r="C36" s="53">
        <f>'Detailed Reasoning'!C$32</f>
        <v>0</v>
      </c>
      <c r="D36" s="53">
        <f>'Detailed Reasoning'!D$32</f>
        <v>0</v>
      </c>
      <c r="E36" s="53">
        <f>'Detailed Reasoning'!E$32</f>
        <v>0</v>
      </c>
    </row>
    <row r="37" spans="1:5">
      <c r="A37" s="49" t="s">
        <v>156</v>
      </c>
      <c r="B37" s="56">
        <f>'1조'!B$32</f>
        <v>0</v>
      </c>
      <c r="C37" s="51" t="str">
        <f>'1조'!C32</f>
        <v>1조 - Non-Buffered Event Based - Energy Efficiency</v>
      </c>
      <c r="D37" s="56">
        <f>'1조'!D$32</f>
        <v>0</v>
      </c>
      <c r="E37" s="51" t="str">
        <f>'1조'!E32</f>
        <v>1조 - Buffered Message Based - Energy Efficiency</v>
      </c>
    </row>
    <row r="38" spans="1:5">
      <c r="A38" s="49" t="s">
        <v>157</v>
      </c>
      <c r="B38" s="56" t="str">
        <f>'2조'!B$32</f>
        <v/>
      </c>
      <c r="C38" s="57" t="str">
        <f>'2조'!C$32</f>
        <v>2조 - Non-Buffered Event Based - Energy Efficiency</v>
      </c>
      <c r="D38" s="56" t="str">
        <f>'2조'!D$32</f>
        <v/>
      </c>
      <c r="E38" s="57" t="str">
        <f>'2조'!E$32</f>
        <v>2조 - Buffered Message Based - Energy Efficiency</v>
      </c>
    </row>
    <row r="39" spans="1:5">
      <c r="A39" s="49" t="s">
        <v>158</v>
      </c>
      <c r="B39" s="56" t="str">
        <f>'3조'!B$32</f>
        <v/>
      </c>
      <c r="C39" s="57" t="str">
        <f>'3조'!C$32</f>
        <v>3조 - Non-Buffered Event Based - Energy Efficiency</v>
      </c>
      <c r="D39" s="56" t="str">
        <f>'3조'!D$32</f>
        <v/>
      </c>
      <c r="E39" s="57" t="str">
        <f>'3조'!E$32</f>
        <v>3조 - Buffered Message Based - Energy Efficiency</v>
      </c>
    </row>
    <row r="40" spans="1:5">
      <c r="A40" s="49" t="s">
        <v>159</v>
      </c>
      <c r="B40" s="56" t="str">
        <f>'4조'!B$32</f>
        <v/>
      </c>
      <c r="C40" s="57" t="str">
        <f>'4조'!C$32</f>
        <v>4조 - Non-Buffered Event Based - Energy Efficiency</v>
      </c>
      <c r="D40" s="56" t="str">
        <f>'4조'!D$32</f>
        <v/>
      </c>
      <c r="E40" s="57" t="str">
        <f>'4조'!E$32</f>
        <v>4조 - Buffered Message Based - Energy Efficiency</v>
      </c>
    </row>
    <row r="41" spans="1:5">
      <c r="A41" s="49" t="s">
        <v>160</v>
      </c>
      <c r="B41" s="56" t="str">
        <f>'5조'!B$32</f>
        <v/>
      </c>
      <c r="C41" s="57" t="str">
        <f>'5조'!C$32</f>
        <v>5조 - Non-Buffered Event Based - Energy Efficiency</v>
      </c>
      <c r="D41" s="56" t="str">
        <f>'5조'!D$32</f>
        <v/>
      </c>
      <c r="E41" s="57" t="str">
        <f>'5조'!E$32</f>
        <v>5조 - Buffered Message Based - Energy Efficiency</v>
      </c>
    </row>
    <row r="42" spans="1:5">
      <c r="A42" s="49" t="s">
        <v>161</v>
      </c>
      <c r="B42" s="56" t="str">
        <f>'6조'!B$32</f>
        <v/>
      </c>
      <c r="C42" s="57" t="str">
        <f>'6조'!C$32</f>
        <v>6조 - Non-Buffered Event Based - Energy Efficiency</v>
      </c>
      <c r="D42" s="56" t="str">
        <f>'6조'!D$32</f>
        <v/>
      </c>
      <c r="E42" s="57" t="str">
        <f>'6조'!E$32</f>
        <v>6조 - Buffered Message Based - Energy Efficiency</v>
      </c>
    </row>
    <row r="43" spans="1:5">
      <c r="A43" s="49" t="s">
        <v>162</v>
      </c>
      <c r="B43" s="56" t="str">
        <f>'7조'!B$32</f>
        <v/>
      </c>
      <c r="C43" s="57" t="str">
        <f>'7조'!C$32</f>
        <v>7조 - Non-Buffered Event Based - Energy Efficiency</v>
      </c>
      <c r="D43" s="56" t="str">
        <f>'7조'!D$32</f>
        <v/>
      </c>
      <c r="E43" s="57" t="str">
        <f>'7조'!E$32</f>
        <v>7조 - Buffered Message Based - Energy Efficiency</v>
      </c>
    </row>
    <row r="44" spans="1:5">
      <c r="A44" s="49" t="s">
        <v>163</v>
      </c>
      <c r="B44" s="56" t="str">
        <f>'8조'!B$32</f>
        <v/>
      </c>
      <c r="C44" s="57" t="str">
        <f>'8조'!C$32</f>
        <v>8조 - Non-Buffered Event Based - Energy Efficiency</v>
      </c>
      <c r="D44" s="56" t="str">
        <f>'8조'!D$32</f>
        <v/>
      </c>
      <c r="E44" s="57" t="str">
        <f>'8조'!E$32</f>
        <v>8조 - Buffered Message Based - Energy Efficiency</v>
      </c>
    </row>
    <row r="45" spans="1:5">
      <c r="A45" s="49" t="s">
        <v>164</v>
      </c>
      <c r="B45" s="56" t="str">
        <f>'9조'!B$32</f>
        <v/>
      </c>
      <c r="C45" s="57" t="str">
        <f>'9조'!C$32</f>
        <v>9조 - Non-Buffered Event Based - Energy Efficiency</v>
      </c>
      <c r="D45" s="56" t="str">
        <f>'9조'!D$32</f>
        <v/>
      </c>
      <c r="E45" s="57" t="str">
        <f>'9조'!E$32</f>
        <v>9조 - Buffered Message Based - Energy Efficiency</v>
      </c>
    </row>
    <row r="46" spans="1:5">
      <c r="A46" s="49"/>
      <c r="B46" s="48"/>
      <c r="C46" s="49"/>
      <c r="D46" s="48"/>
      <c r="E46" s="49"/>
    </row>
    <row r="47" spans="1:5">
      <c r="A47" s="53" t="s">
        <v>19</v>
      </c>
      <c r="B47" s="55">
        <f>'Detailed Reasoning'!B$33</f>
        <v>0</v>
      </c>
      <c r="C47" s="55">
        <f>'Detailed Reasoning'!C$33</f>
        <v>0</v>
      </c>
      <c r="D47" s="55">
        <f>'Detailed Reasoning'!D$33</f>
        <v>0</v>
      </c>
      <c r="E47" s="55">
        <f>'Detailed Reasoning'!E$33</f>
        <v>0</v>
      </c>
    </row>
    <row r="48" spans="1:5">
      <c r="A48" s="54" t="s">
        <v>147</v>
      </c>
      <c r="B48" s="56">
        <f>'1조'!B$33</f>
        <v>0</v>
      </c>
      <c r="C48" s="51" t="str">
        <f>'1조'!C33</f>
        <v>1조 - Non-Buffered Event Based - Modifiability</v>
      </c>
      <c r="D48" s="56">
        <f>'1조'!D$33</f>
        <v>0</v>
      </c>
      <c r="E48" s="51" t="str">
        <f>'1조'!E33</f>
        <v>1조 - Buffered Message Based - Modifiability</v>
      </c>
    </row>
    <row r="49" spans="1:5">
      <c r="A49" s="54" t="s">
        <v>148</v>
      </c>
      <c r="B49" s="56" t="str">
        <f>'2조'!B$33</f>
        <v/>
      </c>
      <c r="C49" s="57" t="str">
        <f>'2조'!C$33</f>
        <v>2조 - Non-Buffered Event Based - Modifiability</v>
      </c>
      <c r="D49" s="56" t="str">
        <f>'2조'!D$33</f>
        <v/>
      </c>
      <c r="E49" s="57" t="str">
        <f>'2조'!E$33</f>
        <v>2조 - Buffered Message Based - Modifiability</v>
      </c>
    </row>
    <row r="50" spans="1:5">
      <c r="A50" s="54" t="s">
        <v>149</v>
      </c>
      <c r="B50" s="56" t="str">
        <f>'3조'!B$33</f>
        <v/>
      </c>
      <c r="C50" s="57" t="str">
        <f>'3조'!C$33</f>
        <v>3조 - Non-Buffered Event Based - Modifiability</v>
      </c>
      <c r="D50" s="56" t="str">
        <f>'3조'!D$33</f>
        <v/>
      </c>
      <c r="E50" s="57" t="str">
        <f>'3조'!E$33</f>
        <v>3조 - Buffered Message Based - Modifiability</v>
      </c>
    </row>
    <row r="51" spans="1:5">
      <c r="A51" s="54" t="s">
        <v>150</v>
      </c>
      <c r="B51" s="56" t="str">
        <f>'4조'!B$33</f>
        <v/>
      </c>
      <c r="C51" s="57" t="str">
        <f>'4조'!C$33</f>
        <v>4조 - Non-Buffered Event Based - Modifiability</v>
      </c>
      <c r="D51" s="56" t="str">
        <f>'4조'!D$33</f>
        <v/>
      </c>
      <c r="E51" s="57" t="str">
        <f>'4조'!E$33</f>
        <v>4조 - Buffered Message Based - Modifiability</v>
      </c>
    </row>
    <row r="52" spans="1:5">
      <c r="A52" s="54" t="s">
        <v>151</v>
      </c>
      <c r="B52" s="56" t="str">
        <f>'5조'!B$33</f>
        <v/>
      </c>
      <c r="C52" s="57" t="str">
        <f>'5조'!C$33</f>
        <v>5조 - Non-Buffered Event Based - Modifiability</v>
      </c>
      <c r="D52" s="56" t="str">
        <f>'5조'!D$33</f>
        <v/>
      </c>
      <c r="E52" s="57" t="str">
        <f>'5조'!E$33</f>
        <v>5조 - Buffered Message Based - Modifiability</v>
      </c>
    </row>
    <row r="53" spans="1:5">
      <c r="A53" s="54" t="s">
        <v>152</v>
      </c>
      <c r="B53" s="56" t="str">
        <f>'6조'!B$33</f>
        <v/>
      </c>
      <c r="C53" s="57" t="str">
        <f>'6조'!C$33</f>
        <v>6조 - Non-Buffered Event Based - Modifiability</v>
      </c>
      <c r="D53" s="56" t="str">
        <f>'6조'!D$33</f>
        <v/>
      </c>
      <c r="E53" s="57" t="str">
        <f>'6조'!E$33</f>
        <v>6조 - Buffered Message Based - Modifiability</v>
      </c>
    </row>
    <row r="54" spans="1:5">
      <c r="A54" s="54" t="s">
        <v>153</v>
      </c>
      <c r="B54" s="56" t="str">
        <f>'7조'!B$33</f>
        <v/>
      </c>
      <c r="C54" s="57" t="str">
        <f>'7조'!C$33</f>
        <v>7조 - Non-Buffered Event Based - Modifiability</v>
      </c>
      <c r="D54" s="56" t="str">
        <f>'7조'!D$33</f>
        <v/>
      </c>
      <c r="E54" s="57" t="str">
        <f>'7조'!E$33</f>
        <v>7조 - Buffered Message Based - Modifiability</v>
      </c>
    </row>
    <row r="55" spans="1:5">
      <c r="A55" s="54" t="s">
        <v>154</v>
      </c>
      <c r="B55" s="56" t="str">
        <f>'8조'!B$33</f>
        <v/>
      </c>
      <c r="C55" s="57" t="str">
        <f>'8조'!C$33</f>
        <v>8조 - Non-Buffered Event Based - Modifiability</v>
      </c>
      <c r="D55" s="56" t="str">
        <f>'8조'!D$33</f>
        <v/>
      </c>
      <c r="E55" s="57" t="str">
        <f>'8조'!E$33</f>
        <v>8조 - Buffered Message Based - Modifiability</v>
      </c>
    </row>
    <row r="56" spans="1:5">
      <c r="A56" s="54" t="s">
        <v>155</v>
      </c>
      <c r="B56" s="56" t="str">
        <f>'9조'!B$33</f>
        <v/>
      </c>
      <c r="C56" s="57" t="str">
        <f>'9조'!C$33</f>
        <v>9조 - Non-Buffered Event Based - Modifiability</v>
      </c>
      <c r="D56" s="56" t="str">
        <f>'9조'!D$33</f>
        <v/>
      </c>
      <c r="E56" s="57" t="str">
        <f>'9조'!E$33</f>
        <v>9조 - Buffered Message Based - Modifiability</v>
      </c>
    </row>
    <row r="57" spans="1:5">
      <c r="A57" s="51"/>
      <c r="B57" s="50"/>
      <c r="C57" s="51"/>
      <c r="D57" s="50"/>
      <c r="E57" s="51"/>
    </row>
    <row r="58" spans="1:5">
      <c r="A58" s="53" t="s">
        <v>20</v>
      </c>
      <c r="B58" s="55">
        <f>'Detailed Reasoning'!B$34</f>
        <v>0</v>
      </c>
      <c r="C58" s="55">
        <f>'Detailed Reasoning'!C$34</f>
        <v>0</v>
      </c>
      <c r="D58" s="55">
        <f>'Detailed Reasoning'!D$34</f>
        <v>0</v>
      </c>
      <c r="E58" s="55">
        <f>'Detailed Reasoning'!E$34</f>
        <v>0</v>
      </c>
    </row>
    <row r="59" spans="1:5">
      <c r="A59" s="54" t="s">
        <v>147</v>
      </c>
      <c r="B59" s="56">
        <f>'1조'!B$34</f>
        <v>0</v>
      </c>
      <c r="C59" s="51" t="str">
        <f>'1조'!C34</f>
        <v>1조 - Non-Buffered Event Based - Performance</v>
      </c>
      <c r="D59" s="56">
        <f>'1조'!D$34</f>
        <v>0</v>
      </c>
      <c r="E59" s="51" t="str">
        <f>'1조'!E34</f>
        <v>1조 - Buffered Message Based - Performance</v>
      </c>
    </row>
    <row r="60" spans="1:5">
      <c r="A60" s="54" t="s">
        <v>148</v>
      </c>
      <c r="B60" s="56" t="str">
        <f>'2조'!B$34</f>
        <v/>
      </c>
      <c r="C60" s="57" t="str">
        <f>'2조'!C$34</f>
        <v>2조 - Non-Buffered Event Based - Performance</v>
      </c>
      <c r="D60" s="56" t="str">
        <f>'2조'!D$34</f>
        <v/>
      </c>
      <c r="E60" s="57" t="str">
        <f>'2조'!E$34</f>
        <v>2조 - Buffered Message Based - Performance</v>
      </c>
    </row>
    <row r="61" spans="1:5">
      <c r="A61" s="54" t="s">
        <v>149</v>
      </c>
      <c r="B61" s="56" t="str">
        <f>'3조'!B$34</f>
        <v/>
      </c>
      <c r="C61" s="57" t="str">
        <f>'3조'!C$34</f>
        <v>3조 - Non-Buffered Event Based - Performance</v>
      </c>
      <c r="D61" s="56" t="str">
        <f>'3조'!D$34</f>
        <v/>
      </c>
      <c r="E61" s="57" t="str">
        <f>'3조'!E$34</f>
        <v>3조 - Buffered Message Based - Performance</v>
      </c>
    </row>
    <row r="62" spans="1:5">
      <c r="A62" s="54" t="s">
        <v>150</v>
      </c>
      <c r="B62" s="56" t="str">
        <f>'4조'!B$34</f>
        <v/>
      </c>
      <c r="C62" s="57" t="str">
        <f>'4조'!C$34</f>
        <v>4조 - Non-Buffered Event Based - Performance</v>
      </c>
      <c r="D62" s="56" t="str">
        <f>'4조'!D$34</f>
        <v/>
      </c>
      <c r="E62" s="57" t="str">
        <f>'4조'!E$34</f>
        <v>4조 - Buffered Message Based - Performance</v>
      </c>
    </row>
    <row r="63" spans="1:5">
      <c r="A63" s="54" t="s">
        <v>151</v>
      </c>
      <c r="B63" s="56" t="str">
        <f>'5조'!B$34</f>
        <v/>
      </c>
      <c r="C63" s="57" t="str">
        <f>'5조'!C$34</f>
        <v>5조 - Non-Buffered Event Based - Performance</v>
      </c>
      <c r="D63" s="56" t="str">
        <f>'5조'!D$34</f>
        <v/>
      </c>
      <c r="E63" s="57" t="str">
        <f>'5조'!E$34</f>
        <v>5조 - Buffered Message Based - Performance</v>
      </c>
    </row>
    <row r="64" spans="1:5">
      <c r="A64" s="54" t="s">
        <v>152</v>
      </c>
      <c r="B64" s="56" t="str">
        <f>'6조'!B$34</f>
        <v/>
      </c>
      <c r="C64" s="57" t="str">
        <f>'6조'!C$34</f>
        <v>6조 - Non-Buffered Event Based - Performance</v>
      </c>
      <c r="D64" s="56" t="str">
        <f>'6조'!D$34</f>
        <v/>
      </c>
      <c r="E64" s="57" t="str">
        <f>'6조'!E$34</f>
        <v>6조 - Buffered Message Based - Performance</v>
      </c>
    </row>
    <row r="65" spans="1:5">
      <c r="A65" s="54" t="s">
        <v>153</v>
      </c>
      <c r="B65" s="56" t="str">
        <f>'7조'!B$34</f>
        <v/>
      </c>
      <c r="C65" s="57" t="str">
        <f>'7조'!C$34</f>
        <v>7조 - Non-Buffered Event Based - Performance</v>
      </c>
      <c r="D65" s="56" t="str">
        <f>'7조'!D$34</f>
        <v/>
      </c>
      <c r="E65" s="57" t="str">
        <f>'7조'!E$34</f>
        <v>7조 - Buffered Message Based - Performance</v>
      </c>
    </row>
    <row r="66" spans="1:5">
      <c r="A66" s="54" t="s">
        <v>154</v>
      </c>
      <c r="B66" s="56" t="str">
        <f>'8조'!B$34</f>
        <v/>
      </c>
      <c r="C66" s="57" t="str">
        <f>'8조'!C$34</f>
        <v>8조 - Non-Buffered Event Based - Performance</v>
      </c>
      <c r="D66" s="56" t="str">
        <f>'8조'!D$34</f>
        <v/>
      </c>
      <c r="E66" s="57" t="str">
        <f>'8조'!E$34</f>
        <v>8조 - Buffered Message Based - Performance</v>
      </c>
    </row>
    <row r="67" spans="1:5">
      <c r="A67" s="54" t="s">
        <v>155</v>
      </c>
      <c r="B67" s="56" t="str">
        <f>'9조'!B$34</f>
        <v/>
      </c>
      <c r="C67" s="57" t="str">
        <f>'9조'!C$34</f>
        <v>9조 - Non-Buffered Event Based - Performance</v>
      </c>
      <c r="D67" s="56" t="str">
        <f>'9조'!D$34</f>
        <v/>
      </c>
      <c r="E67" s="57" t="str">
        <f>'9조'!E$34</f>
        <v>9조 - Buffered Message Based - Performance</v>
      </c>
    </row>
    <row r="68" spans="1:5">
      <c r="A68" s="51"/>
      <c r="B68" s="50"/>
      <c r="C68" s="51"/>
      <c r="D68" s="50"/>
      <c r="E68" s="51"/>
    </row>
    <row r="69" spans="1:5">
      <c r="A69" s="53" t="s">
        <v>21</v>
      </c>
      <c r="B69" s="55">
        <f>'Detailed Reasoning'!B$35</f>
        <v>0</v>
      </c>
      <c r="C69" s="55">
        <f>'Detailed Reasoning'!C$35</f>
        <v>0</v>
      </c>
      <c r="D69" s="55">
        <f>'Detailed Reasoning'!D$35</f>
        <v>0</v>
      </c>
      <c r="E69" s="55">
        <f>'Detailed Reasoning'!E$35</f>
        <v>0</v>
      </c>
    </row>
    <row r="70" spans="1:5">
      <c r="A70" s="54" t="s">
        <v>147</v>
      </c>
      <c r="B70" s="56">
        <f>'1조'!B$35</f>
        <v>0</v>
      </c>
      <c r="C70" s="51" t="str">
        <f>'1조'!C35</f>
        <v>1조 - Non-Buffered Event Based - Safety</v>
      </c>
      <c r="D70" s="56">
        <f>'1조'!D$35</f>
        <v>0</v>
      </c>
      <c r="E70" s="51" t="str">
        <f>'1조'!E35</f>
        <v>1조 - Buffered Message Based - Safety</v>
      </c>
    </row>
    <row r="71" spans="1:5">
      <c r="A71" s="54" t="s">
        <v>148</v>
      </c>
      <c r="B71" s="56" t="str">
        <f>'2조'!B$35</f>
        <v/>
      </c>
      <c r="C71" s="57" t="str">
        <f>'2조'!C$35</f>
        <v>2조 - Non-Buffered Event Based - Safety</v>
      </c>
      <c r="D71" s="56" t="str">
        <f>'2조'!D$35</f>
        <v/>
      </c>
      <c r="E71" s="57" t="str">
        <f>'2조'!E$35</f>
        <v>2조 - Buffered Message Based - Safety</v>
      </c>
    </row>
    <row r="72" spans="1:5">
      <c r="A72" s="54" t="s">
        <v>149</v>
      </c>
      <c r="B72" s="56" t="str">
        <f>'3조'!B$35</f>
        <v/>
      </c>
      <c r="C72" s="57" t="str">
        <f>'3조'!C$35</f>
        <v>3조 - Non-Buffered Event Based - Safety</v>
      </c>
      <c r="D72" s="56" t="str">
        <f>'3조'!D$35</f>
        <v/>
      </c>
      <c r="E72" s="57" t="str">
        <f>'3조'!E$35</f>
        <v>3조 - Buffered Message Based - Safety</v>
      </c>
    </row>
    <row r="73" spans="1:5">
      <c r="A73" s="54" t="s">
        <v>150</v>
      </c>
      <c r="B73" s="56" t="str">
        <f>'4조'!B$35</f>
        <v/>
      </c>
      <c r="C73" s="57" t="str">
        <f>'4조'!C$35</f>
        <v>4조 - Non-Buffered Event Based - Safety</v>
      </c>
      <c r="D73" s="56" t="str">
        <f>'4조'!D$35</f>
        <v/>
      </c>
      <c r="E73" s="57" t="str">
        <f>'4조'!E$35</f>
        <v>4조 - Buffered Message Based - Safety</v>
      </c>
    </row>
    <row r="74" spans="1:5">
      <c r="A74" s="54" t="s">
        <v>151</v>
      </c>
      <c r="B74" s="56" t="str">
        <f>'5조'!B$35</f>
        <v/>
      </c>
      <c r="C74" s="57" t="str">
        <f>'5조'!C$35</f>
        <v>5조 - Non-Buffered Event Based - Safety</v>
      </c>
      <c r="D74" s="56" t="str">
        <f>'5조'!D$35</f>
        <v/>
      </c>
      <c r="E74" s="57" t="str">
        <f>'5조'!E$35</f>
        <v>5조 - Buffered Message Based - Safety</v>
      </c>
    </row>
    <row r="75" spans="1:5">
      <c r="A75" s="54" t="s">
        <v>152</v>
      </c>
      <c r="B75" s="56" t="str">
        <f>'6조'!B$35</f>
        <v/>
      </c>
      <c r="C75" s="57" t="str">
        <f>'6조'!C$35</f>
        <v>6조 - Non-Buffered Event Based - Safety</v>
      </c>
      <c r="D75" s="56" t="str">
        <f>'6조'!D$35</f>
        <v/>
      </c>
      <c r="E75" s="57" t="str">
        <f>'6조'!E$35</f>
        <v>6조 - Buffered Message Based - Safety</v>
      </c>
    </row>
    <row r="76" spans="1:5">
      <c r="A76" s="54" t="s">
        <v>153</v>
      </c>
      <c r="B76" s="56" t="str">
        <f>'7조'!B$35</f>
        <v/>
      </c>
      <c r="C76" s="57" t="str">
        <f>'7조'!C$35</f>
        <v>7조 - Non-Buffered Event Based - Safety</v>
      </c>
      <c r="D76" s="56" t="str">
        <f>'7조'!D$35</f>
        <v/>
      </c>
      <c r="E76" s="57" t="str">
        <f>'7조'!E$35</f>
        <v>7조 - Buffered Message Based - Safety</v>
      </c>
    </row>
    <row r="77" spans="1:5">
      <c r="A77" s="54" t="s">
        <v>154</v>
      </c>
      <c r="B77" s="56" t="str">
        <f>'8조'!B$35</f>
        <v/>
      </c>
      <c r="C77" s="57" t="str">
        <f>'8조'!C$35</f>
        <v>8조 - Non-Buffered Event Based - Safety</v>
      </c>
      <c r="D77" s="56" t="str">
        <f>'8조'!D$35</f>
        <v/>
      </c>
      <c r="E77" s="57" t="str">
        <f>'8조'!E$35</f>
        <v>8조 - Buffered Message Based - Safety</v>
      </c>
    </row>
    <row r="78" spans="1:5">
      <c r="A78" s="54" t="s">
        <v>155</v>
      </c>
      <c r="B78" s="56" t="str">
        <f>'9조'!B$35</f>
        <v/>
      </c>
      <c r="C78" s="57" t="str">
        <f>'9조'!C$35</f>
        <v>9조 - Non-Buffered Event Based - Safety</v>
      </c>
      <c r="D78" s="56" t="str">
        <f>'9조'!D$35</f>
        <v/>
      </c>
      <c r="E78" s="57" t="str">
        <f>'9조'!E$35</f>
        <v>9조 - Buffered Message Based - Safety</v>
      </c>
    </row>
    <row r="79" spans="1:5">
      <c r="A79" s="51"/>
      <c r="B79" s="50"/>
      <c r="C79" s="51"/>
      <c r="D79" s="50"/>
      <c r="E79" s="51"/>
    </row>
    <row r="80" spans="1:5">
      <c r="A80" s="53" t="s">
        <v>22</v>
      </c>
      <c r="B80" s="55">
        <f>'Detailed Reasoning'!B$36</f>
        <v>0</v>
      </c>
      <c r="C80" s="55">
        <f>'Detailed Reasoning'!C$36</f>
        <v>0</v>
      </c>
      <c r="D80" s="55">
        <f>'Detailed Reasoning'!D$36</f>
        <v>0</v>
      </c>
      <c r="E80" s="55">
        <f>'Detailed Reasoning'!E$36</f>
        <v>0</v>
      </c>
    </row>
    <row r="81" spans="1:5">
      <c r="A81" s="54" t="s">
        <v>147</v>
      </c>
      <c r="B81" s="56">
        <f>'1조'!B$36</f>
        <v>0</v>
      </c>
      <c r="C81" s="51" t="str">
        <f>'1조'!C36</f>
        <v>1조 - Non-Buffered Event Based - Security</v>
      </c>
      <c r="D81" s="56">
        <f>'1조'!D$36</f>
        <v>0</v>
      </c>
      <c r="E81" s="51" t="str">
        <f>'1조'!E36</f>
        <v>1조 - Buffered Message Based - Security</v>
      </c>
    </row>
    <row r="82" spans="1:5">
      <c r="A82" s="54" t="s">
        <v>148</v>
      </c>
      <c r="B82" s="56" t="str">
        <f>'2조'!B$36</f>
        <v/>
      </c>
      <c r="C82" s="57" t="str">
        <f>'2조'!C$36</f>
        <v>2조 - Non-Buffered Event Based - Security</v>
      </c>
      <c r="D82" s="56" t="str">
        <f>'2조'!D$36</f>
        <v/>
      </c>
      <c r="E82" s="57" t="str">
        <f>'2조'!E$36</f>
        <v>2조 - Buffered Message Based - Security</v>
      </c>
    </row>
    <row r="83" spans="1:5">
      <c r="A83" s="54" t="s">
        <v>149</v>
      </c>
      <c r="B83" s="56" t="str">
        <f>'3조'!B$36</f>
        <v/>
      </c>
      <c r="C83" s="57" t="str">
        <f>'3조'!C$36</f>
        <v>3조 - Non-Buffered Event Based - Security</v>
      </c>
      <c r="D83" s="56" t="str">
        <f>'3조'!D$36</f>
        <v/>
      </c>
      <c r="E83" s="57" t="str">
        <f>'3조'!E$36</f>
        <v>3조 - Buffered Message Based - Security</v>
      </c>
    </row>
    <row r="84" spans="1:5">
      <c r="A84" s="54" t="s">
        <v>150</v>
      </c>
      <c r="B84" s="56" t="str">
        <f>'4조'!B$36</f>
        <v/>
      </c>
      <c r="C84" s="57" t="str">
        <f>'4조'!C$36</f>
        <v>4조 - Non-Buffered Event Based - Security</v>
      </c>
      <c r="D84" s="56" t="str">
        <f>'4조'!D$36</f>
        <v/>
      </c>
      <c r="E84" s="57" t="str">
        <f>'4조'!E$36</f>
        <v>4조 - Buffered Message Based - Security</v>
      </c>
    </row>
    <row r="85" spans="1:5">
      <c r="A85" s="54" t="s">
        <v>151</v>
      </c>
      <c r="B85" s="56" t="str">
        <f>'5조'!B$36</f>
        <v/>
      </c>
      <c r="C85" s="57" t="str">
        <f>'5조'!C$36</f>
        <v>5조 - Non-Buffered Event Based - Security</v>
      </c>
      <c r="D85" s="56" t="str">
        <f>'5조'!D$36</f>
        <v/>
      </c>
      <c r="E85" s="57" t="str">
        <f>'5조'!E$36</f>
        <v>5조 - Buffered Message Based - Security</v>
      </c>
    </row>
    <row r="86" spans="1:5">
      <c r="A86" s="54" t="s">
        <v>152</v>
      </c>
      <c r="B86" s="56" t="str">
        <f>'6조'!B$36</f>
        <v/>
      </c>
      <c r="C86" s="57" t="str">
        <f>'6조'!C$36</f>
        <v>6조 - Non-Buffered Event Based - Security</v>
      </c>
      <c r="D86" s="56" t="str">
        <f>'6조'!D$36</f>
        <v/>
      </c>
      <c r="E86" s="57" t="str">
        <f>'6조'!E$36</f>
        <v>6조 - Buffered Message Based - Security</v>
      </c>
    </row>
    <row r="87" spans="1:5">
      <c r="A87" s="54" t="s">
        <v>153</v>
      </c>
      <c r="B87" s="56" t="str">
        <f>'7조'!B$36</f>
        <v/>
      </c>
      <c r="C87" s="57" t="str">
        <f>'7조'!C$36</f>
        <v>7조 - Non-Buffered Event Based - Security</v>
      </c>
      <c r="D87" s="56" t="str">
        <f>'7조'!D$36</f>
        <v/>
      </c>
      <c r="E87" s="57" t="str">
        <f>'7조'!E$36</f>
        <v>7조 - Buffered Message Based - Security</v>
      </c>
    </row>
    <row r="88" spans="1:5">
      <c r="A88" s="54" t="s">
        <v>154</v>
      </c>
      <c r="B88" s="56" t="str">
        <f>'8조'!B$36</f>
        <v/>
      </c>
      <c r="C88" s="57" t="str">
        <f>'8조'!C$36</f>
        <v>8조 - Non-Buffered Event Based - Security</v>
      </c>
      <c r="D88" s="56" t="str">
        <f>'8조'!D$36</f>
        <v/>
      </c>
      <c r="E88" s="57" t="str">
        <f>'8조'!E$36</f>
        <v>8조 - Buffered Message Based - Security</v>
      </c>
    </row>
    <row r="89" spans="1:5">
      <c r="A89" s="54" t="s">
        <v>155</v>
      </c>
      <c r="B89" s="56" t="str">
        <f>'9조'!B$36</f>
        <v/>
      </c>
      <c r="C89" s="57" t="str">
        <f>'9조'!C$36</f>
        <v>9조 - Non-Buffered Event Based - Security</v>
      </c>
      <c r="D89" s="56" t="str">
        <f>'9조'!D$36</f>
        <v/>
      </c>
      <c r="E89" s="57" t="str">
        <f>'9조'!E$36</f>
        <v>9조 - Buffered Message Based - Security</v>
      </c>
    </row>
    <row r="90" spans="1:5">
      <c r="A90" s="51"/>
      <c r="B90" s="50"/>
      <c r="C90" s="51"/>
      <c r="D90" s="50"/>
      <c r="E90" s="51"/>
    </row>
    <row r="91" spans="1:5">
      <c r="A91" s="53" t="s">
        <v>23</v>
      </c>
      <c r="B91" s="55">
        <f>'Detailed Reasoning'!B$37</f>
        <v>0</v>
      </c>
      <c r="C91" s="55">
        <f>'Detailed Reasoning'!C$37</f>
        <v>0</v>
      </c>
      <c r="D91" s="55">
        <f>'Detailed Reasoning'!D$37</f>
        <v>0</v>
      </c>
      <c r="E91" s="55">
        <f>'Detailed Reasoning'!E$37</f>
        <v>0</v>
      </c>
    </row>
    <row r="92" spans="1:5">
      <c r="A92" s="54" t="s">
        <v>147</v>
      </c>
      <c r="B92" s="56">
        <f>'1조'!B$37</f>
        <v>0</v>
      </c>
      <c r="C92" s="51" t="str">
        <f>'1조'!C37</f>
        <v>1조 - Non-Buffered Event Based - Testability</v>
      </c>
      <c r="D92" s="56">
        <f>'1조'!D$37</f>
        <v>0</v>
      </c>
      <c r="E92" s="51" t="str">
        <f>'1조'!E37</f>
        <v>1조 - Buffered Message Based - Testability</v>
      </c>
    </row>
    <row r="93" spans="1:5">
      <c r="A93" s="54" t="s">
        <v>148</v>
      </c>
      <c r="B93" s="56" t="str">
        <f>'2조'!B$37</f>
        <v/>
      </c>
      <c r="C93" s="57" t="str">
        <f>'2조'!C$37</f>
        <v>2조 - Non-Buffered Event Based - Testability</v>
      </c>
      <c r="D93" s="56" t="str">
        <f>'2조'!D$37</f>
        <v/>
      </c>
      <c r="E93" s="57" t="str">
        <f>'2조'!E$37</f>
        <v>2조 - Buffered Message Based - Testability</v>
      </c>
    </row>
    <row r="94" spans="1:5">
      <c r="A94" s="54" t="s">
        <v>149</v>
      </c>
      <c r="B94" s="56" t="str">
        <f>'3조'!B$37</f>
        <v/>
      </c>
      <c r="C94" s="57" t="str">
        <f>'3조'!C$37</f>
        <v>3조 - Non-Buffered Event Based - Testability</v>
      </c>
      <c r="D94" s="56" t="str">
        <f>'3조'!D$37</f>
        <v/>
      </c>
      <c r="E94" s="57" t="str">
        <f>'3조'!E$37</f>
        <v>3조 - Buffered Message Based - Testability</v>
      </c>
    </row>
    <row r="95" spans="1:5">
      <c r="A95" s="54" t="s">
        <v>150</v>
      </c>
      <c r="B95" s="56" t="str">
        <f>'4조'!B$37</f>
        <v/>
      </c>
      <c r="C95" s="57" t="str">
        <f>'4조'!C$37</f>
        <v>4조 - Non-Buffered Event Based - Testability</v>
      </c>
      <c r="D95" s="56" t="str">
        <f>'4조'!D$37</f>
        <v/>
      </c>
      <c r="E95" s="57" t="str">
        <f>'4조'!E$37</f>
        <v>4조 - Buffered Message Based - Testability</v>
      </c>
    </row>
    <row r="96" spans="1:5">
      <c r="A96" s="54" t="s">
        <v>151</v>
      </c>
      <c r="B96" s="56" t="str">
        <f>'5조'!B$37</f>
        <v/>
      </c>
      <c r="C96" s="57" t="str">
        <f>'5조'!C$37</f>
        <v>5조 - Non-Buffered Event Based - Testability</v>
      </c>
      <c r="D96" s="56" t="str">
        <f>'5조'!D$37</f>
        <v/>
      </c>
      <c r="E96" s="57" t="str">
        <f>'5조'!E$37</f>
        <v>5조 - Buffered Message Based - Testability</v>
      </c>
    </row>
    <row r="97" spans="1:5">
      <c r="A97" s="54" t="s">
        <v>152</v>
      </c>
      <c r="B97" s="56" t="str">
        <f>'6조'!B$37</f>
        <v/>
      </c>
      <c r="C97" s="57" t="str">
        <f>'6조'!C$37</f>
        <v>6조 - Non-Buffered Event Based - Testability</v>
      </c>
      <c r="D97" s="56" t="str">
        <f>'6조'!D$37</f>
        <v/>
      </c>
      <c r="E97" s="57" t="str">
        <f>'6조'!E$37</f>
        <v>6조 - Buffered Message Based - Testability</v>
      </c>
    </row>
    <row r="98" spans="1:5">
      <c r="A98" s="54" t="s">
        <v>153</v>
      </c>
      <c r="B98" s="56" t="str">
        <f>'7조'!B$37</f>
        <v/>
      </c>
      <c r="C98" s="57" t="str">
        <f>'7조'!C$37</f>
        <v>7조 - Non-Buffered Event Based - Testability</v>
      </c>
      <c r="D98" s="56" t="str">
        <f>'7조'!D$37</f>
        <v/>
      </c>
      <c r="E98" s="57" t="str">
        <f>'7조'!E$37</f>
        <v>7조 - Buffered Message Based - Testability</v>
      </c>
    </row>
    <row r="99" spans="1:5">
      <c r="A99" s="54" t="s">
        <v>154</v>
      </c>
      <c r="B99" s="56" t="str">
        <f>'8조'!B$37</f>
        <v/>
      </c>
      <c r="C99" s="57" t="str">
        <f>'8조'!C$37</f>
        <v>8조 - Non-Buffered Event Based - Testability</v>
      </c>
      <c r="D99" s="56" t="str">
        <f>'8조'!D$37</f>
        <v/>
      </c>
      <c r="E99" s="57" t="str">
        <f>'8조'!E$37</f>
        <v>8조 - Buffered Message Based - Testability</v>
      </c>
    </row>
    <row r="100" spans="1:5">
      <c r="A100" s="54" t="s">
        <v>155</v>
      </c>
      <c r="B100" s="56" t="str">
        <f>'9조'!B$37</f>
        <v/>
      </c>
      <c r="C100" s="57" t="str">
        <f>'9조'!C$37</f>
        <v>9조 - Non-Buffered Event Based - Testability</v>
      </c>
      <c r="D100" s="56" t="str">
        <f>'9조'!D$37</f>
        <v/>
      </c>
      <c r="E100" s="57" t="str">
        <f>'9조'!E$37</f>
        <v>9조 - Buffered Message Based - Testability</v>
      </c>
    </row>
    <row r="101" spans="1:5" ht="15" customHeight="1">
      <c r="A101" s="51"/>
      <c r="B101" s="50"/>
      <c r="C101" s="51"/>
      <c r="D101" s="50"/>
      <c r="E101" s="51"/>
    </row>
    <row r="102" spans="1:5">
      <c r="A102" s="53" t="s">
        <v>24</v>
      </c>
      <c r="B102" s="55">
        <f>'Detailed Reasoning'!B$38</f>
        <v>0</v>
      </c>
      <c r="C102" s="55">
        <f>'Detailed Reasoning'!C$38</f>
        <v>0</v>
      </c>
      <c r="D102" s="55">
        <f>'Detailed Reasoning'!D$38</f>
        <v>0</v>
      </c>
      <c r="E102" s="55">
        <f>'Detailed Reasoning'!E$38</f>
        <v>0</v>
      </c>
    </row>
    <row r="103" spans="1:5">
      <c r="A103" s="54" t="s">
        <v>147</v>
      </c>
      <c r="B103" s="56">
        <f>'1조'!B$38</f>
        <v>0</v>
      </c>
      <c r="C103" s="51" t="str">
        <f>'1조'!C38</f>
        <v>1조 - Non-Buffered Event Based - Usability</v>
      </c>
      <c r="D103" s="56">
        <f>'1조'!D$38</f>
        <v>0</v>
      </c>
      <c r="E103" s="51" t="str">
        <f>'1조'!E38</f>
        <v>1조 - Buffered Message Based - Usability</v>
      </c>
    </row>
    <row r="104" spans="1:5">
      <c r="A104" s="54" t="s">
        <v>148</v>
      </c>
      <c r="B104" s="56" t="str">
        <f>'2조'!B$38</f>
        <v/>
      </c>
      <c r="C104" s="57" t="str">
        <f>'2조'!C$38</f>
        <v>2조 - Non-Buffered Event Based - Usability</v>
      </c>
      <c r="D104" s="56" t="str">
        <f>'2조'!D$38</f>
        <v/>
      </c>
      <c r="E104" s="57" t="str">
        <f>'2조'!E$38</f>
        <v>2조 - Buffered Message Based - Usability</v>
      </c>
    </row>
    <row r="105" spans="1:5">
      <c r="A105" s="54" t="s">
        <v>149</v>
      </c>
      <c r="B105" s="56" t="str">
        <f>'3조'!B$38</f>
        <v/>
      </c>
      <c r="C105" s="57" t="str">
        <f>'3조'!C$38</f>
        <v>3조 - Non-Buffered Event Based - Usability</v>
      </c>
      <c r="D105" s="56" t="str">
        <f>'3조'!D$38</f>
        <v/>
      </c>
      <c r="E105" s="57" t="str">
        <f>'3조'!E$38</f>
        <v>3조 - Buffered Message Based - Usability</v>
      </c>
    </row>
    <row r="106" spans="1:5">
      <c r="A106" s="54" t="s">
        <v>150</v>
      </c>
      <c r="B106" s="56" t="str">
        <f>'4조'!B$38</f>
        <v/>
      </c>
      <c r="C106" s="57" t="str">
        <f>'4조'!C$38</f>
        <v>4조 - Non-Buffered Event Based - Usability</v>
      </c>
      <c r="D106" s="56" t="str">
        <f>'4조'!D$38</f>
        <v/>
      </c>
      <c r="E106" s="57" t="str">
        <f>'4조'!E$38</f>
        <v>4조 - Buffered Message Based - Usability</v>
      </c>
    </row>
    <row r="107" spans="1:5">
      <c r="A107" s="54" t="s">
        <v>151</v>
      </c>
      <c r="B107" s="56" t="str">
        <f>'5조'!B$38</f>
        <v/>
      </c>
      <c r="C107" s="57" t="str">
        <f>'5조'!C$38</f>
        <v>5조 - Non-Buffered Event Based - Usability</v>
      </c>
      <c r="D107" s="56" t="str">
        <f>'5조'!D$38</f>
        <v/>
      </c>
      <c r="E107" s="57" t="str">
        <f>'5조'!E$38</f>
        <v>5조 - Buffered Message Based - Usability</v>
      </c>
    </row>
    <row r="108" spans="1:5">
      <c r="A108" s="54" t="s">
        <v>152</v>
      </c>
      <c r="B108" s="56" t="str">
        <f>'6조'!B$38</f>
        <v/>
      </c>
      <c r="C108" s="57" t="str">
        <f>'6조'!C$38</f>
        <v>6조 - Non-Buffered Event Based - Usability</v>
      </c>
      <c r="D108" s="56" t="str">
        <f>'6조'!D$38</f>
        <v/>
      </c>
      <c r="E108" s="57" t="str">
        <f>'6조'!E$38</f>
        <v>6조 - Buffered Message Based - Usability</v>
      </c>
    </row>
    <row r="109" spans="1:5">
      <c r="A109" s="54" t="s">
        <v>153</v>
      </c>
      <c r="B109" s="56" t="str">
        <f>'7조'!B$38</f>
        <v/>
      </c>
      <c r="C109" s="57" t="str">
        <f>'7조'!C$38</f>
        <v>7조 - Non-Buffered Event Based - Usability</v>
      </c>
      <c r="D109" s="56" t="str">
        <f>'7조'!D$38</f>
        <v/>
      </c>
      <c r="E109" s="57" t="str">
        <f>'7조'!E$38</f>
        <v>7조 - Buffered Message Based - Usability</v>
      </c>
    </row>
    <row r="110" spans="1:5">
      <c r="A110" s="54" t="s">
        <v>154</v>
      </c>
      <c r="B110" s="56" t="str">
        <f>'8조'!B$38</f>
        <v/>
      </c>
      <c r="C110" s="57" t="str">
        <f>'8조'!C$38</f>
        <v>8조 - Non-Buffered Event Based - Usability</v>
      </c>
      <c r="D110" s="56" t="str">
        <f>'8조'!D$38</f>
        <v/>
      </c>
      <c r="E110" s="57" t="str">
        <f>'8조'!E$38</f>
        <v>8조 - Buffered Message Based - Usability</v>
      </c>
    </row>
    <row r="111" spans="1:5">
      <c r="A111" s="54" t="s">
        <v>155</v>
      </c>
      <c r="B111" s="56" t="str">
        <f>'9조'!B$38</f>
        <v/>
      </c>
      <c r="C111" s="57" t="str">
        <f>'9조'!C$38</f>
        <v>9조 - Non-Buffered Event Based - Usability</v>
      </c>
      <c r="D111" s="56" t="str">
        <f>'9조'!D$38</f>
        <v/>
      </c>
      <c r="E111" s="57" t="str">
        <f>'9조'!E$38</f>
        <v>9조 - Buffered Message Based - Usability</v>
      </c>
    </row>
  </sheetData>
  <mergeCells count="3">
    <mergeCell ref="A1:A2"/>
    <mergeCell ref="B1:C1"/>
    <mergeCell ref="D1:E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11"/>
  <sheetViews>
    <sheetView workbookViewId="0">
      <pane ySplit="2" topLeftCell="A81" activePane="bottomLeft" state="frozen"/>
      <selection pane="bottomLeft" activeCell="B103" sqref="B103"/>
    </sheetView>
  </sheetViews>
  <sheetFormatPr defaultColWidth="14.42578125" defaultRowHeight="15" customHeight="1"/>
  <cols>
    <col min="1" max="1" width="21.42578125" bestFit="1" customWidth="1"/>
    <col min="2" max="2" width="7.7109375" bestFit="1" customWidth="1"/>
    <col min="3" max="3" width="29.28515625" bestFit="1" customWidth="1"/>
    <col min="4" max="4" width="7.7109375" bestFit="1" customWidth="1"/>
    <col min="5" max="5" width="28.5703125" bestFit="1" customWidth="1"/>
  </cols>
  <sheetData>
    <row r="1" spans="1:5">
      <c r="A1" s="52" t="s">
        <v>31</v>
      </c>
      <c r="B1" s="52" t="s">
        <v>32</v>
      </c>
      <c r="C1" s="52"/>
      <c r="D1" s="52" t="s">
        <v>33</v>
      </c>
      <c r="E1" s="52"/>
    </row>
    <row r="2" spans="1:5">
      <c r="A2" s="52"/>
      <c r="B2" s="47" t="s">
        <v>4</v>
      </c>
      <c r="C2" s="47" t="s">
        <v>5</v>
      </c>
      <c r="D2" s="47" t="s">
        <v>4</v>
      </c>
      <c r="E2" s="47" t="s">
        <v>5</v>
      </c>
    </row>
    <row r="3" spans="1:5" ht="15" customHeight="1">
      <c r="A3" s="53" t="s">
        <v>6</v>
      </c>
      <c r="B3" s="55">
        <f>'Detailed Reasoning'!B$42</f>
        <v>0</v>
      </c>
      <c r="C3" s="55">
        <f>'Detailed Reasoning'!C$42</f>
        <v>0</v>
      </c>
      <c r="D3" s="53">
        <f>'Detailed Reasoning'!D$42</f>
        <v>0</v>
      </c>
      <c r="E3" s="53">
        <f>'Detailed Reasoning'!E$42</f>
        <v>0</v>
      </c>
    </row>
    <row r="4" spans="1:5">
      <c r="A4" s="54" t="s">
        <v>147</v>
      </c>
      <c r="B4" s="56">
        <f>'1조'!B$42</f>
        <v>0</v>
      </c>
      <c r="C4" s="51" t="str">
        <f>'1조'!C42</f>
        <v>1조 - MVC - Availability</v>
      </c>
      <c r="D4" s="56">
        <f>'1조'!D$42</f>
        <v>0</v>
      </c>
      <c r="E4" s="51" t="str">
        <f>'1조'!E42</f>
        <v>1조 - PAC - Availability</v>
      </c>
    </row>
    <row r="5" spans="1:5">
      <c r="A5" s="54" t="s">
        <v>148</v>
      </c>
      <c r="B5" s="56" t="str">
        <f>'2조'!B$42</f>
        <v/>
      </c>
      <c r="C5" s="57" t="str">
        <f>'2조'!C$42</f>
        <v>2조 - MVC - Availability</v>
      </c>
      <c r="D5" s="56" t="str">
        <f>'2조'!D$42</f>
        <v/>
      </c>
      <c r="E5" s="57" t="str">
        <f>'2조'!E$42</f>
        <v>2조 - PAC - Availability</v>
      </c>
    </row>
    <row r="6" spans="1:5">
      <c r="A6" s="54" t="s">
        <v>149</v>
      </c>
      <c r="B6" s="56" t="str">
        <f>'3조'!B$42</f>
        <v/>
      </c>
      <c r="C6" s="57" t="str">
        <f>'3조'!C$42</f>
        <v>3조 - MVC - Availability</v>
      </c>
      <c r="D6" s="56" t="str">
        <f>'3조'!D$42</f>
        <v/>
      </c>
      <c r="E6" s="57" t="str">
        <f>'3조'!E$42</f>
        <v>3조 - PAC - Availability</v>
      </c>
    </row>
    <row r="7" spans="1:5">
      <c r="A7" s="54" t="s">
        <v>150</v>
      </c>
      <c r="B7" s="56" t="str">
        <f>'4조'!B$42</f>
        <v/>
      </c>
      <c r="C7" s="57" t="str">
        <f>'4조'!C$42</f>
        <v>4조 - MVC - Availability</v>
      </c>
      <c r="D7" s="56" t="str">
        <f>'4조'!D$42</f>
        <v/>
      </c>
      <c r="E7" s="57" t="str">
        <f>'4조'!E$42</f>
        <v>4조 - PAC - Availability</v>
      </c>
    </row>
    <row r="8" spans="1:5">
      <c r="A8" s="54" t="s">
        <v>151</v>
      </c>
      <c r="B8" s="56" t="str">
        <f>'5조'!B$42</f>
        <v/>
      </c>
      <c r="C8" s="57" t="str">
        <f>'5조'!C$42</f>
        <v>5조 - MVC - Availability</v>
      </c>
      <c r="D8" s="56" t="str">
        <f>'5조'!D$42</f>
        <v/>
      </c>
      <c r="E8" s="57" t="str">
        <f>'5조'!E$42</f>
        <v>5조 - PAC - Availability</v>
      </c>
    </row>
    <row r="9" spans="1:5">
      <c r="A9" s="54" t="s">
        <v>152</v>
      </c>
      <c r="B9" s="56" t="str">
        <f>'6조'!B$42</f>
        <v/>
      </c>
      <c r="C9" s="57" t="str">
        <f>'6조'!C$42</f>
        <v>6조 - MVC - Availability</v>
      </c>
      <c r="D9" s="56" t="str">
        <f>'6조'!D$42</f>
        <v/>
      </c>
      <c r="E9" s="57" t="str">
        <f>'6조'!E$42</f>
        <v>6조 - PAC - Availability</v>
      </c>
    </row>
    <row r="10" spans="1:5">
      <c r="A10" s="54" t="s">
        <v>153</v>
      </c>
      <c r="B10" s="56" t="str">
        <f>'7조'!B$42</f>
        <v/>
      </c>
      <c r="C10" s="57" t="str">
        <f>'7조'!C$42</f>
        <v>7조 - MVC - Availability</v>
      </c>
      <c r="D10" s="56" t="str">
        <f>'7조'!D$42</f>
        <v/>
      </c>
      <c r="E10" s="57" t="str">
        <f>'7조'!E$42</f>
        <v>7조 - PAC - Availability</v>
      </c>
    </row>
    <row r="11" spans="1:5">
      <c r="A11" s="54" t="s">
        <v>154</v>
      </c>
      <c r="B11" s="56" t="str">
        <f>'8조'!B$42</f>
        <v/>
      </c>
      <c r="C11" s="57" t="str">
        <f>'8조'!C$42</f>
        <v>8조 - MVC - Availability</v>
      </c>
      <c r="D11" s="56" t="str">
        <f>'8조'!D$42</f>
        <v/>
      </c>
      <c r="E11" s="57" t="str">
        <f>'8조'!E$42</f>
        <v>8조 - PAC - Availability</v>
      </c>
    </row>
    <row r="12" spans="1:5">
      <c r="A12" s="54" t="s">
        <v>155</v>
      </c>
      <c r="B12" s="56" t="str">
        <f>'9조'!B$42</f>
        <v/>
      </c>
      <c r="C12" s="57" t="str">
        <f>'9조'!C$42</f>
        <v>9조 - MVC - Availability</v>
      </c>
      <c r="D12" s="56" t="str">
        <f>'9조'!D$42</f>
        <v/>
      </c>
      <c r="E12" s="57" t="str">
        <f>'9조'!E$42</f>
        <v>9조 - PAC - Availability</v>
      </c>
    </row>
    <row r="13" spans="1:5">
      <c r="A13" s="51"/>
      <c r="B13" s="50"/>
      <c r="C13" s="51"/>
      <c r="D13" s="50"/>
      <c r="E13" s="51"/>
    </row>
    <row r="14" spans="1:5" ht="15" customHeight="1">
      <c r="A14" s="53" t="s">
        <v>16</v>
      </c>
      <c r="B14" s="55">
        <f>'Detailed Reasoning'!B$43</f>
        <v>0</v>
      </c>
      <c r="C14" s="55">
        <f>'Detailed Reasoning'!C$43</f>
        <v>0</v>
      </c>
      <c r="D14" s="53">
        <f>'Detailed Reasoning'!D$43</f>
        <v>0</v>
      </c>
      <c r="E14" s="53">
        <f>'Detailed Reasoning'!E$43</f>
        <v>0</v>
      </c>
    </row>
    <row r="15" spans="1:5">
      <c r="A15" s="54" t="s">
        <v>147</v>
      </c>
      <c r="B15" s="56">
        <f>'1조'!B$43</f>
        <v>0</v>
      </c>
      <c r="C15" s="51" t="str">
        <f>'1조'!C43</f>
        <v>1조 - MVC - Deployability</v>
      </c>
      <c r="D15" s="56">
        <f>'1조'!D$43</f>
        <v>0</v>
      </c>
      <c r="E15" s="51" t="str">
        <f>'1조'!E43</f>
        <v>1조 - PAC - Deployability</v>
      </c>
    </row>
    <row r="16" spans="1:5">
      <c r="A16" s="54" t="s">
        <v>148</v>
      </c>
      <c r="B16" s="56" t="str">
        <f>'2조'!B$43</f>
        <v/>
      </c>
      <c r="C16" s="57" t="str">
        <f>'2조'!C$43</f>
        <v>2조 - MVC - Deployability</v>
      </c>
      <c r="D16" s="56" t="str">
        <f>'2조'!D$43</f>
        <v/>
      </c>
      <c r="E16" s="57" t="str">
        <f>'2조'!E$43</f>
        <v>2조 - PAC - Deployability</v>
      </c>
    </row>
    <row r="17" spans="1:5">
      <c r="A17" s="54" t="s">
        <v>149</v>
      </c>
      <c r="B17" s="56" t="str">
        <f>'3조'!B$43</f>
        <v/>
      </c>
      <c r="C17" s="57" t="str">
        <f>'3조'!C$43</f>
        <v>3조 - MVC - Deployability</v>
      </c>
      <c r="D17" s="56" t="str">
        <f>'3조'!D$43</f>
        <v/>
      </c>
      <c r="E17" s="57" t="str">
        <f>'3조'!E$43</f>
        <v>3조 - PAC - Deployability</v>
      </c>
    </row>
    <row r="18" spans="1:5">
      <c r="A18" s="54" t="s">
        <v>150</v>
      </c>
      <c r="B18" s="56" t="str">
        <f>'4조'!B$43</f>
        <v/>
      </c>
      <c r="C18" s="57" t="str">
        <f>'4조'!C$43</f>
        <v>4조 - MVC - Deployability</v>
      </c>
      <c r="D18" s="56" t="str">
        <f>'4조'!D$43</f>
        <v/>
      </c>
      <c r="E18" s="57" t="str">
        <f>'4조'!E$43</f>
        <v>4조 - PAC - Deployability</v>
      </c>
    </row>
    <row r="19" spans="1:5">
      <c r="A19" s="54" t="s">
        <v>151</v>
      </c>
      <c r="B19" s="56" t="str">
        <f>'5조'!B$43</f>
        <v/>
      </c>
      <c r="C19" s="57" t="str">
        <f>'5조'!C$43</f>
        <v>5조 - MVC - Deployability</v>
      </c>
      <c r="D19" s="56" t="str">
        <f>'5조'!D$43</f>
        <v/>
      </c>
      <c r="E19" s="57" t="str">
        <f>'5조'!E$43</f>
        <v>5조 - PAC - Deployability</v>
      </c>
    </row>
    <row r="20" spans="1:5">
      <c r="A20" s="54" t="s">
        <v>152</v>
      </c>
      <c r="B20" s="56" t="str">
        <f>'6조'!B$43</f>
        <v/>
      </c>
      <c r="C20" s="57" t="str">
        <f>'6조'!C$43</f>
        <v>6조 - MVC - Deployability</v>
      </c>
      <c r="D20" s="56" t="str">
        <f>'6조'!D$43</f>
        <v/>
      </c>
      <c r="E20" s="57" t="str">
        <f>'6조'!E$43</f>
        <v>6조 - PAC - Deployability</v>
      </c>
    </row>
    <row r="21" spans="1:5">
      <c r="A21" s="54" t="s">
        <v>153</v>
      </c>
      <c r="B21" s="56" t="str">
        <f>'7조'!B$43</f>
        <v/>
      </c>
      <c r="C21" s="57" t="str">
        <f>'7조'!C$43</f>
        <v>7조 - MVC - Deployability</v>
      </c>
      <c r="D21" s="56" t="str">
        <f>'7조'!D$43</f>
        <v/>
      </c>
      <c r="E21" s="57" t="str">
        <f>'7조'!E$43</f>
        <v>7조 - PAC - Deployability</v>
      </c>
    </row>
    <row r="22" spans="1:5">
      <c r="A22" s="54" t="s">
        <v>154</v>
      </c>
      <c r="B22" s="56" t="str">
        <f>'8조'!B$43</f>
        <v/>
      </c>
      <c r="C22" s="57" t="str">
        <f>'8조'!C$43</f>
        <v>8조 - MVC - Deployability</v>
      </c>
      <c r="D22" s="56" t="str">
        <f>'8조'!D$43</f>
        <v/>
      </c>
      <c r="E22" s="57" t="str">
        <f>'8조'!E$43</f>
        <v>8조 - PAC - Deployability</v>
      </c>
    </row>
    <row r="23" spans="1:5">
      <c r="A23" s="54" t="s">
        <v>155</v>
      </c>
      <c r="B23" s="56" t="str">
        <f>'9조'!B$43</f>
        <v/>
      </c>
      <c r="C23" s="57" t="str">
        <f>'9조'!C$43</f>
        <v>9조 - MVC - Deployability</v>
      </c>
      <c r="D23" s="56" t="str">
        <f>'9조'!D$43</f>
        <v/>
      </c>
      <c r="E23" s="57" t="str">
        <f>'9조'!E$43</f>
        <v>9조 - PAC - Deployability</v>
      </c>
    </row>
    <row r="24" spans="1:5">
      <c r="A24" s="51"/>
      <c r="B24" s="50"/>
      <c r="C24" s="51"/>
      <c r="D24" s="50"/>
      <c r="E24" s="51"/>
    </row>
    <row r="25" spans="1:5" ht="15" customHeight="1">
      <c r="A25" s="53" t="s">
        <v>17</v>
      </c>
      <c r="B25" s="55">
        <f>'Detailed Reasoning'!B$44</f>
        <v>0</v>
      </c>
      <c r="C25" s="55">
        <f>'Detailed Reasoning'!C$44</f>
        <v>0</v>
      </c>
      <c r="D25" s="53">
        <f>'Detailed Reasoning'!D$44</f>
        <v>0</v>
      </c>
      <c r="E25" s="53">
        <f>'Detailed Reasoning'!E$44</f>
        <v>0</v>
      </c>
    </row>
    <row r="26" spans="1:5">
      <c r="A26" s="54" t="s">
        <v>147</v>
      </c>
      <c r="B26" s="56">
        <f>'1조'!B$44</f>
        <v>0</v>
      </c>
      <c r="C26" s="51" t="str">
        <f>'1조'!C44</f>
        <v>1조 - MVC - Integrability</v>
      </c>
      <c r="D26" s="56">
        <f>'1조'!D$44</f>
        <v>0</v>
      </c>
      <c r="E26" s="51" t="str">
        <f>'1조'!E44</f>
        <v>1조 - PAC - Integrability</v>
      </c>
    </row>
    <row r="27" spans="1:5">
      <c r="A27" s="54" t="s">
        <v>148</v>
      </c>
      <c r="B27" s="56" t="str">
        <f>'2조'!B$44</f>
        <v/>
      </c>
      <c r="C27" s="57" t="str">
        <f>'2조'!C$44</f>
        <v>2조 - MVC - Integrability</v>
      </c>
      <c r="D27" s="56" t="str">
        <f>'2조'!D$44</f>
        <v/>
      </c>
      <c r="E27" s="57" t="str">
        <f>'2조'!E$44</f>
        <v>2조 - PAC - Integrability</v>
      </c>
    </row>
    <row r="28" spans="1:5">
      <c r="A28" s="54" t="s">
        <v>149</v>
      </c>
      <c r="B28" s="56" t="str">
        <f>'3조'!B$44</f>
        <v/>
      </c>
      <c r="C28" s="57" t="str">
        <f>'3조'!C$44</f>
        <v>3조 - MVC - Integrability</v>
      </c>
      <c r="D28" s="56" t="str">
        <f>'3조'!D$44</f>
        <v/>
      </c>
      <c r="E28" s="57" t="str">
        <f>'3조'!E$44</f>
        <v>3조 - PAC - Integrability</v>
      </c>
    </row>
    <row r="29" spans="1:5">
      <c r="A29" s="54" t="s">
        <v>150</v>
      </c>
      <c r="B29" s="56" t="str">
        <f>'4조'!B$44</f>
        <v/>
      </c>
      <c r="C29" s="57" t="str">
        <f>'4조'!C$44</f>
        <v>4조 - MVC - Integrability</v>
      </c>
      <c r="D29" s="56" t="str">
        <f>'4조'!D$44</f>
        <v/>
      </c>
      <c r="E29" s="57" t="str">
        <f>'4조'!E$44</f>
        <v>4조 - PAC - Integrability</v>
      </c>
    </row>
    <row r="30" spans="1:5">
      <c r="A30" s="54" t="s">
        <v>151</v>
      </c>
      <c r="B30" s="56" t="str">
        <f>'5조'!B$44</f>
        <v/>
      </c>
      <c r="C30" s="57" t="str">
        <f>'5조'!C$44</f>
        <v>5조 - MVC - Integrability</v>
      </c>
      <c r="D30" s="56" t="str">
        <f>'5조'!D$44</f>
        <v/>
      </c>
      <c r="E30" s="57" t="str">
        <f>'5조'!E$44</f>
        <v>5조 - PAC - Integrability</v>
      </c>
    </row>
    <row r="31" spans="1:5">
      <c r="A31" s="54" t="s">
        <v>152</v>
      </c>
      <c r="B31" s="56" t="str">
        <f>'6조'!B$44</f>
        <v/>
      </c>
      <c r="C31" s="57" t="str">
        <f>'6조'!C$44</f>
        <v>6조 - MVC - Integrability</v>
      </c>
      <c r="D31" s="56" t="str">
        <f>'6조'!D$44</f>
        <v/>
      </c>
      <c r="E31" s="57" t="str">
        <f>'6조'!E$44</f>
        <v>6조 - PAC - Integrability</v>
      </c>
    </row>
    <row r="32" spans="1:5">
      <c r="A32" s="54" t="s">
        <v>153</v>
      </c>
      <c r="B32" s="56" t="str">
        <f>'7조'!B$44</f>
        <v/>
      </c>
      <c r="C32" s="57" t="str">
        <f>'7조'!C$44</f>
        <v>7조 - MVC - Integrability</v>
      </c>
      <c r="D32" s="56" t="str">
        <f>'7조'!D$44</f>
        <v/>
      </c>
      <c r="E32" s="57" t="str">
        <f>'7조'!E$44</f>
        <v>7조 - PAC - Integrability</v>
      </c>
    </row>
    <row r="33" spans="1:5">
      <c r="A33" s="54" t="s">
        <v>154</v>
      </c>
      <c r="B33" s="56" t="str">
        <f>'8조'!B$44</f>
        <v/>
      </c>
      <c r="C33" s="57" t="str">
        <f>'8조'!C$44</f>
        <v>8조 - MVC - Integrability</v>
      </c>
      <c r="D33" s="56" t="str">
        <f>'8조'!D$44</f>
        <v/>
      </c>
      <c r="E33" s="57" t="str">
        <f>'8조'!E$44</f>
        <v>8조 - PAC - Integrability</v>
      </c>
    </row>
    <row r="34" spans="1:5">
      <c r="A34" s="54" t="s">
        <v>155</v>
      </c>
      <c r="B34" s="56" t="str">
        <f>'9조'!B$44</f>
        <v/>
      </c>
      <c r="C34" s="57" t="str">
        <f>'9조'!C$44</f>
        <v>9조 - MVC - Integrability</v>
      </c>
      <c r="D34" s="56" t="str">
        <f>'9조'!D$44</f>
        <v/>
      </c>
      <c r="E34" s="57" t="str">
        <f>'9조'!E$44</f>
        <v>9조 - PAC - Integrability</v>
      </c>
    </row>
    <row r="35" spans="1:5">
      <c r="A35" s="51"/>
      <c r="B35" s="50"/>
      <c r="C35" s="51"/>
      <c r="D35" s="50"/>
      <c r="E35" s="51"/>
    </row>
    <row r="36" spans="1:5">
      <c r="A36" s="53" t="s">
        <v>18</v>
      </c>
      <c r="B36" s="53">
        <f>'Detailed Reasoning'!B$45</f>
        <v>0</v>
      </c>
      <c r="C36" s="53">
        <f>'Detailed Reasoning'!C$45</f>
        <v>0</v>
      </c>
      <c r="D36" s="53">
        <f>'Detailed Reasoning'!D$45</f>
        <v>0</v>
      </c>
      <c r="E36" s="53">
        <f>'Detailed Reasoning'!E$45</f>
        <v>0</v>
      </c>
    </row>
    <row r="37" spans="1:5">
      <c r="A37" s="49" t="s">
        <v>156</v>
      </c>
      <c r="B37" s="56">
        <f>'1조'!B$45</f>
        <v>0</v>
      </c>
      <c r="C37" s="51" t="str">
        <f>'1조'!C45</f>
        <v>1조 - MVC - Energy Efficiency</v>
      </c>
      <c r="D37" s="56">
        <f>'1조'!D$45</f>
        <v>0</v>
      </c>
      <c r="E37" s="51" t="str">
        <f>'1조'!E45</f>
        <v>1조 - PAC - Energy Efficiency</v>
      </c>
    </row>
    <row r="38" spans="1:5">
      <c r="A38" s="49" t="s">
        <v>157</v>
      </c>
      <c r="B38" s="56" t="str">
        <f>'2조'!B$45</f>
        <v/>
      </c>
      <c r="C38" s="57" t="str">
        <f>'2조'!C$45</f>
        <v>2조 - MVC - Energy Efficiency</v>
      </c>
      <c r="D38" s="56" t="str">
        <f>'2조'!D$45</f>
        <v/>
      </c>
      <c r="E38" s="57" t="str">
        <f>'2조'!E$45</f>
        <v>2조 - PAC - Energy Efficiency</v>
      </c>
    </row>
    <row r="39" spans="1:5">
      <c r="A39" s="49" t="s">
        <v>158</v>
      </c>
      <c r="B39" s="56" t="str">
        <f>'3조'!B$45</f>
        <v/>
      </c>
      <c r="C39" s="57" t="str">
        <f>'3조'!C$45</f>
        <v>3조 - MVC - Energy Efficiency</v>
      </c>
      <c r="D39" s="56" t="str">
        <f>'3조'!D$45</f>
        <v/>
      </c>
      <c r="E39" s="57" t="str">
        <f>'3조'!E$45</f>
        <v>3조 - PAC - Energy Efficiency</v>
      </c>
    </row>
    <row r="40" spans="1:5">
      <c r="A40" s="49" t="s">
        <v>159</v>
      </c>
      <c r="B40" s="56" t="str">
        <f>'4조'!B$45</f>
        <v/>
      </c>
      <c r="C40" s="57" t="str">
        <f>'4조'!C$45</f>
        <v>4조 - MVC - Energy Efficiency</v>
      </c>
      <c r="D40" s="56" t="str">
        <f>'4조'!D$45</f>
        <v/>
      </c>
      <c r="E40" s="57" t="str">
        <f>'4조'!E$45</f>
        <v>4조 - PAC - Energy Efficiency</v>
      </c>
    </row>
    <row r="41" spans="1:5">
      <c r="A41" s="49" t="s">
        <v>160</v>
      </c>
      <c r="B41" s="56" t="str">
        <f>'5조'!B$45</f>
        <v/>
      </c>
      <c r="C41" s="57" t="str">
        <f>'5조'!C$45</f>
        <v>5조 - MVC - Energy Efficiency</v>
      </c>
      <c r="D41" s="56" t="str">
        <f>'5조'!D$45</f>
        <v/>
      </c>
      <c r="E41" s="57" t="str">
        <f>'5조'!E$45</f>
        <v>5조 - PAC - Energy Efficiency</v>
      </c>
    </row>
    <row r="42" spans="1:5">
      <c r="A42" s="49" t="s">
        <v>161</v>
      </c>
      <c r="B42" s="56" t="str">
        <f>'6조'!B$45</f>
        <v/>
      </c>
      <c r="C42" s="57" t="str">
        <f>'6조'!C$45</f>
        <v>6조 - MVC - Energy Efficiency</v>
      </c>
      <c r="D42" s="56" t="str">
        <f>'6조'!D$45</f>
        <v/>
      </c>
      <c r="E42" s="57" t="str">
        <f>'6조'!E$45</f>
        <v>6조 - PAC - Energy Efficiency</v>
      </c>
    </row>
    <row r="43" spans="1:5">
      <c r="A43" s="49" t="s">
        <v>162</v>
      </c>
      <c r="B43" s="56" t="str">
        <f>'7조'!B$45</f>
        <v/>
      </c>
      <c r="C43" s="57" t="str">
        <f>'7조'!C$45</f>
        <v>7조 - MVC - Energy Efficiency</v>
      </c>
      <c r="D43" s="56" t="str">
        <f>'7조'!D$45</f>
        <v/>
      </c>
      <c r="E43" s="57" t="str">
        <f>'7조'!E$45</f>
        <v>7조 - PAC - Energy Efficiency</v>
      </c>
    </row>
    <row r="44" spans="1:5">
      <c r="A44" s="49" t="s">
        <v>163</v>
      </c>
      <c r="B44" s="56" t="str">
        <f>'8조'!B$45</f>
        <v/>
      </c>
      <c r="C44" s="57" t="str">
        <f>'8조'!C$45</f>
        <v>8조 - MVC - Energy Efficiency</v>
      </c>
      <c r="D44" s="56" t="str">
        <f>'8조'!D$45</f>
        <v/>
      </c>
      <c r="E44" s="57" t="str">
        <f>'8조'!E$45</f>
        <v>8조 - PAC - Energy Efficiency</v>
      </c>
    </row>
    <row r="45" spans="1:5">
      <c r="A45" s="49" t="s">
        <v>164</v>
      </c>
      <c r="B45" s="56" t="str">
        <f>'9조'!B$45</f>
        <v/>
      </c>
      <c r="C45" s="57" t="str">
        <f>'9조'!C$45</f>
        <v>9조 - MVC - Energy Efficiency</v>
      </c>
      <c r="D45" s="56" t="str">
        <f>'9조'!D$45</f>
        <v/>
      </c>
      <c r="E45" s="57" t="str">
        <f>'9조'!E$45</f>
        <v>9조 - PAC - Energy Efficiency</v>
      </c>
    </row>
    <row r="46" spans="1:5">
      <c r="A46" s="49"/>
      <c r="B46" s="48"/>
      <c r="C46" s="49"/>
      <c r="D46" s="48"/>
      <c r="E46" s="49"/>
    </row>
    <row r="47" spans="1:5">
      <c r="A47" s="53" t="s">
        <v>19</v>
      </c>
      <c r="B47" s="55">
        <f>'Detailed Reasoning'!B$46</f>
        <v>0</v>
      </c>
      <c r="C47" s="55">
        <f>'Detailed Reasoning'!C$46</f>
        <v>0</v>
      </c>
      <c r="D47" s="55">
        <f>'Detailed Reasoning'!D$46</f>
        <v>0</v>
      </c>
      <c r="E47" s="55">
        <f>'Detailed Reasoning'!E$46</f>
        <v>0</v>
      </c>
    </row>
    <row r="48" spans="1:5">
      <c r="A48" s="54" t="s">
        <v>147</v>
      </c>
      <c r="B48" s="56">
        <f>'1조'!B$46</f>
        <v>0</v>
      </c>
      <c r="C48" s="51" t="str">
        <f>'1조'!C46</f>
        <v>1조 - MVC - Modifiability</v>
      </c>
      <c r="D48" s="56">
        <f>'1조'!D$46</f>
        <v>0</v>
      </c>
      <c r="E48" s="51" t="str">
        <f>'1조'!E46</f>
        <v>1조 - PAC - Modifiability</v>
      </c>
    </row>
    <row r="49" spans="1:5">
      <c r="A49" s="54" t="s">
        <v>148</v>
      </c>
      <c r="B49" s="56" t="str">
        <f>'2조'!B$46</f>
        <v/>
      </c>
      <c r="C49" s="57" t="str">
        <f>'2조'!C$46</f>
        <v>2조 - MVC - Modifiability</v>
      </c>
      <c r="D49" s="56" t="str">
        <f>'2조'!D$46</f>
        <v/>
      </c>
      <c r="E49" s="57" t="str">
        <f>'2조'!E$46</f>
        <v>2조 - PAC - Modifiability</v>
      </c>
    </row>
    <row r="50" spans="1:5">
      <c r="A50" s="54" t="s">
        <v>149</v>
      </c>
      <c r="B50" s="56" t="str">
        <f>'3조'!B$46</f>
        <v/>
      </c>
      <c r="C50" s="57" t="str">
        <f>'3조'!C$46</f>
        <v>3조 - MVC - Modifiability</v>
      </c>
      <c r="D50" s="56" t="str">
        <f>'3조'!D$46</f>
        <v/>
      </c>
      <c r="E50" s="57" t="str">
        <f>'3조'!E$46</f>
        <v>3조 - PAC - Modifiability</v>
      </c>
    </row>
    <row r="51" spans="1:5">
      <c r="A51" s="54" t="s">
        <v>150</v>
      </c>
      <c r="B51" s="56" t="str">
        <f>'4조'!B$46</f>
        <v/>
      </c>
      <c r="C51" s="57" t="str">
        <f>'4조'!C$46</f>
        <v>4조 - MVC - Modifiability</v>
      </c>
      <c r="D51" s="56" t="str">
        <f>'4조'!D$46</f>
        <v/>
      </c>
      <c r="E51" s="57" t="str">
        <f>'4조'!E$46</f>
        <v>4조 - PAC - Modifiability</v>
      </c>
    </row>
    <row r="52" spans="1:5">
      <c r="A52" s="54" t="s">
        <v>151</v>
      </c>
      <c r="B52" s="56" t="str">
        <f>'5조'!B$46</f>
        <v/>
      </c>
      <c r="C52" s="57" t="str">
        <f>'5조'!C$46</f>
        <v>5조 - MVC - Modifiability</v>
      </c>
      <c r="D52" s="56" t="str">
        <f>'5조'!D$46</f>
        <v/>
      </c>
      <c r="E52" s="57" t="str">
        <f>'5조'!E$46</f>
        <v>5조 - PAC - Modifiability</v>
      </c>
    </row>
    <row r="53" spans="1:5">
      <c r="A53" s="54" t="s">
        <v>152</v>
      </c>
      <c r="B53" s="56" t="str">
        <f>'6조'!B$46</f>
        <v/>
      </c>
      <c r="C53" s="57" t="str">
        <f>'6조'!C$46</f>
        <v>6조 - MVC - Modifiability</v>
      </c>
      <c r="D53" s="56" t="str">
        <f>'6조'!D$46</f>
        <v/>
      </c>
      <c r="E53" s="57" t="str">
        <f>'6조'!E$46</f>
        <v>6조 - PAC - Modifiability</v>
      </c>
    </row>
    <row r="54" spans="1:5">
      <c r="A54" s="54" t="s">
        <v>153</v>
      </c>
      <c r="B54" s="56" t="str">
        <f>'7조'!B$46</f>
        <v/>
      </c>
      <c r="C54" s="57" t="str">
        <f>'7조'!C$46</f>
        <v>7조 - MVC - Modifiability</v>
      </c>
      <c r="D54" s="56" t="str">
        <f>'7조'!D$46</f>
        <v/>
      </c>
      <c r="E54" s="57" t="str">
        <f>'7조'!E$46</f>
        <v>7조 - PAC - Modifiability</v>
      </c>
    </row>
    <row r="55" spans="1:5">
      <c r="A55" s="54" t="s">
        <v>154</v>
      </c>
      <c r="B55" s="56" t="str">
        <f>'8조'!B$46</f>
        <v/>
      </c>
      <c r="C55" s="57" t="str">
        <f>'8조'!C$46</f>
        <v>8조 - MVC - Modifiability</v>
      </c>
      <c r="D55" s="56" t="str">
        <f>'8조'!D$46</f>
        <v/>
      </c>
      <c r="E55" s="57" t="str">
        <f>'8조'!E$46</f>
        <v>8조 - PAC - Modifiability</v>
      </c>
    </row>
    <row r="56" spans="1:5">
      <c r="A56" s="54" t="s">
        <v>155</v>
      </c>
      <c r="B56" s="56" t="str">
        <f>'9조'!B$46</f>
        <v/>
      </c>
      <c r="C56" s="57" t="str">
        <f>'9조'!C$46</f>
        <v>9조 - MVC - Modifiability</v>
      </c>
      <c r="D56" s="56" t="str">
        <f>'9조'!D$46</f>
        <v/>
      </c>
      <c r="E56" s="57" t="str">
        <f>'9조'!E$46</f>
        <v>9조 - PAC - Modifiability</v>
      </c>
    </row>
    <row r="57" spans="1:5">
      <c r="A57" s="51"/>
      <c r="B57" s="50"/>
      <c r="C57" s="51"/>
      <c r="D57" s="50"/>
      <c r="E57" s="51"/>
    </row>
    <row r="58" spans="1:5">
      <c r="A58" s="53" t="s">
        <v>20</v>
      </c>
      <c r="B58" s="55">
        <f>'Detailed Reasoning'!B$47</f>
        <v>0</v>
      </c>
      <c r="C58" s="55">
        <f>'Detailed Reasoning'!C$47</f>
        <v>0</v>
      </c>
      <c r="D58" s="55">
        <f>'Detailed Reasoning'!D$47</f>
        <v>0</v>
      </c>
      <c r="E58" s="55">
        <f>'Detailed Reasoning'!E$47</f>
        <v>0</v>
      </c>
    </row>
    <row r="59" spans="1:5">
      <c r="A59" s="54" t="s">
        <v>147</v>
      </c>
      <c r="B59" s="56">
        <f>'1조'!B$47</f>
        <v>0</v>
      </c>
      <c r="C59" s="51" t="str">
        <f>'1조'!C47</f>
        <v>1조 - MVC - Performance</v>
      </c>
      <c r="D59" s="56">
        <f>'1조'!D$47</f>
        <v>0</v>
      </c>
      <c r="E59" s="51" t="str">
        <f>'1조'!E47</f>
        <v>1조 - PAC - Performance</v>
      </c>
    </row>
    <row r="60" spans="1:5">
      <c r="A60" s="54" t="s">
        <v>148</v>
      </c>
      <c r="B60" s="56" t="str">
        <f>'2조'!B$47</f>
        <v/>
      </c>
      <c r="C60" s="57" t="str">
        <f>'2조'!C$47</f>
        <v>2조 - MVC - Performance</v>
      </c>
      <c r="D60" s="56" t="str">
        <f>'2조'!D$47</f>
        <v/>
      </c>
      <c r="E60" s="57" t="str">
        <f>'2조'!E$47</f>
        <v>2조 - PAC - Performance</v>
      </c>
    </row>
    <row r="61" spans="1:5">
      <c r="A61" s="54" t="s">
        <v>149</v>
      </c>
      <c r="B61" s="56" t="str">
        <f>'3조'!B$47</f>
        <v/>
      </c>
      <c r="C61" s="57" t="str">
        <f>'3조'!C$47</f>
        <v>3조 - MVC - Performance</v>
      </c>
      <c r="D61" s="56" t="str">
        <f>'3조'!D$47</f>
        <v/>
      </c>
      <c r="E61" s="57" t="str">
        <f>'3조'!E$47</f>
        <v>3조 - PAC - Performance</v>
      </c>
    </row>
    <row r="62" spans="1:5">
      <c r="A62" s="54" t="s">
        <v>150</v>
      </c>
      <c r="B62" s="56" t="str">
        <f>'4조'!B$47</f>
        <v/>
      </c>
      <c r="C62" s="57" t="str">
        <f>'4조'!C$47</f>
        <v>4조 - MVC - Performance</v>
      </c>
      <c r="D62" s="56" t="str">
        <f>'4조'!D$47</f>
        <v/>
      </c>
      <c r="E62" s="57" t="str">
        <f>'4조'!E$47</f>
        <v>4조 - PAC - Performance</v>
      </c>
    </row>
    <row r="63" spans="1:5">
      <c r="A63" s="54" t="s">
        <v>151</v>
      </c>
      <c r="B63" s="56" t="str">
        <f>'5조'!B$47</f>
        <v/>
      </c>
      <c r="C63" s="57" t="str">
        <f>'5조'!C$47</f>
        <v>5조 - MVC - Performance</v>
      </c>
      <c r="D63" s="56" t="str">
        <f>'5조'!D$47</f>
        <v/>
      </c>
      <c r="E63" s="57" t="str">
        <f>'5조'!E$47</f>
        <v>5조 - PAC - Performance</v>
      </c>
    </row>
    <row r="64" spans="1:5">
      <c r="A64" s="54" t="s">
        <v>152</v>
      </c>
      <c r="B64" s="56" t="str">
        <f>'6조'!B$47</f>
        <v/>
      </c>
      <c r="C64" s="57" t="str">
        <f>'6조'!C$47</f>
        <v>6조 - MVC - Performance</v>
      </c>
      <c r="D64" s="56" t="str">
        <f>'6조'!D$47</f>
        <v/>
      </c>
      <c r="E64" s="57" t="str">
        <f>'6조'!E$47</f>
        <v>6조 - PAC - Performance</v>
      </c>
    </row>
    <row r="65" spans="1:5">
      <c r="A65" s="54" t="s">
        <v>153</v>
      </c>
      <c r="B65" s="56" t="str">
        <f>'7조'!B$47</f>
        <v/>
      </c>
      <c r="C65" s="57" t="str">
        <f>'7조'!C$47</f>
        <v>7조 - MVC - Performance</v>
      </c>
      <c r="D65" s="56" t="str">
        <f>'7조'!D$47</f>
        <v/>
      </c>
      <c r="E65" s="57" t="str">
        <f>'7조'!E$47</f>
        <v>7조 - PAC - Performance</v>
      </c>
    </row>
    <row r="66" spans="1:5">
      <c r="A66" s="54" t="s">
        <v>154</v>
      </c>
      <c r="B66" s="56" t="str">
        <f>'8조'!B$47</f>
        <v/>
      </c>
      <c r="C66" s="57" t="str">
        <f>'8조'!C$47</f>
        <v>8조 - MVC - Performance</v>
      </c>
      <c r="D66" s="56" t="str">
        <f>'8조'!D$47</f>
        <v/>
      </c>
      <c r="E66" s="57" t="str">
        <f>'8조'!E$47</f>
        <v>8조 - PAC - Performance</v>
      </c>
    </row>
    <row r="67" spans="1:5">
      <c r="A67" s="54" t="s">
        <v>155</v>
      </c>
      <c r="B67" s="56" t="str">
        <f>'9조'!B$47</f>
        <v/>
      </c>
      <c r="C67" s="57" t="str">
        <f>'9조'!C$47</f>
        <v>9조 - MVC - Performance</v>
      </c>
      <c r="D67" s="56" t="str">
        <f>'9조'!D$47</f>
        <v/>
      </c>
      <c r="E67" s="57" t="str">
        <f>'9조'!E$47</f>
        <v>9조 - PAC - Performance</v>
      </c>
    </row>
    <row r="68" spans="1:5">
      <c r="A68" s="51"/>
      <c r="B68" s="50"/>
      <c r="C68" s="51"/>
      <c r="D68" s="50"/>
      <c r="E68" s="51"/>
    </row>
    <row r="69" spans="1:5">
      <c r="A69" s="53" t="s">
        <v>21</v>
      </c>
      <c r="B69" s="55">
        <f>'Detailed Reasoning'!B$48</f>
        <v>0</v>
      </c>
      <c r="C69" s="55">
        <f>'Detailed Reasoning'!C$48</f>
        <v>0</v>
      </c>
      <c r="D69" s="55">
        <f>'Detailed Reasoning'!D$48</f>
        <v>0</v>
      </c>
      <c r="E69" s="55">
        <f>'Detailed Reasoning'!E$48</f>
        <v>0</v>
      </c>
    </row>
    <row r="70" spans="1:5">
      <c r="A70" s="54" t="s">
        <v>147</v>
      </c>
      <c r="B70" s="56">
        <f>'1조'!B$48</f>
        <v>0</v>
      </c>
      <c r="C70" s="51" t="str">
        <f>'1조'!C48</f>
        <v>1조 - MVC - Safety</v>
      </c>
      <c r="D70" s="56">
        <f>'1조'!D$48</f>
        <v>0</v>
      </c>
      <c r="E70" s="51" t="str">
        <f>'1조'!E48</f>
        <v>1조 - PAC - Safety</v>
      </c>
    </row>
    <row r="71" spans="1:5">
      <c r="A71" s="54" t="s">
        <v>148</v>
      </c>
      <c r="B71" s="56" t="str">
        <f>'2조'!B$48</f>
        <v/>
      </c>
      <c r="C71" s="57" t="str">
        <f>'2조'!C$48</f>
        <v>2조 - MVC - Safety</v>
      </c>
      <c r="D71" s="56" t="str">
        <f>'2조'!D$48</f>
        <v/>
      </c>
      <c r="E71" s="57" t="str">
        <f>'2조'!E$48</f>
        <v>2조 - PAC - Safety</v>
      </c>
    </row>
    <row r="72" spans="1:5">
      <c r="A72" s="54" t="s">
        <v>149</v>
      </c>
      <c r="B72" s="56" t="str">
        <f>'3조'!B$48</f>
        <v/>
      </c>
      <c r="C72" s="57" t="str">
        <f>'3조'!C$48</f>
        <v>3조 - MVC - Safety</v>
      </c>
      <c r="D72" s="56" t="str">
        <f>'3조'!D$48</f>
        <v/>
      </c>
      <c r="E72" s="57" t="str">
        <f>'3조'!E$48</f>
        <v>3조 - PAC - Safety</v>
      </c>
    </row>
    <row r="73" spans="1:5">
      <c r="A73" s="54" t="s">
        <v>150</v>
      </c>
      <c r="B73" s="56" t="str">
        <f>'4조'!B$48</f>
        <v/>
      </c>
      <c r="C73" s="57" t="str">
        <f>'4조'!C$48</f>
        <v>4조 - MVC - Safety</v>
      </c>
      <c r="D73" s="56" t="str">
        <f>'4조'!D$48</f>
        <v/>
      </c>
      <c r="E73" s="57" t="str">
        <f>'4조'!E$48</f>
        <v>4조 - PAC - Safety</v>
      </c>
    </row>
    <row r="74" spans="1:5">
      <c r="A74" s="54" t="s">
        <v>151</v>
      </c>
      <c r="B74" s="56" t="str">
        <f>'5조'!B$48</f>
        <v/>
      </c>
      <c r="C74" s="57" t="str">
        <f>'5조'!C$48</f>
        <v>5조 - MVC - Safety</v>
      </c>
      <c r="D74" s="56" t="str">
        <f>'5조'!D$48</f>
        <v/>
      </c>
      <c r="E74" s="57" t="str">
        <f>'5조'!E$48</f>
        <v>5조 - PAC - Safety</v>
      </c>
    </row>
    <row r="75" spans="1:5">
      <c r="A75" s="54" t="s">
        <v>152</v>
      </c>
      <c r="B75" s="56" t="str">
        <f>'6조'!B$48</f>
        <v/>
      </c>
      <c r="C75" s="57" t="str">
        <f>'6조'!C$48</f>
        <v>6조 - MVC - Safety</v>
      </c>
      <c r="D75" s="56" t="str">
        <f>'6조'!D$48</f>
        <v/>
      </c>
      <c r="E75" s="57" t="str">
        <f>'6조'!E$48</f>
        <v>6조 - PAC - Safety</v>
      </c>
    </row>
    <row r="76" spans="1:5">
      <c r="A76" s="54" t="s">
        <v>153</v>
      </c>
      <c r="B76" s="56" t="str">
        <f>'7조'!B$48</f>
        <v/>
      </c>
      <c r="C76" s="57" t="str">
        <f>'7조'!C$48</f>
        <v>7조 - MVC - Safety</v>
      </c>
      <c r="D76" s="56" t="str">
        <f>'7조'!D$48</f>
        <v/>
      </c>
      <c r="E76" s="57" t="str">
        <f>'7조'!E$48</f>
        <v>7조 - PAC - Safety</v>
      </c>
    </row>
    <row r="77" spans="1:5">
      <c r="A77" s="54" t="s">
        <v>154</v>
      </c>
      <c r="B77" s="56" t="str">
        <f>'8조'!B$48</f>
        <v/>
      </c>
      <c r="C77" s="57" t="str">
        <f>'8조'!C$48</f>
        <v>8조 - MVC - Safety</v>
      </c>
      <c r="D77" s="56" t="str">
        <f>'8조'!D$48</f>
        <v/>
      </c>
      <c r="E77" s="57" t="str">
        <f>'8조'!E$48</f>
        <v>8조 - PAC - Safety</v>
      </c>
    </row>
    <row r="78" spans="1:5">
      <c r="A78" s="54" t="s">
        <v>155</v>
      </c>
      <c r="B78" s="56" t="str">
        <f>'9조'!B$48</f>
        <v/>
      </c>
      <c r="C78" s="57" t="str">
        <f>'9조'!C$48</f>
        <v>9조 - MVC - Safety</v>
      </c>
      <c r="D78" s="56" t="str">
        <f>'9조'!D$48</f>
        <v/>
      </c>
      <c r="E78" s="57" t="str">
        <f>'9조'!E$48</f>
        <v>9조 - PAC - Safety</v>
      </c>
    </row>
    <row r="79" spans="1:5">
      <c r="A79" s="51"/>
      <c r="B79" s="50"/>
      <c r="C79" s="51"/>
      <c r="D79" s="50"/>
      <c r="E79" s="51"/>
    </row>
    <row r="80" spans="1:5">
      <c r="A80" s="53" t="s">
        <v>22</v>
      </c>
      <c r="B80" s="55">
        <f>'Detailed Reasoning'!B$49</f>
        <v>0</v>
      </c>
      <c r="C80" s="55">
        <f>'Detailed Reasoning'!C$49</f>
        <v>0</v>
      </c>
      <c r="D80" s="55">
        <f>'Detailed Reasoning'!D$49</f>
        <v>0</v>
      </c>
      <c r="E80" s="55">
        <f>'Detailed Reasoning'!E$49</f>
        <v>0</v>
      </c>
    </row>
    <row r="81" spans="1:5">
      <c r="A81" s="54" t="s">
        <v>147</v>
      </c>
      <c r="B81" s="56">
        <f>'1조'!B$49</f>
        <v>0</v>
      </c>
      <c r="C81" s="51" t="str">
        <f>'1조'!C49</f>
        <v>1조 - MVC - Security</v>
      </c>
      <c r="D81" s="56">
        <f>'1조'!D$49</f>
        <v>0</v>
      </c>
      <c r="E81" s="51" t="str">
        <f>'1조'!E49</f>
        <v>1조 - PAC - Security</v>
      </c>
    </row>
    <row r="82" spans="1:5">
      <c r="A82" s="54" t="s">
        <v>148</v>
      </c>
      <c r="B82" s="56" t="str">
        <f>'2조'!B$49</f>
        <v/>
      </c>
      <c r="C82" s="57" t="str">
        <f>'2조'!C$49</f>
        <v>2조 - MVC - Security</v>
      </c>
      <c r="D82" s="56" t="str">
        <f>'2조'!D$49</f>
        <v/>
      </c>
      <c r="E82" s="57" t="str">
        <f>'2조'!E$49</f>
        <v>2조 - PAC - Security</v>
      </c>
    </row>
    <row r="83" spans="1:5">
      <c r="A83" s="54" t="s">
        <v>149</v>
      </c>
      <c r="B83" s="56" t="str">
        <f>'3조'!B$49</f>
        <v/>
      </c>
      <c r="C83" s="57" t="str">
        <f>'3조'!C$49</f>
        <v>3조 - MVC - Security</v>
      </c>
      <c r="D83" s="56" t="str">
        <f>'3조'!D$49</f>
        <v/>
      </c>
      <c r="E83" s="57" t="str">
        <f>'3조'!E$49</f>
        <v>3조 - PAC - Security</v>
      </c>
    </row>
    <row r="84" spans="1:5">
      <c r="A84" s="54" t="s">
        <v>150</v>
      </c>
      <c r="B84" s="56" t="str">
        <f>'4조'!B$49</f>
        <v/>
      </c>
      <c r="C84" s="57" t="str">
        <f>'4조'!C$49</f>
        <v>4조 - MVC - Security</v>
      </c>
      <c r="D84" s="56" t="str">
        <f>'4조'!D$49</f>
        <v/>
      </c>
      <c r="E84" s="57" t="str">
        <f>'4조'!E$49</f>
        <v>4조 - PAC - Security</v>
      </c>
    </row>
    <row r="85" spans="1:5">
      <c r="A85" s="54" t="s">
        <v>151</v>
      </c>
      <c r="B85" s="56" t="str">
        <f>'5조'!B$49</f>
        <v/>
      </c>
      <c r="C85" s="57" t="str">
        <f>'5조'!C$49</f>
        <v>5조 - MVC - Security</v>
      </c>
      <c r="D85" s="56" t="str">
        <f>'5조'!D$49</f>
        <v/>
      </c>
      <c r="E85" s="57" t="str">
        <f>'5조'!E$49</f>
        <v>5조 - PAC - Security</v>
      </c>
    </row>
    <row r="86" spans="1:5">
      <c r="A86" s="54" t="s">
        <v>152</v>
      </c>
      <c r="B86" s="56" t="str">
        <f>'6조'!B$49</f>
        <v/>
      </c>
      <c r="C86" s="57" t="str">
        <f>'6조'!C$49</f>
        <v>6조 - MVC - Security</v>
      </c>
      <c r="D86" s="56" t="str">
        <f>'6조'!D$49</f>
        <v/>
      </c>
      <c r="E86" s="57" t="str">
        <f>'6조'!E$49</f>
        <v>6조 - PAC - Security</v>
      </c>
    </row>
    <row r="87" spans="1:5">
      <c r="A87" s="54" t="s">
        <v>153</v>
      </c>
      <c r="B87" s="56" t="str">
        <f>'7조'!B$49</f>
        <v/>
      </c>
      <c r="C87" s="57" t="str">
        <f>'7조'!C$49</f>
        <v>7조 - MVC - Security</v>
      </c>
      <c r="D87" s="56" t="str">
        <f>'7조'!D$49</f>
        <v/>
      </c>
      <c r="E87" s="57" t="str">
        <f>'7조'!E$49</f>
        <v>7조 - PAC - Security</v>
      </c>
    </row>
    <row r="88" spans="1:5">
      <c r="A88" s="54" t="s">
        <v>154</v>
      </c>
      <c r="B88" s="56" t="str">
        <f>'8조'!B$49</f>
        <v/>
      </c>
      <c r="C88" s="57" t="str">
        <f>'8조'!C$49</f>
        <v>8조 - MVC - Security</v>
      </c>
      <c r="D88" s="56" t="str">
        <f>'8조'!D$49</f>
        <v/>
      </c>
      <c r="E88" s="57" t="str">
        <f>'8조'!E$49</f>
        <v>8조 - PAC - Security</v>
      </c>
    </row>
    <row r="89" spans="1:5">
      <c r="A89" s="54" t="s">
        <v>155</v>
      </c>
      <c r="B89" s="56" t="str">
        <f>'9조'!B$49</f>
        <v/>
      </c>
      <c r="C89" s="57" t="str">
        <f>'9조'!C$49</f>
        <v>9조 - MVC - Security</v>
      </c>
      <c r="D89" s="56" t="str">
        <f>'9조'!D$49</f>
        <v/>
      </c>
      <c r="E89" s="57" t="str">
        <f>'9조'!E$49</f>
        <v>9조 - PAC - Security</v>
      </c>
    </row>
    <row r="90" spans="1:5">
      <c r="A90" s="51"/>
      <c r="B90" s="50"/>
      <c r="C90" s="51"/>
      <c r="D90" s="50"/>
      <c r="E90" s="51"/>
    </row>
    <row r="91" spans="1:5">
      <c r="A91" s="53" t="s">
        <v>23</v>
      </c>
      <c r="B91" s="55">
        <f>'Detailed Reasoning'!B$50</f>
        <v>0</v>
      </c>
      <c r="C91" s="55">
        <f>'Detailed Reasoning'!C$50</f>
        <v>0</v>
      </c>
      <c r="D91" s="55">
        <f>'Detailed Reasoning'!D$50</f>
        <v>0</v>
      </c>
      <c r="E91" s="55">
        <f>'Detailed Reasoning'!E$50</f>
        <v>0</v>
      </c>
    </row>
    <row r="92" spans="1:5">
      <c r="A92" s="54" t="s">
        <v>147</v>
      </c>
      <c r="B92" s="56">
        <f>'1조'!B$50</f>
        <v>0</v>
      </c>
      <c r="C92" s="51" t="str">
        <f>'1조'!C50</f>
        <v>1조 - MVC - Testability</v>
      </c>
      <c r="D92" s="56">
        <f>'1조'!D$50</f>
        <v>0</v>
      </c>
      <c r="E92" s="51" t="str">
        <f>'1조'!E50</f>
        <v>1조 - PAC - Testability</v>
      </c>
    </row>
    <row r="93" spans="1:5">
      <c r="A93" s="54" t="s">
        <v>148</v>
      </c>
      <c r="B93" s="56" t="str">
        <f>'2조'!B$50</f>
        <v/>
      </c>
      <c r="C93" s="57" t="str">
        <f>'2조'!C$50</f>
        <v>2조 - MVC - Testability</v>
      </c>
      <c r="D93" s="56" t="str">
        <f>'2조'!D$50</f>
        <v/>
      </c>
      <c r="E93" s="57" t="str">
        <f>'2조'!E$50</f>
        <v>2조 - PAC - Testability</v>
      </c>
    </row>
    <row r="94" spans="1:5">
      <c r="A94" s="54" t="s">
        <v>149</v>
      </c>
      <c r="B94" s="56" t="str">
        <f>'3조'!B$50</f>
        <v/>
      </c>
      <c r="C94" s="57" t="str">
        <f>'3조'!C$50</f>
        <v>3조 - MVC - Testability</v>
      </c>
      <c r="D94" s="56" t="str">
        <f>'3조'!D$50</f>
        <v/>
      </c>
      <c r="E94" s="57" t="str">
        <f>'3조'!E$50</f>
        <v>3조 - PAC - Testability</v>
      </c>
    </row>
    <row r="95" spans="1:5">
      <c r="A95" s="54" t="s">
        <v>150</v>
      </c>
      <c r="B95" s="56" t="str">
        <f>'4조'!B$50</f>
        <v/>
      </c>
      <c r="C95" s="57" t="str">
        <f>'4조'!C$50</f>
        <v>4조 - MVC - Testability</v>
      </c>
      <c r="D95" s="56" t="str">
        <f>'4조'!D$50</f>
        <v/>
      </c>
      <c r="E95" s="57" t="str">
        <f>'4조'!E$50</f>
        <v>4조 - PAC - Testability</v>
      </c>
    </row>
    <row r="96" spans="1:5">
      <c r="A96" s="54" t="s">
        <v>151</v>
      </c>
      <c r="B96" s="56" t="str">
        <f>'5조'!B$50</f>
        <v/>
      </c>
      <c r="C96" s="57" t="str">
        <f>'5조'!C$50</f>
        <v>5조 - MVC - Testability</v>
      </c>
      <c r="D96" s="56" t="str">
        <f>'5조'!D$50</f>
        <v/>
      </c>
      <c r="E96" s="57" t="str">
        <f>'5조'!E$50</f>
        <v>5조 - PAC - Testability</v>
      </c>
    </row>
    <row r="97" spans="1:5">
      <c r="A97" s="54" t="s">
        <v>152</v>
      </c>
      <c r="B97" s="56" t="str">
        <f>'6조'!B$50</f>
        <v/>
      </c>
      <c r="C97" s="57" t="str">
        <f>'6조'!C$50</f>
        <v>6조 - MVC - Testability</v>
      </c>
      <c r="D97" s="56" t="str">
        <f>'6조'!D$50</f>
        <v/>
      </c>
      <c r="E97" s="57" t="str">
        <f>'6조'!E$50</f>
        <v>6조 - PAC - Testability</v>
      </c>
    </row>
    <row r="98" spans="1:5">
      <c r="A98" s="54" t="s">
        <v>153</v>
      </c>
      <c r="B98" s="56" t="str">
        <f>'7조'!B$50</f>
        <v/>
      </c>
      <c r="C98" s="57" t="str">
        <f>'7조'!C$50</f>
        <v>7조 - MVC - Testability</v>
      </c>
      <c r="D98" s="56" t="str">
        <f>'7조'!D$50</f>
        <v/>
      </c>
      <c r="E98" s="57" t="str">
        <f>'7조'!E$50</f>
        <v>7조 - PAC - Testability</v>
      </c>
    </row>
    <row r="99" spans="1:5">
      <c r="A99" s="54" t="s">
        <v>154</v>
      </c>
      <c r="B99" s="56" t="str">
        <f>'8조'!B$50</f>
        <v/>
      </c>
      <c r="C99" s="57" t="str">
        <f>'8조'!C$50</f>
        <v>8조 - MVC - Testability</v>
      </c>
      <c r="D99" s="56" t="str">
        <f>'8조'!D$50</f>
        <v/>
      </c>
      <c r="E99" s="57" t="str">
        <f>'8조'!E$50</f>
        <v>8조 - PAC - Testability</v>
      </c>
    </row>
    <row r="100" spans="1:5">
      <c r="A100" s="54" t="s">
        <v>155</v>
      </c>
      <c r="B100" s="56" t="str">
        <f>'9조'!B$50</f>
        <v/>
      </c>
      <c r="C100" s="57" t="str">
        <f>'9조'!C$50</f>
        <v>9조 - MVC - Testability</v>
      </c>
      <c r="D100" s="56" t="str">
        <f>'9조'!D$50</f>
        <v/>
      </c>
      <c r="E100" s="57" t="str">
        <f>'9조'!E$50</f>
        <v>9조 - PAC - Testability</v>
      </c>
    </row>
    <row r="101" spans="1:5" ht="15" customHeight="1">
      <c r="A101" s="51"/>
      <c r="B101" s="50"/>
      <c r="C101" s="51"/>
      <c r="D101" s="50"/>
      <c r="E101" s="51"/>
    </row>
    <row r="102" spans="1:5">
      <c r="A102" s="53" t="s">
        <v>24</v>
      </c>
      <c r="B102" s="55">
        <f>'Detailed Reasoning'!B$51</f>
        <v>0</v>
      </c>
      <c r="C102" s="55">
        <f>'Detailed Reasoning'!C$51</f>
        <v>0</v>
      </c>
      <c r="D102" s="55">
        <f>'Detailed Reasoning'!D$51</f>
        <v>0</v>
      </c>
      <c r="E102" s="55">
        <f>'Detailed Reasoning'!E$51</f>
        <v>0</v>
      </c>
    </row>
    <row r="103" spans="1:5">
      <c r="A103" s="54" t="s">
        <v>147</v>
      </c>
      <c r="B103" s="56">
        <f>'1조'!B$51</f>
        <v>0</v>
      </c>
      <c r="C103" s="51" t="str">
        <f>'1조'!C51</f>
        <v>1조 - MVC - Usability</v>
      </c>
      <c r="D103" s="56">
        <f>'1조'!D$51</f>
        <v>0</v>
      </c>
      <c r="E103" s="51" t="str">
        <f>'1조'!E51</f>
        <v>1조 - PAC - Usability</v>
      </c>
    </row>
    <row r="104" spans="1:5">
      <c r="A104" s="54" t="s">
        <v>148</v>
      </c>
      <c r="B104" s="56" t="str">
        <f>'2조'!B$51</f>
        <v/>
      </c>
      <c r="C104" s="57" t="str">
        <f>'2조'!C$51</f>
        <v>2조 - MVC - Usability</v>
      </c>
      <c r="D104" s="56" t="str">
        <f>'2조'!D$51</f>
        <v/>
      </c>
      <c r="E104" s="57" t="str">
        <f>'2조'!E$51</f>
        <v>2조 - PAC - Usability</v>
      </c>
    </row>
    <row r="105" spans="1:5">
      <c r="A105" s="54" t="s">
        <v>149</v>
      </c>
      <c r="B105" s="56" t="str">
        <f>'3조'!B$51</f>
        <v/>
      </c>
      <c r="C105" s="57" t="str">
        <f>'3조'!C$51</f>
        <v>3조 - MVC - Usability</v>
      </c>
      <c r="D105" s="56" t="str">
        <f>'3조'!D$51</f>
        <v/>
      </c>
      <c r="E105" s="57" t="str">
        <f>'3조'!E$51</f>
        <v>3조 - PAC - Usability</v>
      </c>
    </row>
    <row r="106" spans="1:5">
      <c r="A106" s="54" t="s">
        <v>150</v>
      </c>
      <c r="B106" s="56" t="str">
        <f>'4조'!B$51</f>
        <v/>
      </c>
      <c r="C106" s="57" t="str">
        <f>'4조'!C$51</f>
        <v>4조 - MVC - Usability</v>
      </c>
      <c r="D106" s="56" t="str">
        <f>'4조'!D$51</f>
        <v/>
      </c>
      <c r="E106" s="57" t="str">
        <f>'4조'!E$51</f>
        <v>4조 - PAC - Usability</v>
      </c>
    </row>
    <row r="107" spans="1:5">
      <c r="A107" s="54" t="s">
        <v>151</v>
      </c>
      <c r="B107" s="56" t="str">
        <f>'5조'!B$51</f>
        <v/>
      </c>
      <c r="C107" s="57" t="str">
        <f>'5조'!C$51</f>
        <v>5조 - MVC - Usability</v>
      </c>
      <c r="D107" s="56" t="str">
        <f>'5조'!D$51</f>
        <v/>
      </c>
      <c r="E107" s="57" t="str">
        <f>'5조'!E$51</f>
        <v>5조 - PAC - Usability</v>
      </c>
    </row>
    <row r="108" spans="1:5">
      <c r="A108" s="54" t="s">
        <v>152</v>
      </c>
      <c r="B108" s="56" t="str">
        <f>'6조'!B$51</f>
        <v/>
      </c>
      <c r="C108" s="57" t="str">
        <f>'6조'!C$51</f>
        <v>6조 - MVC - Usability</v>
      </c>
      <c r="D108" s="56" t="str">
        <f>'6조'!D$51</f>
        <v/>
      </c>
      <c r="E108" s="57" t="str">
        <f>'6조'!E$51</f>
        <v>6조 - PAC - Usability</v>
      </c>
    </row>
    <row r="109" spans="1:5">
      <c r="A109" s="54" t="s">
        <v>153</v>
      </c>
      <c r="B109" s="56" t="str">
        <f>'7조'!B$51</f>
        <v/>
      </c>
      <c r="C109" s="57" t="str">
        <f>'7조'!C$51</f>
        <v>7조 - MVC - Usability</v>
      </c>
      <c r="D109" s="56" t="str">
        <f>'7조'!D$51</f>
        <v/>
      </c>
      <c r="E109" s="57" t="str">
        <f>'7조'!E$51</f>
        <v>7조 - PAC - Usability</v>
      </c>
    </row>
    <row r="110" spans="1:5">
      <c r="A110" s="54" t="s">
        <v>154</v>
      </c>
      <c r="B110" s="56" t="str">
        <f>'8조'!B$51</f>
        <v/>
      </c>
      <c r="C110" s="57" t="str">
        <f>'8조'!C$51</f>
        <v>8조 - MVC - Usability</v>
      </c>
      <c r="D110" s="56" t="str">
        <f>'8조'!D$51</f>
        <v/>
      </c>
      <c r="E110" s="57" t="str">
        <f>'8조'!E$51</f>
        <v>8조 - PAC - Usability</v>
      </c>
    </row>
    <row r="111" spans="1:5">
      <c r="A111" s="54" t="s">
        <v>155</v>
      </c>
      <c r="B111" s="56" t="str">
        <f>'9조'!B$51</f>
        <v/>
      </c>
      <c r="C111" s="57" t="str">
        <f>'9조'!C$51</f>
        <v>9조 - MVC - Usability</v>
      </c>
      <c r="D111" s="56" t="str">
        <f>'9조'!D$51</f>
        <v/>
      </c>
      <c r="E111" s="57" t="str">
        <f>'9조'!E$51</f>
        <v>9조 - PAC - Usability</v>
      </c>
    </row>
  </sheetData>
  <mergeCells count="3">
    <mergeCell ref="A1:A2"/>
    <mergeCell ref="B1:C1"/>
    <mergeCell ref="D1:E1"/>
  </mergeCells>
  <phoneticPr fontId="7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11"/>
  <sheetViews>
    <sheetView workbookViewId="0">
      <pane ySplit="2" topLeftCell="A84" activePane="bottomLeft" state="frozen"/>
      <selection pane="bottomLeft" activeCell="B103" sqref="B103:E111"/>
    </sheetView>
  </sheetViews>
  <sheetFormatPr defaultColWidth="14.42578125" defaultRowHeight="15" customHeight="1"/>
  <cols>
    <col min="1" max="1" width="17.5703125" bestFit="1" customWidth="1"/>
    <col min="2" max="2" width="7.7109375" bestFit="1" customWidth="1"/>
    <col min="3" max="3" width="41.28515625" bestFit="1" customWidth="1"/>
    <col min="4" max="4" width="7.7109375" bestFit="1" customWidth="1"/>
    <col min="5" max="5" width="37.5703125" bestFit="1" customWidth="1"/>
  </cols>
  <sheetData>
    <row r="1" spans="1:5">
      <c r="A1" s="52" t="s">
        <v>34</v>
      </c>
      <c r="B1" s="52" t="s">
        <v>35</v>
      </c>
      <c r="C1" s="52"/>
      <c r="D1" s="52" t="s">
        <v>36</v>
      </c>
      <c r="E1" s="52"/>
    </row>
    <row r="2" spans="1:5">
      <c r="A2" s="52"/>
      <c r="B2" s="47" t="s">
        <v>4</v>
      </c>
      <c r="C2" s="47" t="s">
        <v>5</v>
      </c>
      <c r="D2" s="47" t="s">
        <v>4</v>
      </c>
      <c r="E2" s="47" t="s">
        <v>5</v>
      </c>
    </row>
    <row r="3" spans="1:5" ht="15" customHeight="1">
      <c r="A3" s="53" t="s">
        <v>6</v>
      </c>
      <c r="B3" s="55">
        <f>'Detailed Reasoning'!B$55</f>
        <v>0</v>
      </c>
      <c r="C3" s="55">
        <f>'Detailed Reasoning'!C$55</f>
        <v>0</v>
      </c>
      <c r="D3" s="53">
        <f>'Detailed Reasoning'!D$55</f>
        <v>0</v>
      </c>
      <c r="E3" s="53">
        <f>'Detailed Reasoning'!E$55</f>
        <v>0</v>
      </c>
    </row>
    <row r="4" spans="1:5">
      <c r="A4" s="54" t="s">
        <v>147</v>
      </c>
      <c r="B4" s="56">
        <f>'1조'!B$55</f>
        <v>0</v>
      </c>
      <c r="C4" s="57" t="s">
        <v>94</v>
      </c>
      <c r="D4" s="56">
        <f>'1조'!D$55</f>
        <v>0</v>
      </c>
      <c r="E4" s="57" t="s">
        <v>95</v>
      </c>
    </row>
    <row r="5" spans="1:5">
      <c r="A5" s="54" t="s">
        <v>148</v>
      </c>
      <c r="B5" s="56" t="str">
        <f>'2조'!B$55</f>
        <v/>
      </c>
      <c r="C5" s="57" t="str">
        <f>'2조'!C$55</f>
        <v>2조 - Main-subroutine - Availability</v>
      </c>
      <c r="D5" s="56" t="str">
        <f>'2조'!D$55</f>
        <v/>
      </c>
      <c r="E5" s="57" t="str">
        <f>'2조'!E$55</f>
        <v>2조 - Master-Slave - Availability</v>
      </c>
    </row>
    <row r="6" spans="1:5">
      <c r="A6" s="54" t="s">
        <v>149</v>
      </c>
      <c r="B6" s="56" t="str">
        <f>'3조'!B$55</f>
        <v/>
      </c>
      <c r="C6" s="57" t="str">
        <f>'3조'!C$55</f>
        <v>3조 - Main-subroutine - Availability</v>
      </c>
      <c r="D6" s="56" t="str">
        <f>'3조'!D$55</f>
        <v/>
      </c>
      <c r="E6" s="57" t="str">
        <f>'3조'!E$55</f>
        <v>3조 - Master-Slave - Availability</v>
      </c>
    </row>
    <row r="7" spans="1:5">
      <c r="A7" s="54" t="s">
        <v>150</v>
      </c>
      <c r="B7" s="56" t="str">
        <f>'4조'!B$55</f>
        <v/>
      </c>
      <c r="C7" s="57" t="str">
        <f>'4조'!C$55</f>
        <v>4조 - Main-subroutine - Availability</v>
      </c>
      <c r="D7" s="56" t="str">
        <f>'4조'!D$55</f>
        <v/>
      </c>
      <c r="E7" s="57" t="str">
        <f>'4조'!E$55</f>
        <v>4조 - Master-Slave - Availability</v>
      </c>
    </row>
    <row r="8" spans="1:5">
      <c r="A8" s="54" t="s">
        <v>151</v>
      </c>
      <c r="B8" s="56" t="str">
        <f>'5조'!B$55</f>
        <v/>
      </c>
      <c r="C8" s="57" t="str">
        <f>'5조'!C$55</f>
        <v>5조 - Main-subroutine - Availability</v>
      </c>
      <c r="D8" s="56" t="str">
        <f>'5조'!D$55</f>
        <v/>
      </c>
      <c r="E8" s="57" t="str">
        <f>'5조'!E$55</f>
        <v>5조 - Master-Slave - Availability</v>
      </c>
    </row>
    <row r="9" spans="1:5">
      <c r="A9" s="54" t="s">
        <v>152</v>
      </c>
      <c r="B9" s="56" t="str">
        <f>'6조'!B$55</f>
        <v/>
      </c>
      <c r="C9" s="57" t="str">
        <f>'6조'!C$55</f>
        <v>6조 - Main-subroutine - Availability</v>
      </c>
      <c r="D9" s="56" t="str">
        <f>'6조'!D$55</f>
        <v/>
      </c>
      <c r="E9" s="57" t="str">
        <f>'6조'!E$55</f>
        <v>6조 - Master-Slave - Availability</v>
      </c>
    </row>
    <row r="10" spans="1:5">
      <c r="A10" s="54" t="s">
        <v>153</v>
      </c>
      <c r="B10" s="56" t="str">
        <f>'7조'!B$55</f>
        <v/>
      </c>
      <c r="C10" s="57" t="str">
        <f>'7조'!C$55</f>
        <v>7조 - Main-subroutine - Availability</v>
      </c>
      <c r="D10" s="56" t="str">
        <f>'7조'!D$55</f>
        <v/>
      </c>
      <c r="E10" s="57" t="str">
        <f>'7조'!E$55</f>
        <v>7조 - Master-Slave - Availability</v>
      </c>
    </row>
    <row r="11" spans="1:5">
      <c r="A11" s="54" t="s">
        <v>154</v>
      </c>
      <c r="B11" s="56" t="str">
        <f>'8조'!B$55</f>
        <v/>
      </c>
      <c r="C11" s="57" t="str">
        <f>'8조'!C$55</f>
        <v>8조 - Main-subroutine - Availability</v>
      </c>
      <c r="D11" s="56" t="str">
        <f>'8조'!D$55</f>
        <v/>
      </c>
      <c r="E11" s="57" t="str">
        <f>'8조'!E$55</f>
        <v>8조 - Master-Slave - Availability</v>
      </c>
    </row>
    <row r="12" spans="1:5">
      <c r="A12" s="54" t="s">
        <v>155</v>
      </c>
      <c r="B12" s="56" t="str">
        <f>'9조'!B$55</f>
        <v/>
      </c>
      <c r="C12" s="57" t="str">
        <f>'9조'!C$55</f>
        <v>9조 - Main-subroutine - Availability</v>
      </c>
      <c r="D12" s="56" t="str">
        <f>'9조'!D$55</f>
        <v/>
      </c>
      <c r="E12" s="57" t="str">
        <f>'9조'!E$55</f>
        <v>9조 - Master-Slave - Availability</v>
      </c>
    </row>
    <row r="13" spans="1:5">
      <c r="A13" s="51"/>
      <c r="B13" s="50"/>
      <c r="C13" s="51"/>
      <c r="D13" s="50"/>
      <c r="E13" s="51"/>
    </row>
    <row r="14" spans="1:5" ht="15" customHeight="1">
      <c r="A14" s="53" t="s">
        <v>16</v>
      </c>
      <c r="B14" s="55">
        <f>'Detailed Reasoning'!B$56</f>
        <v>0</v>
      </c>
      <c r="C14" s="55">
        <f>'Detailed Reasoning'!C$56</f>
        <v>0</v>
      </c>
      <c r="D14" s="53">
        <f>'Detailed Reasoning'!D$56</f>
        <v>0</v>
      </c>
      <c r="E14" s="53">
        <f>'Detailed Reasoning'!E$56</f>
        <v>0</v>
      </c>
    </row>
    <row r="15" spans="1:5">
      <c r="A15" s="54" t="s">
        <v>147</v>
      </c>
      <c r="B15" s="56">
        <f>'1조'!B$56</f>
        <v>0</v>
      </c>
      <c r="C15" s="57" t="s">
        <v>96</v>
      </c>
      <c r="D15" s="56">
        <f>'1조'!D$56</f>
        <v>0</v>
      </c>
      <c r="E15" s="57" t="s">
        <v>97</v>
      </c>
    </row>
    <row r="16" spans="1:5">
      <c r="A16" s="54" t="s">
        <v>148</v>
      </c>
      <c r="B16" s="56" t="str">
        <f>'2조'!B$56</f>
        <v/>
      </c>
      <c r="C16" s="57" t="str">
        <f>'2조'!C$56</f>
        <v>2조 - Main-subroutine - Deployability</v>
      </c>
      <c r="D16" s="56" t="str">
        <f>'2조'!D$56</f>
        <v/>
      </c>
      <c r="E16" s="57" t="str">
        <f>'2조'!E$56</f>
        <v>2조 - Master-Slave - Deployability</v>
      </c>
    </row>
    <row r="17" spans="1:5">
      <c r="A17" s="54" t="s">
        <v>149</v>
      </c>
      <c r="B17" s="56" t="str">
        <f>'3조'!B$56</f>
        <v/>
      </c>
      <c r="C17" s="57" t="str">
        <f>'3조'!C$56</f>
        <v>3조 - Main-subroutine - Deployability</v>
      </c>
      <c r="D17" s="56" t="str">
        <f>'3조'!D$56</f>
        <v/>
      </c>
      <c r="E17" s="57" t="str">
        <f>'3조'!E$56</f>
        <v>3조 - Master-Slave - Deployability</v>
      </c>
    </row>
    <row r="18" spans="1:5">
      <c r="A18" s="54" t="s">
        <v>150</v>
      </c>
      <c r="B18" s="56" t="str">
        <f>'4조'!B$56</f>
        <v/>
      </c>
      <c r="C18" s="57" t="str">
        <f>'4조'!C$56</f>
        <v>4조 - Main-subroutine - Deployability</v>
      </c>
      <c r="D18" s="56" t="str">
        <f>'4조'!D$56</f>
        <v/>
      </c>
      <c r="E18" s="57" t="str">
        <f>'4조'!E$56</f>
        <v>4조 - Master-Slave - Deployability</v>
      </c>
    </row>
    <row r="19" spans="1:5">
      <c r="A19" s="54" t="s">
        <v>151</v>
      </c>
      <c r="B19" s="56" t="str">
        <f>'5조'!B$56</f>
        <v/>
      </c>
      <c r="C19" s="57" t="str">
        <f>'5조'!C$56</f>
        <v>5조 - Main-subroutine - Deployability</v>
      </c>
      <c r="D19" s="56" t="str">
        <f>'5조'!D$56</f>
        <v/>
      </c>
      <c r="E19" s="57" t="str">
        <f>'5조'!E$56</f>
        <v>5조 - Master-Slave - Deployability</v>
      </c>
    </row>
    <row r="20" spans="1:5">
      <c r="A20" s="54" t="s">
        <v>152</v>
      </c>
      <c r="B20" s="56" t="str">
        <f>'6조'!B$56</f>
        <v/>
      </c>
      <c r="C20" s="57" t="str">
        <f>'6조'!C$56</f>
        <v>6조 - Main-subroutine - Deployability</v>
      </c>
      <c r="D20" s="56" t="str">
        <f>'6조'!D$56</f>
        <v/>
      </c>
      <c r="E20" s="57" t="str">
        <f>'6조'!E$56</f>
        <v>6조 - Master-Slave - Deployability</v>
      </c>
    </row>
    <row r="21" spans="1:5">
      <c r="A21" s="54" t="s">
        <v>153</v>
      </c>
      <c r="B21" s="56" t="str">
        <f>'7조'!B$56</f>
        <v/>
      </c>
      <c r="C21" s="57" t="str">
        <f>'7조'!C$56</f>
        <v>7조 - Main-subroutine - Deployability</v>
      </c>
      <c r="D21" s="56" t="str">
        <f>'7조'!D$56</f>
        <v/>
      </c>
      <c r="E21" s="57" t="str">
        <f>'7조'!E$56</f>
        <v>7조 - Master-Slave - Deployability</v>
      </c>
    </row>
    <row r="22" spans="1:5">
      <c r="A22" s="54" t="s">
        <v>154</v>
      </c>
      <c r="B22" s="56" t="str">
        <f>'8조'!B$56</f>
        <v/>
      </c>
      <c r="C22" s="57" t="str">
        <f>'8조'!C$56</f>
        <v>8조 - Main-subroutine - Deployability</v>
      </c>
      <c r="D22" s="56" t="str">
        <f>'8조'!D$56</f>
        <v/>
      </c>
      <c r="E22" s="57" t="str">
        <f>'8조'!E$56</f>
        <v>8조 - Master-Slave - Deployability</v>
      </c>
    </row>
    <row r="23" spans="1:5">
      <c r="A23" s="54" t="s">
        <v>155</v>
      </c>
      <c r="B23" s="56" t="str">
        <f>'9조'!B$56</f>
        <v/>
      </c>
      <c r="C23" s="57" t="str">
        <f>'9조'!C$56</f>
        <v>9조 - Main-subroutine - Deployability</v>
      </c>
      <c r="D23" s="56" t="str">
        <f>'9조'!D$56</f>
        <v/>
      </c>
      <c r="E23" s="57" t="str">
        <f>'9조'!E$56</f>
        <v>9조 - Master-Slave - Deployability</v>
      </c>
    </row>
    <row r="24" spans="1:5">
      <c r="A24" s="51"/>
      <c r="B24" s="50"/>
      <c r="C24" s="51"/>
      <c r="D24" s="50"/>
      <c r="E24" s="51"/>
    </row>
    <row r="25" spans="1:5" ht="15" customHeight="1">
      <c r="A25" s="53" t="s">
        <v>17</v>
      </c>
      <c r="B25" s="55">
        <f>'Detailed Reasoning'!B$57</f>
        <v>0</v>
      </c>
      <c r="C25" s="55">
        <f>'Detailed Reasoning'!C$57</f>
        <v>0</v>
      </c>
      <c r="D25" s="53">
        <f>'Detailed Reasoning'!D$57</f>
        <v>0</v>
      </c>
      <c r="E25" s="53">
        <f>'Detailed Reasoning'!E$57</f>
        <v>0</v>
      </c>
    </row>
    <row r="26" spans="1:5">
      <c r="A26" s="54" t="s">
        <v>147</v>
      </c>
      <c r="B26" s="56">
        <f>'1조'!B$57</f>
        <v>0</v>
      </c>
      <c r="C26" s="57" t="s">
        <v>98</v>
      </c>
      <c r="D26" s="56">
        <f>'1조'!D$57</f>
        <v>0</v>
      </c>
      <c r="E26" s="57" t="s">
        <v>99</v>
      </c>
    </row>
    <row r="27" spans="1:5">
      <c r="A27" s="54" t="s">
        <v>148</v>
      </c>
      <c r="B27" s="56" t="str">
        <f>'2조'!B$57</f>
        <v/>
      </c>
      <c r="C27" s="57" t="str">
        <f>'2조'!C$57</f>
        <v>2조 - Main-subroutine - Integrability</v>
      </c>
      <c r="D27" s="56" t="str">
        <f>'2조'!D$57</f>
        <v/>
      </c>
      <c r="E27" s="57" t="str">
        <f>'2조'!E$57</f>
        <v>2조 - Master-Slave - Integrability</v>
      </c>
    </row>
    <row r="28" spans="1:5">
      <c r="A28" s="54" t="s">
        <v>149</v>
      </c>
      <c r="B28" s="56" t="str">
        <f>'3조'!B$57</f>
        <v/>
      </c>
      <c r="C28" s="57" t="str">
        <f>'3조'!C$57</f>
        <v>3조 - Main-subroutine - Integrability</v>
      </c>
      <c r="D28" s="56" t="str">
        <f>'3조'!D$57</f>
        <v/>
      </c>
      <c r="E28" s="57" t="str">
        <f>'3조'!E$57</f>
        <v>3조 - Master-Slave - Integrability</v>
      </c>
    </row>
    <row r="29" spans="1:5">
      <c r="A29" s="54" t="s">
        <v>150</v>
      </c>
      <c r="B29" s="56" t="str">
        <f>'4조'!B$57</f>
        <v/>
      </c>
      <c r="C29" s="57" t="str">
        <f>'4조'!C$57</f>
        <v>4조 - Main-subroutine - Integrability</v>
      </c>
      <c r="D29" s="56" t="str">
        <f>'4조'!D$57</f>
        <v/>
      </c>
      <c r="E29" s="57" t="str">
        <f>'4조'!E$57</f>
        <v>4조 - Master-Slave - Integrability</v>
      </c>
    </row>
    <row r="30" spans="1:5">
      <c r="A30" s="54" t="s">
        <v>151</v>
      </c>
      <c r="B30" s="56" t="str">
        <f>'5조'!B$57</f>
        <v/>
      </c>
      <c r="C30" s="57" t="str">
        <f>'5조'!C$57</f>
        <v>5조 - Main-subroutine - Integrability</v>
      </c>
      <c r="D30" s="56" t="str">
        <f>'5조'!D$57</f>
        <v/>
      </c>
      <c r="E30" s="57" t="str">
        <f>'5조'!E$57</f>
        <v>5조 - Master-Slave - Integrability</v>
      </c>
    </row>
    <row r="31" spans="1:5">
      <c r="A31" s="54" t="s">
        <v>152</v>
      </c>
      <c r="B31" s="56" t="str">
        <f>'6조'!B$57</f>
        <v/>
      </c>
      <c r="C31" s="57" t="str">
        <f>'6조'!C$57</f>
        <v>6조 - Main-subroutine - Integrability</v>
      </c>
      <c r="D31" s="56" t="str">
        <f>'6조'!D$57</f>
        <v/>
      </c>
      <c r="E31" s="57" t="str">
        <f>'6조'!E$57</f>
        <v>6조 - Master-Slave - Integrability</v>
      </c>
    </row>
    <row r="32" spans="1:5">
      <c r="A32" s="54" t="s">
        <v>153</v>
      </c>
      <c r="B32" s="56" t="str">
        <f>'7조'!B$57</f>
        <v/>
      </c>
      <c r="C32" s="57" t="str">
        <f>'7조'!C$57</f>
        <v>7조 - Main-subroutine - Integrability</v>
      </c>
      <c r="D32" s="56" t="str">
        <f>'7조'!D$57</f>
        <v/>
      </c>
      <c r="E32" s="57" t="str">
        <f>'7조'!E$57</f>
        <v>7조 - Master-Slave - Integrability</v>
      </c>
    </row>
    <row r="33" spans="1:5">
      <c r="A33" s="54" t="s">
        <v>154</v>
      </c>
      <c r="B33" s="56" t="str">
        <f>'8조'!B$57</f>
        <v/>
      </c>
      <c r="C33" s="57" t="str">
        <f>'8조'!C$57</f>
        <v>8조 - Main-subroutine - Integrability</v>
      </c>
      <c r="D33" s="56" t="str">
        <f>'8조'!D$57</f>
        <v/>
      </c>
      <c r="E33" s="57" t="str">
        <f>'8조'!E$57</f>
        <v>8조 - Master-Slave - Integrability</v>
      </c>
    </row>
    <row r="34" spans="1:5">
      <c r="A34" s="54" t="s">
        <v>155</v>
      </c>
      <c r="B34" s="56" t="str">
        <f>'9조'!B$57</f>
        <v/>
      </c>
      <c r="C34" s="57" t="str">
        <f>'9조'!C$57</f>
        <v>9조 - Main-subroutine - Integrability</v>
      </c>
      <c r="D34" s="56" t="str">
        <f>'9조'!D$57</f>
        <v/>
      </c>
      <c r="E34" s="57" t="str">
        <f>'9조'!E$57</f>
        <v>9조 - Master-Slave - Integrability</v>
      </c>
    </row>
    <row r="35" spans="1:5">
      <c r="A35" s="51"/>
      <c r="B35" s="50"/>
      <c r="C35" s="51"/>
      <c r="D35" s="50"/>
      <c r="E35" s="51"/>
    </row>
    <row r="36" spans="1:5">
      <c r="A36" s="53" t="s">
        <v>18</v>
      </c>
      <c r="B36" s="53">
        <f>'Detailed Reasoning'!B$58</f>
        <v>0</v>
      </c>
      <c r="C36" s="53">
        <f>'Detailed Reasoning'!C$58</f>
        <v>0</v>
      </c>
      <c r="D36" s="53">
        <f>'Detailed Reasoning'!D$58</f>
        <v>0</v>
      </c>
      <c r="E36" s="53">
        <f>'Detailed Reasoning'!E$58</f>
        <v>0</v>
      </c>
    </row>
    <row r="37" spans="1:5">
      <c r="A37" s="49" t="s">
        <v>156</v>
      </c>
      <c r="B37" s="56">
        <f>'1조'!B$58</f>
        <v>0</v>
      </c>
      <c r="C37" s="57" t="s">
        <v>100</v>
      </c>
      <c r="D37" s="56">
        <f>'1조'!D$58</f>
        <v>0</v>
      </c>
      <c r="E37" s="57" t="s">
        <v>101</v>
      </c>
    </row>
    <row r="38" spans="1:5">
      <c r="A38" s="49" t="s">
        <v>157</v>
      </c>
      <c r="B38" s="56" t="str">
        <f>'2조'!B$58</f>
        <v/>
      </c>
      <c r="C38" s="57" t="str">
        <f>'2조'!C$58</f>
        <v>2조 - Main-subroutine - Energy Efficiency</v>
      </c>
      <c r="D38" s="56" t="str">
        <f>'2조'!D$58</f>
        <v/>
      </c>
      <c r="E38" s="57" t="str">
        <f>'2조'!E$58</f>
        <v>2조 - Master-Slave - Energy Efficiency</v>
      </c>
    </row>
    <row r="39" spans="1:5">
      <c r="A39" s="49" t="s">
        <v>158</v>
      </c>
      <c r="B39" s="56" t="str">
        <f>'3조'!B$58</f>
        <v/>
      </c>
      <c r="C39" s="57" t="str">
        <f>'3조'!C$58</f>
        <v>3조 - Main-subroutine - Energy Efficiency</v>
      </c>
      <c r="D39" s="56" t="str">
        <f>'3조'!D$58</f>
        <v/>
      </c>
      <c r="E39" s="57" t="str">
        <f>'3조'!E$58</f>
        <v>3조 - Master-Slave - Energy Efficiency</v>
      </c>
    </row>
    <row r="40" spans="1:5">
      <c r="A40" s="49" t="s">
        <v>159</v>
      </c>
      <c r="B40" s="56" t="str">
        <f>'4조'!B$58</f>
        <v/>
      </c>
      <c r="C40" s="57" t="str">
        <f>'4조'!C$58</f>
        <v>4조 - Main-subroutine - Energy Efficiency</v>
      </c>
      <c r="D40" s="56" t="str">
        <f>'4조'!D$58</f>
        <v/>
      </c>
      <c r="E40" s="57" t="str">
        <f>'4조'!E$58</f>
        <v>4조 - Master-Slave - Energy Efficiency</v>
      </c>
    </row>
    <row r="41" spans="1:5">
      <c r="A41" s="49" t="s">
        <v>160</v>
      </c>
      <c r="B41" s="56" t="str">
        <f>'5조'!B$58</f>
        <v/>
      </c>
      <c r="C41" s="57" t="str">
        <f>'5조'!C$58</f>
        <v>5조 - Main-subroutine - Energy Efficiency</v>
      </c>
      <c r="D41" s="56" t="str">
        <f>'5조'!D$58</f>
        <v/>
      </c>
      <c r="E41" s="57" t="str">
        <f>'5조'!E$58</f>
        <v>5조 - Master-Slave - Energy Efficiency</v>
      </c>
    </row>
    <row r="42" spans="1:5">
      <c r="A42" s="49" t="s">
        <v>161</v>
      </c>
      <c r="B42" s="56" t="str">
        <f>'6조'!B$58</f>
        <v/>
      </c>
      <c r="C42" s="57" t="str">
        <f>'6조'!C$58</f>
        <v>6조 - Main-subroutine - Energy Efficiency</v>
      </c>
      <c r="D42" s="56" t="str">
        <f>'6조'!D$58</f>
        <v/>
      </c>
      <c r="E42" s="57" t="str">
        <f>'6조'!E$58</f>
        <v>6조 - Master-Slave - Energy Efficiency</v>
      </c>
    </row>
    <row r="43" spans="1:5">
      <c r="A43" s="49" t="s">
        <v>162</v>
      </c>
      <c r="B43" s="56" t="str">
        <f>'7조'!B$58</f>
        <v/>
      </c>
      <c r="C43" s="57" t="str">
        <f>'7조'!C$58</f>
        <v>7조 - Main-subroutine - Energy Efficiency</v>
      </c>
      <c r="D43" s="56" t="str">
        <f>'7조'!D$58</f>
        <v/>
      </c>
      <c r="E43" s="57" t="str">
        <f>'7조'!E$58</f>
        <v>7조 - Master-Slave - Energy Efficiency</v>
      </c>
    </row>
    <row r="44" spans="1:5">
      <c r="A44" s="49" t="s">
        <v>163</v>
      </c>
      <c r="B44" s="56" t="str">
        <f>'8조'!B$58</f>
        <v/>
      </c>
      <c r="C44" s="57" t="str">
        <f>'8조'!C$58</f>
        <v>8조 - Main-subroutine - Energy Efficiency</v>
      </c>
      <c r="D44" s="56" t="str">
        <f>'8조'!D$58</f>
        <v/>
      </c>
      <c r="E44" s="57" t="str">
        <f>'8조'!E$58</f>
        <v>8조 - Master-Slave - Energy Efficiency</v>
      </c>
    </row>
    <row r="45" spans="1:5">
      <c r="A45" s="49" t="s">
        <v>164</v>
      </c>
      <c r="B45" s="56" t="str">
        <f>'9조'!B$58</f>
        <v/>
      </c>
      <c r="C45" s="57" t="str">
        <f>'9조'!C$58</f>
        <v>9조 - Main-subroutine - Energy Efficiency</v>
      </c>
      <c r="D45" s="56" t="str">
        <f>'9조'!D$58</f>
        <v/>
      </c>
      <c r="E45" s="57" t="str">
        <f>'9조'!E$58</f>
        <v>9조 - Master-Slave - Energy Efficiency</v>
      </c>
    </row>
    <row r="46" spans="1:5">
      <c r="A46" s="49"/>
      <c r="B46" s="48"/>
      <c r="C46" s="49"/>
      <c r="D46" s="48"/>
      <c r="E46" s="49"/>
    </row>
    <row r="47" spans="1:5">
      <c r="A47" s="53" t="s">
        <v>19</v>
      </c>
      <c r="B47" s="55">
        <f>'Detailed Reasoning'!B$59</f>
        <v>0</v>
      </c>
      <c r="C47" s="55">
        <f>'Detailed Reasoning'!C$59</f>
        <v>0</v>
      </c>
      <c r="D47" s="55">
        <f>'Detailed Reasoning'!D$59</f>
        <v>0</v>
      </c>
      <c r="E47" s="55">
        <f>'Detailed Reasoning'!E$59</f>
        <v>0</v>
      </c>
    </row>
    <row r="48" spans="1:5">
      <c r="A48" s="54" t="s">
        <v>147</v>
      </c>
      <c r="B48" s="56">
        <f>'1조'!B$59</f>
        <v>0</v>
      </c>
      <c r="C48" s="57" t="s">
        <v>102</v>
      </c>
      <c r="D48" s="56">
        <f>'1조'!D$59</f>
        <v>0</v>
      </c>
      <c r="E48" s="57" t="s">
        <v>103</v>
      </c>
    </row>
    <row r="49" spans="1:5">
      <c r="A49" s="54" t="s">
        <v>148</v>
      </c>
      <c r="B49" s="56" t="str">
        <f>'2조'!B$59</f>
        <v/>
      </c>
      <c r="C49" s="57" t="str">
        <f>'2조'!C$59</f>
        <v>2조 - Main-subroutine - Modifiability</v>
      </c>
      <c r="D49" s="56" t="str">
        <f>'2조'!D$59</f>
        <v/>
      </c>
      <c r="E49" s="57" t="str">
        <f>'2조'!E$59</f>
        <v>2조 - Master-Slave - Modifiability</v>
      </c>
    </row>
    <row r="50" spans="1:5">
      <c r="A50" s="54" t="s">
        <v>149</v>
      </c>
      <c r="B50" s="56" t="str">
        <f>'3조'!B$59</f>
        <v/>
      </c>
      <c r="C50" s="57" t="str">
        <f>'3조'!C$59</f>
        <v>3조 - Main-subroutine - Modifiability</v>
      </c>
      <c r="D50" s="56" t="str">
        <f>'3조'!D$59</f>
        <v/>
      </c>
      <c r="E50" s="57" t="str">
        <f>'3조'!E$59</f>
        <v>3조 - Master-Slave - Modifiability</v>
      </c>
    </row>
    <row r="51" spans="1:5">
      <c r="A51" s="54" t="s">
        <v>150</v>
      </c>
      <c r="B51" s="56" t="str">
        <f>'4조'!B$59</f>
        <v/>
      </c>
      <c r="C51" s="57" t="str">
        <f>'4조'!C$59</f>
        <v>4조 - Main-subroutine - Modifiability</v>
      </c>
      <c r="D51" s="56" t="str">
        <f>'4조'!D$59</f>
        <v/>
      </c>
      <c r="E51" s="57" t="str">
        <f>'4조'!E$59</f>
        <v>4조 - Master-Slave - Modifiability</v>
      </c>
    </row>
    <row r="52" spans="1:5">
      <c r="A52" s="54" t="s">
        <v>151</v>
      </c>
      <c r="B52" s="56" t="str">
        <f>'5조'!B$59</f>
        <v/>
      </c>
      <c r="C52" s="57" t="str">
        <f>'5조'!C$59</f>
        <v>5조 - Main-subroutine - Modifiability</v>
      </c>
      <c r="D52" s="56" t="str">
        <f>'5조'!D$59</f>
        <v/>
      </c>
      <c r="E52" s="57" t="str">
        <f>'5조'!E$59</f>
        <v>5조 - Master-Slave - Modifiability</v>
      </c>
    </row>
    <row r="53" spans="1:5">
      <c r="A53" s="54" t="s">
        <v>152</v>
      </c>
      <c r="B53" s="56" t="str">
        <f>'6조'!B$59</f>
        <v/>
      </c>
      <c r="C53" s="57" t="str">
        <f>'6조'!C$59</f>
        <v>6조 - Main-subroutine - Modifiability</v>
      </c>
      <c r="D53" s="56" t="str">
        <f>'6조'!D$59</f>
        <v/>
      </c>
      <c r="E53" s="57" t="str">
        <f>'6조'!E$59</f>
        <v>6조 - Master-Slave - Modifiability</v>
      </c>
    </row>
    <row r="54" spans="1:5">
      <c r="A54" s="54" t="s">
        <v>153</v>
      </c>
      <c r="B54" s="56" t="str">
        <f>'7조'!B$59</f>
        <v/>
      </c>
      <c r="C54" s="57" t="str">
        <f>'7조'!C$59</f>
        <v>7조 - Main-subroutine - Modifiability</v>
      </c>
      <c r="D54" s="56" t="str">
        <f>'7조'!D$59</f>
        <v/>
      </c>
      <c r="E54" s="57" t="str">
        <f>'7조'!E$59</f>
        <v>7조 - Master-Slave - Modifiability</v>
      </c>
    </row>
    <row r="55" spans="1:5">
      <c r="A55" s="54" t="s">
        <v>154</v>
      </c>
      <c r="B55" s="56" t="str">
        <f>'8조'!B$59</f>
        <v/>
      </c>
      <c r="C55" s="57" t="str">
        <f>'8조'!C$59</f>
        <v>8조 - Main-subroutine - Modifiability</v>
      </c>
      <c r="D55" s="56" t="str">
        <f>'8조'!D$59</f>
        <v/>
      </c>
      <c r="E55" s="57" t="str">
        <f>'8조'!E$59</f>
        <v>8조 - Master-Slave - Modifiability</v>
      </c>
    </row>
    <row r="56" spans="1:5">
      <c r="A56" s="54" t="s">
        <v>155</v>
      </c>
      <c r="B56" s="56" t="str">
        <f>'9조'!B$59</f>
        <v/>
      </c>
      <c r="C56" s="57" t="str">
        <f>'9조'!C$59</f>
        <v>9조 - Main-subroutine - Modifiability</v>
      </c>
      <c r="D56" s="56" t="str">
        <f>'9조'!D$59</f>
        <v/>
      </c>
      <c r="E56" s="57" t="str">
        <f>'9조'!E$59</f>
        <v>9조 - Master-Slave - Modifiability</v>
      </c>
    </row>
    <row r="57" spans="1:5">
      <c r="A57" s="51"/>
      <c r="B57" s="50"/>
      <c r="C57" s="51"/>
      <c r="D57" s="50"/>
      <c r="E57" s="51"/>
    </row>
    <row r="58" spans="1:5">
      <c r="A58" s="53" t="s">
        <v>20</v>
      </c>
      <c r="B58" s="55">
        <f>'Detailed Reasoning'!B$60</f>
        <v>0</v>
      </c>
      <c r="C58" s="55">
        <f>'Detailed Reasoning'!C$60</f>
        <v>0</v>
      </c>
      <c r="D58" s="55">
        <f>'Detailed Reasoning'!D$60</f>
        <v>0</v>
      </c>
      <c r="E58" s="55">
        <f>'Detailed Reasoning'!E$60</f>
        <v>0</v>
      </c>
    </row>
    <row r="59" spans="1:5">
      <c r="A59" s="54" t="s">
        <v>147</v>
      </c>
      <c r="B59" s="56">
        <f>'1조'!B$60</f>
        <v>0</v>
      </c>
      <c r="C59" s="57" t="s">
        <v>104</v>
      </c>
      <c r="D59" s="56">
        <f>'1조'!D$60</f>
        <v>0</v>
      </c>
      <c r="E59" s="57" t="s">
        <v>105</v>
      </c>
    </row>
    <row r="60" spans="1:5">
      <c r="A60" s="54" t="s">
        <v>148</v>
      </c>
      <c r="B60" s="56" t="str">
        <f>'2조'!B$60</f>
        <v/>
      </c>
      <c r="C60" s="57" t="str">
        <f>'2조'!C$60</f>
        <v>2조 - Main-subroutine - Performance</v>
      </c>
      <c r="D60" s="56" t="str">
        <f>'2조'!D$60</f>
        <v/>
      </c>
      <c r="E60" s="57" t="str">
        <f>'2조'!E$60</f>
        <v>2조 - Master-Slave - Performance</v>
      </c>
    </row>
    <row r="61" spans="1:5">
      <c r="A61" s="54" t="s">
        <v>149</v>
      </c>
      <c r="B61" s="56" t="str">
        <f>'3조'!B$60</f>
        <v/>
      </c>
      <c r="C61" s="57" t="str">
        <f>'3조'!C$60</f>
        <v>3조 - Main-subroutine - Performance</v>
      </c>
      <c r="D61" s="56" t="str">
        <f>'3조'!D$60</f>
        <v/>
      </c>
      <c r="E61" s="57" t="str">
        <f>'3조'!E$60</f>
        <v>3조 - Master-Slave - Performance</v>
      </c>
    </row>
    <row r="62" spans="1:5">
      <c r="A62" s="54" t="s">
        <v>150</v>
      </c>
      <c r="B62" s="56" t="str">
        <f>'4조'!B$60</f>
        <v/>
      </c>
      <c r="C62" s="57" t="str">
        <f>'4조'!C$60</f>
        <v>4조 - Main-subroutine - Performance</v>
      </c>
      <c r="D62" s="56" t="str">
        <f>'4조'!D$60</f>
        <v/>
      </c>
      <c r="E62" s="57" t="str">
        <f>'4조'!E$60</f>
        <v>4조 - Master-Slave - Performance</v>
      </c>
    </row>
    <row r="63" spans="1:5">
      <c r="A63" s="54" t="s">
        <v>151</v>
      </c>
      <c r="B63" s="56" t="str">
        <f>'5조'!B$60</f>
        <v/>
      </c>
      <c r="C63" s="57" t="str">
        <f>'5조'!C$60</f>
        <v>5조 - Main-subroutine - Performance</v>
      </c>
      <c r="D63" s="56" t="str">
        <f>'5조'!D$60</f>
        <v/>
      </c>
      <c r="E63" s="57" t="str">
        <f>'5조'!E$60</f>
        <v>5조 - Master-Slave - Performance</v>
      </c>
    </row>
    <row r="64" spans="1:5">
      <c r="A64" s="54" t="s">
        <v>152</v>
      </c>
      <c r="B64" s="56" t="str">
        <f>'6조'!B$60</f>
        <v/>
      </c>
      <c r="C64" s="57" t="str">
        <f>'6조'!C$60</f>
        <v>6조 - Main-subroutine - Performance</v>
      </c>
      <c r="D64" s="56" t="str">
        <f>'6조'!D$60</f>
        <v/>
      </c>
      <c r="E64" s="57" t="str">
        <f>'6조'!E$60</f>
        <v>6조 - Master-Slave - Performance</v>
      </c>
    </row>
    <row r="65" spans="1:5">
      <c r="A65" s="54" t="s">
        <v>153</v>
      </c>
      <c r="B65" s="56" t="str">
        <f>'7조'!B$60</f>
        <v/>
      </c>
      <c r="C65" s="57" t="str">
        <f>'7조'!C$60</f>
        <v>7조 - Main-subroutine - Performance</v>
      </c>
      <c r="D65" s="56" t="str">
        <f>'7조'!D$60</f>
        <v/>
      </c>
      <c r="E65" s="57" t="str">
        <f>'7조'!E$60</f>
        <v>7조 - Master-Slave - Performance</v>
      </c>
    </row>
    <row r="66" spans="1:5">
      <c r="A66" s="54" t="s">
        <v>154</v>
      </c>
      <c r="B66" s="56" t="str">
        <f>'8조'!B$60</f>
        <v/>
      </c>
      <c r="C66" s="57" t="str">
        <f>'8조'!C$60</f>
        <v>8조 - Main-subroutine - Performance</v>
      </c>
      <c r="D66" s="56" t="str">
        <f>'8조'!D$60</f>
        <v/>
      </c>
      <c r="E66" s="57" t="str">
        <f>'8조'!E$60</f>
        <v>8조 - Master-Slave - Performance</v>
      </c>
    </row>
    <row r="67" spans="1:5">
      <c r="A67" s="54" t="s">
        <v>155</v>
      </c>
      <c r="B67" s="56" t="str">
        <f>'9조'!B$60</f>
        <v/>
      </c>
      <c r="C67" s="57" t="str">
        <f>'9조'!C$60</f>
        <v>9조 - Main-subroutine - Performance</v>
      </c>
      <c r="D67" s="56" t="str">
        <f>'9조'!D$60</f>
        <v/>
      </c>
      <c r="E67" s="57" t="str">
        <f>'9조'!E$60</f>
        <v>9조 - Master-Slave - Performance</v>
      </c>
    </row>
    <row r="68" spans="1:5">
      <c r="A68" s="51"/>
      <c r="B68" s="50"/>
      <c r="C68" s="51"/>
      <c r="D68" s="50"/>
      <c r="E68" s="51"/>
    </row>
    <row r="69" spans="1:5">
      <c r="A69" s="53" t="s">
        <v>21</v>
      </c>
      <c r="B69" s="55">
        <f>'Detailed Reasoning'!B$61</f>
        <v>0</v>
      </c>
      <c r="C69" s="55">
        <f>'Detailed Reasoning'!C$61</f>
        <v>0</v>
      </c>
      <c r="D69" s="55">
        <f>'Detailed Reasoning'!D$61</f>
        <v>0</v>
      </c>
      <c r="E69" s="55">
        <f>'Detailed Reasoning'!E$61</f>
        <v>0</v>
      </c>
    </row>
    <row r="70" spans="1:5">
      <c r="A70" s="54" t="s">
        <v>147</v>
      </c>
      <c r="B70" s="56">
        <f>'1조'!B$61</f>
        <v>0</v>
      </c>
      <c r="C70" s="57" t="s">
        <v>106</v>
      </c>
      <c r="D70" s="56">
        <f>'1조'!D$61</f>
        <v>0</v>
      </c>
      <c r="E70" s="57" t="s">
        <v>107</v>
      </c>
    </row>
    <row r="71" spans="1:5">
      <c r="A71" s="54" t="s">
        <v>148</v>
      </c>
      <c r="B71" s="56" t="str">
        <f>'2조'!B$61</f>
        <v/>
      </c>
      <c r="C71" s="57" t="str">
        <f>'2조'!C$61</f>
        <v>2조 - Main-subroutine - Safety</v>
      </c>
      <c r="D71" s="56" t="str">
        <f>'2조'!D$61</f>
        <v/>
      </c>
      <c r="E71" s="57" t="str">
        <f>'2조'!E$61</f>
        <v>2조 - Master-Slave - Safety</v>
      </c>
    </row>
    <row r="72" spans="1:5">
      <c r="A72" s="54" t="s">
        <v>149</v>
      </c>
      <c r="B72" s="56" t="str">
        <f>'3조'!B$61</f>
        <v/>
      </c>
      <c r="C72" s="57" t="str">
        <f>'3조'!C$61</f>
        <v>3조 - Main-subroutine - Safety</v>
      </c>
      <c r="D72" s="56" t="str">
        <f>'3조'!D$61</f>
        <v/>
      </c>
      <c r="E72" s="57" t="str">
        <f>'3조'!E$61</f>
        <v>3조 - Master-Slave - Safety</v>
      </c>
    </row>
    <row r="73" spans="1:5">
      <c r="A73" s="54" t="s">
        <v>150</v>
      </c>
      <c r="B73" s="56" t="str">
        <f>'4조'!B$61</f>
        <v/>
      </c>
      <c r="C73" s="57" t="str">
        <f>'4조'!C$61</f>
        <v>4조 - Main-subroutine - Safety</v>
      </c>
      <c r="D73" s="56" t="str">
        <f>'4조'!D$61</f>
        <v/>
      </c>
      <c r="E73" s="57" t="str">
        <f>'4조'!E$61</f>
        <v>4조 - Master-Slave - Safety</v>
      </c>
    </row>
    <row r="74" spans="1:5">
      <c r="A74" s="54" t="s">
        <v>151</v>
      </c>
      <c r="B74" s="56" t="str">
        <f>'5조'!B$61</f>
        <v/>
      </c>
      <c r="C74" s="57" t="str">
        <f>'5조'!C$61</f>
        <v>5조 - Main-subroutine - Safety</v>
      </c>
      <c r="D74" s="56" t="str">
        <f>'5조'!D$61</f>
        <v/>
      </c>
      <c r="E74" s="57" t="str">
        <f>'5조'!E$61</f>
        <v>5조 - Master-Slave - Safety</v>
      </c>
    </row>
    <row r="75" spans="1:5">
      <c r="A75" s="54" t="s">
        <v>152</v>
      </c>
      <c r="B75" s="56" t="str">
        <f>'6조'!B$61</f>
        <v/>
      </c>
      <c r="C75" s="57" t="str">
        <f>'6조'!C$61</f>
        <v>6조 - Main-subroutine - Safety</v>
      </c>
      <c r="D75" s="56" t="str">
        <f>'6조'!D$61</f>
        <v/>
      </c>
      <c r="E75" s="57" t="str">
        <f>'6조'!E$61</f>
        <v>6조 - Master-Slave - Safety</v>
      </c>
    </row>
    <row r="76" spans="1:5">
      <c r="A76" s="54" t="s">
        <v>153</v>
      </c>
      <c r="B76" s="56" t="str">
        <f>'7조'!B$61</f>
        <v/>
      </c>
      <c r="C76" s="57" t="str">
        <f>'7조'!C$61</f>
        <v>7조 - Main-subroutine - Safety</v>
      </c>
      <c r="D76" s="56" t="str">
        <f>'7조'!D$61</f>
        <v/>
      </c>
      <c r="E76" s="57" t="str">
        <f>'7조'!E$61</f>
        <v>7조 - Master-Slave - Safety</v>
      </c>
    </row>
    <row r="77" spans="1:5">
      <c r="A77" s="54" t="s">
        <v>154</v>
      </c>
      <c r="B77" s="56" t="str">
        <f>'8조'!B$61</f>
        <v/>
      </c>
      <c r="C77" s="57" t="str">
        <f>'8조'!C$61</f>
        <v>8조 - Main-subroutine - Safety</v>
      </c>
      <c r="D77" s="56" t="str">
        <f>'8조'!D$61</f>
        <v/>
      </c>
      <c r="E77" s="57" t="str">
        <f>'8조'!E$61</f>
        <v>8조 - Master-Slave - Safety</v>
      </c>
    </row>
    <row r="78" spans="1:5">
      <c r="A78" s="54" t="s">
        <v>155</v>
      </c>
      <c r="B78" s="56" t="str">
        <f>'9조'!B$61</f>
        <v/>
      </c>
      <c r="C78" s="57" t="str">
        <f>'9조'!C$61</f>
        <v>9조 - Main-subroutine - Safety</v>
      </c>
      <c r="D78" s="56" t="str">
        <f>'9조'!D$61</f>
        <v/>
      </c>
      <c r="E78" s="57" t="str">
        <f>'9조'!E$61</f>
        <v>9조 - Master-Slave - Safety</v>
      </c>
    </row>
    <row r="79" spans="1:5">
      <c r="A79" s="51"/>
      <c r="B79" s="50"/>
      <c r="C79" s="51"/>
      <c r="D79" s="50"/>
      <c r="E79" s="51"/>
    </row>
    <row r="80" spans="1:5">
      <c r="A80" s="53" t="s">
        <v>22</v>
      </c>
      <c r="B80" s="55">
        <f>'Detailed Reasoning'!B$62</f>
        <v>0</v>
      </c>
      <c r="C80" s="55">
        <f>'Detailed Reasoning'!C$62</f>
        <v>0</v>
      </c>
      <c r="D80" s="55">
        <f>'Detailed Reasoning'!D$62</f>
        <v>0</v>
      </c>
      <c r="E80" s="55">
        <f>'Detailed Reasoning'!E$62</f>
        <v>0</v>
      </c>
    </row>
    <row r="81" spans="1:5">
      <c r="A81" s="54" t="s">
        <v>147</v>
      </c>
      <c r="B81" s="56">
        <f>'1조'!B$62</f>
        <v>0</v>
      </c>
      <c r="C81" s="57" t="s">
        <v>108</v>
      </c>
      <c r="D81" s="56">
        <f>'1조'!D$62</f>
        <v>0</v>
      </c>
      <c r="E81" s="57" t="s">
        <v>109</v>
      </c>
    </row>
    <row r="82" spans="1:5">
      <c r="A82" s="54" t="s">
        <v>148</v>
      </c>
      <c r="B82" s="56" t="str">
        <f>'2조'!B$62</f>
        <v/>
      </c>
      <c r="C82" s="57" t="str">
        <f>'2조'!C$62</f>
        <v>2조 - Main-subroutine - Security</v>
      </c>
      <c r="D82" s="56" t="str">
        <f>'2조'!D$62</f>
        <v/>
      </c>
      <c r="E82" s="57" t="str">
        <f>'2조'!E$62</f>
        <v>2조 - Master-Slave - Security</v>
      </c>
    </row>
    <row r="83" spans="1:5">
      <c r="A83" s="54" t="s">
        <v>149</v>
      </c>
      <c r="B83" s="56" t="str">
        <f>'3조'!B$62</f>
        <v/>
      </c>
      <c r="C83" s="57" t="str">
        <f>'3조'!C$62</f>
        <v>3조 - Main-subroutine - Security</v>
      </c>
      <c r="D83" s="56" t="str">
        <f>'3조'!D$62</f>
        <v/>
      </c>
      <c r="E83" s="57" t="str">
        <f>'3조'!E$62</f>
        <v>3조 - Master-Slave - Security</v>
      </c>
    </row>
    <row r="84" spans="1:5">
      <c r="A84" s="54" t="s">
        <v>150</v>
      </c>
      <c r="B84" s="56" t="str">
        <f>'4조'!B$62</f>
        <v/>
      </c>
      <c r="C84" s="57" t="str">
        <f>'4조'!C$62</f>
        <v>4조 - Main-subroutine - Security</v>
      </c>
      <c r="D84" s="56" t="str">
        <f>'4조'!D$62</f>
        <v/>
      </c>
      <c r="E84" s="57" t="str">
        <f>'4조'!E$62</f>
        <v>4조 - Master-Slave - Security</v>
      </c>
    </row>
    <row r="85" spans="1:5">
      <c r="A85" s="54" t="s">
        <v>151</v>
      </c>
      <c r="B85" s="56" t="str">
        <f>'5조'!B$62</f>
        <v/>
      </c>
      <c r="C85" s="57" t="str">
        <f>'5조'!C$62</f>
        <v>5조 - Main-subroutine - Security</v>
      </c>
      <c r="D85" s="56" t="str">
        <f>'5조'!D$62</f>
        <v/>
      </c>
      <c r="E85" s="57" t="str">
        <f>'5조'!E$62</f>
        <v>5조 - Master-Slave - Security</v>
      </c>
    </row>
    <row r="86" spans="1:5">
      <c r="A86" s="54" t="s">
        <v>152</v>
      </c>
      <c r="B86" s="56" t="str">
        <f>'6조'!B$62</f>
        <v/>
      </c>
      <c r="C86" s="57" t="str">
        <f>'6조'!C$62</f>
        <v>6조 - Main-subroutine - Security</v>
      </c>
      <c r="D86" s="56" t="str">
        <f>'6조'!D$62</f>
        <v/>
      </c>
      <c r="E86" s="57" t="str">
        <f>'6조'!E$62</f>
        <v>6조 - Master-Slave - Security</v>
      </c>
    </row>
    <row r="87" spans="1:5">
      <c r="A87" s="54" t="s">
        <v>153</v>
      </c>
      <c r="B87" s="56" t="str">
        <f>'7조'!B$62</f>
        <v/>
      </c>
      <c r="C87" s="57" t="str">
        <f>'7조'!C$62</f>
        <v>7조 - Main-subroutine - Security</v>
      </c>
      <c r="D87" s="56" t="str">
        <f>'7조'!D$62</f>
        <v/>
      </c>
      <c r="E87" s="57" t="str">
        <f>'7조'!E$62</f>
        <v>7조 - Master-Slave - Security</v>
      </c>
    </row>
    <row r="88" spans="1:5">
      <c r="A88" s="54" t="s">
        <v>154</v>
      </c>
      <c r="B88" s="56" t="str">
        <f>'8조'!B$62</f>
        <v/>
      </c>
      <c r="C88" s="57" t="str">
        <f>'8조'!C$62</f>
        <v>8조 - Main-subroutine - Security</v>
      </c>
      <c r="D88" s="56" t="str">
        <f>'8조'!D$62</f>
        <v/>
      </c>
      <c r="E88" s="57" t="str">
        <f>'8조'!E$62</f>
        <v>8조 - Master-Slave - Security</v>
      </c>
    </row>
    <row r="89" spans="1:5">
      <c r="A89" s="54" t="s">
        <v>155</v>
      </c>
      <c r="B89" s="56" t="str">
        <f>'9조'!B$62</f>
        <v/>
      </c>
      <c r="C89" s="57" t="str">
        <f>'9조'!C$62</f>
        <v>9조 - Main-subroutine - Security</v>
      </c>
      <c r="D89" s="56" t="str">
        <f>'9조'!D$62</f>
        <v/>
      </c>
      <c r="E89" s="57" t="str">
        <f>'9조'!E$62</f>
        <v>9조 - Master-Slave - Security</v>
      </c>
    </row>
    <row r="90" spans="1:5">
      <c r="A90" s="51"/>
      <c r="B90" s="50"/>
      <c r="C90" s="51"/>
      <c r="D90" s="50"/>
      <c r="E90" s="51"/>
    </row>
    <row r="91" spans="1:5">
      <c r="A91" s="53" t="s">
        <v>23</v>
      </c>
      <c r="B91" s="55">
        <f>'Detailed Reasoning'!B$63</f>
        <v>0</v>
      </c>
      <c r="C91" s="55">
        <f>'Detailed Reasoning'!C$63</f>
        <v>0</v>
      </c>
      <c r="D91" s="55">
        <f>'Detailed Reasoning'!D$63</f>
        <v>0</v>
      </c>
      <c r="E91" s="55">
        <f>'Detailed Reasoning'!E$63</f>
        <v>0</v>
      </c>
    </row>
    <row r="92" spans="1:5">
      <c r="A92" s="54" t="s">
        <v>147</v>
      </c>
      <c r="B92" s="56">
        <f>'1조'!B$63</f>
        <v>0</v>
      </c>
      <c r="C92" s="57" t="s">
        <v>110</v>
      </c>
      <c r="D92" s="56">
        <f>'1조'!D$63</f>
        <v>0</v>
      </c>
      <c r="E92" s="57" t="s">
        <v>111</v>
      </c>
    </row>
    <row r="93" spans="1:5">
      <c r="A93" s="54" t="s">
        <v>148</v>
      </c>
      <c r="B93" s="56" t="str">
        <f>'2조'!B$63</f>
        <v/>
      </c>
      <c r="C93" s="57" t="str">
        <f>'2조'!C$63</f>
        <v>2조 - Main-subroutine - Testability</v>
      </c>
      <c r="D93" s="56" t="str">
        <f>'2조'!D$63</f>
        <v/>
      </c>
      <c r="E93" s="57" t="str">
        <f>'2조'!E$63</f>
        <v>2조 - Master-Slave - Testability</v>
      </c>
    </row>
    <row r="94" spans="1:5">
      <c r="A94" s="54" t="s">
        <v>149</v>
      </c>
      <c r="B94" s="56" t="str">
        <f>'3조'!B$63</f>
        <v/>
      </c>
      <c r="C94" s="57" t="str">
        <f>'3조'!C$63</f>
        <v>3조 - Main-subroutine - Testability</v>
      </c>
      <c r="D94" s="56" t="str">
        <f>'3조'!D$63</f>
        <v/>
      </c>
      <c r="E94" s="57" t="str">
        <f>'3조'!E$63</f>
        <v>3조 - Master-Slave - Testability</v>
      </c>
    </row>
    <row r="95" spans="1:5">
      <c r="A95" s="54" t="s">
        <v>150</v>
      </c>
      <c r="B95" s="56" t="str">
        <f>'4조'!B$63</f>
        <v/>
      </c>
      <c r="C95" s="57" t="str">
        <f>'4조'!C$63</f>
        <v>4조 - Main-subroutine - Testability</v>
      </c>
      <c r="D95" s="56" t="str">
        <f>'4조'!D$63</f>
        <v/>
      </c>
      <c r="E95" s="57" t="str">
        <f>'4조'!E$63</f>
        <v>4조 - Master-Slave - Testability</v>
      </c>
    </row>
    <row r="96" spans="1:5">
      <c r="A96" s="54" t="s">
        <v>151</v>
      </c>
      <c r="B96" s="56" t="str">
        <f>'5조'!B$63</f>
        <v/>
      </c>
      <c r="C96" s="57" t="str">
        <f>'5조'!C$63</f>
        <v>5조 - Main-subroutine - Testability</v>
      </c>
      <c r="D96" s="56" t="str">
        <f>'5조'!D$63</f>
        <v/>
      </c>
      <c r="E96" s="57" t="str">
        <f>'5조'!E$63</f>
        <v>5조 - Master-Slave - Testability</v>
      </c>
    </row>
    <row r="97" spans="1:5">
      <c r="A97" s="54" t="s">
        <v>152</v>
      </c>
      <c r="B97" s="56" t="str">
        <f>'6조'!B$63</f>
        <v/>
      </c>
      <c r="C97" s="57" t="str">
        <f>'6조'!C$63</f>
        <v>6조 - Main-subroutine - Testability</v>
      </c>
      <c r="D97" s="56" t="str">
        <f>'6조'!D$63</f>
        <v/>
      </c>
      <c r="E97" s="57" t="str">
        <f>'6조'!E$63</f>
        <v>6조 - Master-Slave - Testability</v>
      </c>
    </row>
    <row r="98" spans="1:5">
      <c r="A98" s="54" t="s">
        <v>153</v>
      </c>
      <c r="B98" s="56" t="str">
        <f>'7조'!B$63</f>
        <v/>
      </c>
      <c r="C98" s="57" t="str">
        <f>'7조'!C$63</f>
        <v>7조 - Main-subroutine - Testability</v>
      </c>
      <c r="D98" s="56" t="str">
        <f>'7조'!D$63</f>
        <v/>
      </c>
      <c r="E98" s="57" t="str">
        <f>'7조'!E$63</f>
        <v>7조 - Master-Slave - Testability</v>
      </c>
    </row>
    <row r="99" spans="1:5">
      <c r="A99" s="54" t="s">
        <v>154</v>
      </c>
      <c r="B99" s="56" t="str">
        <f>'8조'!B$63</f>
        <v/>
      </c>
      <c r="C99" s="57" t="str">
        <f>'8조'!C$63</f>
        <v>8조 - Main-subroutine - Testability</v>
      </c>
      <c r="D99" s="56" t="str">
        <f>'8조'!D$63</f>
        <v/>
      </c>
      <c r="E99" s="57" t="str">
        <f>'8조'!E$63</f>
        <v>8조 - Master-Slave - Testability</v>
      </c>
    </row>
    <row r="100" spans="1:5">
      <c r="A100" s="54" t="s">
        <v>155</v>
      </c>
      <c r="B100" s="56" t="str">
        <f>'9조'!B$63</f>
        <v/>
      </c>
      <c r="C100" s="57" t="str">
        <f>'9조'!C$63</f>
        <v>9조 - Main-subroutine - Testability</v>
      </c>
      <c r="D100" s="56" t="str">
        <f>'9조'!D$63</f>
        <v/>
      </c>
      <c r="E100" s="57" t="str">
        <f>'9조'!E$63</f>
        <v>9조 - Master-Slave - Testability</v>
      </c>
    </row>
    <row r="101" spans="1:5" ht="15" customHeight="1">
      <c r="A101" s="51"/>
      <c r="B101" s="50"/>
      <c r="C101" s="51"/>
      <c r="D101" s="50"/>
      <c r="E101" s="51"/>
    </row>
    <row r="102" spans="1:5">
      <c r="A102" s="53" t="s">
        <v>24</v>
      </c>
      <c r="B102" s="55">
        <f>'Detailed Reasoning'!B$64</f>
        <v>0</v>
      </c>
      <c r="C102" s="55">
        <f>'Detailed Reasoning'!C$64</f>
        <v>0</v>
      </c>
      <c r="D102" s="55">
        <f>'Detailed Reasoning'!D$64</f>
        <v>0</v>
      </c>
      <c r="E102" s="55">
        <f>'Detailed Reasoning'!E$64</f>
        <v>0</v>
      </c>
    </row>
    <row r="103" spans="1:5">
      <c r="A103" s="54" t="s">
        <v>147</v>
      </c>
      <c r="B103" s="56">
        <f>'1조'!B$64</f>
        <v>0</v>
      </c>
      <c r="C103" s="57" t="s">
        <v>112</v>
      </c>
      <c r="D103" s="56">
        <f>'1조'!D$64</f>
        <v>0</v>
      </c>
      <c r="E103" s="57" t="s">
        <v>113</v>
      </c>
    </row>
    <row r="104" spans="1:5">
      <c r="A104" s="54" t="s">
        <v>148</v>
      </c>
      <c r="B104" s="56" t="str">
        <f>'2조'!B$64</f>
        <v/>
      </c>
      <c r="C104" s="57" t="str">
        <f>'2조'!C$64</f>
        <v>2조 - Main-subroutine - Usability</v>
      </c>
      <c r="D104" s="56" t="str">
        <f>'2조'!D$64</f>
        <v/>
      </c>
      <c r="E104" s="57" t="str">
        <f>'2조'!E$64</f>
        <v>2조 - Master-Slave - Usability</v>
      </c>
    </row>
    <row r="105" spans="1:5">
      <c r="A105" s="54" t="s">
        <v>149</v>
      </c>
      <c r="B105" s="56" t="str">
        <f>'3조'!B$64</f>
        <v/>
      </c>
      <c r="C105" s="57" t="str">
        <f>'3조'!C$64</f>
        <v>3조 - Main-subroutine - Usability</v>
      </c>
      <c r="D105" s="56" t="str">
        <f>'3조'!D$64</f>
        <v/>
      </c>
      <c r="E105" s="57" t="str">
        <f>'3조'!E$64</f>
        <v>3조 - Master-Slave - Usability</v>
      </c>
    </row>
    <row r="106" spans="1:5">
      <c r="A106" s="54" t="s">
        <v>150</v>
      </c>
      <c r="B106" s="56" t="str">
        <f>'4조'!B$64</f>
        <v/>
      </c>
      <c r="C106" s="57" t="str">
        <f>'4조'!C$64</f>
        <v>4조 - Main-subroutine - Usability</v>
      </c>
      <c r="D106" s="56" t="str">
        <f>'4조'!D$64</f>
        <v/>
      </c>
      <c r="E106" s="57" t="str">
        <f>'4조'!E$64</f>
        <v>4조 - Master-Slave - Usability</v>
      </c>
    </row>
    <row r="107" spans="1:5">
      <c r="A107" s="54" t="s">
        <v>151</v>
      </c>
      <c r="B107" s="56" t="str">
        <f>'5조'!B$64</f>
        <v/>
      </c>
      <c r="C107" s="57" t="str">
        <f>'5조'!C$64</f>
        <v>5조 - Main-subroutine - Usability</v>
      </c>
      <c r="D107" s="56" t="str">
        <f>'5조'!D$64</f>
        <v/>
      </c>
      <c r="E107" s="57" t="str">
        <f>'5조'!E$64</f>
        <v>5조 - Master-Slave - Usability</v>
      </c>
    </row>
    <row r="108" spans="1:5">
      <c r="A108" s="54" t="s">
        <v>152</v>
      </c>
      <c r="B108" s="56" t="str">
        <f>'6조'!B$64</f>
        <v/>
      </c>
      <c r="C108" s="57" t="str">
        <f>'6조'!C$64</f>
        <v>6조 - Main-subroutine - Usability</v>
      </c>
      <c r="D108" s="56" t="str">
        <f>'6조'!D$64</f>
        <v/>
      </c>
      <c r="E108" s="57" t="str">
        <f>'6조'!E$64</f>
        <v>6조 - Master-Slave - Usability</v>
      </c>
    </row>
    <row r="109" spans="1:5">
      <c r="A109" s="54" t="s">
        <v>153</v>
      </c>
      <c r="B109" s="56" t="str">
        <f>'7조'!B$64</f>
        <v/>
      </c>
      <c r="C109" s="57" t="str">
        <f>'7조'!C$64</f>
        <v>7조 - Main-subroutine - Usability</v>
      </c>
      <c r="D109" s="56" t="str">
        <f>'7조'!D$64</f>
        <v/>
      </c>
      <c r="E109" s="57" t="str">
        <f>'7조'!E$64</f>
        <v>7조 - Master-Slave - Usability</v>
      </c>
    </row>
    <row r="110" spans="1:5">
      <c r="A110" s="54" t="s">
        <v>154</v>
      </c>
      <c r="B110" s="56" t="str">
        <f>'8조'!B$64</f>
        <v/>
      </c>
      <c r="C110" s="57" t="str">
        <f>'8조'!C$64</f>
        <v>8조 - Main-subroutine - Usability</v>
      </c>
      <c r="D110" s="56" t="str">
        <f>'8조'!D$64</f>
        <v/>
      </c>
      <c r="E110" s="57" t="str">
        <f>'8조'!E$64</f>
        <v>8조 - Master-Slave - Usability</v>
      </c>
    </row>
    <row r="111" spans="1:5">
      <c r="A111" s="54" t="s">
        <v>155</v>
      </c>
      <c r="B111" s="56" t="str">
        <f>'9조'!B$64</f>
        <v/>
      </c>
      <c r="C111" s="57" t="str">
        <f>'9조'!C$64</f>
        <v>9조 - Main-subroutine - Usability</v>
      </c>
      <c r="D111" s="56" t="str">
        <f>'9조'!D$64</f>
        <v/>
      </c>
      <c r="E111" s="57" t="str">
        <f>'9조'!E$64</f>
        <v>9조 - Master-Slave - Usability</v>
      </c>
    </row>
  </sheetData>
  <mergeCells count="3">
    <mergeCell ref="A1:A2"/>
    <mergeCell ref="B1:C1"/>
    <mergeCell ref="D1:E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11"/>
  <sheetViews>
    <sheetView workbookViewId="0">
      <pane ySplit="2" topLeftCell="A80" activePane="bottomLeft" state="frozen"/>
      <selection pane="bottomLeft" activeCell="B103" sqref="B103:G111"/>
    </sheetView>
  </sheetViews>
  <sheetFormatPr defaultColWidth="14.42578125" defaultRowHeight="15" customHeight="1"/>
  <cols>
    <col min="1" max="1" width="17.5703125" bestFit="1" customWidth="1"/>
    <col min="2" max="2" width="7.7109375" bestFit="1" customWidth="1"/>
    <col min="3" max="3" width="32.42578125" bestFit="1" customWidth="1"/>
    <col min="4" max="4" width="7.7109375" bestFit="1" customWidth="1"/>
    <col min="5" max="5" width="40.28515625" bestFit="1" customWidth="1"/>
    <col min="6" max="6" width="7.7109375" bestFit="1" customWidth="1"/>
    <col min="7" max="7" width="36.7109375" bestFit="1" customWidth="1"/>
  </cols>
  <sheetData>
    <row r="1" spans="1:7">
      <c r="A1" s="52" t="s">
        <v>34</v>
      </c>
      <c r="B1" s="52" t="s">
        <v>37</v>
      </c>
      <c r="C1" s="52"/>
      <c r="D1" s="52" t="s">
        <v>38</v>
      </c>
      <c r="E1" s="52"/>
      <c r="F1" s="52" t="s">
        <v>39</v>
      </c>
      <c r="G1" s="52"/>
    </row>
    <row r="2" spans="1:7">
      <c r="A2" s="52"/>
      <c r="B2" s="47" t="s">
        <v>4</v>
      </c>
      <c r="C2" s="47" t="s">
        <v>5</v>
      </c>
      <c r="D2" s="47" t="s">
        <v>4</v>
      </c>
      <c r="E2" s="47" t="s">
        <v>5</v>
      </c>
      <c r="F2" s="47" t="s">
        <v>4</v>
      </c>
      <c r="G2" s="47" t="s">
        <v>5</v>
      </c>
    </row>
    <row r="3" spans="1:7" ht="15" customHeight="1">
      <c r="A3" s="53" t="s">
        <v>6</v>
      </c>
      <c r="B3" s="55">
        <f>'Detailed Reasoning'!B$68</f>
        <v>0</v>
      </c>
      <c r="C3" s="55">
        <f>'Detailed Reasoning'!C$68</f>
        <v>0</v>
      </c>
      <c r="D3" s="53">
        <f>'Detailed Reasoning'!D$68</f>
        <v>0</v>
      </c>
      <c r="E3" s="53">
        <f>'Detailed Reasoning'!E$68</f>
        <v>0</v>
      </c>
      <c r="F3" s="58">
        <f>'Detailed Reasoning'!F$68</f>
        <v>0</v>
      </c>
      <c r="G3" s="58">
        <f>'Detailed Reasoning'!G$68</f>
        <v>0</v>
      </c>
    </row>
    <row r="4" spans="1:7">
      <c r="A4" s="63" t="s">
        <v>147</v>
      </c>
      <c r="B4" s="59">
        <f>'1조'!B$68</f>
        <v>0</v>
      </c>
      <c r="C4" s="59" t="s">
        <v>114</v>
      </c>
      <c r="D4" s="59">
        <f>'1조'!D$68</f>
        <v>0</v>
      </c>
      <c r="E4" s="59" t="s">
        <v>115</v>
      </c>
      <c r="F4" s="59">
        <f>'1조'!F$68</f>
        <v>0</v>
      </c>
      <c r="G4" s="59" t="s">
        <v>116</v>
      </c>
    </row>
    <row r="5" spans="1:7">
      <c r="A5" s="63" t="s">
        <v>148</v>
      </c>
      <c r="B5" s="59" t="str">
        <f>'2조'!B$68</f>
        <v/>
      </c>
      <c r="C5" s="59" t="str">
        <f>'2조'!C$68</f>
        <v>2조 - Layered - Availability</v>
      </c>
      <c r="D5" s="59" t="str">
        <f>'2조'!D$68</f>
        <v/>
      </c>
      <c r="E5" s="59" t="str">
        <f>'2조'!E$68</f>
        <v>2조 - Virtual Machine - Availability</v>
      </c>
      <c r="F5" s="59" t="str">
        <f>'2조'!F$68</f>
        <v/>
      </c>
      <c r="G5" s="59" t="str">
        <f>'2조'!G$68</f>
        <v>2조 - Microkernel - Availability</v>
      </c>
    </row>
    <row r="6" spans="1:7">
      <c r="A6" s="63" t="s">
        <v>149</v>
      </c>
      <c r="B6" s="59" t="str">
        <f>'3조'!B$68</f>
        <v/>
      </c>
      <c r="C6" s="59" t="str">
        <f>'3조'!C$68</f>
        <v>3조 - Layered - Availability</v>
      </c>
      <c r="D6" s="59" t="str">
        <f>'3조'!D$68</f>
        <v/>
      </c>
      <c r="E6" s="59" t="str">
        <f>'3조'!E$68</f>
        <v>3조 - Virtual Machine - Availability</v>
      </c>
      <c r="F6" s="59" t="str">
        <f>'3조'!F$68</f>
        <v/>
      </c>
      <c r="G6" s="59" t="str">
        <f>'3조'!G$68</f>
        <v>3조 - Microkernel - Availability</v>
      </c>
    </row>
    <row r="7" spans="1:7">
      <c r="A7" s="63" t="s">
        <v>150</v>
      </c>
      <c r="B7" s="59" t="str">
        <f>'4조'!B$68</f>
        <v/>
      </c>
      <c r="C7" s="59" t="str">
        <f>'4조'!C$68</f>
        <v>4조 - Layered - Availability</v>
      </c>
      <c r="D7" s="59" t="str">
        <f>'4조'!D$68</f>
        <v/>
      </c>
      <c r="E7" s="59" t="str">
        <f>'4조'!E$68</f>
        <v>4조 - Virtual Machine - Availability</v>
      </c>
      <c r="F7" s="59" t="str">
        <f>'4조'!F$68</f>
        <v/>
      </c>
      <c r="G7" s="59" t="str">
        <f>'4조'!G$68</f>
        <v>4조 - Microkernel - Availability</v>
      </c>
    </row>
    <row r="8" spans="1:7">
      <c r="A8" s="63" t="s">
        <v>151</v>
      </c>
      <c r="B8" s="59" t="str">
        <f>'5조'!B$68</f>
        <v/>
      </c>
      <c r="C8" s="59" t="str">
        <f>'5조'!C$68</f>
        <v>5조 - Layered - Availability</v>
      </c>
      <c r="D8" s="59" t="str">
        <f>'5조'!D$68</f>
        <v/>
      </c>
      <c r="E8" s="59" t="str">
        <f>'5조'!E$68</f>
        <v>5조 - Virtual Machine - Availability</v>
      </c>
      <c r="F8" s="59" t="str">
        <f>'5조'!F$68</f>
        <v/>
      </c>
      <c r="G8" s="59" t="str">
        <f>'5조'!G$68</f>
        <v>5조 - Microkernel - Availability</v>
      </c>
    </row>
    <row r="9" spans="1:7">
      <c r="A9" s="63" t="s">
        <v>152</v>
      </c>
      <c r="B9" s="59" t="str">
        <f>'6조'!B$68</f>
        <v/>
      </c>
      <c r="C9" s="59" t="str">
        <f>'6조'!C$68</f>
        <v>6조 - Layered - Availability</v>
      </c>
      <c r="D9" s="59" t="str">
        <f>'6조'!D$68</f>
        <v/>
      </c>
      <c r="E9" s="59" t="str">
        <f>'6조'!E$68</f>
        <v>6조 - Virtual Machine - Availability</v>
      </c>
      <c r="F9" s="59" t="str">
        <f>'6조'!F$68</f>
        <v/>
      </c>
      <c r="G9" s="59" t="str">
        <f>'6조'!G$68</f>
        <v>6조 - Microkernel - Availability</v>
      </c>
    </row>
    <row r="10" spans="1:7">
      <c r="A10" s="63" t="s">
        <v>153</v>
      </c>
      <c r="B10" s="59" t="str">
        <f>'7조'!B$68</f>
        <v/>
      </c>
      <c r="C10" s="59" t="str">
        <f>'7조'!C$68</f>
        <v>7조 - Layered - Availability</v>
      </c>
      <c r="D10" s="59" t="str">
        <f>'7조'!D$68</f>
        <v/>
      </c>
      <c r="E10" s="59" t="str">
        <f>'7조'!E$68</f>
        <v>7조 - Virtual Machine - Availability</v>
      </c>
      <c r="F10" s="59" t="str">
        <f>'7조'!F$68</f>
        <v/>
      </c>
      <c r="G10" s="59" t="str">
        <f>'7조'!G$68</f>
        <v>7조 - Microkernel - Availability</v>
      </c>
    </row>
    <row r="11" spans="1:7">
      <c r="A11" s="63" t="s">
        <v>154</v>
      </c>
      <c r="B11" s="59" t="str">
        <f>'8조'!B$68</f>
        <v/>
      </c>
      <c r="C11" s="59" t="str">
        <f>'8조'!C$68</f>
        <v>8조 - Layered - Availability</v>
      </c>
      <c r="D11" s="59" t="str">
        <f>'8조'!D$68</f>
        <v/>
      </c>
      <c r="E11" s="59" t="str">
        <f>'8조'!E$68</f>
        <v>8조 - Virtual Machine - Availability</v>
      </c>
      <c r="F11" s="59" t="str">
        <f>'8조'!F$68</f>
        <v/>
      </c>
      <c r="G11" s="59" t="str">
        <f>'8조'!G$68</f>
        <v>8조 - Microkernel - Availability</v>
      </c>
    </row>
    <row r="12" spans="1:7">
      <c r="A12" s="63" t="s">
        <v>155</v>
      </c>
      <c r="B12" s="59" t="str">
        <f>'9조'!B$68</f>
        <v/>
      </c>
      <c r="C12" s="59" t="str">
        <f>'9조'!C$68</f>
        <v>9조 - Layered - Availability</v>
      </c>
      <c r="D12" s="59" t="str">
        <f>'9조'!D$68</f>
        <v/>
      </c>
      <c r="E12" s="59" t="str">
        <f>'9조'!E$68</f>
        <v>9조 - Virtual Machine - Availability</v>
      </c>
      <c r="F12" s="59" t="str">
        <f>'9조'!F$68</f>
        <v/>
      </c>
      <c r="G12" s="59" t="str">
        <f>'9조'!G$68</f>
        <v>9조 - Microkernel - Availability</v>
      </c>
    </row>
    <row r="13" spans="1:7">
      <c r="A13" s="60"/>
      <c r="B13" s="60"/>
      <c r="C13" s="60"/>
      <c r="D13" s="60"/>
      <c r="E13" s="60"/>
      <c r="F13" s="60"/>
      <c r="G13" s="60"/>
    </row>
    <row r="14" spans="1:7" ht="15" customHeight="1">
      <c r="A14" s="53" t="s">
        <v>16</v>
      </c>
      <c r="B14" s="55">
        <f>'Detailed Reasoning'!B$69</f>
        <v>0</v>
      </c>
      <c r="C14" s="55">
        <f>'Detailed Reasoning'!C$69</f>
        <v>0</v>
      </c>
      <c r="D14" s="53">
        <f>'Detailed Reasoning'!D$69</f>
        <v>0</v>
      </c>
      <c r="E14" s="53">
        <f>'Detailed Reasoning'!E$69</f>
        <v>0</v>
      </c>
      <c r="F14" s="58">
        <f>'Detailed Reasoning'!F$69</f>
        <v>0</v>
      </c>
      <c r="G14" s="58">
        <f>'Detailed Reasoning'!G$69</f>
        <v>0</v>
      </c>
    </row>
    <row r="15" spans="1:7">
      <c r="A15" s="63" t="s">
        <v>147</v>
      </c>
      <c r="B15" s="59">
        <f>'1조'!B$69</f>
        <v>0</v>
      </c>
      <c r="C15" s="59" t="s">
        <v>117</v>
      </c>
      <c r="D15" s="59">
        <f>'1조'!D$69</f>
        <v>0</v>
      </c>
      <c r="E15" s="59" t="s">
        <v>118</v>
      </c>
      <c r="F15" s="59">
        <f>'1조'!F$69</f>
        <v>0</v>
      </c>
      <c r="G15" s="59" t="s">
        <v>119</v>
      </c>
    </row>
    <row r="16" spans="1:7">
      <c r="A16" s="63" t="s">
        <v>148</v>
      </c>
      <c r="B16" s="59" t="str">
        <f>'2조'!B$69</f>
        <v/>
      </c>
      <c r="C16" s="59" t="str">
        <f>'2조'!C$69</f>
        <v>2조 - Layered - Deployability</v>
      </c>
      <c r="D16" s="59" t="str">
        <f>'2조'!D$69</f>
        <v/>
      </c>
      <c r="E16" s="59" t="str">
        <f>'2조'!E$69</f>
        <v>2조 - Virtual Machine - Deployability</v>
      </c>
      <c r="F16" s="59" t="str">
        <f>'2조'!F$69</f>
        <v/>
      </c>
      <c r="G16" s="59" t="str">
        <f>'2조'!G$69</f>
        <v>2조 - Microkernel - Deployability</v>
      </c>
    </row>
    <row r="17" spans="1:7">
      <c r="A17" s="63" t="s">
        <v>149</v>
      </c>
      <c r="B17" s="59" t="str">
        <f>'3조'!B$69</f>
        <v/>
      </c>
      <c r="C17" s="59" t="str">
        <f>'3조'!C$69</f>
        <v>3조 - Layered - Deployability</v>
      </c>
      <c r="D17" s="59" t="str">
        <f>'3조'!D$69</f>
        <v/>
      </c>
      <c r="E17" s="59" t="str">
        <f>'3조'!E$69</f>
        <v>3조 - Virtual Machine - Deployability</v>
      </c>
      <c r="F17" s="59" t="str">
        <f>'3조'!F$69</f>
        <v/>
      </c>
      <c r="G17" s="59" t="str">
        <f>'3조'!G$69</f>
        <v>3조 - Microkernel - Deployability</v>
      </c>
    </row>
    <row r="18" spans="1:7">
      <c r="A18" s="63" t="s">
        <v>150</v>
      </c>
      <c r="B18" s="59" t="str">
        <f>'4조'!B$69</f>
        <v/>
      </c>
      <c r="C18" s="59" t="str">
        <f>'4조'!C$69</f>
        <v>4조 - Layered - Deployability</v>
      </c>
      <c r="D18" s="59" t="str">
        <f>'4조'!D$69</f>
        <v/>
      </c>
      <c r="E18" s="59" t="str">
        <f>'4조'!E$69</f>
        <v>4조 - Virtual Machine - Deployability</v>
      </c>
      <c r="F18" s="59" t="str">
        <f>'4조'!F$69</f>
        <v/>
      </c>
      <c r="G18" s="59" t="str">
        <f>'4조'!G$69</f>
        <v>4조 - Microkernel - Deployability</v>
      </c>
    </row>
    <row r="19" spans="1:7">
      <c r="A19" s="63" t="s">
        <v>151</v>
      </c>
      <c r="B19" s="59" t="str">
        <f>'5조'!B$69</f>
        <v/>
      </c>
      <c r="C19" s="59" t="str">
        <f>'5조'!C$69</f>
        <v>5조 - Layered - Deployability</v>
      </c>
      <c r="D19" s="59" t="str">
        <f>'5조'!D$69</f>
        <v/>
      </c>
      <c r="E19" s="59" t="str">
        <f>'5조'!E$69</f>
        <v>5조 - Virtual Machine - Deployability</v>
      </c>
      <c r="F19" s="59" t="str">
        <f>'5조'!F$69</f>
        <v/>
      </c>
      <c r="G19" s="59" t="str">
        <f>'5조'!G$69</f>
        <v>5조 - Microkernel - Deployability</v>
      </c>
    </row>
    <row r="20" spans="1:7">
      <c r="A20" s="63" t="s">
        <v>152</v>
      </c>
      <c r="B20" s="59" t="str">
        <f>'6조'!B$69</f>
        <v/>
      </c>
      <c r="C20" s="59" t="str">
        <f>'6조'!C$69</f>
        <v>6조 - Layered - Deployability</v>
      </c>
      <c r="D20" s="59" t="str">
        <f>'6조'!D$69</f>
        <v/>
      </c>
      <c r="E20" s="59" t="str">
        <f>'6조'!E$69</f>
        <v>6조 - Virtual Machine - Deployability</v>
      </c>
      <c r="F20" s="59" t="str">
        <f>'6조'!F$69</f>
        <v/>
      </c>
      <c r="G20" s="59" t="str">
        <f>'6조'!G$69</f>
        <v>6조 - Microkernel - Deployability</v>
      </c>
    </row>
    <row r="21" spans="1:7">
      <c r="A21" s="63" t="s">
        <v>153</v>
      </c>
      <c r="B21" s="59" t="str">
        <f>'7조'!B$69</f>
        <v/>
      </c>
      <c r="C21" s="59" t="str">
        <f>'7조'!C$69</f>
        <v>7조 - Layered - Deployability</v>
      </c>
      <c r="D21" s="59" t="str">
        <f>'7조'!D$69</f>
        <v/>
      </c>
      <c r="E21" s="59" t="str">
        <f>'7조'!E$69</f>
        <v>7조 - Virtual Machine - Deployability</v>
      </c>
      <c r="F21" s="59" t="str">
        <f>'7조'!F$69</f>
        <v/>
      </c>
      <c r="G21" s="59" t="str">
        <f>'7조'!G$69</f>
        <v>7조 - Microkernel - Deployability</v>
      </c>
    </row>
    <row r="22" spans="1:7">
      <c r="A22" s="63" t="s">
        <v>154</v>
      </c>
      <c r="B22" s="59" t="str">
        <f>'8조'!B$69</f>
        <v/>
      </c>
      <c r="C22" s="59" t="str">
        <f>'8조'!C$69</f>
        <v>8조 - Layered - Deployability</v>
      </c>
      <c r="D22" s="59" t="str">
        <f>'8조'!D$69</f>
        <v/>
      </c>
      <c r="E22" s="59" t="str">
        <f>'8조'!E$69</f>
        <v>8조 - Virtual Machine - Deployability</v>
      </c>
      <c r="F22" s="59" t="str">
        <f>'8조'!F$69</f>
        <v/>
      </c>
      <c r="G22" s="59" t="str">
        <f>'8조'!G$69</f>
        <v>8조 - Microkernel - Deployability</v>
      </c>
    </row>
    <row r="23" spans="1:7">
      <c r="A23" s="63" t="s">
        <v>155</v>
      </c>
      <c r="B23" s="59" t="str">
        <f>'9조'!B$69</f>
        <v/>
      </c>
      <c r="C23" s="59" t="str">
        <f>'9조'!C$69</f>
        <v>9조 - Layered - Deployability</v>
      </c>
      <c r="D23" s="59" t="str">
        <f>'9조'!D$69</f>
        <v/>
      </c>
      <c r="E23" s="59" t="str">
        <f>'9조'!E$69</f>
        <v>9조 - Virtual Machine - Deployability</v>
      </c>
      <c r="F23" s="59" t="str">
        <f>'9조'!F$69</f>
        <v/>
      </c>
      <c r="G23" s="59" t="str">
        <f>'9조'!G$69</f>
        <v>9조 - Microkernel - Deployability</v>
      </c>
    </row>
    <row r="24" spans="1:7">
      <c r="A24" s="60"/>
      <c r="B24" s="60"/>
      <c r="C24" s="60"/>
      <c r="D24" s="60"/>
      <c r="E24" s="60"/>
      <c r="F24" s="60"/>
      <c r="G24" s="60"/>
    </row>
    <row r="25" spans="1:7" ht="15" customHeight="1">
      <c r="A25" s="53" t="s">
        <v>17</v>
      </c>
      <c r="B25" s="55">
        <f>'Detailed Reasoning'!B$70</f>
        <v>0</v>
      </c>
      <c r="C25" s="55">
        <f>'Detailed Reasoning'!C$70</f>
        <v>0</v>
      </c>
      <c r="D25" s="53">
        <f>'Detailed Reasoning'!D$70</f>
        <v>0</v>
      </c>
      <c r="E25" s="53">
        <f>'Detailed Reasoning'!E$70</f>
        <v>0</v>
      </c>
      <c r="F25" s="58">
        <f>'Detailed Reasoning'!F$70</f>
        <v>0</v>
      </c>
      <c r="G25" s="58">
        <f>'Detailed Reasoning'!G$70</f>
        <v>0</v>
      </c>
    </row>
    <row r="26" spans="1:7">
      <c r="A26" s="63" t="s">
        <v>147</v>
      </c>
      <c r="B26" s="59">
        <f>'1조'!B$70</f>
        <v>0</v>
      </c>
      <c r="C26" s="59" t="s">
        <v>120</v>
      </c>
      <c r="D26" s="59">
        <f>'1조'!D$70</f>
        <v>0</v>
      </c>
      <c r="E26" s="59" t="s">
        <v>121</v>
      </c>
      <c r="F26" s="59">
        <f>'1조'!F$70</f>
        <v>0</v>
      </c>
      <c r="G26" s="59" t="s">
        <v>122</v>
      </c>
    </row>
    <row r="27" spans="1:7">
      <c r="A27" s="63" t="s">
        <v>148</v>
      </c>
      <c r="B27" s="59" t="str">
        <f>'2조'!B$70</f>
        <v/>
      </c>
      <c r="C27" s="59" t="str">
        <f>'2조'!C$70</f>
        <v>2조 - Layered - Integrability</v>
      </c>
      <c r="D27" s="59" t="str">
        <f>'2조'!D$70</f>
        <v/>
      </c>
      <c r="E27" s="59" t="str">
        <f>'2조'!E$70</f>
        <v>2조 - Virtual Machine - Integrability</v>
      </c>
      <c r="F27" s="59" t="str">
        <f>'2조'!F$70</f>
        <v/>
      </c>
      <c r="G27" s="59" t="str">
        <f>'2조'!G$70</f>
        <v>2조 - Microkernel - Integrability</v>
      </c>
    </row>
    <row r="28" spans="1:7">
      <c r="A28" s="63" t="s">
        <v>149</v>
      </c>
      <c r="B28" s="59" t="str">
        <f>'3조'!B$70</f>
        <v/>
      </c>
      <c r="C28" s="59" t="str">
        <f>'3조'!C$70</f>
        <v>3조 - Layered - Integrability</v>
      </c>
      <c r="D28" s="59" t="str">
        <f>'3조'!D$70</f>
        <v/>
      </c>
      <c r="E28" s="59" t="str">
        <f>'3조'!E$70</f>
        <v>3조 - Virtual Machine - Integrability</v>
      </c>
      <c r="F28" s="59" t="str">
        <f>'3조'!F$70</f>
        <v/>
      </c>
      <c r="G28" s="59" t="str">
        <f>'3조'!G$70</f>
        <v>3조 - Microkernel - Integrability</v>
      </c>
    </row>
    <row r="29" spans="1:7">
      <c r="A29" s="63" t="s">
        <v>150</v>
      </c>
      <c r="B29" s="59" t="str">
        <f>'4조'!B$70</f>
        <v/>
      </c>
      <c r="C29" s="59" t="str">
        <f>'4조'!C$70</f>
        <v>4조 - Layered - Integrability</v>
      </c>
      <c r="D29" s="59" t="str">
        <f>'4조'!D$70</f>
        <v/>
      </c>
      <c r="E29" s="59" t="str">
        <f>'4조'!E$70</f>
        <v>4조 - Virtual Machine - Integrability</v>
      </c>
      <c r="F29" s="59" t="str">
        <f>'4조'!F$70</f>
        <v/>
      </c>
      <c r="G29" s="59" t="str">
        <f>'4조'!G$70</f>
        <v>4조 - Microkernel - Integrability</v>
      </c>
    </row>
    <row r="30" spans="1:7">
      <c r="A30" s="63" t="s">
        <v>151</v>
      </c>
      <c r="B30" s="59" t="str">
        <f>'5조'!B$70</f>
        <v/>
      </c>
      <c r="C30" s="59" t="str">
        <f>'5조'!C$70</f>
        <v>5조 - Layered - Integrability</v>
      </c>
      <c r="D30" s="59" t="str">
        <f>'5조'!D$70</f>
        <v/>
      </c>
      <c r="E30" s="59" t="str">
        <f>'5조'!E$70</f>
        <v>5조 - Virtual Machine - Integrability</v>
      </c>
      <c r="F30" s="59" t="str">
        <f>'5조'!F$70</f>
        <v/>
      </c>
      <c r="G30" s="59" t="str">
        <f>'5조'!G$70</f>
        <v>5조 - Microkernel - Integrability</v>
      </c>
    </row>
    <row r="31" spans="1:7">
      <c r="A31" s="63" t="s">
        <v>152</v>
      </c>
      <c r="B31" s="59" t="str">
        <f>'6조'!B$70</f>
        <v/>
      </c>
      <c r="C31" s="59" t="str">
        <f>'6조'!C$70</f>
        <v>6조 - Layered - Integrability</v>
      </c>
      <c r="D31" s="59" t="str">
        <f>'6조'!D$70</f>
        <v/>
      </c>
      <c r="E31" s="59" t="str">
        <f>'6조'!E$70</f>
        <v>6조 - Virtual Machine - Integrability</v>
      </c>
      <c r="F31" s="59" t="str">
        <f>'6조'!F$70</f>
        <v/>
      </c>
      <c r="G31" s="59" t="str">
        <f>'6조'!G$70</f>
        <v>6조 - Microkernel - Integrability</v>
      </c>
    </row>
    <row r="32" spans="1:7">
      <c r="A32" s="63" t="s">
        <v>153</v>
      </c>
      <c r="B32" s="59" t="str">
        <f>'7조'!B$70</f>
        <v/>
      </c>
      <c r="C32" s="59" t="str">
        <f>'7조'!C$70</f>
        <v>7조 - Layered - Integrability</v>
      </c>
      <c r="D32" s="59" t="str">
        <f>'7조'!D$70</f>
        <v/>
      </c>
      <c r="E32" s="59" t="str">
        <f>'7조'!E$70</f>
        <v>7조 - Virtual Machine - Integrability</v>
      </c>
      <c r="F32" s="59" t="str">
        <f>'7조'!F$70</f>
        <v/>
      </c>
      <c r="G32" s="59" t="str">
        <f>'7조'!G$70</f>
        <v>7조 - Microkernel - Integrability</v>
      </c>
    </row>
    <row r="33" spans="1:7">
      <c r="A33" s="63" t="s">
        <v>154</v>
      </c>
      <c r="B33" s="59" t="str">
        <f>'8조'!B$70</f>
        <v/>
      </c>
      <c r="C33" s="59" t="str">
        <f>'8조'!C$70</f>
        <v>8조 - Layered - Integrability</v>
      </c>
      <c r="D33" s="59" t="str">
        <f>'8조'!D$70</f>
        <v/>
      </c>
      <c r="E33" s="59" t="str">
        <f>'8조'!E$70</f>
        <v>8조 - Virtual Machine - Integrability</v>
      </c>
      <c r="F33" s="59" t="str">
        <f>'8조'!F$70</f>
        <v/>
      </c>
      <c r="G33" s="59" t="str">
        <f>'8조'!G$70</f>
        <v>8조 - Microkernel - Integrability</v>
      </c>
    </row>
    <row r="34" spans="1:7">
      <c r="A34" s="63" t="s">
        <v>155</v>
      </c>
      <c r="B34" s="59" t="str">
        <f>'9조'!B$70</f>
        <v/>
      </c>
      <c r="C34" s="59" t="str">
        <f>'9조'!C$70</f>
        <v>9조 - Layered - Integrability</v>
      </c>
      <c r="D34" s="59" t="str">
        <f>'9조'!D$70</f>
        <v/>
      </c>
      <c r="E34" s="59" t="str">
        <f>'9조'!E$70</f>
        <v>9조 - Virtual Machine - Integrability</v>
      </c>
      <c r="F34" s="59" t="str">
        <f>'9조'!F$70</f>
        <v/>
      </c>
      <c r="G34" s="59" t="str">
        <f>'9조'!G$70</f>
        <v>9조 - Microkernel - Integrability</v>
      </c>
    </row>
    <row r="35" spans="1:7">
      <c r="A35" s="60"/>
      <c r="B35" s="60"/>
      <c r="C35" s="60"/>
      <c r="D35" s="60"/>
      <c r="E35" s="60"/>
      <c r="F35" s="60"/>
      <c r="G35" s="60"/>
    </row>
    <row r="36" spans="1:7">
      <c r="A36" s="53" t="s">
        <v>18</v>
      </c>
      <c r="B36" s="53">
        <f>'Detailed Reasoning'!B$71</f>
        <v>0</v>
      </c>
      <c r="C36" s="53">
        <f>'Detailed Reasoning'!C$71</f>
        <v>0</v>
      </c>
      <c r="D36" s="53">
        <f>'Detailed Reasoning'!D$71</f>
        <v>0</v>
      </c>
      <c r="E36" s="53">
        <f>'Detailed Reasoning'!E$71</f>
        <v>0</v>
      </c>
      <c r="F36" s="61">
        <f>'Detailed Reasoning'!F$71</f>
        <v>0</v>
      </c>
      <c r="G36" s="61">
        <f>'Detailed Reasoning'!G$71</f>
        <v>0</v>
      </c>
    </row>
    <row r="37" spans="1:7">
      <c r="A37" s="62" t="s">
        <v>156</v>
      </c>
      <c r="B37" s="59">
        <f>'1조'!B$71</f>
        <v>0</v>
      </c>
      <c r="C37" s="59" t="s">
        <v>123</v>
      </c>
      <c r="D37" s="59">
        <f>'1조'!D$71</f>
        <v>0</v>
      </c>
      <c r="E37" s="59" t="s">
        <v>124</v>
      </c>
      <c r="F37" s="59">
        <f>'1조'!F$71</f>
        <v>0</v>
      </c>
      <c r="G37" s="59" t="s">
        <v>125</v>
      </c>
    </row>
    <row r="38" spans="1:7">
      <c r="A38" s="62" t="s">
        <v>157</v>
      </c>
      <c r="B38" s="59" t="str">
        <f>'2조'!B$71</f>
        <v/>
      </c>
      <c r="C38" s="59" t="str">
        <f>'2조'!C$71</f>
        <v>2조 - Layered - Energy Efficiency</v>
      </c>
      <c r="D38" s="59" t="str">
        <f>'2조'!D$71</f>
        <v/>
      </c>
      <c r="E38" s="59" t="str">
        <f>'2조'!E$71</f>
        <v>2조 - Virtual Machine - Energy Efficiency</v>
      </c>
      <c r="F38" s="59" t="str">
        <f>'2조'!F$71</f>
        <v/>
      </c>
      <c r="G38" s="59" t="str">
        <f>'2조'!G$71</f>
        <v>2조 - Microkernel - Energy Efficiency</v>
      </c>
    </row>
    <row r="39" spans="1:7">
      <c r="A39" s="62" t="s">
        <v>158</v>
      </c>
      <c r="B39" s="59" t="str">
        <f>'3조'!B$71</f>
        <v/>
      </c>
      <c r="C39" s="59" t="str">
        <f>'3조'!C$71</f>
        <v>3조 - Layered - Energy Efficiency</v>
      </c>
      <c r="D39" s="59" t="str">
        <f>'3조'!D$71</f>
        <v/>
      </c>
      <c r="E39" s="59" t="str">
        <f>'3조'!E$71</f>
        <v>3조 - Virtual Machine - Energy Efficiency</v>
      </c>
      <c r="F39" s="59" t="str">
        <f>'3조'!F$71</f>
        <v/>
      </c>
      <c r="G39" s="59" t="str">
        <f>'3조'!G$71</f>
        <v>3조 - Microkernel - Energy Efficiency</v>
      </c>
    </row>
    <row r="40" spans="1:7">
      <c r="A40" s="62" t="s">
        <v>159</v>
      </c>
      <c r="B40" s="59" t="str">
        <f>'4조'!B$71</f>
        <v/>
      </c>
      <c r="C40" s="59" t="str">
        <f>'4조'!C$71</f>
        <v>4조 - Layered - Energy Efficiency</v>
      </c>
      <c r="D40" s="59" t="str">
        <f>'4조'!D$71</f>
        <v/>
      </c>
      <c r="E40" s="59" t="str">
        <f>'4조'!E$71</f>
        <v>4조 - Virtual Machine - Energy Efficiency</v>
      </c>
      <c r="F40" s="59" t="str">
        <f>'4조'!F$71</f>
        <v/>
      </c>
      <c r="G40" s="59" t="str">
        <f>'4조'!G$71</f>
        <v>4조 - Microkernel - Energy Efficiency</v>
      </c>
    </row>
    <row r="41" spans="1:7">
      <c r="A41" s="62" t="s">
        <v>160</v>
      </c>
      <c r="B41" s="59" t="str">
        <f>'5조'!B$71</f>
        <v/>
      </c>
      <c r="C41" s="59" t="str">
        <f>'5조'!C$71</f>
        <v>5조 - Layered - Energy Efficiency</v>
      </c>
      <c r="D41" s="59" t="str">
        <f>'5조'!D$71</f>
        <v/>
      </c>
      <c r="E41" s="59" t="str">
        <f>'5조'!E$71</f>
        <v>5조 - Virtual Machine - Energy Efficiency</v>
      </c>
      <c r="F41" s="59" t="str">
        <f>'5조'!F$71</f>
        <v/>
      </c>
      <c r="G41" s="59" t="str">
        <f>'5조'!G$71</f>
        <v>5조 - Microkernel - Energy Efficiency</v>
      </c>
    </row>
    <row r="42" spans="1:7">
      <c r="A42" s="62" t="s">
        <v>161</v>
      </c>
      <c r="B42" s="59" t="str">
        <f>'6조'!B$71</f>
        <v/>
      </c>
      <c r="C42" s="59" t="str">
        <f>'6조'!C$71</f>
        <v>6조 - Layered - Energy Efficiency</v>
      </c>
      <c r="D42" s="59" t="str">
        <f>'6조'!D$71</f>
        <v/>
      </c>
      <c r="E42" s="59" t="str">
        <f>'6조'!E$71</f>
        <v>6조 - Virtual Machine - Energy Efficiency</v>
      </c>
      <c r="F42" s="59" t="str">
        <f>'6조'!F$71</f>
        <v/>
      </c>
      <c r="G42" s="59" t="str">
        <f>'6조'!G$71</f>
        <v>6조 - Microkernel - Energy Efficiency</v>
      </c>
    </row>
    <row r="43" spans="1:7">
      <c r="A43" s="62" t="s">
        <v>162</v>
      </c>
      <c r="B43" s="59" t="str">
        <f>'7조'!B$71</f>
        <v/>
      </c>
      <c r="C43" s="59" t="str">
        <f>'7조'!C$71</f>
        <v>7조 - Layered - Energy Efficiency</v>
      </c>
      <c r="D43" s="59" t="str">
        <f>'7조'!D$71</f>
        <v/>
      </c>
      <c r="E43" s="59" t="str">
        <f>'7조'!E$71</f>
        <v>7조 - Virtual Machine - Energy Efficiency</v>
      </c>
      <c r="F43" s="59" t="str">
        <f>'7조'!F$71</f>
        <v/>
      </c>
      <c r="G43" s="59" t="str">
        <f>'7조'!G$71</f>
        <v>7조 - Microkernel - Energy Efficiency</v>
      </c>
    </row>
    <row r="44" spans="1:7">
      <c r="A44" s="62" t="s">
        <v>163</v>
      </c>
      <c r="B44" s="59" t="str">
        <f>'8조'!B$71</f>
        <v/>
      </c>
      <c r="C44" s="59" t="str">
        <f>'8조'!C$71</f>
        <v>8조 - Layered - Energy Efficiency</v>
      </c>
      <c r="D44" s="59" t="str">
        <f>'8조'!D$71</f>
        <v/>
      </c>
      <c r="E44" s="59" t="str">
        <f>'8조'!E$71</f>
        <v>8조 - Virtual Machine - Energy Efficiency</v>
      </c>
      <c r="F44" s="59" t="str">
        <f>'8조'!F$71</f>
        <v/>
      </c>
      <c r="G44" s="59" t="str">
        <f>'8조'!G$71</f>
        <v>8조 - Microkernel - Energy Efficiency</v>
      </c>
    </row>
    <row r="45" spans="1:7">
      <c r="A45" s="62" t="s">
        <v>164</v>
      </c>
      <c r="B45" s="59" t="str">
        <f>'9조'!B$71</f>
        <v/>
      </c>
      <c r="C45" s="59" t="str">
        <f>'9조'!C$71</f>
        <v>9조 - Layered - Energy Efficiency</v>
      </c>
      <c r="D45" s="59" t="str">
        <f>'9조'!D$71</f>
        <v/>
      </c>
      <c r="E45" s="59" t="str">
        <f>'9조'!E$71</f>
        <v>9조 - Virtual Machine - Energy Efficiency</v>
      </c>
      <c r="F45" s="59" t="str">
        <f>'9조'!F$71</f>
        <v/>
      </c>
      <c r="G45" s="59" t="str">
        <f>'9조'!G$71</f>
        <v>9조 - Microkernel - Energy Efficiency</v>
      </c>
    </row>
    <row r="46" spans="1:7">
      <c r="A46" s="62"/>
      <c r="B46" s="62"/>
      <c r="C46" s="62"/>
      <c r="D46" s="62"/>
      <c r="E46" s="62"/>
      <c r="F46" s="62"/>
      <c r="G46" s="62"/>
    </row>
    <row r="47" spans="1:7">
      <c r="A47" s="53" t="s">
        <v>19</v>
      </c>
      <c r="B47" s="55">
        <f>'Detailed Reasoning'!B$72</f>
        <v>0</v>
      </c>
      <c r="C47" s="55">
        <f>'Detailed Reasoning'!C$72</f>
        <v>0</v>
      </c>
      <c r="D47" s="55">
        <f>'Detailed Reasoning'!D$72</f>
        <v>0</v>
      </c>
      <c r="E47" s="55">
        <f>'Detailed Reasoning'!E$72</f>
        <v>0</v>
      </c>
      <c r="F47" s="58">
        <f>'Detailed Reasoning'!F$72</f>
        <v>0</v>
      </c>
      <c r="G47" s="55">
        <f>'Detailed Reasoning'!G$72</f>
        <v>0</v>
      </c>
    </row>
    <row r="48" spans="1:7">
      <c r="A48" s="63" t="s">
        <v>147</v>
      </c>
      <c r="B48" s="59">
        <f>'1조'!B$72</f>
        <v>0</v>
      </c>
      <c r="C48" s="59" t="s">
        <v>126</v>
      </c>
      <c r="D48" s="59">
        <f>'1조'!D$72</f>
        <v>0</v>
      </c>
      <c r="E48" s="59" t="s">
        <v>127</v>
      </c>
      <c r="F48" s="59">
        <f>'1조'!F$72</f>
        <v>0</v>
      </c>
      <c r="G48" s="59" t="s">
        <v>128</v>
      </c>
    </row>
    <row r="49" spans="1:7">
      <c r="A49" s="63" t="s">
        <v>148</v>
      </c>
      <c r="B49" s="59" t="str">
        <f>'2조'!B$72</f>
        <v/>
      </c>
      <c r="C49" s="59" t="str">
        <f>'2조'!C$72</f>
        <v>2조 - Layered - Modifiability</v>
      </c>
      <c r="D49" s="59" t="str">
        <f>'2조'!D$72</f>
        <v/>
      </c>
      <c r="E49" s="59" t="str">
        <f>'2조'!E$72</f>
        <v>2조 - Virtual Machine - Modifiability</v>
      </c>
      <c r="F49" s="59" t="str">
        <f>'2조'!F$72</f>
        <v/>
      </c>
      <c r="G49" s="59" t="str">
        <f>'2조'!G$72</f>
        <v>2조 - Microkernel - Modifiability</v>
      </c>
    </row>
    <row r="50" spans="1:7">
      <c r="A50" s="63" t="s">
        <v>149</v>
      </c>
      <c r="B50" s="59" t="str">
        <f>'3조'!B$72</f>
        <v/>
      </c>
      <c r="C50" s="59" t="str">
        <f>'3조'!C$72</f>
        <v>3조 - Layered - Modifiability</v>
      </c>
      <c r="D50" s="59" t="str">
        <f>'3조'!D$72</f>
        <v/>
      </c>
      <c r="E50" s="59" t="str">
        <f>'3조'!E$72</f>
        <v>3조 - Virtual Machine - Modifiability</v>
      </c>
      <c r="F50" s="59" t="str">
        <f>'3조'!F$72</f>
        <v/>
      </c>
      <c r="G50" s="59" t="str">
        <f>'3조'!G$72</f>
        <v>3조 - Microkernel - Modifiability</v>
      </c>
    </row>
    <row r="51" spans="1:7">
      <c r="A51" s="63" t="s">
        <v>150</v>
      </c>
      <c r="B51" s="59" t="str">
        <f>'4조'!B$72</f>
        <v/>
      </c>
      <c r="C51" s="59" t="str">
        <f>'4조'!C$72</f>
        <v>4조 - Layered - Modifiability</v>
      </c>
      <c r="D51" s="59" t="str">
        <f>'4조'!D$72</f>
        <v/>
      </c>
      <c r="E51" s="59" t="str">
        <f>'4조'!E$72</f>
        <v>4조 - Virtual Machine - Modifiability</v>
      </c>
      <c r="F51" s="59" t="str">
        <f>'4조'!F$72</f>
        <v/>
      </c>
      <c r="G51" s="59" t="str">
        <f>'4조'!G$72</f>
        <v>4조 - Microkernel - Modifiability</v>
      </c>
    </row>
    <row r="52" spans="1:7">
      <c r="A52" s="63" t="s">
        <v>151</v>
      </c>
      <c r="B52" s="59" t="str">
        <f>'5조'!B$72</f>
        <v/>
      </c>
      <c r="C52" s="59" t="str">
        <f>'5조'!C$72</f>
        <v>5조 - Layered - Modifiability</v>
      </c>
      <c r="D52" s="59" t="str">
        <f>'5조'!D$72</f>
        <v/>
      </c>
      <c r="E52" s="59" t="str">
        <f>'5조'!E$72</f>
        <v>5조 - Virtual Machine - Modifiability</v>
      </c>
      <c r="F52" s="59" t="str">
        <f>'5조'!F$72</f>
        <v/>
      </c>
      <c r="G52" s="59" t="str">
        <f>'5조'!G$72</f>
        <v>5조 - Microkernel - Modifiability</v>
      </c>
    </row>
    <row r="53" spans="1:7">
      <c r="A53" s="63" t="s">
        <v>152</v>
      </c>
      <c r="B53" s="59" t="str">
        <f>'6조'!B$72</f>
        <v/>
      </c>
      <c r="C53" s="59" t="str">
        <f>'6조'!C$72</f>
        <v>6조 - Layered - Modifiability</v>
      </c>
      <c r="D53" s="59" t="str">
        <f>'6조'!D$72</f>
        <v/>
      </c>
      <c r="E53" s="59" t="str">
        <f>'6조'!E$72</f>
        <v>6조 - Virtual Machine - Modifiability</v>
      </c>
      <c r="F53" s="59" t="str">
        <f>'6조'!F$72</f>
        <v/>
      </c>
      <c r="G53" s="59" t="str">
        <f>'6조'!G$72</f>
        <v>6조 - Microkernel - Modifiability</v>
      </c>
    </row>
    <row r="54" spans="1:7">
      <c r="A54" s="63" t="s">
        <v>153</v>
      </c>
      <c r="B54" s="59" t="str">
        <f>'7조'!B$72</f>
        <v/>
      </c>
      <c r="C54" s="59" t="str">
        <f>'7조'!C$72</f>
        <v>7조 - Layered - Modifiability</v>
      </c>
      <c r="D54" s="59" t="str">
        <f>'7조'!D$72</f>
        <v/>
      </c>
      <c r="E54" s="59" t="str">
        <f>'7조'!E$72</f>
        <v>7조 - Virtual Machine - Modifiability</v>
      </c>
      <c r="F54" s="59" t="str">
        <f>'7조'!F$72</f>
        <v/>
      </c>
      <c r="G54" s="59" t="str">
        <f>'7조'!G$72</f>
        <v>7조 - Microkernel - Modifiability</v>
      </c>
    </row>
    <row r="55" spans="1:7">
      <c r="A55" s="63" t="s">
        <v>154</v>
      </c>
      <c r="B55" s="59" t="str">
        <f>'8조'!B$72</f>
        <v/>
      </c>
      <c r="C55" s="59" t="str">
        <f>'8조'!C$72</f>
        <v>8조 - Layered - Modifiability</v>
      </c>
      <c r="D55" s="59" t="str">
        <f>'8조'!D$72</f>
        <v/>
      </c>
      <c r="E55" s="59" t="str">
        <f>'8조'!E$72</f>
        <v>8조 - Virtual Machine - Modifiability</v>
      </c>
      <c r="F55" s="59" t="str">
        <f>'8조'!F$72</f>
        <v/>
      </c>
      <c r="G55" s="59" t="str">
        <f>'8조'!G$72</f>
        <v>8조 - Microkernel - Modifiability</v>
      </c>
    </row>
    <row r="56" spans="1:7">
      <c r="A56" s="63" t="s">
        <v>155</v>
      </c>
      <c r="B56" s="59" t="str">
        <f>'9조'!B$72</f>
        <v/>
      </c>
      <c r="C56" s="59" t="str">
        <f>'9조'!C$72</f>
        <v>9조 - Layered - Modifiability</v>
      </c>
      <c r="D56" s="59" t="str">
        <f>'9조'!D$72</f>
        <v/>
      </c>
      <c r="E56" s="59" t="str">
        <f>'9조'!E$72</f>
        <v>9조 - Virtual Machine - Modifiability</v>
      </c>
      <c r="F56" s="59" t="str">
        <f>'9조'!F$72</f>
        <v/>
      </c>
      <c r="G56" s="59" t="str">
        <f>'9조'!G$72</f>
        <v>9조 - Microkernel - Modifiability</v>
      </c>
    </row>
    <row r="57" spans="1:7">
      <c r="A57" s="60"/>
      <c r="B57" s="60"/>
      <c r="C57" s="60"/>
      <c r="D57" s="60"/>
      <c r="E57" s="60"/>
      <c r="F57" s="60"/>
      <c r="G57" s="60"/>
    </row>
    <row r="58" spans="1:7">
      <c r="A58" s="53" t="s">
        <v>20</v>
      </c>
      <c r="B58" s="55">
        <f>'Detailed Reasoning'!B$73</f>
        <v>0</v>
      </c>
      <c r="C58" s="55">
        <f>'Detailed Reasoning'!C$73</f>
        <v>0</v>
      </c>
      <c r="D58" s="55">
        <f>'Detailed Reasoning'!D$73</f>
        <v>0</v>
      </c>
      <c r="E58" s="55">
        <f>'Detailed Reasoning'!E$73</f>
        <v>0</v>
      </c>
      <c r="F58" s="55">
        <f>'Detailed Reasoning'!F$73</f>
        <v>0</v>
      </c>
      <c r="G58" s="55">
        <f>'Detailed Reasoning'!G$73</f>
        <v>0</v>
      </c>
    </row>
    <row r="59" spans="1:7">
      <c r="A59" s="63" t="s">
        <v>147</v>
      </c>
      <c r="B59" s="59">
        <f>'1조'!B$73</f>
        <v>0</v>
      </c>
      <c r="C59" s="59" t="s">
        <v>129</v>
      </c>
      <c r="D59" s="59">
        <f>'1조'!D$73</f>
        <v>0</v>
      </c>
      <c r="E59" s="59" t="s">
        <v>130</v>
      </c>
      <c r="F59" s="59">
        <f>'1조'!F$73</f>
        <v>0</v>
      </c>
      <c r="G59" s="59" t="s">
        <v>131</v>
      </c>
    </row>
    <row r="60" spans="1:7">
      <c r="A60" s="63" t="s">
        <v>148</v>
      </c>
      <c r="B60" s="59" t="str">
        <f>'2조'!B$73</f>
        <v/>
      </c>
      <c r="C60" s="59" t="str">
        <f>'2조'!C$73</f>
        <v>2조 - Layered - Performance</v>
      </c>
      <c r="D60" s="59" t="str">
        <f>'2조'!D$73</f>
        <v/>
      </c>
      <c r="E60" s="59" t="str">
        <f>'2조'!E$73</f>
        <v>2조 - Virtual Machine - Performance</v>
      </c>
      <c r="F60" s="59" t="str">
        <f>'2조'!F$73</f>
        <v/>
      </c>
      <c r="G60" s="59" t="str">
        <f>'2조'!G$73</f>
        <v>2조 - Microkernel - Performance</v>
      </c>
    </row>
    <row r="61" spans="1:7">
      <c r="A61" s="63" t="s">
        <v>149</v>
      </c>
      <c r="B61" s="59" t="str">
        <f>'3조'!B$73</f>
        <v/>
      </c>
      <c r="C61" s="59" t="str">
        <f>'3조'!C$73</f>
        <v>3조 - Layered - Performance</v>
      </c>
      <c r="D61" s="59" t="str">
        <f>'3조'!D$73</f>
        <v/>
      </c>
      <c r="E61" s="59" t="str">
        <f>'3조'!E$73</f>
        <v>3조 - Virtual Machine - Performance</v>
      </c>
      <c r="F61" s="59" t="str">
        <f>'3조'!F$73</f>
        <v/>
      </c>
      <c r="G61" s="59" t="str">
        <f>'3조'!G$73</f>
        <v>3조 - Microkernel - Performance</v>
      </c>
    </row>
    <row r="62" spans="1:7">
      <c r="A62" s="63" t="s">
        <v>150</v>
      </c>
      <c r="B62" s="59" t="str">
        <f>'4조'!B$73</f>
        <v/>
      </c>
      <c r="C62" s="59" t="str">
        <f>'4조'!C$73</f>
        <v>4조 - Layered - Performance</v>
      </c>
      <c r="D62" s="59" t="str">
        <f>'4조'!D$73</f>
        <v/>
      </c>
      <c r="E62" s="59" t="str">
        <f>'4조'!E$73</f>
        <v>4조 - Virtual Machine - Performance</v>
      </c>
      <c r="F62" s="59" t="str">
        <f>'4조'!F$73</f>
        <v/>
      </c>
      <c r="G62" s="59" t="str">
        <f>'4조'!G$73</f>
        <v>4조 - Microkernel - Performance</v>
      </c>
    </row>
    <row r="63" spans="1:7">
      <c r="A63" s="63" t="s">
        <v>151</v>
      </c>
      <c r="B63" s="59" t="str">
        <f>'5조'!B$73</f>
        <v/>
      </c>
      <c r="C63" s="59" t="str">
        <f>'5조'!C$73</f>
        <v>5조 - Layered - Performance</v>
      </c>
      <c r="D63" s="59" t="str">
        <f>'5조'!D$73</f>
        <v/>
      </c>
      <c r="E63" s="59" t="str">
        <f>'5조'!E$73</f>
        <v>5조 - Virtual Machine - Performance</v>
      </c>
      <c r="F63" s="59" t="str">
        <f>'5조'!F$73</f>
        <v/>
      </c>
      <c r="G63" s="59" t="str">
        <f>'5조'!G$73</f>
        <v>5조 - Microkernel - Performance</v>
      </c>
    </row>
    <row r="64" spans="1:7">
      <c r="A64" s="63" t="s">
        <v>152</v>
      </c>
      <c r="B64" s="59" t="str">
        <f>'6조'!B$73</f>
        <v/>
      </c>
      <c r="C64" s="59" t="str">
        <f>'6조'!C$73</f>
        <v>6조 - Layered - Performance</v>
      </c>
      <c r="D64" s="59" t="str">
        <f>'6조'!D$73</f>
        <v/>
      </c>
      <c r="E64" s="59" t="str">
        <f>'6조'!E$73</f>
        <v>6조 - Virtual Machine - Performance</v>
      </c>
      <c r="F64" s="59" t="str">
        <f>'6조'!F$73</f>
        <v/>
      </c>
      <c r="G64" s="59" t="str">
        <f>'6조'!G$73</f>
        <v>6조 - Microkernel - Performance</v>
      </c>
    </row>
    <row r="65" spans="1:7">
      <c r="A65" s="63" t="s">
        <v>153</v>
      </c>
      <c r="B65" s="59" t="str">
        <f>'7조'!B$73</f>
        <v/>
      </c>
      <c r="C65" s="59" t="str">
        <f>'7조'!C$73</f>
        <v>7조 - Layered - Performance</v>
      </c>
      <c r="D65" s="59" t="str">
        <f>'7조'!D$73</f>
        <v/>
      </c>
      <c r="E65" s="59" t="str">
        <f>'7조'!E$73</f>
        <v>7조 - Virtual Machine - Performance</v>
      </c>
      <c r="F65" s="59" t="str">
        <f>'7조'!F$73</f>
        <v/>
      </c>
      <c r="G65" s="59" t="str">
        <f>'7조'!G$73</f>
        <v>7조 - Microkernel - Performance</v>
      </c>
    </row>
    <row r="66" spans="1:7">
      <c r="A66" s="63" t="s">
        <v>154</v>
      </c>
      <c r="B66" s="59" t="str">
        <f>'8조'!B$73</f>
        <v/>
      </c>
      <c r="C66" s="59" t="str">
        <f>'8조'!C$73</f>
        <v>8조 - Layered - Performance</v>
      </c>
      <c r="D66" s="59" t="str">
        <f>'8조'!D$73</f>
        <v/>
      </c>
      <c r="E66" s="59" t="str">
        <f>'8조'!E$73</f>
        <v>8조 - Virtual Machine - Performance</v>
      </c>
      <c r="F66" s="59" t="str">
        <f>'8조'!F$73</f>
        <v/>
      </c>
      <c r="G66" s="59" t="str">
        <f>'8조'!G$73</f>
        <v>8조 - Microkernel - Performance</v>
      </c>
    </row>
    <row r="67" spans="1:7">
      <c r="A67" s="63" t="s">
        <v>155</v>
      </c>
      <c r="B67" s="59" t="str">
        <f>'9조'!B$73</f>
        <v/>
      </c>
      <c r="C67" s="59" t="str">
        <f>'9조'!C$73</f>
        <v>9조 - Layered - Performance</v>
      </c>
      <c r="D67" s="59" t="str">
        <f>'9조'!D$73</f>
        <v/>
      </c>
      <c r="E67" s="59" t="str">
        <f>'9조'!E$73</f>
        <v>9조 - Virtual Machine - Performance</v>
      </c>
      <c r="F67" s="59" t="str">
        <f>'9조'!F$73</f>
        <v/>
      </c>
      <c r="G67" s="59" t="str">
        <f>'9조'!G$73</f>
        <v>9조 - Microkernel - Performance</v>
      </c>
    </row>
    <row r="68" spans="1:7">
      <c r="A68" s="60"/>
      <c r="B68" s="60"/>
      <c r="C68" s="60"/>
      <c r="D68" s="60"/>
      <c r="E68" s="60"/>
      <c r="F68" s="60"/>
      <c r="G68" s="60"/>
    </row>
    <row r="69" spans="1:7">
      <c r="A69" s="53" t="s">
        <v>21</v>
      </c>
      <c r="B69" s="55">
        <f>'Detailed Reasoning'!B$74</f>
        <v>0</v>
      </c>
      <c r="C69" s="55">
        <f>'Detailed Reasoning'!C$74</f>
        <v>0</v>
      </c>
      <c r="D69" s="55">
        <f>'Detailed Reasoning'!D$74</f>
        <v>0</v>
      </c>
      <c r="E69" s="55">
        <f>'Detailed Reasoning'!E$74</f>
        <v>0</v>
      </c>
      <c r="F69" s="55">
        <f>'Detailed Reasoning'!F$74</f>
        <v>0</v>
      </c>
      <c r="G69" s="55">
        <f>'Detailed Reasoning'!G$74</f>
        <v>0</v>
      </c>
    </row>
    <row r="70" spans="1:7">
      <c r="A70" s="63" t="s">
        <v>147</v>
      </c>
      <c r="B70" s="59">
        <f>'1조'!B$74</f>
        <v>0</v>
      </c>
      <c r="C70" s="59" t="s">
        <v>132</v>
      </c>
      <c r="D70" s="59">
        <f>'1조'!D$74</f>
        <v>0</v>
      </c>
      <c r="E70" s="59" t="s">
        <v>133</v>
      </c>
      <c r="F70" s="59">
        <f>'1조'!F$74</f>
        <v>0</v>
      </c>
      <c r="G70" s="59" t="s">
        <v>134</v>
      </c>
    </row>
    <row r="71" spans="1:7">
      <c r="A71" s="63" t="s">
        <v>148</v>
      </c>
      <c r="B71" s="59" t="str">
        <f>'2조'!B$74</f>
        <v/>
      </c>
      <c r="C71" s="59" t="str">
        <f>'2조'!C$74</f>
        <v>2조 - Layered - Safety</v>
      </c>
      <c r="D71" s="59" t="str">
        <f>'2조'!D$74</f>
        <v/>
      </c>
      <c r="E71" s="59" t="str">
        <f>'2조'!E$74</f>
        <v>2조 - Virtual Machine - Safety</v>
      </c>
      <c r="F71" s="59" t="str">
        <f>'2조'!F$74</f>
        <v/>
      </c>
      <c r="G71" s="59" t="str">
        <f>'2조'!G$74</f>
        <v>2조 - Microkernel - Safety</v>
      </c>
    </row>
    <row r="72" spans="1:7">
      <c r="A72" s="63" t="s">
        <v>149</v>
      </c>
      <c r="B72" s="59" t="str">
        <f>'3조'!B$74</f>
        <v/>
      </c>
      <c r="C72" s="59" t="str">
        <f>'3조'!C$74</f>
        <v>3조 - Layered - Safety</v>
      </c>
      <c r="D72" s="59" t="str">
        <f>'3조'!D$74</f>
        <v/>
      </c>
      <c r="E72" s="59" t="str">
        <f>'3조'!E$74</f>
        <v>3조 - Virtual Machine - Safety</v>
      </c>
      <c r="F72" s="59" t="str">
        <f>'3조'!F$74</f>
        <v/>
      </c>
      <c r="G72" s="59" t="str">
        <f>'3조'!G$74</f>
        <v>3조 - Microkernel - Safety</v>
      </c>
    </row>
    <row r="73" spans="1:7">
      <c r="A73" s="63" t="s">
        <v>150</v>
      </c>
      <c r="B73" s="59" t="str">
        <f>'4조'!B$74</f>
        <v/>
      </c>
      <c r="C73" s="59" t="str">
        <f>'4조'!C$74</f>
        <v>4조 - Layered - Safety</v>
      </c>
      <c r="D73" s="59" t="str">
        <f>'4조'!D$74</f>
        <v/>
      </c>
      <c r="E73" s="59" t="str">
        <f>'4조'!E$74</f>
        <v>4조 - Virtual Machine - Safety</v>
      </c>
      <c r="F73" s="59" t="str">
        <f>'4조'!F$74</f>
        <v/>
      </c>
      <c r="G73" s="59" t="str">
        <f>'4조'!G$74</f>
        <v>4조 - Microkernel - Safety</v>
      </c>
    </row>
    <row r="74" spans="1:7">
      <c r="A74" s="63" t="s">
        <v>151</v>
      </c>
      <c r="B74" s="59" t="str">
        <f>'5조'!B$74</f>
        <v/>
      </c>
      <c r="C74" s="59" t="str">
        <f>'5조'!C$74</f>
        <v>5조 - Layered - Safety</v>
      </c>
      <c r="D74" s="59" t="str">
        <f>'5조'!D$74</f>
        <v/>
      </c>
      <c r="E74" s="59" t="str">
        <f>'5조'!E$74</f>
        <v>5조 - Virtual Machine - Safety</v>
      </c>
      <c r="F74" s="59" t="str">
        <f>'5조'!F$74</f>
        <v/>
      </c>
      <c r="G74" s="59" t="str">
        <f>'5조'!G$74</f>
        <v>5조 - Microkernel - Safety</v>
      </c>
    </row>
    <row r="75" spans="1:7">
      <c r="A75" s="63" t="s">
        <v>152</v>
      </c>
      <c r="B75" s="59" t="str">
        <f>'6조'!B$74</f>
        <v/>
      </c>
      <c r="C75" s="59" t="str">
        <f>'6조'!C$74</f>
        <v>6조 - Layered - Safety</v>
      </c>
      <c r="D75" s="59" t="str">
        <f>'6조'!D$74</f>
        <v/>
      </c>
      <c r="E75" s="59" t="str">
        <f>'6조'!E$74</f>
        <v>6조 - Virtual Machine - Safety</v>
      </c>
      <c r="F75" s="59" t="str">
        <f>'6조'!F$74</f>
        <v/>
      </c>
      <c r="G75" s="59" t="str">
        <f>'6조'!G$74</f>
        <v>6조 - Microkernel - Safety</v>
      </c>
    </row>
    <row r="76" spans="1:7">
      <c r="A76" s="63" t="s">
        <v>153</v>
      </c>
      <c r="B76" s="59" t="str">
        <f>'7조'!B$74</f>
        <v/>
      </c>
      <c r="C76" s="59" t="str">
        <f>'7조'!C$74</f>
        <v>7조 - Layered - Safety</v>
      </c>
      <c r="D76" s="59" t="str">
        <f>'7조'!D$74</f>
        <v/>
      </c>
      <c r="E76" s="59" t="str">
        <f>'7조'!E$74</f>
        <v>7조 - Virtual Machine - Safety</v>
      </c>
      <c r="F76" s="59" t="str">
        <f>'7조'!F$74</f>
        <v/>
      </c>
      <c r="G76" s="59" t="str">
        <f>'7조'!G$74</f>
        <v>7조 - Microkernel - Safety</v>
      </c>
    </row>
    <row r="77" spans="1:7">
      <c r="A77" s="63" t="s">
        <v>154</v>
      </c>
      <c r="B77" s="59" t="str">
        <f>'8조'!B$74</f>
        <v/>
      </c>
      <c r="C77" s="59" t="str">
        <f>'8조'!C$74</f>
        <v>8조 - Layered - Safety</v>
      </c>
      <c r="D77" s="59" t="str">
        <f>'8조'!D$74</f>
        <v/>
      </c>
      <c r="E77" s="59" t="str">
        <f>'8조'!E$74</f>
        <v>8조 - Virtual Machine - Safety</v>
      </c>
      <c r="F77" s="59" t="str">
        <f>'8조'!F$74</f>
        <v/>
      </c>
      <c r="G77" s="59" t="str">
        <f>'8조'!G$74</f>
        <v>8조 - Microkernel - Safety</v>
      </c>
    </row>
    <row r="78" spans="1:7">
      <c r="A78" s="63" t="s">
        <v>155</v>
      </c>
      <c r="B78" s="59" t="str">
        <f>'9조'!B$74</f>
        <v/>
      </c>
      <c r="C78" s="59" t="str">
        <f>'9조'!C$74</f>
        <v>9조 - Layered - Safety</v>
      </c>
      <c r="D78" s="59" t="str">
        <f>'9조'!D$74</f>
        <v/>
      </c>
      <c r="E78" s="59" t="str">
        <f>'9조'!E$74</f>
        <v>9조 - Virtual Machine - Safety</v>
      </c>
      <c r="F78" s="59" t="str">
        <f>'9조'!F$74</f>
        <v/>
      </c>
      <c r="G78" s="59" t="str">
        <f>'9조'!G$74</f>
        <v>9조 - Microkernel - Safety</v>
      </c>
    </row>
    <row r="79" spans="1:7">
      <c r="A79" s="60"/>
      <c r="B79" s="60"/>
      <c r="C79" s="60"/>
      <c r="D79" s="60"/>
      <c r="E79" s="60"/>
      <c r="F79" s="60"/>
      <c r="G79" s="60"/>
    </row>
    <row r="80" spans="1:7">
      <c r="A80" s="53" t="s">
        <v>22</v>
      </c>
      <c r="B80" s="55">
        <f>'Detailed Reasoning'!B$75</f>
        <v>0</v>
      </c>
      <c r="C80" s="55">
        <f>'Detailed Reasoning'!C$75</f>
        <v>0</v>
      </c>
      <c r="D80" s="55">
        <f>'Detailed Reasoning'!D$75</f>
        <v>0</v>
      </c>
      <c r="E80" s="55">
        <f>'Detailed Reasoning'!E$75</f>
        <v>0</v>
      </c>
      <c r="F80" s="58">
        <f>'Detailed Reasoning'!F$75</f>
        <v>0</v>
      </c>
      <c r="G80" s="58">
        <f>'Detailed Reasoning'!G$75</f>
        <v>0</v>
      </c>
    </row>
    <row r="81" spans="1:7">
      <c r="A81" s="63" t="s">
        <v>147</v>
      </c>
      <c r="B81" s="59">
        <f>'1조'!B$75</f>
        <v>0</v>
      </c>
      <c r="C81" s="59" t="s">
        <v>135</v>
      </c>
      <c r="D81" s="59">
        <f>'1조'!D$75</f>
        <v>0</v>
      </c>
      <c r="E81" s="59" t="s">
        <v>136</v>
      </c>
      <c r="F81" s="59">
        <f>'1조'!F$75</f>
        <v>0</v>
      </c>
      <c r="G81" s="59" t="s">
        <v>137</v>
      </c>
    </row>
    <row r="82" spans="1:7">
      <c r="A82" s="63" t="s">
        <v>148</v>
      </c>
      <c r="B82" s="59" t="str">
        <f>'2조'!B$75</f>
        <v/>
      </c>
      <c r="C82" s="59" t="str">
        <f>'2조'!C$75</f>
        <v>2조 - Layered - Security</v>
      </c>
      <c r="D82" s="59" t="str">
        <f>'2조'!D$75</f>
        <v/>
      </c>
      <c r="E82" s="59" t="str">
        <f>'2조'!E$75</f>
        <v>2조 - Virtual Machine - Security</v>
      </c>
      <c r="F82" s="59" t="str">
        <f>'2조'!F$75</f>
        <v/>
      </c>
      <c r="G82" s="59" t="str">
        <f>'2조'!G$75</f>
        <v>2조 - Microkernel - Security</v>
      </c>
    </row>
    <row r="83" spans="1:7">
      <c r="A83" s="63" t="s">
        <v>149</v>
      </c>
      <c r="B83" s="59" t="str">
        <f>'3조'!B$75</f>
        <v/>
      </c>
      <c r="C83" s="59" t="str">
        <f>'3조'!C$75</f>
        <v>3조 - Layered - Security</v>
      </c>
      <c r="D83" s="59" t="str">
        <f>'3조'!D$75</f>
        <v/>
      </c>
      <c r="E83" s="59" t="str">
        <f>'3조'!E$75</f>
        <v>3조 - Virtual Machine - Security</v>
      </c>
      <c r="F83" s="59" t="str">
        <f>'3조'!F$75</f>
        <v/>
      </c>
      <c r="G83" s="59" t="str">
        <f>'3조'!G$75</f>
        <v>3조 - Microkernel - Security</v>
      </c>
    </row>
    <row r="84" spans="1:7">
      <c r="A84" s="63" t="s">
        <v>150</v>
      </c>
      <c r="B84" s="59" t="str">
        <f>'4조'!B$75</f>
        <v/>
      </c>
      <c r="C84" s="59" t="str">
        <f>'4조'!C$75</f>
        <v>4조 - Layered - Security</v>
      </c>
      <c r="D84" s="59" t="str">
        <f>'4조'!D$75</f>
        <v/>
      </c>
      <c r="E84" s="59" t="str">
        <f>'4조'!E$75</f>
        <v>4조 - Virtual Machine - Security</v>
      </c>
      <c r="F84" s="59" t="str">
        <f>'4조'!F$75</f>
        <v/>
      </c>
      <c r="G84" s="59" t="str">
        <f>'4조'!G$75</f>
        <v>4조 - Microkernel - Security</v>
      </c>
    </row>
    <row r="85" spans="1:7">
      <c r="A85" s="63" t="s">
        <v>151</v>
      </c>
      <c r="B85" s="59" t="str">
        <f>'5조'!B$75</f>
        <v/>
      </c>
      <c r="C85" s="59" t="str">
        <f>'5조'!C$75</f>
        <v>5조 - Layered - Security</v>
      </c>
      <c r="D85" s="59" t="str">
        <f>'5조'!D$75</f>
        <v/>
      </c>
      <c r="E85" s="59" t="str">
        <f>'5조'!E$75</f>
        <v>5조 - Virtual Machine - Security</v>
      </c>
      <c r="F85" s="59" t="str">
        <f>'5조'!F$75</f>
        <v/>
      </c>
      <c r="G85" s="59" t="str">
        <f>'5조'!G$75</f>
        <v>5조 - Microkernel - Security</v>
      </c>
    </row>
    <row r="86" spans="1:7">
      <c r="A86" s="63" t="s">
        <v>152</v>
      </c>
      <c r="B86" s="59" t="str">
        <f>'6조'!B$75</f>
        <v/>
      </c>
      <c r="C86" s="59" t="str">
        <f>'6조'!C$75</f>
        <v>6조 - Layered - Security</v>
      </c>
      <c r="D86" s="59" t="str">
        <f>'6조'!D$75</f>
        <v/>
      </c>
      <c r="E86" s="59" t="str">
        <f>'6조'!E$75</f>
        <v>6조 - Virtual Machine - Security</v>
      </c>
      <c r="F86" s="59" t="str">
        <f>'6조'!F$75</f>
        <v/>
      </c>
      <c r="G86" s="59" t="str">
        <f>'6조'!G$75</f>
        <v>6조 - Microkernel - Security</v>
      </c>
    </row>
    <row r="87" spans="1:7">
      <c r="A87" s="63" t="s">
        <v>153</v>
      </c>
      <c r="B87" s="59" t="str">
        <f>'7조'!B$75</f>
        <v/>
      </c>
      <c r="C87" s="59" t="str">
        <f>'7조'!C$75</f>
        <v>7조 - Layered - Security</v>
      </c>
      <c r="D87" s="59" t="str">
        <f>'7조'!D$75</f>
        <v/>
      </c>
      <c r="E87" s="59" t="str">
        <f>'7조'!E$75</f>
        <v>7조 - Virtual Machine - Security</v>
      </c>
      <c r="F87" s="59" t="str">
        <f>'7조'!F$75</f>
        <v/>
      </c>
      <c r="G87" s="59" t="str">
        <f>'7조'!G$75</f>
        <v>7조 - Microkernel - Security</v>
      </c>
    </row>
    <row r="88" spans="1:7">
      <c r="A88" s="63" t="s">
        <v>154</v>
      </c>
      <c r="B88" s="59" t="str">
        <f>'8조'!B$75</f>
        <v/>
      </c>
      <c r="C88" s="59" t="str">
        <f>'8조'!C$75</f>
        <v>8조 - Layered - Security</v>
      </c>
      <c r="D88" s="59" t="str">
        <f>'8조'!D$75</f>
        <v/>
      </c>
      <c r="E88" s="59" t="str">
        <f>'8조'!E$75</f>
        <v>8조 - Virtual Machine - Security</v>
      </c>
      <c r="F88" s="59" t="str">
        <f>'8조'!F$75</f>
        <v/>
      </c>
      <c r="G88" s="59" t="str">
        <f>'8조'!G$75</f>
        <v>8조 - Microkernel - Security</v>
      </c>
    </row>
    <row r="89" spans="1:7">
      <c r="A89" s="63" t="s">
        <v>155</v>
      </c>
      <c r="B89" s="59" t="str">
        <f>'9조'!B$75</f>
        <v/>
      </c>
      <c r="C89" s="59" t="str">
        <f>'9조'!C$75</f>
        <v>9조 - Layered - Security</v>
      </c>
      <c r="D89" s="59" t="str">
        <f>'9조'!D$75</f>
        <v/>
      </c>
      <c r="E89" s="59" t="str">
        <f>'9조'!E$75</f>
        <v>9조 - Virtual Machine - Security</v>
      </c>
      <c r="F89" s="59" t="str">
        <f>'9조'!F$75</f>
        <v/>
      </c>
      <c r="G89" s="59" t="str">
        <f>'9조'!G$75</f>
        <v>9조 - Microkernel - Security</v>
      </c>
    </row>
    <row r="90" spans="1:7">
      <c r="A90" s="60"/>
      <c r="B90" s="60"/>
      <c r="C90" s="60"/>
      <c r="D90" s="60"/>
      <c r="E90" s="60"/>
      <c r="F90" s="60"/>
      <c r="G90" s="60"/>
    </row>
    <row r="91" spans="1:7">
      <c r="A91" s="53" t="s">
        <v>23</v>
      </c>
      <c r="B91" s="55">
        <f>'Detailed Reasoning'!B$76</f>
        <v>0</v>
      </c>
      <c r="C91" s="55">
        <f>'Detailed Reasoning'!C$76</f>
        <v>0</v>
      </c>
      <c r="D91" s="55">
        <f>'Detailed Reasoning'!D$76</f>
        <v>0</v>
      </c>
      <c r="E91" s="55">
        <f>'Detailed Reasoning'!E$76</f>
        <v>0</v>
      </c>
      <c r="F91" s="55">
        <f>'Detailed Reasoning'!F$76</f>
        <v>0</v>
      </c>
      <c r="G91" s="58">
        <f>'Detailed Reasoning'!G$76</f>
        <v>0</v>
      </c>
    </row>
    <row r="92" spans="1:7">
      <c r="A92" s="63" t="s">
        <v>147</v>
      </c>
      <c r="B92" s="59">
        <f>'1조'!B$76</f>
        <v>0</v>
      </c>
      <c r="C92" s="59" t="s">
        <v>138</v>
      </c>
      <c r="D92" s="59">
        <f>'1조'!D$76</f>
        <v>0</v>
      </c>
      <c r="E92" s="59" t="s">
        <v>139</v>
      </c>
      <c r="F92" s="59">
        <f>'1조'!F$76</f>
        <v>0</v>
      </c>
      <c r="G92" s="59" t="s">
        <v>140</v>
      </c>
    </row>
    <row r="93" spans="1:7">
      <c r="A93" s="63" t="s">
        <v>148</v>
      </c>
      <c r="B93" s="59" t="str">
        <f>'2조'!B$76</f>
        <v/>
      </c>
      <c r="C93" s="59" t="str">
        <f>'2조'!C$76</f>
        <v>2조 - Layered - Testability</v>
      </c>
      <c r="D93" s="59" t="str">
        <f>'2조'!D$76</f>
        <v/>
      </c>
      <c r="E93" s="59" t="str">
        <f>'2조'!E$76</f>
        <v>2조 - Virtual Machine - Testability</v>
      </c>
      <c r="F93" s="59" t="str">
        <f>'2조'!F$76</f>
        <v/>
      </c>
      <c r="G93" s="59" t="str">
        <f>'2조'!G$76</f>
        <v>2조 - Microkernel - Testability</v>
      </c>
    </row>
    <row r="94" spans="1:7">
      <c r="A94" s="63" t="s">
        <v>149</v>
      </c>
      <c r="B94" s="59" t="str">
        <f>'3조'!B$76</f>
        <v/>
      </c>
      <c r="C94" s="59" t="str">
        <f>'3조'!C$76</f>
        <v>3조 - Layered - Testability</v>
      </c>
      <c r="D94" s="59" t="str">
        <f>'3조'!D$76</f>
        <v/>
      </c>
      <c r="E94" s="59" t="str">
        <f>'3조'!E$76</f>
        <v>3조 - Virtual Machine - Testability</v>
      </c>
      <c r="F94" s="59" t="str">
        <f>'3조'!F$76</f>
        <v/>
      </c>
      <c r="G94" s="59" t="str">
        <f>'3조'!G$76</f>
        <v>3조 - Microkernel - Testability</v>
      </c>
    </row>
    <row r="95" spans="1:7">
      <c r="A95" s="63" t="s">
        <v>150</v>
      </c>
      <c r="B95" s="59" t="str">
        <f>'4조'!B$76</f>
        <v/>
      </c>
      <c r="C95" s="59" t="str">
        <f>'4조'!C$76</f>
        <v>4조 - Layered - Testability</v>
      </c>
      <c r="D95" s="59" t="str">
        <f>'4조'!D$76</f>
        <v/>
      </c>
      <c r="E95" s="59" t="str">
        <f>'4조'!E$76</f>
        <v>4조 - Virtual Machine - Testability</v>
      </c>
      <c r="F95" s="59" t="str">
        <f>'4조'!F$76</f>
        <v/>
      </c>
      <c r="G95" s="59" t="str">
        <f>'4조'!G$76</f>
        <v>4조 - Microkernel - Testability</v>
      </c>
    </row>
    <row r="96" spans="1:7">
      <c r="A96" s="63" t="s">
        <v>151</v>
      </c>
      <c r="B96" s="59" t="str">
        <f>'5조'!B$76</f>
        <v/>
      </c>
      <c r="C96" s="59" t="str">
        <f>'5조'!C$76</f>
        <v>5조 - Layered - Testability</v>
      </c>
      <c r="D96" s="59" t="str">
        <f>'5조'!D$76</f>
        <v/>
      </c>
      <c r="E96" s="59" t="str">
        <f>'5조'!E$76</f>
        <v>5조 - Virtual Machine - Testability</v>
      </c>
      <c r="F96" s="59" t="str">
        <f>'5조'!F$76</f>
        <v/>
      </c>
      <c r="G96" s="59" t="str">
        <f>'5조'!G$76</f>
        <v>5조 - Microkernel - Testability</v>
      </c>
    </row>
    <row r="97" spans="1:7">
      <c r="A97" s="63" t="s">
        <v>152</v>
      </c>
      <c r="B97" s="59" t="str">
        <f>'6조'!B$76</f>
        <v/>
      </c>
      <c r="C97" s="59" t="str">
        <f>'6조'!C$76</f>
        <v>6조 - Layered - Testability</v>
      </c>
      <c r="D97" s="59" t="str">
        <f>'6조'!D$76</f>
        <v/>
      </c>
      <c r="E97" s="59" t="str">
        <f>'6조'!E$76</f>
        <v>6조 - Virtual Machine - Testability</v>
      </c>
      <c r="F97" s="59" t="str">
        <f>'6조'!F$76</f>
        <v/>
      </c>
      <c r="G97" s="59" t="str">
        <f>'6조'!G$76</f>
        <v>6조 - Microkernel - Testability</v>
      </c>
    </row>
    <row r="98" spans="1:7">
      <c r="A98" s="63" t="s">
        <v>153</v>
      </c>
      <c r="B98" s="59" t="str">
        <f>'7조'!B$76</f>
        <v/>
      </c>
      <c r="C98" s="59" t="str">
        <f>'7조'!C$76</f>
        <v>7조 - Layered - Testability</v>
      </c>
      <c r="D98" s="59" t="str">
        <f>'7조'!D$76</f>
        <v/>
      </c>
      <c r="E98" s="59" t="str">
        <f>'7조'!E$76</f>
        <v>7조 - Virtual Machine - Testability</v>
      </c>
      <c r="F98" s="59" t="str">
        <f>'7조'!F$76</f>
        <v/>
      </c>
      <c r="G98" s="59" t="str">
        <f>'7조'!G$76</f>
        <v>7조 - Microkernel - Testability</v>
      </c>
    </row>
    <row r="99" spans="1:7">
      <c r="A99" s="63" t="s">
        <v>154</v>
      </c>
      <c r="B99" s="59" t="str">
        <f>'8조'!B$76</f>
        <v/>
      </c>
      <c r="C99" s="59" t="str">
        <f>'8조'!C$76</f>
        <v>8조 - Layered - Testability</v>
      </c>
      <c r="D99" s="59" t="str">
        <f>'8조'!D$76</f>
        <v/>
      </c>
      <c r="E99" s="59" t="str">
        <f>'8조'!E$76</f>
        <v>8조 - Virtual Machine - Testability</v>
      </c>
      <c r="F99" s="59" t="str">
        <f>'8조'!F$76</f>
        <v/>
      </c>
      <c r="G99" s="59" t="str">
        <f>'8조'!G$76</f>
        <v>8조 - Microkernel - Testability</v>
      </c>
    </row>
    <row r="100" spans="1:7">
      <c r="A100" s="63" t="s">
        <v>155</v>
      </c>
      <c r="B100" s="59" t="str">
        <f>'9조'!B$76</f>
        <v/>
      </c>
      <c r="C100" s="59" t="str">
        <f>'9조'!C$76</f>
        <v>9조 - Layered - Testability</v>
      </c>
      <c r="D100" s="59" t="str">
        <f>'9조'!D$76</f>
        <v/>
      </c>
      <c r="E100" s="59" t="str">
        <f>'9조'!E$76</f>
        <v>9조 - Virtual Machine - Testability</v>
      </c>
      <c r="F100" s="59" t="str">
        <f>'9조'!F$76</f>
        <v/>
      </c>
      <c r="G100" s="59" t="str">
        <f>'9조'!G$76</f>
        <v>9조 - Microkernel - Testability</v>
      </c>
    </row>
    <row r="101" spans="1:7" ht="15" customHeight="1">
      <c r="A101" s="60"/>
      <c r="B101" s="60"/>
      <c r="C101" s="60"/>
      <c r="D101" s="60"/>
      <c r="E101" s="60"/>
      <c r="F101" s="60"/>
      <c r="G101" s="60"/>
    </row>
    <row r="102" spans="1:7">
      <c r="A102" s="53" t="s">
        <v>24</v>
      </c>
      <c r="B102" s="55">
        <f>'Detailed Reasoning'!B$77</f>
        <v>0</v>
      </c>
      <c r="C102" s="55">
        <f>'Detailed Reasoning'!C$77</f>
        <v>0</v>
      </c>
      <c r="D102" s="55">
        <f>'Detailed Reasoning'!D$77</f>
        <v>0</v>
      </c>
      <c r="E102" s="55">
        <f>'Detailed Reasoning'!E$77</f>
        <v>0</v>
      </c>
      <c r="F102" s="55">
        <f>'Detailed Reasoning'!F$77</f>
        <v>0</v>
      </c>
      <c r="G102" s="58">
        <f>'Detailed Reasoning'!G$77</f>
        <v>0</v>
      </c>
    </row>
    <row r="103" spans="1:7">
      <c r="A103" s="63" t="s">
        <v>147</v>
      </c>
      <c r="B103" s="59">
        <f>'1조'!B$77</f>
        <v>0</v>
      </c>
      <c r="C103" s="59" t="s">
        <v>141</v>
      </c>
      <c r="D103" s="59">
        <f>'1조'!D$77</f>
        <v>0</v>
      </c>
      <c r="E103" s="59" t="s">
        <v>142</v>
      </c>
      <c r="F103" s="59">
        <f>'1조'!F$77</f>
        <v>0</v>
      </c>
      <c r="G103" s="59" t="s">
        <v>143</v>
      </c>
    </row>
    <row r="104" spans="1:7">
      <c r="A104" s="63" t="s">
        <v>148</v>
      </c>
      <c r="B104" s="59" t="str">
        <f>'2조'!B$77</f>
        <v/>
      </c>
      <c r="C104" s="59" t="str">
        <f>'2조'!C$77</f>
        <v>2조 - Layered - Usability</v>
      </c>
      <c r="D104" s="59" t="str">
        <f>'2조'!D$77</f>
        <v/>
      </c>
      <c r="E104" s="59" t="str">
        <f>'2조'!E$77</f>
        <v>2조 - Virtual Machine - Usability</v>
      </c>
      <c r="F104" s="59" t="str">
        <f>'2조'!F$77</f>
        <v/>
      </c>
      <c r="G104" s="59" t="str">
        <f>'2조'!G$77</f>
        <v>2조 - Microkernel - Usability</v>
      </c>
    </row>
    <row r="105" spans="1:7">
      <c r="A105" s="63" t="s">
        <v>149</v>
      </c>
      <c r="B105" s="59" t="str">
        <f>'3조'!B$77</f>
        <v/>
      </c>
      <c r="C105" s="59" t="str">
        <f>'3조'!C$77</f>
        <v>3조 - Layered - Usability</v>
      </c>
      <c r="D105" s="59" t="str">
        <f>'3조'!D$77</f>
        <v/>
      </c>
      <c r="E105" s="59" t="str">
        <f>'3조'!E$77</f>
        <v>3조 - Virtual Machine - Usability</v>
      </c>
      <c r="F105" s="59" t="str">
        <f>'3조'!F$77</f>
        <v/>
      </c>
      <c r="G105" s="59" t="str">
        <f>'3조'!G$77</f>
        <v>3조 - Microkernel - Usability</v>
      </c>
    </row>
    <row r="106" spans="1:7">
      <c r="A106" s="63" t="s">
        <v>150</v>
      </c>
      <c r="B106" s="59" t="str">
        <f>'4조'!B$77</f>
        <v/>
      </c>
      <c r="C106" s="59" t="str">
        <f>'4조'!C$77</f>
        <v>4조 - Layered - Usability</v>
      </c>
      <c r="D106" s="59" t="str">
        <f>'4조'!D$77</f>
        <v/>
      </c>
      <c r="E106" s="59" t="str">
        <f>'4조'!E$77</f>
        <v>4조 - Virtual Machine - Usability</v>
      </c>
      <c r="F106" s="59" t="str">
        <f>'4조'!F$77</f>
        <v/>
      </c>
      <c r="G106" s="59" t="str">
        <f>'4조'!G$77</f>
        <v>4조 - Microkernel - Usability</v>
      </c>
    </row>
    <row r="107" spans="1:7">
      <c r="A107" s="63" t="s">
        <v>151</v>
      </c>
      <c r="B107" s="59" t="str">
        <f>'5조'!B$77</f>
        <v/>
      </c>
      <c r="C107" s="59" t="str">
        <f>'5조'!C$77</f>
        <v>5조 - Layered - Usability</v>
      </c>
      <c r="D107" s="59" t="str">
        <f>'5조'!D$77</f>
        <v/>
      </c>
      <c r="E107" s="59" t="str">
        <f>'5조'!E$77</f>
        <v>5조 - Virtual Machine - Usability</v>
      </c>
      <c r="F107" s="59" t="str">
        <f>'5조'!F$77</f>
        <v/>
      </c>
      <c r="G107" s="59" t="str">
        <f>'5조'!G$77</f>
        <v>5조 - Microkernel - Usability</v>
      </c>
    </row>
    <row r="108" spans="1:7">
      <c r="A108" s="63" t="s">
        <v>152</v>
      </c>
      <c r="B108" s="59" t="str">
        <f>'6조'!B$77</f>
        <v/>
      </c>
      <c r="C108" s="59" t="str">
        <f>'6조'!C$77</f>
        <v>6조 - Layered - Usability</v>
      </c>
      <c r="D108" s="59" t="str">
        <f>'6조'!D$77</f>
        <v/>
      </c>
      <c r="E108" s="59" t="str">
        <f>'6조'!E$77</f>
        <v>6조 - Virtual Machine - Usability</v>
      </c>
      <c r="F108" s="59" t="str">
        <f>'6조'!F$77</f>
        <v/>
      </c>
      <c r="G108" s="59" t="str">
        <f>'6조'!G$77</f>
        <v>6조 - Microkernel - Usability</v>
      </c>
    </row>
    <row r="109" spans="1:7">
      <c r="A109" s="63" t="s">
        <v>153</v>
      </c>
      <c r="B109" s="59" t="str">
        <f>'7조'!B$77</f>
        <v/>
      </c>
      <c r="C109" s="59" t="str">
        <f>'7조'!C$77</f>
        <v>7조 - Layered - Usability</v>
      </c>
      <c r="D109" s="59" t="str">
        <f>'7조'!D$77</f>
        <v/>
      </c>
      <c r="E109" s="59" t="str">
        <f>'7조'!E$77</f>
        <v>7조 - Virtual Machine - Usability</v>
      </c>
      <c r="F109" s="59" t="str">
        <f>'7조'!F$77</f>
        <v/>
      </c>
      <c r="G109" s="59" t="str">
        <f>'7조'!G$77</f>
        <v>7조 - Microkernel - Usability</v>
      </c>
    </row>
    <row r="110" spans="1:7">
      <c r="A110" s="63" t="s">
        <v>154</v>
      </c>
      <c r="B110" s="59" t="str">
        <f>'8조'!B$77</f>
        <v/>
      </c>
      <c r="C110" s="59" t="str">
        <f>'8조'!C$77</f>
        <v>8조 - Layered - Usability</v>
      </c>
      <c r="D110" s="59" t="str">
        <f>'8조'!D$77</f>
        <v/>
      </c>
      <c r="E110" s="59" t="str">
        <f>'8조'!E$77</f>
        <v>8조 - Virtual Machine - Usability</v>
      </c>
      <c r="F110" s="59" t="str">
        <f>'8조'!F$77</f>
        <v/>
      </c>
      <c r="G110" s="59" t="str">
        <f>'8조'!G$77</f>
        <v>8조 - Microkernel - Usability</v>
      </c>
    </row>
    <row r="111" spans="1:7">
      <c r="A111" s="63" t="s">
        <v>155</v>
      </c>
      <c r="B111" s="59" t="str">
        <f>'9조'!B$77</f>
        <v/>
      </c>
      <c r="C111" s="59" t="str">
        <f>'9조'!C$77</f>
        <v>9조 - Layered - Usability</v>
      </c>
      <c r="D111" s="59" t="str">
        <f>'9조'!D$77</f>
        <v/>
      </c>
      <c r="E111" s="59" t="str">
        <f>'9조'!E$77</f>
        <v>9조 - Virtual Machine - Usability</v>
      </c>
      <c r="F111" s="59" t="str">
        <f>'9조'!F$77</f>
        <v/>
      </c>
      <c r="G111" s="59" t="str">
        <f>'9조'!G$77</f>
        <v>9조 - Microkernel - Usability</v>
      </c>
    </row>
  </sheetData>
  <mergeCells count="4">
    <mergeCell ref="A1:A2"/>
    <mergeCell ref="B1:C1"/>
    <mergeCell ref="D1:E1"/>
    <mergeCell ref="F1:G1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11"/>
  <sheetViews>
    <sheetView workbookViewId="0">
      <selection activeCell="I106" sqref="I106"/>
    </sheetView>
  </sheetViews>
  <sheetFormatPr defaultColWidth="14.42578125" defaultRowHeight="15" customHeight="1"/>
  <cols>
    <col min="1" max="1" width="17.5703125" bestFit="1" customWidth="1"/>
    <col min="2" max="2" width="7.7109375" bestFit="1" customWidth="1"/>
    <col min="3" max="3" width="34.28515625" bestFit="1" customWidth="1"/>
    <col min="4" max="4" width="7.7109375" bestFit="1" customWidth="1"/>
    <col min="5" max="5" width="37.7109375" bestFit="1" customWidth="1"/>
    <col min="7" max="7" width="45.140625" customWidth="1"/>
  </cols>
  <sheetData>
    <row r="1" spans="1:5">
      <c r="A1" s="65" t="s">
        <v>40</v>
      </c>
      <c r="B1" s="65" t="s">
        <v>144</v>
      </c>
      <c r="C1" s="65"/>
      <c r="D1" s="65" t="s">
        <v>42</v>
      </c>
      <c r="E1" s="65"/>
    </row>
    <row r="2" spans="1:5">
      <c r="A2" s="65"/>
      <c r="B2" s="64" t="s">
        <v>4</v>
      </c>
      <c r="C2" s="64" t="s">
        <v>5</v>
      </c>
      <c r="D2" s="64" t="s">
        <v>4</v>
      </c>
      <c r="E2" s="64" t="s">
        <v>5</v>
      </c>
    </row>
    <row r="3" spans="1:5" ht="15" customHeight="1">
      <c r="A3" s="55" t="s">
        <v>6</v>
      </c>
      <c r="B3" s="55">
        <v>0</v>
      </c>
      <c r="C3" s="55">
        <v>0</v>
      </c>
      <c r="D3" s="55">
        <v>0</v>
      </c>
      <c r="E3" s="55">
        <v>0</v>
      </c>
    </row>
    <row r="4" spans="1:5">
      <c r="A4" s="60" t="s">
        <v>7</v>
      </c>
      <c r="B4" s="60">
        <v>0</v>
      </c>
      <c r="C4" s="60" t="str">
        <f>'1조'!C81</f>
        <v>1조 - Multi-tier - Availability</v>
      </c>
      <c r="D4" s="60">
        <v>0</v>
      </c>
      <c r="E4" s="60" t="str">
        <f>'1조'!E81</f>
        <v>1조 - Client-Server - Availability</v>
      </c>
    </row>
    <row r="5" spans="1:5">
      <c r="A5" s="60" t="s">
        <v>8</v>
      </c>
      <c r="B5" s="60">
        <v>0</v>
      </c>
      <c r="C5" s="60" t="str">
        <f>'2조'!C81</f>
        <v>2조 - Multi-tier - Availability</v>
      </c>
      <c r="D5" s="60">
        <v>0</v>
      </c>
      <c r="E5" s="60" t="str">
        <f>'2조'!E81</f>
        <v>2조 - Client-Server - Availability</v>
      </c>
    </row>
    <row r="6" spans="1:5">
      <c r="A6" s="60" t="s">
        <v>9</v>
      </c>
      <c r="B6" s="60">
        <v>0</v>
      </c>
      <c r="C6" s="60" t="str">
        <f>'3조'!C81</f>
        <v>3조 - Multi-tier - Availability</v>
      </c>
      <c r="D6" s="60">
        <v>0</v>
      </c>
      <c r="E6" s="60" t="str">
        <f>'3조'!E81</f>
        <v>3조 - Client-Server - Availability</v>
      </c>
    </row>
    <row r="7" spans="1:5">
      <c r="A7" s="60" t="s">
        <v>10</v>
      </c>
      <c r="B7" s="60">
        <v>0</v>
      </c>
      <c r="C7" s="60" t="str">
        <f>'4조'!C81</f>
        <v>4조 - Multi-tier - Availability</v>
      </c>
      <c r="D7" s="60">
        <v>0</v>
      </c>
      <c r="E7" s="60" t="str">
        <f>'4조'!E81</f>
        <v>4조 - Client-Server - Availability</v>
      </c>
    </row>
    <row r="8" spans="1:5">
      <c r="A8" s="60" t="s">
        <v>11</v>
      </c>
      <c r="B8" s="60">
        <v>0</v>
      </c>
      <c r="C8" s="60" t="str">
        <f>'5조'!C81</f>
        <v>5조 - Multi-tier - Availability</v>
      </c>
      <c r="D8" s="60">
        <v>0</v>
      </c>
      <c r="E8" s="60" t="str">
        <f>'5조'!E81</f>
        <v>5조 - Client-Server - Availability</v>
      </c>
    </row>
    <row r="9" spans="1:5">
      <c r="A9" s="60" t="s">
        <v>12</v>
      </c>
      <c r="B9" s="60">
        <v>0</v>
      </c>
      <c r="C9" s="60" t="str">
        <f>'6조'!C81</f>
        <v>6조 - Multi-tier - Availability</v>
      </c>
      <c r="D9" s="60">
        <v>0</v>
      </c>
      <c r="E9" s="60" t="str">
        <f>'6조'!E81</f>
        <v>6조 - Client-Server - Availability</v>
      </c>
    </row>
    <row r="10" spans="1:5">
      <c r="A10" s="60" t="s">
        <v>13</v>
      </c>
      <c r="B10" s="60">
        <v>0</v>
      </c>
      <c r="C10" s="60" t="str">
        <f>'7조'!C81</f>
        <v>7조 - Multi-tier - Availability</v>
      </c>
      <c r="D10" s="60">
        <v>0</v>
      </c>
      <c r="E10" s="60" t="str">
        <f>'7조'!E81</f>
        <v>7조 - Client-Server - Availability</v>
      </c>
    </row>
    <row r="11" spans="1:5">
      <c r="A11" s="60" t="s">
        <v>14</v>
      </c>
      <c r="B11" s="60">
        <v>0</v>
      </c>
      <c r="C11" s="60" t="str">
        <f>'8조'!C81</f>
        <v>8조 - Multi-tier - Availability</v>
      </c>
      <c r="D11" s="60">
        <v>0</v>
      </c>
      <c r="E11" s="60" t="str">
        <f>'8조'!E81</f>
        <v>8조 - Client-Server - Availability</v>
      </c>
    </row>
    <row r="12" spans="1:5">
      <c r="A12" s="60" t="s">
        <v>15</v>
      </c>
      <c r="B12" s="60">
        <v>0</v>
      </c>
      <c r="C12" s="60" t="str">
        <f>'9조'!C81</f>
        <v>9조 - Multi-tier - Availability</v>
      </c>
      <c r="D12" s="60">
        <v>0</v>
      </c>
      <c r="E12" s="60" t="str">
        <f>'9조'!E81</f>
        <v>9조 - Client-Server - Availability</v>
      </c>
    </row>
    <row r="13" spans="1:5">
      <c r="A13" s="60"/>
      <c r="B13" s="60"/>
      <c r="C13" s="60"/>
      <c r="D13" s="60"/>
      <c r="E13" s="60"/>
    </row>
    <row r="14" spans="1:5" ht="15" customHeight="1">
      <c r="A14" s="55" t="s">
        <v>16</v>
      </c>
      <c r="B14" s="55">
        <v>0</v>
      </c>
      <c r="C14" s="55">
        <v>0</v>
      </c>
      <c r="D14" s="55">
        <v>0</v>
      </c>
      <c r="E14" s="55">
        <v>0</v>
      </c>
    </row>
    <row r="15" spans="1:5">
      <c r="A15" s="60" t="s">
        <v>7</v>
      </c>
      <c r="B15" s="60">
        <v>0</v>
      </c>
      <c r="C15" s="60" t="str">
        <f>'1조'!C82</f>
        <v>1조 - Multi-tier - Deployability</v>
      </c>
      <c r="D15" s="60">
        <v>0</v>
      </c>
      <c r="E15" s="60" t="str">
        <f>'1조'!E82</f>
        <v>1조 - Client-Server - Deployability</v>
      </c>
    </row>
    <row r="16" spans="1:5">
      <c r="A16" s="60" t="s">
        <v>8</v>
      </c>
      <c r="B16" s="60">
        <v>0</v>
      </c>
      <c r="C16" s="60" t="str">
        <f>'2조'!C82</f>
        <v>2조 - Multi-tier - Deployability</v>
      </c>
      <c r="D16" s="60">
        <v>0</v>
      </c>
      <c r="E16" s="60" t="str">
        <f>'2조'!E82</f>
        <v>2조 - Client-Server - Deployability</v>
      </c>
    </row>
    <row r="17" spans="1:5">
      <c r="A17" s="60" t="s">
        <v>9</v>
      </c>
      <c r="B17" s="60">
        <v>0</v>
      </c>
      <c r="C17" s="60" t="str">
        <f>'3조'!C82</f>
        <v>3조 - Multi-tier - Deployability</v>
      </c>
      <c r="D17" s="60">
        <v>0</v>
      </c>
      <c r="E17" s="60" t="str">
        <f>'3조'!E82</f>
        <v>3조 - Client-Server - Deployability</v>
      </c>
    </row>
    <row r="18" spans="1:5">
      <c r="A18" s="60" t="s">
        <v>10</v>
      </c>
      <c r="B18" s="60">
        <v>0</v>
      </c>
      <c r="C18" s="60" t="str">
        <f>'4조'!C82</f>
        <v>4조 - Multi-tier - Deployability</v>
      </c>
      <c r="D18" s="60">
        <v>0</v>
      </c>
      <c r="E18" s="60" t="str">
        <f>'4조'!E82</f>
        <v>4조 - Client-Server - Deployability</v>
      </c>
    </row>
    <row r="19" spans="1:5">
      <c r="A19" s="60" t="s">
        <v>11</v>
      </c>
      <c r="B19" s="60">
        <v>0</v>
      </c>
      <c r="C19" s="60" t="str">
        <f>'5조'!C82</f>
        <v>5조 - Multi-tier - Deployability</v>
      </c>
      <c r="D19" s="60">
        <v>0</v>
      </c>
      <c r="E19" s="60" t="str">
        <f>'5조'!E82</f>
        <v>5조 - Client-Server - Deployability</v>
      </c>
    </row>
    <row r="20" spans="1:5">
      <c r="A20" s="60" t="s">
        <v>12</v>
      </c>
      <c r="B20" s="60">
        <v>0</v>
      </c>
      <c r="C20" s="60" t="str">
        <f>'6조'!C82</f>
        <v>6조 - Multi-tier - Deployability</v>
      </c>
      <c r="D20" s="60">
        <v>0</v>
      </c>
      <c r="E20" s="60" t="str">
        <f>'6조'!E82</f>
        <v>6조 - Client-Server - Deployability</v>
      </c>
    </row>
    <row r="21" spans="1:5">
      <c r="A21" s="60" t="s">
        <v>13</v>
      </c>
      <c r="B21" s="60">
        <v>0</v>
      </c>
      <c r="C21" s="60" t="str">
        <f>'7조'!C82</f>
        <v>7조 - Multi-tier - Deployability</v>
      </c>
      <c r="D21" s="60">
        <v>0</v>
      </c>
      <c r="E21" s="60" t="str">
        <f>'7조'!E82</f>
        <v>7조 - Client-Server - Deployability</v>
      </c>
    </row>
    <row r="22" spans="1:5">
      <c r="A22" s="60" t="s">
        <v>14</v>
      </c>
      <c r="B22" s="60">
        <v>0</v>
      </c>
      <c r="C22" s="60" t="str">
        <f>'8조'!C82</f>
        <v>8조 - Multi-tier - Deployability</v>
      </c>
      <c r="D22" s="60">
        <v>0</v>
      </c>
      <c r="E22" s="60" t="str">
        <f>'8조'!E82</f>
        <v>8조 - Client-Server - Deployability</v>
      </c>
    </row>
    <row r="23" spans="1:5">
      <c r="A23" s="60" t="s">
        <v>15</v>
      </c>
      <c r="B23" s="60">
        <v>0</v>
      </c>
      <c r="C23" s="60" t="str">
        <f>'9조'!C82</f>
        <v>9조 - Multi-tier - Deployability</v>
      </c>
      <c r="D23" s="60">
        <v>0</v>
      </c>
      <c r="E23" s="60" t="str">
        <f>'9조'!E82</f>
        <v>9조 - Client-Server - Deployability</v>
      </c>
    </row>
    <row r="24" spans="1:5">
      <c r="A24" s="60"/>
      <c r="B24" s="60"/>
      <c r="C24" s="60"/>
      <c r="D24" s="60"/>
      <c r="E24" s="60"/>
    </row>
    <row r="25" spans="1:5" ht="15" customHeight="1">
      <c r="A25" s="55" t="s">
        <v>17</v>
      </c>
      <c r="B25" s="55">
        <v>0</v>
      </c>
      <c r="C25" s="55">
        <v>0</v>
      </c>
      <c r="D25" s="55">
        <v>0</v>
      </c>
      <c r="E25" s="55">
        <v>0</v>
      </c>
    </row>
    <row r="26" spans="1:5">
      <c r="A26" s="60" t="s">
        <v>7</v>
      </c>
      <c r="B26" s="60">
        <v>0</v>
      </c>
      <c r="C26" s="60" t="str">
        <f>'1조'!C83</f>
        <v>1조 - Multi-tier - Integrability</v>
      </c>
      <c r="D26" s="60">
        <v>0</v>
      </c>
      <c r="E26" s="60" t="str">
        <f>'1조'!E83</f>
        <v>1조 - Client-Server - Integrability</v>
      </c>
    </row>
    <row r="27" spans="1:5">
      <c r="A27" s="60" t="s">
        <v>8</v>
      </c>
      <c r="B27" s="60">
        <v>0</v>
      </c>
      <c r="C27" s="60" t="str">
        <f>'2조'!C83</f>
        <v>2조 - Multi-tier - Integrability</v>
      </c>
      <c r="D27" s="60">
        <v>0</v>
      </c>
      <c r="E27" s="60" t="str">
        <f>'2조'!E83</f>
        <v>2조 - Client-Server - Integrability</v>
      </c>
    </row>
    <row r="28" spans="1:5">
      <c r="A28" s="60" t="s">
        <v>9</v>
      </c>
      <c r="B28" s="60">
        <v>0</v>
      </c>
      <c r="C28" s="60" t="str">
        <f>'3조'!C83</f>
        <v>3조 - Multi-tier - Integrability</v>
      </c>
      <c r="D28" s="60">
        <v>0</v>
      </c>
      <c r="E28" s="60" t="str">
        <f>'3조'!E83</f>
        <v>3조 - Client-Server - Integrability</v>
      </c>
    </row>
    <row r="29" spans="1:5">
      <c r="A29" s="60" t="s">
        <v>10</v>
      </c>
      <c r="B29" s="60">
        <v>0</v>
      </c>
      <c r="C29" s="60" t="str">
        <f>'4조'!C83</f>
        <v>4조 - Multi-tier - Integrability</v>
      </c>
      <c r="D29" s="60">
        <v>0</v>
      </c>
      <c r="E29" s="60" t="str">
        <f>'4조'!E83</f>
        <v>4조 - Client-Server - Integrability</v>
      </c>
    </row>
    <row r="30" spans="1:5">
      <c r="A30" s="60" t="s">
        <v>11</v>
      </c>
      <c r="B30" s="60">
        <v>0</v>
      </c>
      <c r="C30" s="60" t="str">
        <f>'5조'!C83</f>
        <v>5조 - Multi-tier - Integrability</v>
      </c>
      <c r="D30" s="60">
        <v>0</v>
      </c>
      <c r="E30" s="60" t="str">
        <f>'5조'!E83</f>
        <v>5조 - Client-Server - Integrability</v>
      </c>
    </row>
    <row r="31" spans="1:5">
      <c r="A31" s="60" t="s">
        <v>12</v>
      </c>
      <c r="B31" s="60">
        <v>0</v>
      </c>
      <c r="C31" s="60" t="str">
        <f>'6조'!C83</f>
        <v>6조 - Multi-tier - Integrability</v>
      </c>
      <c r="D31" s="60">
        <v>0</v>
      </c>
      <c r="E31" s="60" t="str">
        <f>'6조'!E83</f>
        <v>6조 - Client-Server - Integrability</v>
      </c>
    </row>
    <row r="32" spans="1:5">
      <c r="A32" s="60" t="s">
        <v>13</v>
      </c>
      <c r="B32" s="60">
        <v>0</v>
      </c>
      <c r="C32" s="60" t="str">
        <f>'7조'!C83</f>
        <v>7조 - Multi-tier - Integrability</v>
      </c>
      <c r="D32" s="60">
        <v>0</v>
      </c>
      <c r="E32" s="60" t="str">
        <f>'7조'!E83</f>
        <v>7조 - Client-Server - Integrability</v>
      </c>
    </row>
    <row r="33" spans="1:5">
      <c r="A33" s="60" t="s">
        <v>14</v>
      </c>
      <c r="B33" s="60">
        <v>0</v>
      </c>
      <c r="C33" s="60" t="str">
        <f>'8조'!C83</f>
        <v>8조 - Multi-tier - Integrability</v>
      </c>
      <c r="D33" s="60">
        <v>0</v>
      </c>
      <c r="E33" s="60" t="str">
        <f>'8조'!E83</f>
        <v>8조 - Client-Server - Integrability</v>
      </c>
    </row>
    <row r="34" spans="1:5">
      <c r="A34" s="60" t="s">
        <v>15</v>
      </c>
      <c r="B34" s="60">
        <v>0</v>
      </c>
      <c r="C34" s="60" t="str">
        <f>'9조'!C83</f>
        <v>9조 - Multi-tier - Integrability</v>
      </c>
      <c r="D34" s="60">
        <v>0</v>
      </c>
      <c r="E34" s="60" t="str">
        <f>'9조'!E83</f>
        <v>9조 - Client-Server - Integrability</v>
      </c>
    </row>
    <row r="35" spans="1:5">
      <c r="A35" s="60"/>
      <c r="B35" s="60"/>
      <c r="C35" s="60"/>
      <c r="D35" s="60"/>
      <c r="E35" s="60"/>
    </row>
    <row r="36" spans="1:5">
      <c r="A36" s="55" t="s">
        <v>18</v>
      </c>
      <c r="B36" s="55">
        <v>0</v>
      </c>
      <c r="C36" s="55">
        <v>0</v>
      </c>
      <c r="D36" s="55">
        <v>0</v>
      </c>
      <c r="E36" s="55">
        <v>0</v>
      </c>
    </row>
    <row r="37" spans="1:5">
      <c r="A37" s="60" t="s">
        <v>7</v>
      </c>
      <c r="B37" s="60">
        <v>0</v>
      </c>
      <c r="C37" s="60" t="str">
        <f>'1조'!C84</f>
        <v>1조 - Multi-tier - Energy Efficiency</v>
      </c>
      <c r="D37" s="60">
        <v>0</v>
      </c>
      <c r="E37" s="60" t="str">
        <f>'1조'!E84</f>
        <v>1조 - Client-Server - Energy Efficiency</v>
      </c>
    </row>
    <row r="38" spans="1:5">
      <c r="A38" s="60" t="s">
        <v>8</v>
      </c>
      <c r="B38" s="60">
        <v>0</v>
      </c>
      <c r="C38" s="60" t="str">
        <f>'2조'!C84</f>
        <v>2조 - Multi-tier - Energy Efficiency</v>
      </c>
      <c r="D38" s="60">
        <v>0</v>
      </c>
      <c r="E38" s="60" t="str">
        <f>'2조'!E84</f>
        <v>2조 - Client-Server - Energy Efficiency</v>
      </c>
    </row>
    <row r="39" spans="1:5">
      <c r="A39" s="60" t="s">
        <v>9</v>
      </c>
      <c r="B39" s="60">
        <v>0</v>
      </c>
      <c r="C39" s="60" t="str">
        <f>'3조'!C84</f>
        <v>3조 - Multi-tier - Energy Efficiency</v>
      </c>
      <c r="D39" s="60">
        <v>0</v>
      </c>
      <c r="E39" s="60" t="str">
        <f>'3조'!E84</f>
        <v>3조 - Client-Server - Energy Efficiency</v>
      </c>
    </row>
    <row r="40" spans="1:5">
      <c r="A40" s="60" t="s">
        <v>10</v>
      </c>
      <c r="B40" s="60">
        <v>0</v>
      </c>
      <c r="C40" s="60" t="str">
        <f>'4조'!C84</f>
        <v>4조 - Multi-tier - Energy Efficiency</v>
      </c>
      <c r="D40" s="60">
        <v>0</v>
      </c>
      <c r="E40" s="60" t="str">
        <f>'4조'!E84</f>
        <v>4조 - Client-Server - Energy Efficiency</v>
      </c>
    </row>
    <row r="41" spans="1:5">
      <c r="A41" s="60" t="s">
        <v>11</v>
      </c>
      <c r="B41" s="60">
        <v>0</v>
      </c>
      <c r="C41" s="60" t="str">
        <f>'5조'!C84</f>
        <v>5조 - Multi-tier - Energy Efficiency</v>
      </c>
      <c r="D41" s="60">
        <v>0</v>
      </c>
      <c r="E41" s="60" t="str">
        <f>'5조'!E84</f>
        <v>5조 - Client-Server - Energy Efficiency</v>
      </c>
    </row>
    <row r="42" spans="1:5">
      <c r="A42" s="60" t="s">
        <v>12</v>
      </c>
      <c r="B42" s="60">
        <v>0</v>
      </c>
      <c r="C42" s="60" t="str">
        <f>'6조'!C84</f>
        <v>6조 - Multi-tier - Energy Efficiency</v>
      </c>
      <c r="D42" s="60">
        <v>0</v>
      </c>
      <c r="E42" s="60" t="str">
        <f>'6조'!E84</f>
        <v>6조 - Client-Server - Energy Efficiency</v>
      </c>
    </row>
    <row r="43" spans="1:5">
      <c r="A43" s="60" t="s">
        <v>13</v>
      </c>
      <c r="B43" s="60">
        <v>0</v>
      </c>
      <c r="C43" s="60" t="str">
        <f>'7조'!C84</f>
        <v>7조 - Multi-tier - Energy Efficiency</v>
      </c>
      <c r="D43" s="60">
        <v>0</v>
      </c>
      <c r="E43" s="60" t="str">
        <f>'7조'!E84</f>
        <v>7조 - Client-Server - Energy Efficiency</v>
      </c>
    </row>
    <row r="44" spans="1:5">
      <c r="A44" s="60" t="s">
        <v>14</v>
      </c>
      <c r="B44" s="60">
        <v>0</v>
      </c>
      <c r="C44" s="60" t="str">
        <f>'8조'!C84</f>
        <v>8조 - Multi-tier - Energy Efficiency</v>
      </c>
      <c r="D44" s="60">
        <v>0</v>
      </c>
      <c r="E44" s="60" t="str">
        <f>'8조'!E84</f>
        <v>8조 - Client-Server - Energy Efficiency</v>
      </c>
    </row>
    <row r="45" spans="1:5">
      <c r="A45" s="60" t="s">
        <v>15</v>
      </c>
      <c r="B45" s="60">
        <v>0</v>
      </c>
      <c r="C45" s="60" t="str">
        <f>'9조'!C84</f>
        <v>9조 - Multi-tier - Energy Efficiency</v>
      </c>
      <c r="D45" s="60">
        <v>0</v>
      </c>
      <c r="E45" s="60" t="str">
        <f>'9조'!E84</f>
        <v>9조 - Client-Server - Energy Efficiency</v>
      </c>
    </row>
    <row r="46" spans="1:5">
      <c r="A46" s="60"/>
      <c r="B46" s="60"/>
      <c r="C46" s="60"/>
      <c r="D46" s="60"/>
      <c r="E46" s="60"/>
    </row>
    <row r="47" spans="1:5">
      <c r="A47" s="55" t="s">
        <v>19</v>
      </c>
      <c r="B47" s="55">
        <v>0</v>
      </c>
      <c r="C47" s="55">
        <v>0</v>
      </c>
      <c r="D47" s="55">
        <v>0</v>
      </c>
      <c r="E47" s="55">
        <v>0</v>
      </c>
    </row>
    <row r="48" spans="1:5">
      <c r="A48" s="60" t="s">
        <v>7</v>
      </c>
      <c r="B48" s="60">
        <v>0</v>
      </c>
      <c r="C48" s="60" t="str">
        <f>'1조'!C85</f>
        <v>1조 - Multi-tier - Modifiability</v>
      </c>
      <c r="D48" s="60">
        <v>0</v>
      </c>
      <c r="E48" s="60" t="str">
        <f>'1조'!E85</f>
        <v>1조 - Client-Server - Modifiability</v>
      </c>
    </row>
    <row r="49" spans="1:5">
      <c r="A49" s="60" t="s">
        <v>8</v>
      </c>
      <c r="B49" s="60">
        <v>0</v>
      </c>
      <c r="C49" s="60" t="str">
        <f>'2조'!C85</f>
        <v>2조 - Multi-tier - Modifiability</v>
      </c>
      <c r="D49" s="60">
        <v>0</v>
      </c>
      <c r="E49" s="60" t="str">
        <f>'2조'!E85</f>
        <v>2조 - Client-Server - Modifiability</v>
      </c>
    </row>
    <row r="50" spans="1:5">
      <c r="A50" s="60" t="s">
        <v>9</v>
      </c>
      <c r="B50" s="60">
        <v>0</v>
      </c>
      <c r="C50" s="60" t="str">
        <f>'3조'!C85</f>
        <v>3조 - Multi-tier - Modifiability</v>
      </c>
      <c r="D50" s="60">
        <v>0</v>
      </c>
      <c r="E50" s="60" t="str">
        <f>'3조'!E85</f>
        <v>3조 - Client-Server - Modifiability</v>
      </c>
    </row>
    <row r="51" spans="1:5">
      <c r="A51" s="60" t="s">
        <v>10</v>
      </c>
      <c r="B51" s="60">
        <v>0</v>
      </c>
      <c r="C51" s="60" t="str">
        <f>'4조'!C85</f>
        <v>4조 - Multi-tier - Modifiability</v>
      </c>
      <c r="D51" s="60">
        <v>0</v>
      </c>
      <c r="E51" s="60" t="str">
        <f>'4조'!E85</f>
        <v>4조 - Client-Server - Modifiability</v>
      </c>
    </row>
    <row r="52" spans="1:5">
      <c r="A52" s="60" t="s">
        <v>11</v>
      </c>
      <c r="B52" s="60">
        <v>0</v>
      </c>
      <c r="C52" s="60" t="str">
        <f>'5조'!C85</f>
        <v>5조 - Multi-tier - Modifiability</v>
      </c>
      <c r="D52" s="60">
        <v>0</v>
      </c>
      <c r="E52" s="60" t="str">
        <f>'5조'!E85</f>
        <v>5조 - Client-Server - Modifiability</v>
      </c>
    </row>
    <row r="53" spans="1:5">
      <c r="A53" s="60" t="s">
        <v>12</v>
      </c>
      <c r="B53" s="60">
        <v>0</v>
      </c>
      <c r="C53" s="60" t="str">
        <f>'6조'!C85</f>
        <v>6조 - Multi-tier - Modifiability</v>
      </c>
      <c r="D53" s="60">
        <v>0</v>
      </c>
      <c r="E53" s="60" t="str">
        <f>'6조'!E85</f>
        <v>6조 - Client-Server - Modifiability</v>
      </c>
    </row>
    <row r="54" spans="1:5">
      <c r="A54" s="60" t="s">
        <v>13</v>
      </c>
      <c r="B54" s="60">
        <v>0</v>
      </c>
      <c r="C54" s="60" t="str">
        <f>'7조'!C85</f>
        <v>7조 - Multi-tier - Modifiability</v>
      </c>
      <c r="D54" s="60">
        <v>0</v>
      </c>
      <c r="E54" s="60" t="str">
        <f>'7조'!E85</f>
        <v>7조 - Client-Server - Modifiability</v>
      </c>
    </row>
    <row r="55" spans="1:5">
      <c r="A55" s="60" t="s">
        <v>14</v>
      </c>
      <c r="B55" s="60">
        <v>0</v>
      </c>
      <c r="C55" s="60" t="str">
        <f>'8조'!C85</f>
        <v>8조 - Multi-tier - Modifiability</v>
      </c>
      <c r="D55" s="60">
        <v>0</v>
      </c>
      <c r="E55" s="60" t="str">
        <f>'8조'!E85</f>
        <v>8조 - Client-Server - Modifiability</v>
      </c>
    </row>
    <row r="56" spans="1:5">
      <c r="A56" s="60" t="s">
        <v>15</v>
      </c>
      <c r="B56" s="60">
        <v>0</v>
      </c>
      <c r="C56" s="60" t="str">
        <f>'9조'!C85</f>
        <v>9조 - Multi-tier - Modifiability</v>
      </c>
      <c r="D56" s="60">
        <v>0</v>
      </c>
      <c r="E56" s="60" t="str">
        <f>'9조'!E85</f>
        <v>9조 - Client-Server - Modifiability</v>
      </c>
    </row>
    <row r="57" spans="1:5">
      <c r="A57" s="60"/>
      <c r="B57" s="60"/>
      <c r="C57" s="60"/>
      <c r="D57" s="60"/>
      <c r="E57" s="60"/>
    </row>
    <row r="58" spans="1:5">
      <c r="A58" s="55" t="s">
        <v>20</v>
      </c>
      <c r="B58" s="55">
        <v>0</v>
      </c>
      <c r="C58" s="55">
        <v>0</v>
      </c>
      <c r="D58" s="55">
        <v>0</v>
      </c>
      <c r="E58" s="55">
        <v>0</v>
      </c>
    </row>
    <row r="59" spans="1:5">
      <c r="A59" s="60" t="s">
        <v>7</v>
      </c>
      <c r="B59" s="60">
        <v>0</v>
      </c>
      <c r="C59" s="60" t="str">
        <f>'1조'!C86</f>
        <v>1조 - Multi-tier - Performance</v>
      </c>
      <c r="D59" s="60">
        <v>0</v>
      </c>
      <c r="E59" s="60" t="str">
        <f>'1조'!E86</f>
        <v>1조 - Client-Server - Performance</v>
      </c>
    </row>
    <row r="60" spans="1:5">
      <c r="A60" s="60" t="s">
        <v>8</v>
      </c>
      <c r="B60" s="60">
        <v>0</v>
      </c>
      <c r="C60" s="60" t="str">
        <f>'2조'!C86</f>
        <v>2조 - Multi-tier - Performance</v>
      </c>
      <c r="D60" s="60">
        <v>0</v>
      </c>
      <c r="E60" s="60" t="str">
        <f>'2조'!E86</f>
        <v>2조 - Client-Server - Performance</v>
      </c>
    </row>
    <row r="61" spans="1:5">
      <c r="A61" s="60" t="s">
        <v>9</v>
      </c>
      <c r="B61" s="60">
        <v>0</v>
      </c>
      <c r="C61" s="60" t="str">
        <f>'3조'!C86</f>
        <v>3조 - Multi-tier - Performance</v>
      </c>
      <c r="D61" s="60">
        <v>0</v>
      </c>
      <c r="E61" s="60" t="str">
        <f>'3조'!E86</f>
        <v>3조 - Client-Server - Performance</v>
      </c>
    </row>
    <row r="62" spans="1:5">
      <c r="A62" s="60" t="s">
        <v>10</v>
      </c>
      <c r="B62" s="60">
        <v>0</v>
      </c>
      <c r="C62" s="60" t="str">
        <f>'4조'!C86</f>
        <v>4조 - Multi-tier - Performance</v>
      </c>
      <c r="D62" s="60">
        <v>0</v>
      </c>
      <c r="E62" s="60" t="str">
        <f>'4조'!E86</f>
        <v>4조 - Client-Server - Performance</v>
      </c>
    </row>
    <row r="63" spans="1:5">
      <c r="A63" s="60" t="s">
        <v>11</v>
      </c>
      <c r="B63" s="60">
        <v>0</v>
      </c>
      <c r="C63" s="60" t="str">
        <f>'5조'!C86</f>
        <v>5조 - Multi-tier - Performance</v>
      </c>
      <c r="D63" s="60">
        <v>0</v>
      </c>
      <c r="E63" s="60" t="str">
        <f>'5조'!E86</f>
        <v>5조 - Client-Server - Performance</v>
      </c>
    </row>
    <row r="64" spans="1:5">
      <c r="A64" s="60" t="s">
        <v>12</v>
      </c>
      <c r="B64" s="60">
        <v>0</v>
      </c>
      <c r="C64" s="60" t="str">
        <f>'6조'!C86</f>
        <v>6조 - Multi-tier - Performance</v>
      </c>
      <c r="D64" s="60">
        <v>0</v>
      </c>
      <c r="E64" s="60" t="str">
        <f>'6조'!E86</f>
        <v>6조 - Client-Server - Performance</v>
      </c>
    </row>
    <row r="65" spans="1:5">
      <c r="A65" s="60" t="s">
        <v>13</v>
      </c>
      <c r="B65" s="60">
        <v>0</v>
      </c>
      <c r="C65" s="60" t="str">
        <f>'7조'!C86</f>
        <v>7조 - Multi-tier - Performance</v>
      </c>
      <c r="D65" s="60">
        <v>0</v>
      </c>
      <c r="E65" s="60" t="str">
        <f>'7조'!E86</f>
        <v>7조 - Client-Server - Performance</v>
      </c>
    </row>
    <row r="66" spans="1:5">
      <c r="A66" s="60" t="s">
        <v>14</v>
      </c>
      <c r="B66" s="60">
        <v>0</v>
      </c>
      <c r="C66" s="60" t="str">
        <f>'8조'!C86</f>
        <v>8조 - Multi-tier - Performance</v>
      </c>
      <c r="D66" s="60">
        <v>0</v>
      </c>
      <c r="E66" s="60" t="str">
        <f>'8조'!E86</f>
        <v>8조 - Client-Server - Performance</v>
      </c>
    </row>
    <row r="67" spans="1:5">
      <c r="A67" s="60" t="s">
        <v>15</v>
      </c>
      <c r="B67" s="60">
        <v>0</v>
      </c>
      <c r="C67" s="60" t="str">
        <f>'9조'!C86</f>
        <v>9조 - Multi-tier - Performance</v>
      </c>
      <c r="D67" s="60">
        <v>0</v>
      </c>
      <c r="E67" s="60" t="str">
        <f>'9조'!E86</f>
        <v>9조 - Client-Server - Performance</v>
      </c>
    </row>
    <row r="68" spans="1:5">
      <c r="A68" s="60"/>
      <c r="B68" s="60"/>
      <c r="C68" s="60"/>
      <c r="D68" s="60"/>
      <c r="E68" s="60"/>
    </row>
    <row r="69" spans="1:5">
      <c r="A69" s="55" t="s">
        <v>21</v>
      </c>
      <c r="B69" s="55">
        <v>0</v>
      </c>
      <c r="C69" s="55">
        <v>0</v>
      </c>
      <c r="D69" s="55">
        <v>0</v>
      </c>
      <c r="E69" s="55">
        <v>0</v>
      </c>
    </row>
    <row r="70" spans="1:5">
      <c r="A70" s="60" t="s">
        <v>7</v>
      </c>
      <c r="B70" s="60">
        <v>0</v>
      </c>
      <c r="C70" s="60" t="str">
        <f>'1조'!C87</f>
        <v>1조 - Multi-tier - Safety</v>
      </c>
      <c r="D70" s="60">
        <v>0</v>
      </c>
      <c r="E70" s="60" t="str">
        <f>'1조'!E87</f>
        <v>1조 - Client-Server - Safety</v>
      </c>
    </row>
    <row r="71" spans="1:5">
      <c r="A71" s="60" t="s">
        <v>8</v>
      </c>
      <c r="B71" s="60">
        <v>0</v>
      </c>
      <c r="C71" s="60" t="str">
        <f>'2조'!C87</f>
        <v>2조 - Multi-tier - Safety</v>
      </c>
      <c r="D71" s="60">
        <v>0</v>
      </c>
      <c r="E71" s="60" t="str">
        <f>'2조'!E87</f>
        <v>2조 - Client-Server - Safety</v>
      </c>
    </row>
    <row r="72" spans="1:5">
      <c r="A72" s="60" t="s">
        <v>9</v>
      </c>
      <c r="B72" s="60">
        <v>0</v>
      </c>
      <c r="C72" s="60" t="str">
        <f>'3조'!C87</f>
        <v>3조 - Multi-tier - Safety</v>
      </c>
      <c r="D72" s="60">
        <v>0</v>
      </c>
      <c r="E72" s="60" t="str">
        <f>'3조'!E87</f>
        <v>3조 - Client-Server - Safety</v>
      </c>
    </row>
    <row r="73" spans="1:5">
      <c r="A73" s="60" t="s">
        <v>10</v>
      </c>
      <c r="B73" s="60">
        <v>0</v>
      </c>
      <c r="C73" s="60" t="str">
        <f>'4조'!C87</f>
        <v>4조 - Multi-tier - Safety</v>
      </c>
      <c r="D73" s="60">
        <v>0</v>
      </c>
      <c r="E73" s="60" t="str">
        <f>'4조'!E87</f>
        <v>4조 - Client-Server - Safety</v>
      </c>
    </row>
    <row r="74" spans="1:5">
      <c r="A74" s="60" t="s">
        <v>11</v>
      </c>
      <c r="B74" s="60">
        <v>0</v>
      </c>
      <c r="C74" s="60" t="str">
        <f>'5조'!C87</f>
        <v>5조 - Multi-tier - Safety</v>
      </c>
      <c r="D74" s="60">
        <v>0</v>
      </c>
      <c r="E74" s="60" t="str">
        <f>'5조'!E87</f>
        <v>5조 - Client-Server - Safety</v>
      </c>
    </row>
    <row r="75" spans="1:5">
      <c r="A75" s="60" t="s">
        <v>12</v>
      </c>
      <c r="B75" s="60">
        <v>0</v>
      </c>
      <c r="C75" s="60" t="str">
        <f>'6조'!C87</f>
        <v>6조 - Multi-tier - Safety</v>
      </c>
      <c r="D75" s="60">
        <v>0</v>
      </c>
      <c r="E75" s="60" t="str">
        <f>'6조'!E87</f>
        <v>6조 - Client-Server - Safety</v>
      </c>
    </row>
    <row r="76" spans="1:5">
      <c r="A76" s="60" t="s">
        <v>13</v>
      </c>
      <c r="B76" s="60">
        <v>0</v>
      </c>
      <c r="C76" s="60" t="str">
        <f>'7조'!C87</f>
        <v>7조 - Multi-tier - Safety</v>
      </c>
      <c r="D76" s="60">
        <v>0</v>
      </c>
      <c r="E76" s="60" t="str">
        <f>'7조'!E87</f>
        <v>7조 - Client-Server - Safety</v>
      </c>
    </row>
    <row r="77" spans="1:5">
      <c r="A77" s="60" t="s">
        <v>14</v>
      </c>
      <c r="B77" s="60">
        <v>0</v>
      </c>
      <c r="C77" s="60" t="str">
        <f>'8조'!C87</f>
        <v>8조 - Multi-tier - Safety</v>
      </c>
      <c r="D77" s="60">
        <v>0</v>
      </c>
      <c r="E77" s="60" t="str">
        <f>'8조'!E87</f>
        <v>8조 - Client-Server - Safety</v>
      </c>
    </row>
    <row r="78" spans="1:5">
      <c r="A78" s="60" t="s">
        <v>15</v>
      </c>
      <c r="B78" s="60">
        <v>0</v>
      </c>
      <c r="C78" s="60" t="str">
        <f>'9조'!C87</f>
        <v>9조 - Multi-tier - Safety</v>
      </c>
      <c r="D78" s="60">
        <v>0</v>
      </c>
      <c r="E78" s="60" t="str">
        <f>'9조'!E87</f>
        <v>9조 - Client-Server - Safety</v>
      </c>
    </row>
    <row r="79" spans="1:5">
      <c r="A79" s="60"/>
      <c r="B79" s="60"/>
      <c r="C79" s="60"/>
      <c r="D79" s="60"/>
      <c r="E79" s="60"/>
    </row>
    <row r="80" spans="1:5">
      <c r="A80" s="55" t="s">
        <v>22</v>
      </c>
      <c r="B80" s="55">
        <v>0</v>
      </c>
      <c r="C80" s="55">
        <v>0</v>
      </c>
      <c r="D80" s="55">
        <v>0</v>
      </c>
      <c r="E80" s="55">
        <v>0</v>
      </c>
    </row>
    <row r="81" spans="1:5">
      <c r="A81" s="60" t="s">
        <v>7</v>
      </c>
      <c r="B81" s="60">
        <v>0</v>
      </c>
      <c r="C81" s="60" t="str">
        <f>'1조'!C88</f>
        <v>1조 - Multi-tier - Security</v>
      </c>
      <c r="D81" s="60">
        <v>0</v>
      </c>
      <c r="E81" s="60" t="str">
        <f>'1조'!E88</f>
        <v>1조 - Client-Server - Security</v>
      </c>
    </row>
    <row r="82" spans="1:5">
      <c r="A82" s="60" t="s">
        <v>8</v>
      </c>
      <c r="B82" s="60">
        <v>0</v>
      </c>
      <c r="C82" s="60" t="str">
        <f>'2조'!C88</f>
        <v>2조 - Multi-tier - Security</v>
      </c>
      <c r="D82" s="60">
        <v>0</v>
      </c>
      <c r="E82" s="60" t="str">
        <f>'2조'!E88</f>
        <v>2조 - Client-Server - Security</v>
      </c>
    </row>
    <row r="83" spans="1:5">
      <c r="A83" s="60" t="s">
        <v>9</v>
      </c>
      <c r="B83" s="60">
        <v>0</v>
      </c>
      <c r="C83" s="60" t="str">
        <f>'3조'!C88</f>
        <v>3조 - Multi-tier - Security</v>
      </c>
      <c r="D83" s="60">
        <v>0</v>
      </c>
      <c r="E83" s="60" t="str">
        <f>'3조'!E88</f>
        <v>3조 - Client-Server - Security</v>
      </c>
    </row>
    <row r="84" spans="1:5">
      <c r="A84" s="60" t="s">
        <v>10</v>
      </c>
      <c r="B84" s="60">
        <v>0</v>
      </c>
      <c r="C84" s="60" t="str">
        <f>'4조'!C88</f>
        <v>4조 - Multi-tier - Security</v>
      </c>
      <c r="D84" s="60">
        <v>0</v>
      </c>
      <c r="E84" s="60" t="str">
        <f>'4조'!E88</f>
        <v>4조 - Client-Server - Security</v>
      </c>
    </row>
    <row r="85" spans="1:5">
      <c r="A85" s="60" t="s">
        <v>11</v>
      </c>
      <c r="B85" s="60">
        <v>0</v>
      </c>
      <c r="C85" s="60" t="str">
        <f>'5조'!C88</f>
        <v>5조 - Multi-tier - Security</v>
      </c>
      <c r="D85" s="60">
        <v>0</v>
      </c>
      <c r="E85" s="60" t="str">
        <f>'5조'!E88</f>
        <v>5조 - Client-Server - Security</v>
      </c>
    </row>
    <row r="86" spans="1:5">
      <c r="A86" s="60" t="s">
        <v>12</v>
      </c>
      <c r="B86" s="60">
        <v>0</v>
      </c>
      <c r="C86" s="60" t="str">
        <f>'6조'!C88</f>
        <v>6조 - Multi-tier - Security</v>
      </c>
      <c r="D86" s="60">
        <v>0</v>
      </c>
      <c r="E86" s="60" t="str">
        <f>'6조'!E88</f>
        <v>6조 - Client-Server - Security</v>
      </c>
    </row>
    <row r="87" spans="1:5">
      <c r="A87" s="60" t="s">
        <v>13</v>
      </c>
      <c r="B87" s="60">
        <v>0</v>
      </c>
      <c r="C87" s="60" t="str">
        <f>'7조'!C88</f>
        <v>7조 - Multi-tier - Security</v>
      </c>
      <c r="D87" s="60">
        <v>0</v>
      </c>
      <c r="E87" s="60" t="str">
        <f>'7조'!E88</f>
        <v>7조 - Client-Server - Security</v>
      </c>
    </row>
    <row r="88" spans="1:5">
      <c r="A88" s="60" t="s">
        <v>14</v>
      </c>
      <c r="B88" s="60">
        <v>0</v>
      </c>
      <c r="C88" s="60" t="str">
        <f>'8조'!C88</f>
        <v>8조 - Multi-tier - Security</v>
      </c>
      <c r="D88" s="60">
        <v>0</v>
      </c>
      <c r="E88" s="60" t="str">
        <f>'8조'!E88</f>
        <v>8조 - Client-Server - Security</v>
      </c>
    </row>
    <row r="89" spans="1:5">
      <c r="A89" s="60" t="s">
        <v>15</v>
      </c>
      <c r="B89" s="60">
        <v>0</v>
      </c>
      <c r="C89" s="60" t="str">
        <f>'9조'!C88</f>
        <v>9조 - Multi-tier - Security</v>
      </c>
      <c r="D89" s="60">
        <v>0</v>
      </c>
      <c r="E89" s="60" t="str">
        <f>'9조'!E88</f>
        <v>9조 - Client-Server - Security</v>
      </c>
    </row>
    <row r="90" spans="1:5">
      <c r="A90" s="60"/>
      <c r="B90" s="60"/>
      <c r="C90" s="60"/>
      <c r="D90" s="60"/>
      <c r="E90" s="60"/>
    </row>
    <row r="91" spans="1:5">
      <c r="A91" s="55" t="s">
        <v>23</v>
      </c>
      <c r="B91" s="55">
        <v>0</v>
      </c>
      <c r="C91" s="55">
        <v>0</v>
      </c>
      <c r="D91" s="55">
        <v>0</v>
      </c>
      <c r="E91" s="55">
        <v>0</v>
      </c>
    </row>
    <row r="92" spans="1:5">
      <c r="A92" s="60" t="s">
        <v>7</v>
      </c>
      <c r="B92" s="60">
        <v>0</v>
      </c>
      <c r="C92" s="60" t="str">
        <f>'1조'!C89</f>
        <v>1조 - Multi-tier - Testability</v>
      </c>
      <c r="D92" s="60">
        <v>0</v>
      </c>
      <c r="E92" s="60" t="str">
        <f>'1조'!E89</f>
        <v>1조 - Client-Server - Testability</v>
      </c>
    </row>
    <row r="93" spans="1:5">
      <c r="A93" s="60" t="s">
        <v>8</v>
      </c>
      <c r="B93" s="60">
        <v>0</v>
      </c>
      <c r="C93" s="60" t="str">
        <f>'2조'!C89</f>
        <v>2조 - Multi-tier - Testability</v>
      </c>
      <c r="D93" s="60">
        <v>0</v>
      </c>
      <c r="E93" s="60" t="str">
        <f>'2조'!E89</f>
        <v>2조 - Client-Server - Testability</v>
      </c>
    </row>
    <row r="94" spans="1:5">
      <c r="A94" s="60" t="s">
        <v>9</v>
      </c>
      <c r="B94" s="60">
        <v>0</v>
      </c>
      <c r="C94" s="60" t="str">
        <f>'3조'!C89</f>
        <v>3조 - Multi-tier - Testability</v>
      </c>
      <c r="D94" s="60">
        <v>0</v>
      </c>
      <c r="E94" s="60" t="str">
        <f>'3조'!E89</f>
        <v>3조 - Client-Server - Testability</v>
      </c>
    </row>
    <row r="95" spans="1:5">
      <c r="A95" s="60" t="s">
        <v>10</v>
      </c>
      <c r="B95" s="60">
        <v>0</v>
      </c>
      <c r="C95" s="60" t="str">
        <f>'4조'!C89</f>
        <v>4조 - Multi-tier - Testability</v>
      </c>
      <c r="D95" s="60">
        <v>0</v>
      </c>
      <c r="E95" s="60" t="str">
        <f>'4조'!E89</f>
        <v>4조 - Client-Server - Testability</v>
      </c>
    </row>
    <row r="96" spans="1:5">
      <c r="A96" s="60" t="s">
        <v>11</v>
      </c>
      <c r="B96" s="60">
        <v>0</v>
      </c>
      <c r="C96" s="60" t="str">
        <f>'5조'!C89</f>
        <v>5조 - Multi-tier - Testability</v>
      </c>
      <c r="D96" s="60">
        <v>0</v>
      </c>
      <c r="E96" s="60" t="str">
        <f>'5조'!E89</f>
        <v>5조 - Client-Server - Testability</v>
      </c>
    </row>
    <row r="97" spans="1:5">
      <c r="A97" s="60" t="s">
        <v>12</v>
      </c>
      <c r="B97" s="60">
        <v>0</v>
      </c>
      <c r="C97" s="60" t="str">
        <f>'6조'!C89</f>
        <v>6조 - Multi-tier - Testability</v>
      </c>
      <c r="D97" s="60">
        <v>0</v>
      </c>
      <c r="E97" s="60" t="str">
        <f>'6조'!E89</f>
        <v>6조 - Client-Server - Testability</v>
      </c>
    </row>
    <row r="98" spans="1:5">
      <c r="A98" s="60" t="s">
        <v>13</v>
      </c>
      <c r="B98" s="60">
        <v>0</v>
      </c>
      <c r="C98" s="60" t="str">
        <f>'7조'!C89</f>
        <v>7조 - Multi-tier - Testability</v>
      </c>
      <c r="D98" s="60">
        <v>0</v>
      </c>
      <c r="E98" s="60" t="str">
        <f>'7조'!E89</f>
        <v>7조 - Client-Server - Testability</v>
      </c>
    </row>
    <row r="99" spans="1:5">
      <c r="A99" s="60" t="s">
        <v>14</v>
      </c>
      <c r="B99" s="60">
        <v>0</v>
      </c>
      <c r="C99" s="60" t="str">
        <f>'8조'!C89</f>
        <v>8조 - Multi-tier - Testability</v>
      </c>
      <c r="D99" s="60">
        <v>0</v>
      </c>
      <c r="E99" s="60" t="str">
        <f>'8조'!E89</f>
        <v>8조 - Client-Server - Testability</v>
      </c>
    </row>
    <row r="100" spans="1:5">
      <c r="A100" s="60" t="s">
        <v>15</v>
      </c>
      <c r="B100" s="60">
        <v>0</v>
      </c>
      <c r="C100" s="60" t="str">
        <f>'9조'!C89</f>
        <v>9조 - Multi-tier - Testability</v>
      </c>
      <c r="D100" s="60">
        <v>0</v>
      </c>
      <c r="E100" s="60" t="str">
        <f>'9조'!E89</f>
        <v>9조 - Client-Server - Testability</v>
      </c>
    </row>
    <row r="101" spans="1:5" ht="15" customHeight="1">
      <c r="A101" s="60"/>
      <c r="B101" s="60"/>
      <c r="C101" s="60"/>
      <c r="D101" s="60"/>
      <c r="E101" s="60"/>
    </row>
    <row r="102" spans="1:5">
      <c r="A102" s="55" t="s">
        <v>24</v>
      </c>
      <c r="B102" s="55">
        <v>0</v>
      </c>
      <c r="C102" s="55">
        <v>0</v>
      </c>
      <c r="D102" s="55">
        <v>0</v>
      </c>
      <c r="E102" s="55">
        <v>0</v>
      </c>
    </row>
    <row r="103" spans="1:5">
      <c r="A103" s="60" t="s">
        <v>7</v>
      </c>
      <c r="B103" s="60">
        <v>0</v>
      </c>
      <c r="C103" s="60" t="str">
        <f>'1조'!C90</f>
        <v>1조 - Multi-tier - Usability</v>
      </c>
      <c r="D103" s="60">
        <v>0</v>
      </c>
      <c r="E103" s="60" t="str">
        <f>'1조'!E90</f>
        <v>1조 - Client-Server - Usability</v>
      </c>
    </row>
    <row r="104" spans="1:5">
      <c r="A104" s="60" t="s">
        <v>8</v>
      </c>
      <c r="B104" s="60">
        <v>0</v>
      </c>
      <c r="C104" s="60" t="str">
        <f>'2조'!C90</f>
        <v>2조 - Multi-tier - Usability</v>
      </c>
      <c r="D104" s="60">
        <v>0</v>
      </c>
      <c r="E104" s="60" t="str">
        <f>'2조'!E90</f>
        <v>2조 - Client-Server - Usability</v>
      </c>
    </row>
    <row r="105" spans="1:5">
      <c r="A105" s="60" t="s">
        <v>9</v>
      </c>
      <c r="B105" s="60">
        <v>0</v>
      </c>
      <c r="C105" s="60" t="str">
        <f>'3조'!C90</f>
        <v>3조 - Multi-tier - Usability</v>
      </c>
      <c r="D105" s="60">
        <v>0</v>
      </c>
      <c r="E105" s="60" t="str">
        <f>'3조'!E90</f>
        <v>3조 - Client-Server - Usability</v>
      </c>
    </row>
    <row r="106" spans="1:5">
      <c r="A106" s="60" t="s">
        <v>10</v>
      </c>
      <c r="B106" s="60">
        <v>0</v>
      </c>
      <c r="C106" s="60" t="str">
        <f>'4조'!C90</f>
        <v>4조 - Multi-tier - Usability</v>
      </c>
      <c r="D106" s="60">
        <v>0</v>
      </c>
      <c r="E106" s="60" t="str">
        <f>'4조'!E90</f>
        <v>4조 - Client-Server - Usability</v>
      </c>
    </row>
    <row r="107" spans="1:5">
      <c r="A107" s="60" t="s">
        <v>11</v>
      </c>
      <c r="B107" s="60">
        <v>0</v>
      </c>
      <c r="C107" s="60" t="str">
        <f>'5조'!C90</f>
        <v>5조 - Multi-tier - Usability</v>
      </c>
      <c r="D107" s="60">
        <v>0</v>
      </c>
      <c r="E107" s="60" t="str">
        <f>'5조'!E90</f>
        <v>5조 - Client-Server - Usability</v>
      </c>
    </row>
    <row r="108" spans="1:5">
      <c r="A108" s="60" t="s">
        <v>12</v>
      </c>
      <c r="B108" s="60">
        <v>0</v>
      </c>
      <c r="C108" s="60" t="str">
        <f>'6조'!C90</f>
        <v>6조 - Multi-tier - Usability</v>
      </c>
      <c r="D108" s="60">
        <v>0</v>
      </c>
      <c r="E108" s="60" t="str">
        <f>'6조'!E90</f>
        <v>6조 - Client-Server - Usability</v>
      </c>
    </row>
    <row r="109" spans="1:5">
      <c r="A109" s="60" t="s">
        <v>13</v>
      </c>
      <c r="B109" s="60">
        <v>0</v>
      </c>
      <c r="C109" s="60" t="str">
        <f>'7조'!C90</f>
        <v>7조 - Multi-tier - Usability</v>
      </c>
      <c r="D109" s="60">
        <v>0</v>
      </c>
      <c r="E109" s="60" t="str">
        <f>'7조'!E90</f>
        <v>7조 - Client-Server - Usability</v>
      </c>
    </row>
    <row r="110" spans="1:5">
      <c r="A110" s="60" t="s">
        <v>14</v>
      </c>
      <c r="B110" s="60">
        <v>0</v>
      </c>
      <c r="C110" s="60" t="str">
        <f>'8조'!C90</f>
        <v>8조 - Multi-tier - Usability</v>
      </c>
      <c r="D110" s="60">
        <v>0</v>
      </c>
      <c r="E110" s="60" t="str">
        <f>'8조'!E90</f>
        <v>8조 - Client-Server - Usability</v>
      </c>
    </row>
    <row r="111" spans="1:5">
      <c r="A111" s="60" t="s">
        <v>15</v>
      </c>
      <c r="B111" s="60">
        <v>0</v>
      </c>
      <c r="C111" s="60" t="str">
        <f>'9조'!C90</f>
        <v>9조 - Multi-tier - Usability</v>
      </c>
      <c r="D111" s="60">
        <v>0</v>
      </c>
      <c r="E111" s="60" t="str">
        <f>'9조'!E90</f>
        <v>9조 - Client-Server - Usability</v>
      </c>
    </row>
  </sheetData>
  <mergeCells count="3">
    <mergeCell ref="A1:A2"/>
    <mergeCell ref="B1:C1"/>
    <mergeCell ref="D1:E1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11"/>
  <sheetViews>
    <sheetView workbookViewId="0">
      <selection activeCell="B103" sqref="B103:G111"/>
    </sheetView>
  </sheetViews>
  <sheetFormatPr defaultColWidth="14.42578125" defaultRowHeight="15" customHeight="1"/>
  <cols>
    <col min="1" max="1" width="17.5703125" bestFit="1" customWidth="1"/>
    <col min="2" max="2" width="7.7109375" bestFit="1" customWidth="1"/>
    <col min="3" max="3" width="31.140625" bestFit="1" customWidth="1"/>
    <col min="4" max="4" width="7.7109375" bestFit="1" customWidth="1"/>
    <col min="5" max="5" width="35.140625" bestFit="1" customWidth="1"/>
    <col min="7" max="7" width="45.140625" customWidth="1"/>
  </cols>
  <sheetData>
    <row r="1" spans="1:5">
      <c r="A1" s="45" t="s">
        <v>40</v>
      </c>
      <c r="B1" s="45" t="s">
        <v>43</v>
      </c>
      <c r="C1" s="45"/>
      <c r="D1" s="45" t="s">
        <v>44</v>
      </c>
      <c r="E1" s="45"/>
    </row>
    <row r="2" spans="1:5">
      <c r="A2" s="45"/>
      <c r="B2" s="46" t="s">
        <v>4</v>
      </c>
      <c r="C2" s="46" t="s">
        <v>5</v>
      </c>
      <c r="D2" s="46" t="s">
        <v>4</v>
      </c>
      <c r="E2" s="46" t="s">
        <v>5</v>
      </c>
    </row>
    <row r="3" spans="1:5" ht="15" customHeight="1">
      <c r="A3" s="66" t="s">
        <v>6</v>
      </c>
      <c r="B3" s="66">
        <v>0</v>
      </c>
      <c r="C3" s="66">
        <v>0</v>
      </c>
      <c r="D3" s="66">
        <v>0</v>
      </c>
      <c r="E3" s="66">
        <v>0</v>
      </c>
    </row>
    <row r="4" spans="1:5">
      <c r="A4" s="44" t="s">
        <v>7</v>
      </c>
      <c r="B4" s="44">
        <v>0</v>
      </c>
      <c r="C4" s="44" t="str">
        <f>'1조'!C94</f>
        <v>1조 - Broker - Availability</v>
      </c>
      <c r="D4" s="44">
        <v>0</v>
      </c>
      <c r="E4" s="44" t="str">
        <f>'1조'!E94</f>
        <v>1조 - Dispatcher - Availability</v>
      </c>
    </row>
    <row r="5" spans="1:5">
      <c r="A5" s="44" t="s">
        <v>8</v>
      </c>
      <c r="B5" s="44">
        <v>0</v>
      </c>
      <c r="C5" s="44" t="str">
        <f>'2조'!C94</f>
        <v>2조 - Broker - Availability</v>
      </c>
      <c r="D5" s="44">
        <v>0</v>
      </c>
      <c r="E5" s="44" t="str">
        <f>'2조'!E94</f>
        <v>2조 - Dispatcher - Availability</v>
      </c>
    </row>
    <row r="6" spans="1:5">
      <c r="A6" s="44" t="s">
        <v>9</v>
      </c>
      <c r="B6" s="44">
        <v>0</v>
      </c>
      <c r="C6" s="44" t="str">
        <f>'3조'!C94</f>
        <v>3조 - Broker - Availability</v>
      </c>
      <c r="D6" s="44">
        <v>0</v>
      </c>
      <c r="E6" s="44" t="str">
        <f>'3조'!E94</f>
        <v>3조 - Dispatcher - Availability</v>
      </c>
    </row>
    <row r="7" spans="1:5">
      <c r="A7" s="44" t="s">
        <v>10</v>
      </c>
      <c r="B7" s="44">
        <v>0</v>
      </c>
      <c r="C7" s="44" t="str">
        <f>'4조'!C94</f>
        <v>4조 - Broker - Availability</v>
      </c>
      <c r="D7" s="44">
        <v>0</v>
      </c>
      <c r="E7" s="44" t="str">
        <f>'4조'!E94</f>
        <v>4조 - Dispatcher - Availability</v>
      </c>
    </row>
    <row r="8" spans="1:5">
      <c r="A8" s="44" t="s">
        <v>11</v>
      </c>
      <c r="B8" s="44">
        <v>0</v>
      </c>
      <c r="C8" s="44" t="str">
        <f>'5조'!C94</f>
        <v>5조 - Broker - Availability</v>
      </c>
      <c r="D8" s="44">
        <v>0</v>
      </c>
      <c r="E8" s="44" t="str">
        <f>'5조'!E94</f>
        <v>5조 - Dispatcher - Availability</v>
      </c>
    </row>
    <row r="9" spans="1:5">
      <c r="A9" s="44" t="s">
        <v>12</v>
      </c>
      <c r="B9" s="44">
        <v>0</v>
      </c>
      <c r="C9" s="44" t="str">
        <f>'6조'!C94</f>
        <v>6조 - Broker - Availability</v>
      </c>
      <c r="D9" s="44">
        <v>0</v>
      </c>
      <c r="E9" s="44" t="str">
        <f>'6조'!E94</f>
        <v>6조 - Dispatcher - Availability</v>
      </c>
    </row>
    <row r="10" spans="1:5">
      <c r="A10" s="44" t="s">
        <v>13</v>
      </c>
      <c r="B10" s="44">
        <v>0</v>
      </c>
      <c r="C10" s="44" t="str">
        <f>'7조'!C94</f>
        <v>7조 - Broker - Availability</v>
      </c>
      <c r="D10" s="44">
        <v>0</v>
      </c>
      <c r="E10" s="44" t="str">
        <f>'7조'!E94</f>
        <v>7조 - Dispatcher - Availability</v>
      </c>
    </row>
    <row r="11" spans="1:5">
      <c r="A11" s="44" t="s">
        <v>14</v>
      </c>
      <c r="B11" s="44">
        <v>0</v>
      </c>
      <c r="C11" s="44" t="str">
        <f>'8조'!C94</f>
        <v>8조 - Broker - Availability</v>
      </c>
      <c r="D11" s="44">
        <v>0</v>
      </c>
      <c r="E11" s="44" t="str">
        <f>'8조'!E94</f>
        <v>8조 - Dispatcher - Availability</v>
      </c>
    </row>
    <row r="12" spans="1:5">
      <c r="A12" s="44" t="s">
        <v>15</v>
      </c>
      <c r="B12" s="44">
        <v>0</v>
      </c>
      <c r="C12" s="44" t="str">
        <f>'9조'!C94</f>
        <v>9조 - Broker - Availability</v>
      </c>
      <c r="D12" s="44">
        <v>0</v>
      </c>
      <c r="E12" s="44" t="str">
        <f>'9조'!E94</f>
        <v>9조 - Dispatcher - Availability</v>
      </c>
    </row>
    <row r="13" spans="1:5">
      <c r="A13" s="44"/>
      <c r="B13" s="44"/>
      <c r="C13" s="44"/>
      <c r="D13" s="44"/>
      <c r="E13" s="44"/>
    </row>
    <row r="14" spans="1:5" ht="15" customHeight="1">
      <c r="A14" s="66" t="s">
        <v>16</v>
      </c>
      <c r="B14" s="66">
        <v>0</v>
      </c>
      <c r="C14" s="66">
        <v>0</v>
      </c>
      <c r="D14" s="66">
        <v>0</v>
      </c>
      <c r="E14" s="66">
        <v>0</v>
      </c>
    </row>
    <row r="15" spans="1:5">
      <c r="A15" s="44" t="s">
        <v>7</v>
      </c>
      <c r="B15" s="44">
        <v>0</v>
      </c>
      <c r="C15" s="44" t="str">
        <f>'1조'!C95</f>
        <v>1조 - Broker - Deployability</v>
      </c>
      <c r="D15" s="44">
        <v>0</v>
      </c>
      <c r="E15" s="44" t="str">
        <f>'1조'!E95</f>
        <v>1조 - Dispatcher - Deployability</v>
      </c>
    </row>
    <row r="16" spans="1:5">
      <c r="A16" s="44" t="s">
        <v>8</v>
      </c>
      <c r="B16" s="44">
        <v>0</v>
      </c>
      <c r="C16" s="44" t="str">
        <f>'2조'!C95</f>
        <v>2조 - Broker - Deployability</v>
      </c>
      <c r="D16" s="44">
        <v>0</v>
      </c>
      <c r="E16" s="44" t="str">
        <f>'2조'!E95</f>
        <v>2조 - Dispatcher - Deployability</v>
      </c>
    </row>
    <row r="17" spans="1:5">
      <c r="A17" s="44" t="s">
        <v>9</v>
      </c>
      <c r="B17" s="44">
        <v>0</v>
      </c>
      <c r="C17" s="44" t="str">
        <f>'3조'!C95</f>
        <v>3조 - Broker - Deployability</v>
      </c>
      <c r="D17" s="44">
        <v>0</v>
      </c>
      <c r="E17" s="44" t="str">
        <f>'3조'!E95</f>
        <v>3조 - Dispatcher - Deployability</v>
      </c>
    </row>
    <row r="18" spans="1:5">
      <c r="A18" s="44" t="s">
        <v>10</v>
      </c>
      <c r="B18" s="44">
        <v>0</v>
      </c>
      <c r="C18" s="44" t="str">
        <f>'4조'!C95</f>
        <v>4조 - Broker - Deployability</v>
      </c>
      <c r="D18" s="44">
        <v>0</v>
      </c>
      <c r="E18" s="44" t="str">
        <f>'4조'!E95</f>
        <v>4조 - Dispatcher - Deployability</v>
      </c>
    </row>
    <row r="19" spans="1:5">
      <c r="A19" s="44" t="s">
        <v>11</v>
      </c>
      <c r="B19" s="44">
        <v>0</v>
      </c>
      <c r="C19" s="44" t="str">
        <f>'5조'!C95</f>
        <v>5조 - Broker - Deployability</v>
      </c>
      <c r="D19" s="44">
        <v>0</v>
      </c>
      <c r="E19" s="44" t="str">
        <f>'5조'!E95</f>
        <v>5조 - Dispatcher - Deployability</v>
      </c>
    </row>
    <row r="20" spans="1:5">
      <c r="A20" s="44" t="s">
        <v>12</v>
      </c>
      <c r="B20" s="44">
        <v>0</v>
      </c>
      <c r="C20" s="44" t="str">
        <f>'6조'!C95</f>
        <v>6조 - Broker - Deployability</v>
      </c>
      <c r="D20" s="44">
        <v>0</v>
      </c>
      <c r="E20" s="44" t="str">
        <f>'6조'!E95</f>
        <v>6조 - Dispatcher - Deployability</v>
      </c>
    </row>
    <row r="21" spans="1:5">
      <c r="A21" s="44" t="s">
        <v>13</v>
      </c>
      <c r="B21" s="44">
        <v>0</v>
      </c>
      <c r="C21" s="44" t="str">
        <f>'7조'!C95</f>
        <v>7조 - Broker - Deployability</v>
      </c>
      <c r="D21" s="44">
        <v>0</v>
      </c>
      <c r="E21" s="44" t="str">
        <f>'7조'!E95</f>
        <v>7조 - Dispatcher - Deployability</v>
      </c>
    </row>
    <row r="22" spans="1:5">
      <c r="A22" s="44" t="s">
        <v>14</v>
      </c>
      <c r="B22" s="44">
        <v>0</v>
      </c>
      <c r="C22" s="44" t="str">
        <f>'8조'!C95</f>
        <v>8조 - Broker - Deployability</v>
      </c>
      <c r="D22" s="44">
        <v>0</v>
      </c>
      <c r="E22" s="44" t="str">
        <f>'8조'!E95</f>
        <v>8조 - Dispatcher - Deployability</v>
      </c>
    </row>
    <row r="23" spans="1:5">
      <c r="A23" s="44" t="s">
        <v>15</v>
      </c>
      <c r="B23" s="44">
        <v>0</v>
      </c>
      <c r="C23" s="44" t="str">
        <f>'9조'!C95</f>
        <v>9조 - Broker - Deployability</v>
      </c>
      <c r="D23" s="44">
        <v>0</v>
      </c>
      <c r="E23" s="44" t="str">
        <f>'9조'!E95</f>
        <v>9조 - Dispatcher - Deployability</v>
      </c>
    </row>
    <row r="24" spans="1:5">
      <c r="A24" s="44"/>
      <c r="B24" s="44"/>
      <c r="C24" s="44"/>
      <c r="D24" s="44"/>
      <c r="E24" s="44"/>
    </row>
    <row r="25" spans="1:5" ht="15" customHeight="1">
      <c r="A25" s="66" t="s">
        <v>17</v>
      </c>
      <c r="B25" s="66">
        <v>0</v>
      </c>
      <c r="C25" s="66">
        <v>0</v>
      </c>
      <c r="D25" s="66">
        <v>0</v>
      </c>
      <c r="E25" s="66">
        <v>0</v>
      </c>
    </row>
    <row r="26" spans="1:5">
      <c r="A26" s="44" t="s">
        <v>7</v>
      </c>
      <c r="B26" s="44">
        <v>0</v>
      </c>
      <c r="C26" s="44" t="str">
        <f>'1조'!C96</f>
        <v>1조 - Broker - Integrability</v>
      </c>
      <c r="D26" s="44">
        <v>0</v>
      </c>
      <c r="E26" s="44" t="str">
        <f>'1조'!E96</f>
        <v>1조 - Dispatcher - Integrability</v>
      </c>
    </row>
    <row r="27" spans="1:5">
      <c r="A27" s="44" t="s">
        <v>8</v>
      </c>
      <c r="B27" s="44">
        <v>0</v>
      </c>
      <c r="C27" s="44" t="str">
        <f>'2조'!C96</f>
        <v>2조 - Broker - Integrability</v>
      </c>
      <c r="D27" s="44">
        <v>0</v>
      </c>
      <c r="E27" s="44" t="str">
        <f>'2조'!E96</f>
        <v>2조 - Dispatcher - Integrability</v>
      </c>
    </row>
    <row r="28" spans="1:5">
      <c r="A28" s="44" t="s">
        <v>9</v>
      </c>
      <c r="B28" s="44">
        <v>0</v>
      </c>
      <c r="C28" s="44" t="str">
        <f>'3조'!C96</f>
        <v>3조 - Broker - Integrability</v>
      </c>
      <c r="D28" s="44">
        <v>0</v>
      </c>
      <c r="E28" s="44" t="str">
        <f>'3조'!E96</f>
        <v>3조 - Dispatcher - Integrability</v>
      </c>
    </row>
    <row r="29" spans="1:5">
      <c r="A29" s="44" t="s">
        <v>10</v>
      </c>
      <c r="B29" s="44">
        <v>0</v>
      </c>
      <c r="C29" s="44" t="str">
        <f>'4조'!C96</f>
        <v>4조 - Broker - Integrability</v>
      </c>
      <c r="D29" s="44">
        <v>0</v>
      </c>
      <c r="E29" s="44" t="str">
        <f>'4조'!E96</f>
        <v>4조 - Dispatcher - Integrability</v>
      </c>
    </row>
    <row r="30" spans="1:5">
      <c r="A30" s="44" t="s">
        <v>11</v>
      </c>
      <c r="B30" s="44">
        <v>0</v>
      </c>
      <c r="C30" s="44" t="str">
        <f>'5조'!C96</f>
        <v>5조 - Broker - Integrability</v>
      </c>
      <c r="D30" s="44">
        <v>0</v>
      </c>
      <c r="E30" s="44" t="str">
        <f>'5조'!E96</f>
        <v>5조 - Dispatcher - Integrability</v>
      </c>
    </row>
    <row r="31" spans="1:5">
      <c r="A31" s="44" t="s">
        <v>12</v>
      </c>
      <c r="B31" s="44">
        <v>0</v>
      </c>
      <c r="C31" s="44" t="str">
        <f>'6조'!C96</f>
        <v>6조 - Broker - Integrability</v>
      </c>
      <c r="D31" s="44">
        <v>0</v>
      </c>
      <c r="E31" s="44" t="str">
        <f>'6조'!E96</f>
        <v>6조 - Dispatcher - Integrability</v>
      </c>
    </row>
    <row r="32" spans="1:5">
      <c r="A32" s="44" t="s">
        <v>13</v>
      </c>
      <c r="B32" s="44">
        <v>0</v>
      </c>
      <c r="C32" s="44" t="str">
        <f>'7조'!C96</f>
        <v>7조 - Broker - Integrability</v>
      </c>
      <c r="D32" s="44">
        <v>0</v>
      </c>
      <c r="E32" s="44" t="str">
        <f>'7조'!E96</f>
        <v>7조 - Dispatcher - Integrability</v>
      </c>
    </row>
    <row r="33" spans="1:5">
      <c r="A33" s="44" t="s">
        <v>14</v>
      </c>
      <c r="B33" s="44">
        <v>0</v>
      </c>
      <c r="C33" s="44" t="str">
        <f>'8조'!C96</f>
        <v>8조 - Broker - Integrability</v>
      </c>
      <c r="D33" s="44">
        <v>0</v>
      </c>
      <c r="E33" s="44" t="str">
        <f>'8조'!E96</f>
        <v>8조 - Dispatcher - Integrability</v>
      </c>
    </row>
    <row r="34" spans="1:5">
      <c r="A34" s="44" t="s">
        <v>15</v>
      </c>
      <c r="B34" s="44">
        <v>0</v>
      </c>
      <c r="C34" s="44" t="str">
        <f>'9조'!C96</f>
        <v>9조 - Broker - Integrability</v>
      </c>
      <c r="D34" s="44">
        <v>0</v>
      </c>
      <c r="E34" s="44" t="str">
        <f>'9조'!E96</f>
        <v>9조 - Dispatcher - Integrability</v>
      </c>
    </row>
    <row r="35" spans="1:5">
      <c r="A35" s="44"/>
      <c r="B35" s="44"/>
      <c r="C35" s="44"/>
      <c r="D35" s="44"/>
      <c r="E35" s="44"/>
    </row>
    <row r="36" spans="1:5">
      <c r="A36" s="66" t="s">
        <v>18</v>
      </c>
      <c r="B36" s="66">
        <v>0</v>
      </c>
      <c r="C36" s="66">
        <v>0</v>
      </c>
      <c r="D36" s="66">
        <v>0</v>
      </c>
      <c r="E36" s="66">
        <v>0</v>
      </c>
    </row>
    <row r="37" spans="1:5">
      <c r="A37" s="44" t="s">
        <v>7</v>
      </c>
      <c r="B37" s="44">
        <v>0</v>
      </c>
      <c r="C37" s="44" t="str">
        <f>'1조'!C97</f>
        <v>1조 - Broker - Energy Efficiency</v>
      </c>
      <c r="D37" s="44">
        <v>0</v>
      </c>
      <c r="E37" s="44" t="str">
        <f>'1조'!E97</f>
        <v>1조 - Dispatcher - Energy Efficiency</v>
      </c>
    </row>
    <row r="38" spans="1:5">
      <c r="A38" s="44" t="s">
        <v>8</v>
      </c>
      <c r="B38" s="44">
        <v>0</v>
      </c>
      <c r="C38" s="44" t="str">
        <f>'2조'!C97</f>
        <v>2조 - Broker - Energy Efficiency</v>
      </c>
      <c r="D38" s="44">
        <v>0</v>
      </c>
      <c r="E38" s="44" t="str">
        <f>'2조'!E97</f>
        <v>2조 - Dispatcher - Energy Efficiency</v>
      </c>
    </row>
    <row r="39" spans="1:5">
      <c r="A39" s="44" t="s">
        <v>9</v>
      </c>
      <c r="B39" s="44">
        <v>0</v>
      </c>
      <c r="C39" s="44" t="str">
        <f>'3조'!C97</f>
        <v>3조 - Broker - Energy Efficiency</v>
      </c>
      <c r="D39" s="44">
        <v>0</v>
      </c>
      <c r="E39" s="44" t="str">
        <f>'3조'!E97</f>
        <v>3조 - Dispatcher - Energy Efficiency</v>
      </c>
    </row>
    <row r="40" spans="1:5">
      <c r="A40" s="44" t="s">
        <v>10</v>
      </c>
      <c r="B40" s="44">
        <v>0</v>
      </c>
      <c r="C40" s="44" t="str">
        <f>'4조'!C97</f>
        <v>4조 - Broker - Energy Efficiency</v>
      </c>
      <c r="D40" s="44">
        <v>0</v>
      </c>
      <c r="E40" s="44" t="str">
        <f>'4조'!E97</f>
        <v>4조 - Dispatcher - Energy Efficiency</v>
      </c>
    </row>
    <row r="41" spans="1:5">
      <c r="A41" s="44" t="s">
        <v>11</v>
      </c>
      <c r="B41" s="44">
        <v>0</v>
      </c>
      <c r="C41" s="44" t="str">
        <f>'5조'!C97</f>
        <v>5조 - Broker - Energy Efficiency</v>
      </c>
      <c r="D41" s="44">
        <v>0</v>
      </c>
      <c r="E41" s="44" t="str">
        <f>'5조'!E97</f>
        <v>5조 - Dispatcher - Energy Efficiency</v>
      </c>
    </row>
    <row r="42" spans="1:5">
      <c r="A42" s="44" t="s">
        <v>12</v>
      </c>
      <c r="B42" s="44">
        <v>0</v>
      </c>
      <c r="C42" s="44" t="str">
        <f>'6조'!C97</f>
        <v>6조 - Broker - Energy Efficiency</v>
      </c>
      <c r="D42" s="44">
        <v>0</v>
      </c>
      <c r="E42" s="44" t="str">
        <f>'6조'!E97</f>
        <v>6조 - Dispatcher - Energy Efficiency</v>
      </c>
    </row>
    <row r="43" spans="1:5">
      <c r="A43" s="44" t="s">
        <v>13</v>
      </c>
      <c r="B43" s="44">
        <v>0</v>
      </c>
      <c r="C43" s="44" t="str">
        <f>'7조'!C97</f>
        <v>7조 - Broker - Energy Efficiency</v>
      </c>
      <c r="D43" s="44">
        <v>0</v>
      </c>
      <c r="E43" s="44" t="str">
        <f>'7조'!E97</f>
        <v>7조 - Dispatcher - Energy Efficiency</v>
      </c>
    </row>
    <row r="44" spans="1:5">
      <c r="A44" s="44" t="s">
        <v>14</v>
      </c>
      <c r="B44" s="44">
        <v>0</v>
      </c>
      <c r="C44" s="44" t="str">
        <f>'8조'!C97</f>
        <v>8조 - Broker - Energy Efficiency</v>
      </c>
      <c r="D44" s="44">
        <v>0</v>
      </c>
      <c r="E44" s="44" t="str">
        <f>'8조'!E97</f>
        <v>8조 - Dispatcher - Energy Efficiency</v>
      </c>
    </row>
    <row r="45" spans="1:5">
      <c r="A45" s="44" t="s">
        <v>15</v>
      </c>
      <c r="B45" s="44">
        <v>0</v>
      </c>
      <c r="C45" s="44" t="str">
        <f>'9조'!C97</f>
        <v>9조 - Broker - Energy Efficiency</v>
      </c>
      <c r="D45" s="44">
        <v>0</v>
      </c>
      <c r="E45" s="44" t="str">
        <f>'9조'!E97</f>
        <v>9조 - Dispatcher - Energy Efficiency</v>
      </c>
    </row>
    <row r="46" spans="1:5">
      <c r="A46" s="44"/>
      <c r="B46" s="44"/>
      <c r="C46" s="44"/>
      <c r="D46" s="44"/>
      <c r="E46" s="44"/>
    </row>
    <row r="47" spans="1:5">
      <c r="A47" s="66" t="s">
        <v>19</v>
      </c>
      <c r="B47" s="66">
        <v>0</v>
      </c>
      <c r="C47" s="66">
        <v>0</v>
      </c>
      <c r="D47" s="66">
        <v>0</v>
      </c>
      <c r="E47" s="66">
        <v>0</v>
      </c>
    </row>
    <row r="48" spans="1:5">
      <c r="A48" s="44" t="s">
        <v>7</v>
      </c>
      <c r="B48" s="44">
        <v>0</v>
      </c>
      <c r="C48" s="44" t="str">
        <f>'1조'!C98</f>
        <v>1조 - Broker - Modifiability</v>
      </c>
      <c r="D48" s="44">
        <v>0</v>
      </c>
      <c r="E48" s="44" t="str">
        <f>'1조'!E98</f>
        <v>1조 - Dispatcher - Modifiability</v>
      </c>
    </row>
    <row r="49" spans="1:5">
      <c r="A49" s="44" t="s">
        <v>8</v>
      </c>
      <c r="B49" s="44">
        <v>0</v>
      </c>
      <c r="C49" s="44" t="str">
        <f>'2조'!C98</f>
        <v>2조 - Broker - Modifiability</v>
      </c>
      <c r="D49" s="44">
        <v>0</v>
      </c>
      <c r="E49" s="44" t="str">
        <f>'2조'!E98</f>
        <v>2조 - Dispatcher - Modifiability</v>
      </c>
    </row>
    <row r="50" spans="1:5">
      <c r="A50" s="44" t="s">
        <v>9</v>
      </c>
      <c r="B50" s="44">
        <v>0</v>
      </c>
      <c r="C50" s="44" t="str">
        <f>'3조'!C98</f>
        <v>3조 - Broker - Modifiability</v>
      </c>
      <c r="D50" s="44">
        <v>0</v>
      </c>
      <c r="E50" s="44" t="str">
        <f>'3조'!E98</f>
        <v>3조 - Dispatcher - Modifiability</v>
      </c>
    </row>
    <row r="51" spans="1:5">
      <c r="A51" s="44" t="s">
        <v>10</v>
      </c>
      <c r="B51" s="44">
        <v>0</v>
      </c>
      <c r="C51" s="44" t="str">
        <f>'4조'!C98</f>
        <v>4조 - Broker - Modifiability</v>
      </c>
      <c r="D51" s="44">
        <v>0</v>
      </c>
      <c r="E51" s="44" t="str">
        <f>'4조'!E98</f>
        <v>4조 - Dispatcher - Modifiability</v>
      </c>
    </row>
    <row r="52" spans="1:5">
      <c r="A52" s="44" t="s">
        <v>11</v>
      </c>
      <c r="B52" s="44">
        <v>0</v>
      </c>
      <c r="C52" s="44" t="str">
        <f>'5조'!C98</f>
        <v>5조 - Broker - Modifiability</v>
      </c>
      <c r="D52" s="44">
        <v>0</v>
      </c>
      <c r="E52" s="44" t="str">
        <f>'5조'!E98</f>
        <v>5조 - Dispatcher - Modifiability</v>
      </c>
    </row>
    <row r="53" spans="1:5">
      <c r="A53" s="44" t="s">
        <v>12</v>
      </c>
      <c r="B53" s="44">
        <v>0</v>
      </c>
      <c r="C53" s="44" t="str">
        <f>'6조'!C98</f>
        <v>6조 - Broker - Modifiability</v>
      </c>
      <c r="D53" s="44">
        <v>0</v>
      </c>
      <c r="E53" s="44" t="str">
        <f>'6조'!E98</f>
        <v>6조 - Dispatcher - Modifiability</v>
      </c>
    </row>
    <row r="54" spans="1:5">
      <c r="A54" s="44" t="s">
        <v>13</v>
      </c>
      <c r="B54" s="44">
        <v>0</v>
      </c>
      <c r="C54" s="44" t="str">
        <f>'7조'!C98</f>
        <v>7조 - Broker - Modifiability</v>
      </c>
      <c r="D54" s="44">
        <v>0</v>
      </c>
      <c r="E54" s="44" t="str">
        <f>'7조'!E98</f>
        <v>7조 - Dispatcher - Modifiability</v>
      </c>
    </row>
    <row r="55" spans="1:5">
      <c r="A55" s="44" t="s">
        <v>14</v>
      </c>
      <c r="B55" s="44">
        <v>0</v>
      </c>
      <c r="C55" s="44" t="str">
        <f>'8조'!C98</f>
        <v>8조 - Broker - Modifiability</v>
      </c>
      <c r="D55" s="44">
        <v>0</v>
      </c>
      <c r="E55" s="44" t="str">
        <f>'8조'!E98</f>
        <v>8조 - Dispatcher - Modifiability</v>
      </c>
    </row>
    <row r="56" spans="1:5">
      <c r="A56" s="44" t="s">
        <v>15</v>
      </c>
      <c r="B56" s="44">
        <v>0</v>
      </c>
      <c r="C56" s="44" t="str">
        <f>'9조'!C98</f>
        <v>9조 - Broker - Modifiability</v>
      </c>
      <c r="D56" s="44">
        <v>0</v>
      </c>
      <c r="E56" s="44" t="str">
        <f>'9조'!E98</f>
        <v>9조 - Dispatcher - Modifiability</v>
      </c>
    </row>
    <row r="57" spans="1:5">
      <c r="A57" s="44"/>
      <c r="B57" s="44"/>
      <c r="C57" s="44"/>
      <c r="D57" s="44"/>
      <c r="E57" s="44"/>
    </row>
    <row r="58" spans="1:5">
      <c r="A58" s="66" t="s">
        <v>20</v>
      </c>
      <c r="B58" s="66">
        <v>0</v>
      </c>
      <c r="C58" s="66">
        <v>0</v>
      </c>
      <c r="D58" s="66">
        <v>0</v>
      </c>
      <c r="E58" s="66">
        <v>0</v>
      </c>
    </row>
    <row r="59" spans="1:5">
      <c r="A59" s="44" t="s">
        <v>7</v>
      </c>
      <c r="B59" s="44">
        <v>0</v>
      </c>
      <c r="C59" s="44" t="str">
        <f>'1조'!C99</f>
        <v>1조 - Broker - Performance</v>
      </c>
      <c r="D59" s="44">
        <v>0</v>
      </c>
      <c r="E59" s="44" t="str">
        <f>'1조'!E99</f>
        <v>1조 - Dispatcher - Performance</v>
      </c>
    </row>
    <row r="60" spans="1:5">
      <c r="A60" s="44" t="s">
        <v>8</v>
      </c>
      <c r="B60" s="44">
        <v>0</v>
      </c>
      <c r="C60" s="44" t="str">
        <f>'2조'!C99</f>
        <v>2조 - Broker - Performance</v>
      </c>
      <c r="D60" s="44">
        <v>0</v>
      </c>
      <c r="E60" s="44" t="str">
        <f>'2조'!E99</f>
        <v>2조 - Dispatcher - Performance</v>
      </c>
    </row>
    <row r="61" spans="1:5">
      <c r="A61" s="44" t="s">
        <v>9</v>
      </c>
      <c r="B61" s="44">
        <v>0</v>
      </c>
      <c r="C61" s="44" t="str">
        <f>'3조'!C99</f>
        <v>3조 - Broker - Performance</v>
      </c>
      <c r="D61" s="44">
        <v>0</v>
      </c>
      <c r="E61" s="44" t="str">
        <f>'3조'!E99</f>
        <v>3조 - Dispatcher - Performance</v>
      </c>
    </row>
    <row r="62" spans="1:5">
      <c r="A62" s="44" t="s">
        <v>10</v>
      </c>
      <c r="B62" s="44">
        <v>0</v>
      </c>
      <c r="C62" s="44" t="str">
        <f>'4조'!C99</f>
        <v>4조 - Broker - Performance</v>
      </c>
      <c r="D62" s="44">
        <v>0</v>
      </c>
      <c r="E62" s="44" t="str">
        <f>'4조'!E99</f>
        <v>4조 - Dispatcher - Performance</v>
      </c>
    </row>
    <row r="63" spans="1:5">
      <c r="A63" s="44" t="s">
        <v>11</v>
      </c>
      <c r="B63" s="44">
        <v>0</v>
      </c>
      <c r="C63" s="44" t="str">
        <f>'5조'!C99</f>
        <v>5조 - Broker - Performance</v>
      </c>
      <c r="D63" s="44">
        <v>0</v>
      </c>
      <c r="E63" s="44" t="str">
        <f>'5조'!E99</f>
        <v>5조 - Dispatcher - Performance</v>
      </c>
    </row>
    <row r="64" spans="1:5">
      <c r="A64" s="44" t="s">
        <v>12</v>
      </c>
      <c r="B64" s="44">
        <v>0</v>
      </c>
      <c r="C64" s="44" t="str">
        <f>'6조'!C99</f>
        <v>6조 - Broker - Performance</v>
      </c>
      <c r="D64" s="44">
        <v>0</v>
      </c>
      <c r="E64" s="44" t="str">
        <f>'6조'!E99</f>
        <v>6조 - Dispatcher - Performance</v>
      </c>
    </row>
    <row r="65" spans="1:5">
      <c r="A65" s="44" t="s">
        <v>13</v>
      </c>
      <c r="B65" s="44">
        <v>0</v>
      </c>
      <c r="C65" s="44" t="str">
        <f>'7조'!C99</f>
        <v>7조 - Broker - Performance</v>
      </c>
      <c r="D65" s="44">
        <v>0</v>
      </c>
      <c r="E65" s="44" t="str">
        <f>'7조'!E99</f>
        <v>7조 - Dispatcher - Performance</v>
      </c>
    </row>
    <row r="66" spans="1:5">
      <c r="A66" s="44" t="s">
        <v>14</v>
      </c>
      <c r="B66" s="44">
        <v>0</v>
      </c>
      <c r="C66" s="44" t="str">
        <f>'8조'!C99</f>
        <v>8조 - Broker - Performance</v>
      </c>
      <c r="D66" s="44">
        <v>0</v>
      </c>
      <c r="E66" s="44" t="str">
        <f>'8조'!E99</f>
        <v>8조 - Dispatcher - Performance</v>
      </c>
    </row>
    <row r="67" spans="1:5">
      <c r="A67" s="44" t="s">
        <v>15</v>
      </c>
      <c r="B67" s="44">
        <v>0</v>
      </c>
      <c r="C67" s="44" t="str">
        <f>'9조'!C99</f>
        <v>9조 - Broker - Performance</v>
      </c>
      <c r="D67" s="44">
        <v>0</v>
      </c>
      <c r="E67" s="44" t="str">
        <f>'9조'!E99</f>
        <v>9조 - Dispatcher - Performance</v>
      </c>
    </row>
    <row r="68" spans="1:5">
      <c r="A68" s="44"/>
      <c r="B68" s="44"/>
      <c r="C68" s="44"/>
      <c r="D68" s="44"/>
      <c r="E68" s="44"/>
    </row>
    <row r="69" spans="1:5">
      <c r="A69" s="66" t="s">
        <v>21</v>
      </c>
      <c r="B69" s="66">
        <v>0</v>
      </c>
      <c r="C69" s="66">
        <v>0</v>
      </c>
      <c r="D69" s="66">
        <v>0</v>
      </c>
      <c r="E69" s="66">
        <v>0</v>
      </c>
    </row>
    <row r="70" spans="1:5">
      <c r="A70" s="44" t="s">
        <v>7</v>
      </c>
      <c r="B70" s="44">
        <v>0</v>
      </c>
      <c r="C70" s="44" t="str">
        <f>'1조'!C100</f>
        <v>1조 - Broker - Safety</v>
      </c>
      <c r="D70" s="44">
        <v>0</v>
      </c>
      <c r="E70" s="44" t="str">
        <f>'1조'!E100</f>
        <v>1조 - Dispatcher - Safety</v>
      </c>
    </row>
    <row r="71" spans="1:5">
      <c r="A71" s="44" t="s">
        <v>8</v>
      </c>
      <c r="B71" s="44">
        <v>0</v>
      </c>
      <c r="C71" s="44" t="str">
        <f>'2조'!C100</f>
        <v>2조 - Broker - Safety</v>
      </c>
      <c r="D71" s="44">
        <v>0</v>
      </c>
      <c r="E71" s="44" t="str">
        <f>'2조'!E100</f>
        <v>2조 - Dispatcher - Safety</v>
      </c>
    </row>
    <row r="72" spans="1:5">
      <c r="A72" s="44" t="s">
        <v>9</v>
      </c>
      <c r="B72" s="44">
        <v>0</v>
      </c>
      <c r="C72" s="44" t="str">
        <f>'3조'!C100</f>
        <v>3조 - Broker - Safety</v>
      </c>
      <c r="D72" s="44">
        <v>0</v>
      </c>
      <c r="E72" s="44" t="str">
        <f>'3조'!E100</f>
        <v>3조 - Dispatcher - Safety</v>
      </c>
    </row>
    <row r="73" spans="1:5">
      <c r="A73" s="44" t="s">
        <v>10</v>
      </c>
      <c r="B73" s="44">
        <v>0</v>
      </c>
      <c r="C73" s="44" t="str">
        <f>'4조'!C100</f>
        <v>4조 - Broker - Safety</v>
      </c>
      <c r="D73" s="44">
        <v>0</v>
      </c>
      <c r="E73" s="44" t="str">
        <f>'4조'!E100</f>
        <v>4조 - Dispatcher - Safety</v>
      </c>
    </row>
    <row r="74" spans="1:5">
      <c r="A74" s="44" t="s">
        <v>11</v>
      </c>
      <c r="B74" s="44">
        <v>0</v>
      </c>
      <c r="C74" s="44" t="str">
        <f>'5조'!C100</f>
        <v>5조 - Broker - Safety</v>
      </c>
      <c r="D74" s="44">
        <v>0</v>
      </c>
      <c r="E74" s="44" t="str">
        <f>'5조'!E100</f>
        <v>5조 - Dispatcher - Safety</v>
      </c>
    </row>
    <row r="75" spans="1:5">
      <c r="A75" s="44" t="s">
        <v>12</v>
      </c>
      <c r="B75" s="44">
        <v>0</v>
      </c>
      <c r="C75" s="44" t="str">
        <f>'6조'!C100</f>
        <v>6조 - Broker - Safety</v>
      </c>
      <c r="D75" s="44">
        <v>0</v>
      </c>
      <c r="E75" s="44" t="str">
        <f>'6조'!E100</f>
        <v>6조 - Dispatcher - Safety</v>
      </c>
    </row>
    <row r="76" spans="1:5">
      <c r="A76" s="44" t="s">
        <v>13</v>
      </c>
      <c r="B76" s="44">
        <v>0</v>
      </c>
      <c r="C76" s="44" t="str">
        <f>'7조'!C100</f>
        <v>7조 - Broker - Safety</v>
      </c>
      <c r="D76" s="44">
        <v>0</v>
      </c>
      <c r="E76" s="44" t="str">
        <f>'7조'!E100</f>
        <v>7조 - Dispatcher - Safety</v>
      </c>
    </row>
    <row r="77" spans="1:5">
      <c r="A77" s="44" t="s">
        <v>14</v>
      </c>
      <c r="B77" s="44">
        <v>0</v>
      </c>
      <c r="C77" s="44" t="str">
        <f>'8조'!C100</f>
        <v>8조 - Broker - Safety</v>
      </c>
      <c r="D77" s="44">
        <v>0</v>
      </c>
      <c r="E77" s="44" t="str">
        <f>'8조'!E100</f>
        <v>8조 - Dispatcher - Safety</v>
      </c>
    </row>
    <row r="78" spans="1:5">
      <c r="A78" s="44" t="s">
        <v>15</v>
      </c>
      <c r="B78" s="44">
        <v>0</v>
      </c>
      <c r="C78" s="44" t="str">
        <f>'9조'!C100</f>
        <v>9조 - Broker - Safety</v>
      </c>
      <c r="D78" s="44">
        <v>0</v>
      </c>
      <c r="E78" s="44" t="str">
        <f>'9조'!E100</f>
        <v>9조 - Dispatcher - Safety</v>
      </c>
    </row>
    <row r="79" spans="1:5">
      <c r="A79" s="44"/>
      <c r="B79" s="44"/>
      <c r="C79" s="44"/>
      <c r="D79" s="44"/>
      <c r="E79" s="44"/>
    </row>
    <row r="80" spans="1:5">
      <c r="A80" s="66" t="s">
        <v>22</v>
      </c>
      <c r="B80" s="66">
        <v>0</v>
      </c>
      <c r="C80" s="66">
        <v>0</v>
      </c>
      <c r="D80" s="66">
        <v>0</v>
      </c>
      <c r="E80" s="66">
        <v>0</v>
      </c>
    </row>
    <row r="81" spans="1:5">
      <c r="A81" s="44" t="s">
        <v>7</v>
      </c>
      <c r="B81" s="44">
        <v>0</v>
      </c>
      <c r="C81" s="44" t="str">
        <f>'1조'!C101</f>
        <v>1조 - Broker - Security</v>
      </c>
      <c r="D81" s="44">
        <v>0</v>
      </c>
      <c r="E81" s="44" t="str">
        <f>'1조'!E101</f>
        <v>1조 - Dispatcher - Security</v>
      </c>
    </row>
    <row r="82" spans="1:5">
      <c r="A82" s="44" t="s">
        <v>8</v>
      </c>
      <c r="B82" s="44">
        <v>0</v>
      </c>
      <c r="C82" s="44" t="str">
        <f>'2조'!C101</f>
        <v>2조 - Broker - Security</v>
      </c>
      <c r="D82" s="44">
        <v>0</v>
      </c>
      <c r="E82" s="44" t="str">
        <f>'2조'!E101</f>
        <v>2조 - Dispatcher - Security</v>
      </c>
    </row>
    <row r="83" spans="1:5">
      <c r="A83" s="44" t="s">
        <v>9</v>
      </c>
      <c r="B83" s="44">
        <v>0</v>
      </c>
      <c r="C83" s="44" t="str">
        <f>'3조'!C101</f>
        <v>3조 - Broker - Security</v>
      </c>
      <c r="D83" s="44">
        <v>0</v>
      </c>
      <c r="E83" s="44" t="str">
        <f>'3조'!E101</f>
        <v>3조 - Dispatcher - Security</v>
      </c>
    </row>
    <row r="84" spans="1:5">
      <c r="A84" s="44" t="s">
        <v>10</v>
      </c>
      <c r="B84" s="44">
        <v>0</v>
      </c>
      <c r="C84" s="44" t="str">
        <f>'4조'!C101</f>
        <v>4조 - Broker - Security</v>
      </c>
      <c r="D84" s="44">
        <v>0</v>
      </c>
      <c r="E84" s="44" t="str">
        <f>'4조'!E101</f>
        <v>4조 - Dispatcher - Security</v>
      </c>
    </row>
    <row r="85" spans="1:5">
      <c r="A85" s="44" t="s">
        <v>11</v>
      </c>
      <c r="B85" s="44">
        <v>0</v>
      </c>
      <c r="C85" s="44" t="str">
        <f>'5조'!C101</f>
        <v>5조 - Broker - Security</v>
      </c>
      <c r="D85" s="44">
        <v>0</v>
      </c>
      <c r="E85" s="44" t="str">
        <f>'5조'!E101</f>
        <v>5조 - Dispatcher - Security</v>
      </c>
    </row>
    <row r="86" spans="1:5">
      <c r="A86" s="44" t="s">
        <v>12</v>
      </c>
      <c r="B86" s="44">
        <v>0</v>
      </c>
      <c r="C86" s="44" t="str">
        <f>'6조'!C101</f>
        <v>6조 - Broker - Security</v>
      </c>
      <c r="D86" s="44">
        <v>0</v>
      </c>
      <c r="E86" s="44" t="str">
        <f>'6조'!E101</f>
        <v>6조 - Dispatcher - Security</v>
      </c>
    </row>
    <row r="87" spans="1:5">
      <c r="A87" s="44" t="s">
        <v>13</v>
      </c>
      <c r="B87" s="44">
        <v>0</v>
      </c>
      <c r="C87" s="44" t="str">
        <f>'7조'!C101</f>
        <v>7조 - Broker - Security</v>
      </c>
      <c r="D87" s="44">
        <v>0</v>
      </c>
      <c r="E87" s="44" t="str">
        <f>'7조'!E101</f>
        <v>7조 - Dispatcher - Security</v>
      </c>
    </row>
    <row r="88" spans="1:5">
      <c r="A88" s="44" t="s">
        <v>14</v>
      </c>
      <c r="B88" s="44">
        <v>0</v>
      </c>
      <c r="C88" s="44" t="str">
        <f>'8조'!C101</f>
        <v>8조 - Broker - Security</v>
      </c>
      <c r="D88" s="44">
        <v>0</v>
      </c>
      <c r="E88" s="44" t="str">
        <f>'8조'!E101</f>
        <v>8조 - Dispatcher - Security</v>
      </c>
    </row>
    <row r="89" spans="1:5">
      <c r="A89" s="44" t="s">
        <v>15</v>
      </c>
      <c r="B89" s="44">
        <v>0</v>
      </c>
      <c r="C89" s="44" t="str">
        <f>'9조'!C101</f>
        <v>9조 - Broker - Security</v>
      </c>
      <c r="D89" s="44">
        <v>0</v>
      </c>
      <c r="E89" s="44" t="str">
        <f>'9조'!E101</f>
        <v>9조 - Dispatcher - Security</v>
      </c>
    </row>
    <row r="90" spans="1:5">
      <c r="A90" s="44"/>
      <c r="B90" s="44"/>
      <c r="C90" s="44"/>
      <c r="D90" s="44"/>
      <c r="E90" s="44"/>
    </row>
    <row r="91" spans="1:5">
      <c r="A91" s="66" t="s">
        <v>23</v>
      </c>
      <c r="B91" s="66">
        <v>0</v>
      </c>
      <c r="C91" s="66">
        <v>0</v>
      </c>
      <c r="D91" s="66">
        <v>0</v>
      </c>
      <c r="E91" s="66">
        <v>0</v>
      </c>
    </row>
    <row r="92" spans="1:5">
      <c r="A92" s="44" t="s">
        <v>7</v>
      </c>
      <c r="B92" s="44">
        <v>0</v>
      </c>
      <c r="C92" s="44" t="str">
        <f>'1조'!C102</f>
        <v>1조 - Broker - Testability</v>
      </c>
      <c r="D92" s="44">
        <v>0</v>
      </c>
      <c r="E92" s="44" t="str">
        <f>'1조'!E102</f>
        <v>1조 - Dispatcher - Testability</v>
      </c>
    </row>
    <row r="93" spans="1:5">
      <c r="A93" s="44" t="s">
        <v>8</v>
      </c>
      <c r="B93" s="44">
        <v>0</v>
      </c>
      <c r="C93" s="44" t="str">
        <f>'2조'!C102</f>
        <v>2조 - Broker - Testability</v>
      </c>
      <c r="D93" s="44">
        <v>0</v>
      </c>
      <c r="E93" s="44" t="str">
        <f>'2조'!E102</f>
        <v>2조 - Dispatcher - Testability</v>
      </c>
    </row>
    <row r="94" spans="1:5">
      <c r="A94" s="44" t="s">
        <v>9</v>
      </c>
      <c r="B94" s="44">
        <v>0</v>
      </c>
      <c r="C94" s="44" t="str">
        <f>'3조'!C102</f>
        <v>3조 - Broker - Testability</v>
      </c>
      <c r="D94" s="44">
        <v>0</v>
      </c>
      <c r="E94" s="44" t="str">
        <f>'3조'!E102</f>
        <v>3조 - Dispatcher - Testability</v>
      </c>
    </row>
    <row r="95" spans="1:5">
      <c r="A95" s="44" t="s">
        <v>10</v>
      </c>
      <c r="B95" s="44">
        <v>0</v>
      </c>
      <c r="C95" s="44" t="str">
        <f>'4조'!C102</f>
        <v>4조 - Broker - Testability</v>
      </c>
      <c r="D95" s="44">
        <v>0</v>
      </c>
      <c r="E95" s="44" t="str">
        <f>'4조'!E102</f>
        <v>4조 - Dispatcher - Testability</v>
      </c>
    </row>
    <row r="96" spans="1:5">
      <c r="A96" s="44" t="s">
        <v>11</v>
      </c>
      <c r="B96" s="44">
        <v>0</v>
      </c>
      <c r="C96" s="44" t="str">
        <f>'5조'!C102</f>
        <v>5조 - Broker - Testability</v>
      </c>
      <c r="D96" s="44">
        <v>0</v>
      </c>
      <c r="E96" s="44" t="str">
        <f>'5조'!E102</f>
        <v>5조 - Dispatcher - Testability</v>
      </c>
    </row>
    <row r="97" spans="1:5">
      <c r="A97" s="44" t="s">
        <v>12</v>
      </c>
      <c r="B97" s="44">
        <v>0</v>
      </c>
      <c r="C97" s="44" t="str">
        <f>'6조'!C102</f>
        <v>6조 - Broker - Testability</v>
      </c>
      <c r="D97" s="44">
        <v>0</v>
      </c>
      <c r="E97" s="44" t="str">
        <f>'6조'!E102</f>
        <v>6조 - Dispatcher - Testability</v>
      </c>
    </row>
    <row r="98" spans="1:5">
      <c r="A98" s="44" t="s">
        <v>13</v>
      </c>
      <c r="B98" s="44">
        <v>0</v>
      </c>
      <c r="C98" s="44" t="str">
        <f>'7조'!C102</f>
        <v>7조 - Broker - Testability</v>
      </c>
      <c r="D98" s="44">
        <v>0</v>
      </c>
      <c r="E98" s="44" t="str">
        <f>'7조'!E102</f>
        <v>7조 - Dispatcher - Testability</v>
      </c>
    </row>
    <row r="99" spans="1:5">
      <c r="A99" s="44" t="s">
        <v>14</v>
      </c>
      <c r="B99" s="44">
        <v>0</v>
      </c>
      <c r="C99" s="44" t="str">
        <f>'8조'!C102</f>
        <v>8조 - Broker - Testability</v>
      </c>
      <c r="D99" s="44">
        <v>0</v>
      </c>
      <c r="E99" s="44" t="str">
        <f>'8조'!E102</f>
        <v>8조 - Dispatcher - Testability</v>
      </c>
    </row>
    <row r="100" spans="1:5">
      <c r="A100" s="44" t="s">
        <v>15</v>
      </c>
      <c r="B100" s="44">
        <v>0</v>
      </c>
      <c r="C100" s="44" t="str">
        <f>'9조'!C102</f>
        <v>9조 - Broker - Testability</v>
      </c>
      <c r="D100" s="44">
        <v>0</v>
      </c>
      <c r="E100" s="44" t="str">
        <f>'9조'!E102</f>
        <v>9조 - Dispatcher - Testability</v>
      </c>
    </row>
    <row r="101" spans="1:5" ht="15" customHeight="1">
      <c r="A101" s="44"/>
      <c r="B101" s="44"/>
      <c r="C101" s="44"/>
      <c r="D101" s="44"/>
      <c r="E101" s="44"/>
    </row>
    <row r="102" spans="1:5">
      <c r="A102" s="66" t="s">
        <v>24</v>
      </c>
      <c r="B102" s="66">
        <v>0</v>
      </c>
      <c r="C102" s="66">
        <v>0</v>
      </c>
      <c r="D102" s="66">
        <v>0</v>
      </c>
      <c r="E102" s="66">
        <v>0</v>
      </c>
    </row>
    <row r="103" spans="1:5">
      <c r="A103" s="44" t="s">
        <v>7</v>
      </c>
      <c r="B103" s="44">
        <v>0</v>
      </c>
      <c r="C103" s="44" t="str">
        <f>'1조'!C103</f>
        <v>1조 - Broker - Usability</v>
      </c>
      <c r="D103" s="44">
        <v>0</v>
      </c>
      <c r="E103" s="44" t="str">
        <f>'1조'!E103</f>
        <v>1조 - Dispatcher - Usability</v>
      </c>
    </row>
    <row r="104" spans="1:5">
      <c r="A104" s="44" t="s">
        <v>8</v>
      </c>
      <c r="B104" s="44">
        <v>0</v>
      </c>
      <c r="C104" s="44" t="str">
        <f>'2조'!C103</f>
        <v>2조 - Broker - Usability</v>
      </c>
      <c r="D104" s="44">
        <v>0</v>
      </c>
      <c r="E104" s="44" t="str">
        <f>'2조'!E103</f>
        <v>2조 - Dispatcher - Usability</v>
      </c>
    </row>
    <row r="105" spans="1:5">
      <c r="A105" s="44" t="s">
        <v>9</v>
      </c>
      <c r="B105" s="44">
        <v>0</v>
      </c>
      <c r="C105" s="44" t="str">
        <f>'3조'!C103</f>
        <v>3조 - Broker - Usability</v>
      </c>
      <c r="D105" s="44">
        <v>0</v>
      </c>
      <c r="E105" s="44" t="str">
        <f>'3조'!E103</f>
        <v>3조 - Dispatcher - Usability</v>
      </c>
    </row>
    <row r="106" spans="1:5">
      <c r="A106" s="44" t="s">
        <v>10</v>
      </c>
      <c r="B106" s="44">
        <v>0</v>
      </c>
      <c r="C106" s="44" t="str">
        <f>'4조'!C103</f>
        <v>4조 - Broker - Usability</v>
      </c>
      <c r="D106" s="44">
        <v>0</v>
      </c>
      <c r="E106" s="44" t="str">
        <f>'4조'!E103</f>
        <v>4조 - Dispatcher - Usability</v>
      </c>
    </row>
    <row r="107" spans="1:5">
      <c r="A107" s="44" t="s">
        <v>11</v>
      </c>
      <c r="B107" s="44">
        <v>0</v>
      </c>
      <c r="C107" s="44" t="str">
        <f>'5조'!C103</f>
        <v>5조 - Broker - Usability</v>
      </c>
      <c r="D107" s="44">
        <v>0</v>
      </c>
      <c r="E107" s="44" t="str">
        <f>'5조'!E103</f>
        <v>5조 - Dispatcher - Usability</v>
      </c>
    </row>
    <row r="108" spans="1:5">
      <c r="A108" s="44" t="s">
        <v>12</v>
      </c>
      <c r="B108" s="44">
        <v>0</v>
      </c>
      <c r="C108" s="44" t="str">
        <f>'6조'!C103</f>
        <v>6조 - Broker - Usability</v>
      </c>
      <c r="D108" s="44">
        <v>0</v>
      </c>
      <c r="E108" s="44" t="str">
        <f>'6조'!E103</f>
        <v>6조 - Dispatcher - Usability</v>
      </c>
    </row>
    <row r="109" spans="1:5">
      <c r="A109" s="44" t="s">
        <v>13</v>
      </c>
      <c r="B109" s="44">
        <v>0</v>
      </c>
      <c r="C109" s="44" t="str">
        <f>'7조'!C103</f>
        <v>7조 - Broker - Usability</v>
      </c>
      <c r="D109" s="44">
        <v>0</v>
      </c>
      <c r="E109" s="44" t="str">
        <f>'7조'!E103</f>
        <v>7조 - Dispatcher - Usability</v>
      </c>
    </row>
    <row r="110" spans="1:5">
      <c r="A110" s="44" t="s">
        <v>14</v>
      </c>
      <c r="B110" s="44">
        <v>0</v>
      </c>
      <c r="C110" s="44" t="str">
        <f>'8조'!C103</f>
        <v>8조 - Broker - Usability</v>
      </c>
      <c r="D110" s="44">
        <v>0</v>
      </c>
      <c r="E110" s="44" t="str">
        <f>'8조'!E103</f>
        <v>8조 - Dispatcher - Usability</v>
      </c>
    </row>
    <row r="111" spans="1:5">
      <c r="A111" s="44" t="s">
        <v>15</v>
      </c>
      <c r="B111" s="44">
        <v>0</v>
      </c>
      <c r="C111" s="44" t="str">
        <f>'9조'!C103</f>
        <v>9조 - Broker - Usability</v>
      </c>
      <c r="D111" s="44">
        <v>0</v>
      </c>
      <c r="E111" s="44" t="str">
        <f>'9조'!E103</f>
        <v>9조 - Dispatcher - Usability</v>
      </c>
    </row>
  </sheetData>
  <mergeCells count="3">
    <mergeCell ref="A1:A2"/>
    <mergeCell ref="B1:C1"/>
    <mergeCell ref="D1:E1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ADDD-0B5B-4A57-B37F-FB7104C86473}">
  <dimension ref="A1:E111"/>
  <sheetViews>
    <sheetView workbookViewId="0">
      <selection activeCell="B103" sqref="B103:G111"/>
    </sheetView>
  </sheetViews>
  <sheetFormatPr defaultRowHeight="15"/>
  <cols>
    <col min="1" max="1" width="17.5703125" bestFit="1" customWidth="1"/>
    <col min="2" max="2" width="7.7109375" bestFit="1" customWidth="1"/>
    <col min="3" max="3" width="28.7109375" bestFit="1" customWidth="1"/>
    <col min="4" max="4" width="7.7109375" bestFit="1" customWidth="1"/>
    <col min="5" max="5" width="37.42578125" bestFit="1" customWidth="1"/>
  </cols>
  <sheetData>
    <row r="1" spans="1:5">
      <c r="A1" s="45" t="s">
        <v>40</v>
      </c>
      <c r="B1" s="45" t="s">
        <v>145</v>
      </c>
      <c r="C1" s="45"/>
      <c r="D1" s="45" t="s">
        <v>146</v>
      </c>
      <c r="E1" s="45"/>
    </row>
    <row r="2" spans="1:5">
      <c r="A2" s="45"/>
      <c r="B2" s="46" t="s">
        <v>4</v>
      </c>
      <c r="C2" s="46" t="s">
        <v>5</v>
      </c>
      <c r="D2" s="46" t="s">
        <v>4</v>
      </c>
      <c r="E2" s="46" t="s">
        <v>5</v>
      </c>
    </row>
    <row r="3" spans="1:5">
      <c r="A3" s="66" t="s">
        <v>6</v>
      </c>
      <c r="B3" s="66">
        <v>0</v>
      </c>
      <c r="C3" s="66">
        <v>0</v>
      </c>
      <c r="D3" s="66">
        <v>0</v>
      </c>
      <c r="E3" s="66">
        <v>0</v>
      </c>
    </row>
    <row r="4" spans="1:5">
      <c r="A4" s="44" t="s">
        <v>7</v>
      </c>
      <c r="B4" s="44">
        <v>0</v>
      </c>
      <c r="C4" s="44" t="str">
        <f>'1조'!C107</f>
        <v>1조 - SOA - Availability</v>
      </c>
      <c r="D4" s="44">
        <v>0</v>
      </c>
      <c r="E4" s="44" t="str">
        <f>'1조'!E107</f>
        <v>1조 - Mico-Service - Availability</v>
      </c>
    </row>
    <row r="5" spans="1:5">
      <c r="A5" s="44" t="s">
        <v>8</v>
      </c>
      <c r="B5" s="44">
        <v>0</v>
      </c>
      <c r="C5" s="44" t="str">
        <f>'2조'!C107</f>
        <v>2조 - SOA - Availability</v>
      </c>
      <c r="D5" s="44">
        <v>0</v>
      </c>
      <c r="E5" s="44" t="str">
        <f>'2조'!E107</f>
        <v>2조 - Mico-Service - Availability</v>
      </c>
    </row>
    <row r="6" spans="1:5">
      <c r="A6" s="44" t="s">
        <v>9</v>
      </c>
      <c r="B6" s="44">
        <v>0</v>
      </c>
      <c r="C6" s="44" t="str">
        <f>'3조'!C107</f>
        <v>3조 - SOA - Availability</v>
      </c>
      <c r="D6" s="44">
        <v>0</v>
      </c>
      <c r="E6" s="44" t="str">
        <f>'3조'!E107</f>
        <v>3조 - Mico-Service - Availability</v>
      </c>
    </row>
    <row r="7" spans="1:5">
      <c r="A7" s="44" t="s">
        <v>10</v>
      </c>
      <c r="B7" s="44">
        <v>0</v>
      </c>
      <c r="C7" s="44" t="str">
        <f>'4조'!C107</f>
        <v>4조 - SOA - Availability</v>
      </c>
      <c r="D7" s="44">
        <v>0</v>
      </c>
      <c r="E7" s="44" t="str">
        <f>'4조'!E107</f>
        <v>4조 - Mico-Service - Availability</v>
      </c>
    </row>
    <row r="8" spans="1:5">
      <c r="A8" s="44" t="s">
        <v>11</v>
      </c>
      <c r="B8" s="44">
        <v>0</v>
      </c>
      <c r="C8" s="44" t="str">
        <f>'5조'!C107</f>
        <v>5조 - SOA - Availability</v>
      </c>
      <c r="D8" s="44">
        <v>0</v>
      </c>
      <c r="E8" s="44" t="str">
        <f>'5조'!E107</f>
        <v>5조 - Mico-Service - Availability</v>
      </c>
    </row>
    <row r="9" spans="1:5">
      <c r="A9" s="44" t="s">
        <v>12</v>
      </c>
      <c r="B9" s="44">
        <v>0</v>
      </c>
      <c r="C9" s="44" t="str">
        <f>'6조'!C107</f>
        <v>6조 - SOA - Availability</v>
      </c>
      <c r="D9" s="44">
        <v>0</v>
      </c>
      <c r="E9" s="44" t="str">
        <f>'6조'!E107</f>
        <v>6조 - Mico-Service - Availability</v>
      </c>
    </row>
    <row r="10" spans="1:5">
      <c r="A10" s="44" t="s">
        <v>13</v>
      </c>
      <c r="B10" s="44">
        <v>0</v>
      </c>
      <c r="C10" s="44" t="str">
        <f>'7조'!C107</f>
        <v>7조 - SOA - Availability</v>
      </c>
      <c r="D10" s="44">
        <v>0</v>
      </c>
      <c r="E10" s="44" t="str">
        <f>'7조'!E107</f>
        <v>7조 - Mico-Service - Availability</v>
      </c>
    </row>
    <row r="11" spans="1:5">
      <c r="A11" s="44" t="s">
        <v>14</v>
      </c>
      <c r="B11" s="44">
        <v>0</v>
      </c>
      <c r="C11" s="44" t="str">
        <f>'8조'!C107</f>
        <v>8조 - SOA - Availability</v>
      </c>
      <c r="D11" s="44">
        <v>0</v>
      </c>
      <c r="E11" s="44" t="str">
        <f>'8조'!E107</f>
        <v>8조 - Mico-Service - Availability</v>
      </c>
    </row>
    <row r="12" spans="1:5">
      <c r="A12" s="44" t="s">
        <v>15</v>
      </c>
      <c r="B12" s="44">
        <v>0</v>
      </c>
      <c r="C12" s="44" t="str">
        <f>'9조'!C107</f>
        <v>9조 - SOA - Availability</v>
      </c>
      <c r="D12" s="44">
        <v>0</v>
      </c>
      <c r="E12" s="44" t="str">
        <f>'9조'!E107</f>
        <v>9조 - Mico-Service - Availability</v>
      </c>
    </row>
    <row r="13" spans="1:5">
      <c r="A13" s="44"/>
      <c r="B13" s="44"/>
      <c r="C13" s="44"/>
      <c r="D13" s="44"/>
      <c r="E13" s="44"/>
    </row>
    <row r="14" spans="1:5">
      <c r="A14" s="66" t="s">
        <v>16</v>
      </c>
      <c r="B14" s="66">
        <v>0</v>
      </c>
      <c r="C14" s="66">
        <v>0</v>
      </c>
      <c r="D14" s="66">
        <v>0</v>
      </c>
      <c r="E14" s="66">
        <v>0</v>
      </c>
    </row>
    <row r="15" spans="1:5">
      <c r="A15" s="44" t="s">
        <v>7</v>
      </c>
      <c r="B15" s="44">
        <v>0</v>
      </c>
      <c r="C15" s="44" t="str">
        <f>'1조'!C108</f>
        <v>1조 - SOA - Deployability</v>
      </c>
      <c r="D15" s="44">
        <v>0</v>
      </c>
      <c r="E15" s="44" t="str">
        <f>'1조'!E108</f>
        <v>1조 - Mico-Service - Deployability</v>
      </c>
    </row>
    <row r="16" spans="1:5">
      <c r="A16" s="44" t="s">
        <v>8</v>
      </c>
      <c r="B16" s="44">
        <v>0</v>
      </c>
      <c r="C16" s="44" t="str">
        <f>'2조'!C108</f>
        <v>2조 - SOA - Deployability</v>
      </c>
      <c r="D16" s="44">
        <v>0</v>
      </c>
      <c r="E16" s="44" t="str">
        <f>'2조'!E108</f>
        <v>2조 - Mico-Service - Deployability</v>
      </c>
    </row>
    <row r="17" spans="1:5">
      <c r="A17" s="44" t="s">
        <v>9</v>
      </c>
      <c r="B17" s="44">
        <v>0</v>
      </c>
      <c r="C17" s="44" t="str">
        <f>'3조'!C108</f>
        <v>3조 - SOA - Deployability</v>
      </c>
      <c r="D17" s="44">
        <v>0</v>
      </c>
      <c r="E17" s="44" t="str">
        <f>'3조'!E108</f>
        <v>3조 - Mico-Service - Deployability</v>
      </c>
    </row>
    <row r="18" spans="1:5">
      <c r="A18" s="44" t="s">
        <v>10</v>
      </c>
      <c r="B18" s="44">
        <v>0</v>
      </c>
      <c r="C18" s="44" t="str">
        <f>'4조'!C108</f>
        <v>4조 - SOA - Deployability</v>
      </c>
      <c r="D18" s="44">
        <v>0</v>
      </c>
      <c r="E18" s="44" t="str">
        <f>'4조'!E108</f>
        <v>4조 - Mico-Service - Deployability</v>
      </c>
    </row>
    <row r="19" spans="1:5">
      <c r="A19" s="44" t="s">
        <v>11</v>
      </c>
      <c r="B19" s="44">
        <v>0</v>
      </c>
      <c r="C19" s="44" t="str">
        <f>'5조'!C108</f>
        <v>5조 - SOA - Deployability</v>
      </c>
      <c r="D19" s="44">
        <v>0</v>
      </c>
      <c r="E19" s="44" t="str">
        <f>'5조'!E108</f>
        <v>5조 - Mico-Service - Deployability</v>
      </c>
    </row>
    <row r="20" spans="1:5">
      <c r="A20" s="44" t="s">
        <v>12</v>
      </c>
      <c r="B20" s="44">
        <v>0</v>
      </c>
      <c r="C20" s="44" t="str">
        <f>'6조'!C108</f>
        <v>6조 - SOA - Deployability</v>
      </c>
      <c r="D20" s="44">
        <v>0</v>
      </c>
      <c r="E20" s="44" t="str">
        <f>'6조'!E108</f>
        <v>6조 - Mico-Service - Deployability</v>
      </c>
    </row>
    <row r="21" spans="1:5">
      <c r="A21" s="44" t="s">
        <v>13</v>
      </c>
      <c r="B21" s="44">
        <v>0</v>
      </c>
      <c r="C21" s="44" t="str">
        <f>'7조'!C108</f>
        <v>7조 - SOA - Deployability</v>
      </c>
      <c r="D21" s="44">
        <v>0</v>
      </c>
      <c r="E21" s="44" t="str">
        <f>'7조'!E108</f>
        <v>7조 - Mico-Service - Deployability</v>
      </c>
    </row>
    <row r="22" spans="1:5">
      <c r="A22" s="44" t="s">
        <v>14</v>
      </c>
      <c r="B22" s="44">
        <v>0</v>
      </c>
      <c r="C22" s="44" t="str">
        <f>'8조'!C108</f>
        <v>8조 - SOA - Deployability</v>
      </c>
      <c r="D22" s="44">
        <v>0</v>
      </c>
      <c r="E22" s="44" t="str">
        <f>'8조'!E108</f>
        <v>8조 - Mico-Service - Deployability</v>
      </c>
    </row>
    <row r="23" spans="1:5">
      <c r="A23" s="44" t="s">
        <v>15</v>
      </c>
      <c r="B23" s="44">
        <v>0</v>
      </c>
      <c r="C23" s="44" t="str">
        <f>'9조'!C108</f>
        <v>9조 - SOA - Deployability</v>
      </c>
      <c r="D23" s="44">
        <v>0</v>
      </c>
      <c r="E23" s="44" t="str">
        <f>'9조'!E108</f>
        <v>9조 - Mico-Service - Deployability</v>
      </c>
    </row>
    <row r="24" spans="1:5">
      <c r="A24" s="44"/>
      <c r="B24" s="44"/>
      <c r="C24" s="44"/>
      <c r="D24" s="44"/>
      <c r="E24" s="44"/>
    </row>
    <row r="25" spans="1:5">
      <c r="A25" s="66" t="s">
        <v>17</v>
      </c>
      <c r="B25" s="66">
        <v>0</v>
      </c>
      <c r="C25" s="66">
        <v>0</v>
      </c>
      <c r="D25" s="66">
        <v>0</v>
      </c>
      <c r="E25" s="66">
        <v>0</v>
      </c>
    </row>
    <row r="26" spans="1:5">
      <c r="A26" s="44" t="s">
        <v>7</v>
      </c>
      <c r="B26" s="44">
        <v>0</v>
      </c>
      <c r="C26" s="44" t="str">
        <f>'1조'!C109</f>
        <v>1조 - SOA - Integrability</v>
      </c>
      <c r="D26" s="44">
        <v>0</v>
      </c>
      <c r="E26" s="44" t="str">
        <f>'1조'!E109</f>
        <v>1조 - Mico-Service - Integrability</v>
      </c>
    </row>
    <row r="27" spans="1:5">
      <c r="A27" s="44" t="s">
        <v>8</v>
      </c>
      <c r="B27" s="44">
        <v>0</v>
      </c>
      <c r="C27" s="44" t="str">
        <f>'2조'!C109</f>
        <v>2조 - SOA - Integrability</v>
      </c>
      <c r="D27" s="44">
        <v>0</v>
      </c>
      <c r="E27" s="44" t="str">
        <f>'2조'!E109</f>
        <v>2조 - Mico-Service - Integrability</v>
      </c>
    </row>
    <row r="28" spans="1:5">
      <c r="A28" s="44" t="s">
        <v>9</v>
      </c>
      <c r="B28" s="44">
        <v>0</v>
      </c>
      <c r="C28" s="44" t="str">
        <f>'3조'!C109</f>
        <v>3조 - SOA - Integrability</v>
      </c>
      <c r="D28" s="44">
        <v>0</v>
      </c>
      <c r="E28" s="44" t="str">
        <f>'3조'!E109</f>
        <v>3조 - Mico-Service - Integrability</v>
      </c>
    </row>
    <row r="29" spans="1:5">
      <c r="A29" s="44" t="s">
        <v>10</v>
      </c>
      <c r="B29" s="44">
        <v>0</v>
      </c>
      <c r="C29" s="44" t="str">
        <f>'4조'!C109</f>
        <v>4조 - SOA - Integrability</v>
      </c>
      <c r="D29" s="44">
        <v>0</v>
      </c>
      <c r="E29" s="44" t="str">
        <f>'4조'!E109</f>
        <v>4조 - Mico-Service - Integrability</v>
      </c>
    </row>
    <row r="30" spans="1:5">
      <c r="A30" s="44" t="s">
        <v>11</v>
      </c>
      <c r="B30" s="44">
        <v>0</v>
      </c>
      <c r="C30" s="44" t="str">
        <f>'5조'!C109</f>
        <v>5조 - SOA - Integrability</v>
      </c>
      <c r="D30" s="44">
        <v>0</v>
      </c>
      <c r="E30" s="44" t="str">
        <f>'5조'!E109</f>
        <v>5조 - Mico-Service - Integrability</v>
      </c>
    </row>
    <row r="31" spans="1:5">
      <c r="A31" s="44" t="s">
        <v>12</v>
      </c>
      <c r="B31" s="44">
        <v>0</v>
      </c>
      <c r="C31" s="44" t="str">
        <f>'6조'!C109</f>
        <v>6조 - SOA - Integrability</v>
      </c>
      <c r="D31" s="44">
        <v>0</v>
      </c>
      <c r="E31" s="44" t="str">
        <f>'6조'!E109</f>
        <v>6조 - Mico-Service - Integrability</v>
      </c>
    </row>
    <row r="32" spans="1:5">
      <c r="A32" s="44" t="s">
        <v>13</v>
      </c>
      <c r="B32" s="44">
        <v>0</v>
      </c>
      <c r="C32" s="44" t="str">
        <f>'7조'!C109</f>
        <v>7조 - SOA - Integrability</v>
      </c>
      <c r="D32" s="44">
        <v>0</v>
      </c>
      <c r="E32" s="44" t="str">
        <f>'7조'!E109</f>
        <v>7조 - Mico-Service - Integrability</v>
      </c>
    </row>
    <row r="33" spans="1:5">
      <c r="A33" s="44" t="s">
        <v>14</v>
      </c>
      <c r="B33" s="44">
        <v>0</v>
      </c>
      <c r="C33" s="44" t="str">
        <f>'8조'!C109</f>
        <v>8조 - SOA - Integrability</v>
      </c>
      <c r="D33" s="44">
        <v>0</v>
      </c>
      <c r="E33" s="44" t="str">
        <f>'8조'!E109</f>
        <v>8조 - Mico-Service - Integrability</v>
      </c>
    </row>
    <row r="34" spans="1:5">
      <c r="A34" s="44" t="s">
        <v>15</v>
      </c>
      <c r="B34" s="44">
        <v>0</v>
      </c>
      <c r="C34" s="44" t="str">
        <f>'9조'!C109</f>
        <v>9조 - SOA - Integrability</v>
      </c>
      <c r="D34" s="44">
        <v>0</v>
      </c>
      <c r="E34" s="44" t="str">
        <f>'9조'!E109</f>
        <v>9조 - Mico-Service - Integrability</v>
      </c>
    </row>
    <row r="35" spans="1:5">
      <c r="A35" s="44"/>
      <c r="B35" s="44"/>
      <c r="C35" s="44"/>
      <c r="D35" s="44"/>
      <c r="E35" s="44"/>
    </row>
    <row r="36" spans="1:5">
      <c r="A36" s="66" t="s">
        <v>18</v>
      </c>
      <c r="B36" s="66">
        <v>0</v>
      </c>
      <c r="C36" s="66">
        <v>0</v>
      </c>
      <c r="D36" s="66">
        <v>0</v>
      </c>
      <c r="E36" s="66">
        <v>0</v>
      </c>
    </row>
    <row r="37" spans="1:5">
      <c r="A37" s="44" t="s">
        <v>7</v>
      </c>
      <c r="B37" s="44">
        <v>0</v>
      </c>
      <c r="C37" s="44" t="str">
        <f>'1조'!C110</f>
        <v>1조 - SOA - Energy Efficiency</v>
      </c>
      <c r="D37" s="44">
        <v>0</v>
      </c>
      <c r="E37" s="44" t="str">
        <f>'1조'!E110</f>
        <v>1조 - Mico-Service - Energy Efficiency</v>
      </c>
    </row>
    <row r="38" spans="1:5">
      <c r="A38" s="44" t="s">
        <v>8</v>
      </c>
      <c r="B38" s="44">
        <v>0</v>
      </c>
      <c r="C38" s="44" t="str">
        <f>'2조'!C110</f>
        <v>2조 - SOA - Energy Efficiency</v>
      </c>
      <c r="D38" s="44">
        <v>0</v>
      </c>
      <c r="E38" s="44" t="str">
        <f>'2조'!E110</f>
        <v>2조 - Mico-Service - Energy Efficiency</v>
      </c>
    </row>
    <row r="39" spans="1:5">
      <c r="A39" s="44" t="s">
        <v>9</v>
      </c>
      <c r="B39" s="44">
        <v>0</v>
      </c>
      <c r="C39" s="44" t="str">
        <f>'3조'!C110</f>
        <v>3조 - SOA - Energy Efficiency</v>
      </c>
      <c r="D39" s="44">
        <v>0</v>
      </c>
      <c r="E39" s="44" t="str">
        <f>'3조'!E110</f>
        <v>3조 - Mico-Service - Energy Efficiency</v>
      </c>
    </row>
    <row r="40" spans="1:5">
      <c r="A40" s="44" t="s">
        <v>10</v>
      </c>
      <c r="B40" s="44">
        <v>0</v>
      </c>
      <c r="C40" s="44" t="str">
        <f>'4조'!C110</f>
        <v>4조 - SOA - Energy Efficiency</v>
      </c>
      <c r="D40" s="44">
        <v>0</v>
      </c>
      <c r="E40" s="44" t="str">
        <f>'4조'!E110</f>
        <v>4조 - Mico-Service - Energy Efficiency</v>
      </c>
    </row>
    <row r="41" spans="1:5">
      <c r="A41" s="44" t="s">
        <v>11</v>
      </c>
      <c r="B41" s="44">
        <v>0</v>
      </c>
      <c r="C41" s="44" t="str">
        <f>'5조'!C110</f>
        <v>5조 - SOA - Energy Efficiency</v>
      </c>
      <c r="D41" s="44">
        <v>0</v>
      </c>
      <c r="E41" s="44" t="str">
        <f>'5조'!E110</f>
        <v>5조 - Mico-Service - Energy Efficiency</v>
      </c>
    </row>
    <row r="42" spans="1:5">
      <c r="A42" s="44" t="s">
        <v>12</v>
      </c>
      <c r="B42" s="44">
        <v>0</v>
      </c>
      <c r="C42" s="44" t="str">
        <f>'6조'!C110</f>
        <v>6조 - SOA - Energy Efficiency</v>
      </c>
      <c r="D42" s="44">
        <v>0</v>
      </c>
      <c r="E42" s="44" t="str">
        <f>'6조'!E110</f>
        <v>6조 - Mico-Service - Energy Efficiency</v>
      </c>
    </row>
    <row r="43" spans="1:5">
      <c r="A43" s="44" t="s">
        <v>13</v>
      </c>
      <c r="B43" s="44">
        <v>0</v>
      </c>
      <c r="C43" s="44" t="str">
        <f>'7조'!C110</f>
        <v>7조 - SOA - Energy Efficiency</v>
      </c>
      <c r="D43" s="44">
        <v>0</v>
      </c>
      <c r="E43" s="44" t="str">
        <f>'7조'!E110</f>
        <v>7조 - Mico-Service - Energy Efficiency</v>
      </c>
    </row>
    <row r="44" spans="1:5">
      <c r="A44" s="44" t="s">
        <v>14</v>
      </c>
      <c r="B44" s="44">
        <v>0</v>
      </c>
      <c r="C44" s="44" t="str">
        <f>'8조'!C110</f>
        <v>8조 - SOA - Energy Efficiency</v>
      </c>
      <c r="D44" s="44">
        <v>0</v>
      </c>
      <c r="E44" s="44" t="str">
        <f>'8조'!E110</f>
        <v>8조 - Mico-Service - Energy Efficiency</v>
      </c>
    </row>
    <row r="45" spans="1:5">
      <c r="A45" s="44" t="s">
        <v>15</v>
      </c>
      <c r="B45" s="44">
        <v>0</v>
      </c>
      <c r="C45" s="44" t="str">
        <f>'9조'!C110</f>
        <v>9조 - SOA - Energy Efficiency</v>
      </c>
      <c r="D45" s="44">
        <v>0</v>
      </c>
      <c r="E45" s="44" t="str">
        <f>'9조'!E110</f>
        <v>9조 - Mico-Service - Energy Efficiency</v>
      </c>
    </row>
    <row r="46" spans="1:5">
      <c r="A46" s="44"/>
      <c r="B46" s="44"/>
      <c r="C46" s="44"/>
      <c r="D46" s="44"/>
      <c r="E46" s="44"/>
    </row>
    <row r="47" spans="1:5">
      <c r="A47" s="66" t="s">
        <v>19</v>
      </c>
      <c r="B47" s="66">
        <v>0</v>
      </c>
      <c r="C47" s="66">
        <v>0</v>
      </c>
      <c r="D47" s="66">
        <v>0</v>
      </c>
      <c r="E47" s="66">
        <v>0</v>
      </c>
    </row>
    <row r="48" spans="1:5">
      <c r="A48" s="44" t="s">
        <v>7</v>
      </c>
      <c r="B48" s="44">
        <v>0</v>
      </c>
      <c r="C48" s="44" t="str">
        <f>'1조'!C111</f>
        <v>1조 - SOA - Modifiability</v>
      </c>
      <c r="D48" s="44">
        <v>0</v>
      </c>
      <c r="E48" s="44" t="str">
        <f>'1조'!E111</f>
        <v>1조 - Mico-Service - Modifiability</v>
      </c>
    </row>
    <row r="49" spans="1:5">
      <c r="A49" s="44" t="s">
        <v>8</v>
      </c>
      <c r="B49" s="44">
        <v>0</v>
      </c>
      <c r="C49" s="44" t="str">
        <f>'2조'!C111</f>
        <v>2조 - SOA - Modifiability</v>
      </c>
      <c r="D49" s="44">
        <v>0</v>
      </c>
      <c r="E49" s="44" t="str">
        <f>'2조'!E111</f>
        <v>2조 - Mico-Service - Modifiability</v>
      </c>
    </row>
    <row r="50" spans="1:5">
      <c r="A50" s="44" t="s">
        <v>9</v>
      </c>
      <c r="B50" s="44">
        <v>0</v>
      </c>
      <c r="C50" s="44" t="str">
        <f>'3조'!C111</f>
        <v>3조 - SOA - Modifiability</v>
      </c>
      <c r="D50" s="44">
        <v>0</v>
      </c>
      <c r="E50" s="44" t="str">
        <f>'3조'!E111</f>
        <v>3조 - Mico-Service - Modifiability</v>
      </c>
    </row>
    <row r="51" spans="1:5">
      <c r="A51" s="44" t="s">
        <v>10</v>
      </c>
      <c r="B51" s="44">
        <v>0</v>
      </c>
      <c r="C51" s="44" t="str">
        <f>'4조'!C111</f>
        <v>4조 - SOA - Modifiability</v>
      </c>
      <c r="D51" s="44">
        <v>0</v>
      </c>
      <c r="E51" s="44" t="str">
        <f>'4조'!E111</f>
        <v>4조 - Mico-Service - Modifiability</v>
      </c>
    </row>
    <row r="52" spans="1:5">
      <c r="A52" s="44" t="s">
        <v>11</v>
      </c>
      <c r="B52" s="44">
        <v>0</v>
      </c>
      <c r="C52" s="44" t="str">
        <f>'5조'!C111</f>
        <v>5조 - SOA - Modifiability</v>
      </c>
      <c r="D52" s="44">
        <v>0</v>
      </c>
      <c r="E52" s="44" t="str">
        <f>'5조'!E111</f>
        <v>5조 - Mico-Service - Modifiability</v>
      </c>
    </row>
    <row r="53" spans="1:5">
      <c r="A53" s="44" t="s">
        <v>12</v>
      </c>
      <c r="B53" s="44">
        <v>0</v>
      </c>
      <c r="C53" s="44" t="str">
        <f>'6조'!C111</f>
        <v>6조 - SOA - Modifiability</v>
      </c>
      <c r="D53" s="44">
        <v>0</v>
      </c>
      <c r="E53" s="44" t="str">
        <f>'6조'!E111</f>
        <v>6조 - Mico-Service - Modifiability</v>
      </c>
    </row>
    <row r="54" spans="1:5">
      <c r="A54" s="44" t="s">
        <v>13</v>
      </c>
      <c r="B54" s="44">
        <v>0</v>
      </c>
      <c r="C54" s="44" t="str">
        <f>'7조'!C111</f>
        <v>7조 - SOA - Modifiability</v>
      </c>
      <c r="D54" s="44">
        <v>0</v>
      </c>
      <c r="E54" s="44" t="str">
        <f>'7조'!E111</f>
        <v>7조 - Mico-Service - Modifiability</v>
      </c>
    </row>
    <row r="55" spans="1:5">
      <c r="A55" s="44" t="s">
        <v>14</v>
      </c>
      <c r="B55" s="44">
        <v>0</v>
      </c>
      <c r="C55" s="44" t="str">
        <f>'8조'!C111</f>
        <v>8조 - SOA - Modifiability</v>
      </c>
      <c r="D55" s="44">
        <v>0</v>
      </c>
      <c r="E55" s="44" t="str">
        <f>'8조'!E111</f>
        <v>8조 - Mico-Service - Modifiability</v>
      </c>
    </row>
    <row r="56" spans="1:5">
      <c r="A56" s="44" t="s">
        <v>15</v>
      </c>
      <c r="B56" s="44">
        <v>0</v>
      </c>
      <c r="C56" s="44" t="str">
        <f>'9조'!C111</f>
        <v>9조 - SOA - Modifiability</v>
      </c>
      <c r="D56" s="44">
        <v>0</v>
      </c>
      <c r="E56" s="44" t="str">
        <f>'9조'!E111</f>
        <v>9조 - Mico-Service - Modifiability</v>
      </c>
    </row>
    <row r="57" spans="1:5">
      <c r="A57" s="44"/>
      <c r="B57" s="44"/>
      <c r="C57" s="44"/>
      <c r="D57" s="44"/>
      <c r="E57" s="44"/>
    </row>
    <row r="58" spans="1:5">
      <c r="A58" s="66" t="s">
        <v>20</v>
      </c>
      <c r="B58" s="66">
        <v>0</v>
      </c>
      <c r="C58" s="66">
        <v>0</v>
      </c>
      <c r="D58" s="66">
        <v>0</v>
      </c>
      <c r="E58" s="66">
        <v>0</v>
      </c>
    </row>
    <row r="59" spans="1:5">
      <c r="A59" s="44" t="s">
        <v>7</v>
      </c>
      <c r="B59" s="44">
        <v>0</v>
      </c>
      <c r="C59" s="44" t="str">
        <f>'1조'!C112</f>
        <v>1조 - SOA - Performance</v>
      </c>
      <c r="D59" s="44">
        <v>0</v>
      </c>
      <c r="E59" s="44" t="str">
        <f>'1조'!E112</f>
        <v>1조 - Mico-Service - Performance</v>
      </c>
    </row>
    <row r="60" spans="1:5">
      <c r="A60" s="44" t="s">
        <v>8</v>
      </c>
      <c r="B60" s="44">
        <v>0</v>
      </c>
      <c r="C60" s="44" t="str">
        <f>'2조'!C112</f>
        <v>2조 - SOA - Performance</v>
      </c>
      <c r="D60" s="44">
        <v>0</v>
      </c>
      <c r="E60" s="44" t="str">
        <f>'2조'!E112</f>
        <v>2조 - Mico-Service - Performance</v>
      </c>
    </row>
    <row r="61" spans="1:5">
      <c r="A61" s="44" t="s">
        <v>9</v>
      </c>
      <c r="B61" s="44">
        <v>0</v>
      </c>
      <c r="C61" s="44" t="str">
        <f>'3조'!C112</f>
        <v>3조 - SOA - Performance</v>
      </c>
      <c r="D61" s="44">
        <v>0</v>
      </c>
      <c r="E61" s="44" t="str">
        <f>'3조'!E112</f>
        <v>3조 - Mico-Service - Performance</v>
      </c>
    </row>
    <row r="62" spans="1:5">
      <c r="A62" s="44" t="s">
        <v>10</v>
      </c>
      <c r="B62" s="44">
        <v>0</v>
      </c>
      <c r="C62" s="44" t="str">
        <f>'4조'!C112</f>
        <v>4조 - SOA - Performance</v>
      </c>
      <c r="D62" s="44">
        <v>0</v>
      </c>
      <c r="E62" s="44" t="str">
        <f>'4조'!E112</f>
        <v>4조 - Mico-Service - Performance</v>
      </c>
    </row>
    <row r="63" spans="1:5">
      <c r="A63" s="44" t="s">
        <v>11</v>
      </c>
      <c r="B63" s="44">
        <v>0</v>
      </c>
      <c r="C63" s="44" t="str">
        <f>'5조'!C112</f>
        <v>5조 - SOA - Performance</v>
      </c>
      <c r="D63" s="44">
        <v>0</v>
      </c>
      <c r="E63" s="44" t="str">
        <f>'5조'!E112</f>
        <v>5조 - Mico-Service - Performance</v>
      </c>
    </row>
    <row r="64" spans="1:5">
      <c r="A64" s="44" t="s">
        <v>12</v>
      </c>
      <c r="B64" s="44">
        <v>0</v>
      </c>
      <c r="C64" s="44" t="str">
        <f>'6조'!C112</f>
        <v>6조 - SOA - Performance</v>
      </c>
      <c r="D64" s="44">
        <v>0</v>
      </c>
      <c r="E64" s="44" t="str">
        <f>'6조'!E112</f>
        <v>6조 - Mico-Service - Performance</v>
      </c>
    </row>
    <row r="65" spans="1:5">
      <c r="A65" s="44" t="s">
        <v>13</v>
      </c>
      <c r="B65" s="44">
        <v>0</v>
      </c>
      <c r="C65" s="44" t="str">
        <f>'7조'!C112</f>
        <v>7조 - SOA - Performance</v>
      </c>
      <c r="D65" s="44">
        <v>0</v>
      </c>
      <c r="E65" s="44" t="str">
        <f>'7조'!E112</f>
        <v>7조 - Mico-Service - Performance</v>
      </c>
    </row>
    <row r="66" spans="1:5">
      <c r="A66" s="44" t="s">
        <v>14</v>
      </c>
      <c r="B66" s="44">
        <v>0</v>
      </c>
      <c r="C66" s="44" t="str">
        <f>'8조'!C112</f>
        <v>8조 - SOA - Performance</v>
      </c>
      <c r="D66" s="44">
        <v>0</v>
      </c>
      <c r="E66" s="44" t="str">
        <f>'8조'!E112</f>
        <v>8조 - Mico-Service - Performance</v>
      </c>
    </row>
    <row r="67" spans="1:5">
      <c r="A67" s="44" t="s">
        <v>15</v>
      </c>
      <c r="B67" s="44">
        <v>0</v>
      </c>
      <c r="C67" s="44" t="str">
        <f>'9조'!C112</f>
        <v>9조 - SOA - Performance</v>
      </c>
      <c r="D67" s="44">
        <v>0</v>
      </c>
      <c r="E67" s="44" t="str">
        <f>'9조'!E112</f>
        <v>9조 - Mico-Service - Performance</v>
      </c>
    </row>
    <row r="68" spans="1:5">
      <c r="A68" s="44"/>
      <c r="B68" s="44"/>
      <c r="C68" s="44"/>
      <c r="D68" s="44"/>
      <c r="E68" s="44"/>
    </row>
    <row r="69" spans="1:5">
      <c r="A69" s="66" t="s">
        <v>21</v>
      </c>
      <c r="B69" s="66">
        <v>0</v>
      </c>
      <c r="C69" s="66">
        <v>0</v>
      </c>
      <c r="D69" s="66">
        <v>0</v>
      </c>
      <c r="E69" s="66">
        <v>0</v>
      </c>
    </row>
    <row r="70" spans="1:5">
      <c r="A70" s="44" t="s">
        <v>7</v>
      </c>
      <c r="B70" s="44">
        <v>0</v>
      </c>
      <c r="C70" s="44" t="str">
        <f>'1조'!C113</f>
        <v>1조 - SOA - Safety</v>
      </c>
      <c r="D70" s="44">
        <v>0</v>
      </c>
      <c r="E70" s="44" t="str">
        <f>'1조'!E113</f>
        <v>1조 - Mico-Service - Safety</v>
      </c>
    </row>
    <row r="71" spans="1:5">
      <c r="A71" s="44" t="s">
        <v>8</v>
      </c>
      <c r="B71" s="44">
        <v>0</v>
      </c>
      <c r="C71" s="44" t="str">
        <f>'2조'!C113</f>
        <v>2조 - SOA - Safety</v>
      </c>
      <c r="D71" s="44">
        <v>0</v>
      </c>
      <c r="E71" s="44" t="str">
        <f>'2조'!E113</f>
        <v>2조 - Mico-Service - Safety</v>
      </c>
    </row>
    <row r="72" spans="1:5">
      <c r="A72" s="44" t="s">
        <v>9</v>
      </c>
      <c r="B72" s="44">
        <v>0</v>
      </c>
      <c r="C72" s="44" t="str">
        <f>'3조'!C113</f>
        <v>3조 - SOA - Safety</v>
      </c>
      <c r="D72" s="44">
        <v>0</v>
      </c>
      <c r="E72" s="44" t="str">
        <f>'3조'!E113</f>
        <v>3조 - Mico-Service - Safety</v>
      </c>
    </row>
    <row r="73" spans="1:5">
      <c r="A73" s="44" t="s">
        <v>10</v>
      </c>
      <c r="B73" s="44">
        <v>0</v>
      </c>
      <c r="C73" s="44" t="str">
        <f>'4조'!C113</f>
        <v>4조 - SOA - Safety</v>
      </c>
      <c r="D73" s="44">
        <v>0</v>
      </c>
      <c r="E73" s="44" t="str">
        <f>'4조'!E113</f>
        <v>4조 - Mico-Service - Safety</v>
      </c>
    </row>
    <row r="74" spans="1:5">
      <c r="A74" s="44" t="s">
        <v>11</v>
      </c>
      <c r="B74" s="44">
        <v>0</v>
      </c>
      <c r="C74" s="44" t="str">
        <f>'5조'!C113</f>
        <v>5조 - SOA - Safety</v>
      </c>
      <c r="D74" s="44">
        <v>0</v>
      </c>
      <c r="E74" s="44" t="str">
        <f>'5조'!E113</f>
        <v>5조 - Mico-Service - Safety</v>
      </c>
    </row>
    <row r="75" spans="1:5">
      <c r="A75" s="44" t="s">
        <v>12</v>
      </c>
      <c r="B75" s="44">
        <v>0</v>
      </c>
      <c r="C75" s="44" t="str">
        <f>'6조'!C113</f>
        <v>6조 - SOA - Safety</v>
      </c>
      <c r="D75" s="44">
        <v>0</v>
      </c>
      <c r="E75" s="44" t="str">
        <f>'6조'!E113</f>
        <v>6조 - Mico-Service - Safety</v>
      </c>
    </row>
    <row r="76" spans="1:5">
      <c r="A76" s="44" t="s">
        <v>13</v>
      </c>
      <c r="B76" s="44">
        <v>0</v>
      </c>
      <c r="C76" s="44" t="str">
        <f>'7조'!C113</f>
        <v>7조 - SOA - Safety</v>
      </c>
      <c r="D76" s="44">
        <v>0</v>
      </c>
      <c r="E76" s="44" t="str">
        <f>'7조'!E113</f>
        <v>7조 - Mico-Service - Safety</v>
      </c>
    </row>
    <row r="77" spans="1:5">
      <c r="A77" s="44" t="s">
        <v>14</v>
      </c>
      <c r="B77" s="44">
        <v>0</v>
      </c>
      <c r="C77" s="44" t="str">
        <f>'8조'!C113</f>
        <v>8조 - SOA - Safety</v>
      </c>
      <c r="D77" s="44">
        <v>0</v>
      </c>
      <c r="E77" s="44" t="str">
        <f>'8조'!E113</f>
        <v>8조 - Mico-Service - Safety</v>
      </c>
    </row>
    <row r="78" spans="1:5">
      <c r="A78" s="44" t="s">
        <v>15</v>
      </c>
      <c r="B78" s="44">
        <v>0</v>
      </c>
      <c r="C78" s="44" t="str">
        <f>'9조'!C113</f>
        <v>9조 - SOA - Safety</v>
      </c>
      <c r="D78" s="44">
        <v>0</v>
      </c>
      <c r="E78" s="44" t="str">
        <f>'9조'!E113</f>
        <v>9조 - Mico-Service - Safety</v>
      </c>
    </row>
    <row r="79" spans="1:5">
      <c r="A79" s="44"/>
      <c r="B79" s="44"/>
      <c r="C79" s="44"/>
      <c r="D79" s="44"/>
      <c r="E79" s="44"/>
    </row>
    <row r="80" spans="1:5">
      <c r="A80" s="66" t="s">
        <v>22</v>
      </c>
      <c r="B80" s="66">
        <v>0</v>
      </c>
      <c r="C80" s="66">
        <v>0</v>
      </c>
      <c r="D80" s="66">
        <v>0</v>
      </c>
      <c r="E80" s="66">
        <v>0</v>
      </c>
    </row>
    <row r="81" spans="1:5">
      <c r="A81" s="44" t="s">
        <v>7</v>
      </c>
      <c r="B81" s="44">
        <v>0</v>
      </c>
      <c r="C81" s="44" t="str">
        <f>'1조'!C114</f>
        <v>1조 - SOA - Security</v>
      </c>
      <c r="D81" s="44">
        <v>0</v>
      </c>
      <c r="E81" s="44" t="str">
        <f>'1조'!E114</f>
        <v>1조 - Mico-Service - Security</v>
      </c>
    </row>
    <row r="82" spans="1:5">
      <c r="A82" s="44" t="s">
        <v>8</v>
      </c>
      <c r="B82" s="44">
        <v>0</v>
      </c>
      <c r="C82" s="44" t="str">
        <f>'2조'!C114</f>
        <v>2조 - SOA - Security</v>
      </c>
      <c r="D82" s="44">
        <v>0</v>
      </c>
      <c r="E82" s="44" t="str">
        <f>'2조'!E114</f>
        <v>2조 - Mico-Service - Security</v>
      </c>
    </row>
    <row r="83" spans="1:5">
      <c r="A83" s="44" t="s">
        <v>9</v>
      </c>
      <c r="B83" s="44">
        <v>0</v>
      </c>
      <c r="C83" s="44" t="str">
        <f>'3조'!C114</f>
        <v>3조 - SOA - Security</v>
      </c>
      <c r="D83" s="44">
        <v>0</v>
      </c>
      <c r="E83" s="44" t="str">
        <f>'3조'!E114</f>
        <v>3조 - Mico-Service - Security</v>
      </c>
    </row>
    <row r="84" spans="1:5">
      <c r="A84" s="44" t="s">
        <v>10</v>
      </c>
      <c r="B84" s="44">
        <v>0</v>
      </c>
      <c r="C84" s="44" t="str">
        <f>'4조'!C114</f>
        <v>4조 - SOA - Security</v>
      </c>
      <c r="D84" s="44">
        <v>0</v>
      </c>
      <c r="E84" s="44" t="str">
        <f>'4조'!E114</f>
        <v>4조 - Mico-Service - Security</v>
      </c>
    </row>
    <row r="85" spans="1:5">
      <c r="A85" s="44" t="s">
        <v>11</v>
      </c>
      <c r="B85" s="44">
        <v>0</v>
      </c>
      <c r="C85" s="44" t="str">
        <f>'5조'!C114</f>
        <v>5조 - SOA - Security</v>
      </c>
      <c r="D85" s="44">
        <v>0</v>
      </c>
      <c r="E85" s="44" t="str">
        <f>'5조'!E114</f>
        <v>5조 - Mico-Service - Security</v>
      </c>
    </row>
    <row r="86" spans="1:5">
      <c r="A86" s="44" t="s">
        <v>12</v>
      </c>
      <c r="B86" s="44">
        <v>0</v>
      </c>
      <c r="C86" s="44" t="str">
        <f>'6조'!C114</f>
        <v>6조 - SOA - Security</v>
      </c>
      <c r="D86" s="44">
        <v>0</v>
      </c>
      <c r="E86" s="44" t="str">
        <f>'6조'!E114</f>
        <v>6조 - Mico-Service - Security</v>
      </c>
    </row>
    <row r="87" spans="1:5">
      <c r="A87" s="44" t="s">
        <v>13</v>
      </c>
      <c r="B87" s="44">
        <v>0</v>
      </c>
      <c r="C87" s="44" t="str">
        <f>'7조'!C114</f>
        <v>7조 - SOA - Security</v>
      </c>
      <c r="D87" s="44">
        <v>0</v>
      </c>
      <c r="E87" s="44" t="str">
        <f>'7조'!E114</f>
        <v>7조 - Mico-Service - Security</v>
      </c>
    </row>
    <row r="88" spans="1:5">
      <c r="A88" s="44" t="s">
        <v>14</v>
      </c>
      <c r="B88" s="44">
        <v>0</v>
      </c>
      <c r="C88" s="44" t="str">
        <f>'8조'!C114</f>
        <v>8조 - SOA - Security</v>
      </c>
      <c r="D88" s="44">
        <v>0</v>
      </c>
      <c r="E88" s="44" t="str">
        <f>'8조'!E114</f>
        <v>8조 - Mico-Service - Security</v>
      </c>
    </row>
    <row r="89" spans="1:5">
      <c r="A89" s="44" t="s">
        <v>15</v>
      </c>
      <c r="B89" s="44">
        <v>0</v>
      </c>
      <c r="C89" s="44" t="str">
        <f>'9조'!C114</f>
        <v>9조 - SOA - Security</v>
      </c>
      <c r="D89" s="44">
        <v>0</v>
      </c>
      <c r="E89" s="44" t="str">
        <f>'9조'!E114</f>
        <v>9조 - Mico-Service - Security</v>
      </c>
    </row>
    <row r="90" spans="1:5">
      <c r="A90" s="44"/>
      <c r="B90" s="44"/>
      <c r="C90" s="44"/>
      <c r="D90" s="44"/>
      <c r="E90" s="44"/>
    </row>
    <row r="91" spans="1:5">
      <c r="A91" s="66" t="s">
        <v>23</v>
      </c>
      <c r="B91" s="66">
        <v>0</v>
      </c>
      <c r="C91" s="66">
        <v>0</v>
      </c>
      <c r="D91" s="66">
        <v>0</v>
      </c>
      <c r="E91" s="66">
        <v>0</v>
      </c>
    </row>
    <row r="92" spans="1:5">
      <c r="A92" s="44" t="s">
        <v>7</v>
      </c>
      <c r="B92" s="44">
        <v>0</v>
      </c>
      <c r="C92" s="44" t="str">
        <f>'1조'!C115</f>
        <v>1조 - SOA - Testability</v>
      </c>
      <c r="D92" s="44">
        <v>0</v>
      </c>
      <c r="E92" s="44" t="str">
        <f>'1조'!E115</f>
        <v>1조 - Mico-Service - Testability</v>
      </c>
    </row>
    <row r="93" spans="1:5">
      <c r="A93" s="44" t="s">
        <v>8</v>
      </c>
      <c r="B93" s="44">
        <v>0</v>
      </c>
      <c r="C93" s="44" t="str">
        <f>'2조'!C115</f>
        <v>2조 - SOA - Testability</v>
      </c>
      <c r="D93" s="44">
        <v>0</v>
      </c>
      <c r="E93" s="44" t="str">
        <f>'2조'!E115</f>
        <v>2조 - Mico-Service - Testability</v>
      </c>
    </row>
    <row r="94" spans="1:5">
      <c r="A94" s="44" t="s">
        <v>9</v>
      </c>
      <c r="B94" s="44">
        <v>0</v>
      </c>
      <c r="C94" s="44" t="str">
        <f>'3조'!C115</f>
        <v>3조 - SOA - Testability</v>
      </c>
      <c r="D94" s="44">
        <v>0</v>
      </c>
      <c r="E94" s="44" t="str">
        <f>'3조'!E115</f>
        <v>3조 - Mico-Service - Testability</v>
      </c>
    </row>
    <row r="95" spans="1:5">
      <c r="A95" s="44" t="s">
        <v>10</v>
      </c>
      <c r="B95" s="44">
        <v>0</v>
      </c>
      <c r="C95" s="44" t="str">
        <f>'4조'!C115</f>
        <v>4조 - SOA - Testability</v>
      </c>
      <c r="D95" s="44">
        <v>0</v>
      </c>
      <c r="E95" s="44" t="str">
        <f>'4조'!E115</f>
        <v>4조 - Mico-Service - Testability</v>
      </c>
    </row>
    <row r="96" spans="1:5">
      <c r="A96" s="44" t="s">
        <v>11</v>
      </c>
      <c r="B96" s="44">
        <v>0</v>
      </c>
      <c r="C96" s="44" t="str">
        <f>'5조'!C115</f>
        <v>5조 - SOA - Testability</v>
      </c>
      <c r="D96" s="44">
        <v>0</v>
      </c>
      <c r="E96" s="44" t="str">
        <f>'5조'!E115</f>
        <v>5조 - Mico-Service - Testability</v>
      </c>
    </row>
    <row r="97" spans="1:5">
      <c r="A97" s="44" t="s">
        <v>12</v>
      </c>
      <c r="B97" s="44">
        <v>0</v>
      </c>
      <c r="C97" s="44" t="str">
        <f>'6조'!C115</f>
        <v>6조 - SOA - Testability</v>
      </c>
      <c r="D97" s="44">
        <v>0</v>
      </c>
      <c r="E97" s="44" t="str">
        <f>'6조'!E115</f>
        <v>6조 - Mico-Service - Testability</v>
      </c>
    </row>
    <row r="98" spans="1:5">
      <c r="A98" s="44" t="s">
        <v>13</v>
      </c>
      <c r="B98" s="44">
        <v>0</v>
      </c>
      <c r="C98" s="44" t="str">
        <f>'7조'!C115</f>
        <v>7조 - SOA - Testability</v>
      </c>
      <c r="D98" s="44">
        <v>0</v>
      </c>
      <c r="E98" s="44" t="str">
        <f>'7조'!E115</f>
        <v>7조 - Mico-Service - Testability</v>
      </c>
    </row>
    <row r="99" spans="1:5">
      <c r="A99" s="44" t="s">
        <v>14</v>
      </c>
      <c r="B99" s="44">
        <v>0</v>
      </c>
      <c r="C99" s="44" t="str">
        <f>'8조'!C115</f>
        <v>8조 - SOA - Testability</v>
      </c>
      <c r="D99" s="44">
        <v>0</v>
      </c>
      <c r="E99" s="44" t="str">
        <f>'8조'!E115</f>
        <v>8조 - Mico-Service - Testability</v>
      </c>
    </row>
    <row r="100" spans="1:5">
      <c r="A100" s="44" t="s">
        <v>15</v>
      </c>
      <c r="B100" s="44">
        <v>0</v>
      </c>
      <c r="C100" s="44" t="str">
        <f>'9조'!C115</f>
        <v>9조 - SOA - Testability</v>
      </c>
      <c r="D100" s="44">
        <v>0</v>
      </c>
      <c r="E100" s="44" t="str">
        <f>'9조'!E115</f>
        <v>9조 - Mico-Service - Testability</v>
      </c>
    </row>
    <row r="101" spans="1:5">
      <c r="A101" s="44"/>
      <c r="B101" s="44"/>
      <c r="C101" s="44"/>
      <c r="D101" s="44"/>
      <c r="E101" s="44"/>
    </row>
    <row r="102" spans="1:5">
      <c r="A102" s="66" t="s">
        <v>24</v>
      </c>
      <c r="B102" s="66">
        <v>0</v>
      </c>
      <c r="C102" s="66">
        <v>0</v>
      </c>
      <c r="D102" s="66">
        <v>0</v>
      </c>
      <c r="E102" s="66">
        <v>0</v>
      </c>
    </row>
    <row r="103" spans="1:5">
      <c r="A103" s="44" t="s">
        <v>7</v>
      </c>
      <c r="B103" s="44">
        <v>0</v>
      </c>
      <c r="C103" s="44" t="str">
        <f>'1조'!C116</f>
        <v>1조 - SOA - Usability</v>
      </c>
      <c r="D103" s="44">
        <v>0</v>
      </c>
      <c r="E103" s="44" t="str">
        <f>'1조'!E116</f>
        <v>1조 - Mico-Service - Usability</v>
      </c>
    </row>
    <row r="104" spans="1:5">
      <c r="A104" s="44" t="s">
        <v>8</v>
      </c>
      <c r="B104" s="44">
        <v>0</v>
      </c>
      <c r="C104" s="44" t="str">
        <f>'2조'!C116</f>
        <v>2조 - SOA - Usability</v>
      </c>
      <c r="D104" s="44">
        <v>0</v>
      </c>
      <c r="E104" s="44" t="str">
        <f>'2조'!E116</f>
        <v>2조 - Mico-Service - Usability</v>
      </c>
    </row>
    <row r="105" spans="1:5">
      <c r="A105" s="44" t="s">
        <v>9</v>
      </c>
      <c r="B105" s="44">
        <v>0</v>
      </c>
      <c r="C105" s="44" t="str">
        <f>'3조'!C116</f>
        <v>3조 - SOA - Usability</v>
      </c>
      <c r="D105" s="44">
        <v>0</v>
      </c>
      <c r="E105" s="44" t="str">
        <f>'3조'!E116</f>
        <v>3조 - Mico-Service - Usability</v>
      </c>
    </row>
    <row r="106" spans="1:5">
      <c r="A106" s="44" t="s">
        <v>10</v>
      </c>
      <c r="B106" s="44">
        <v>0</v>
      </c>
      <c r="C106" s="44" t="str">
        <f>'4조'!C116</f>
        <v>4조 - SOA - Usability</v>
      </c>
      <c r="D106" s="44">
        <v>0</v>
      </c>
      <c r="E106" s="44" t="str">
        <f>'4조'!E116</f>
        <v>4조 - Mico-Service - Usability</v>
      </c>
    </row>
    <row r="107" spans="1:5">
      <c r="A107" s="44" t="s">
        <v>11</v>
      </c>
      <c r="B107" s="44">
        <v>0</v>
      </c>
      <c r="C107" s="44" t="str">
        <f>'5조'!C116</f>
        <v>5조 - SOA - Usability</v>
      </c>
      <c r="D107" s="44">
        <v>0</v>
      </c>
      <c r="E107" s="44" t="str">
        <f>'5조'!E116</f>
        <v>5조 - Mico-Service - Usability</v>
      </c>
    </row>
    <row r="108" spans="1:5">
      <c r="A108" s="44" t="s">
        <v>12</v>
      </c>
      <c r="B108" s="44">
        <v>0</v>
      </c>
      <c r="C108" s="44" t="str">
        <f>'6조'!C116</f>
        <v>6조 - SOA - Usability</v>
      </c>
      <c r="D108" s="44">
        <v>0</v>
      </c>
      <c r="E108" s="44" t="str">
        <f>'6조'!E116</f>
        <v>6조 - Mico-Service - Usability</v>
      </c>
    </row>
    <row r="109" spans="1:5">
      <c r="A109" s="44" t="s">
        <v>13</v>
      </c>
      <c r="B109" s="44">
        <v>0</v>
      </c>
      <c r="C109" s="44" t="str">
        <f>'7조'!C116</f>
        <v>7조 - SOA - Usability</v>
      </c>
      <c r="D109" s="44">
        <v>0</v>
      </c>
      <c r="E109" s="44" t="str">
        <f>'7조'!E116</f>
        <v>7조 - Mico-Service - Usability</v>
      </c>
    </row>
    <row r="110" spans="1:5">
      <c r="A110" s="44" t="s">
        <v>14</v>
      </c>
      <c r="B110" s="44">
        <v>0</v>
      </c>
      <c r="C110" s="44" t="str">
        <f>'8조'!C116</f>
        <v>8조 - SOA - Usability</v>
      </c>
      <c r="D110" s="44">
        <v>0</v>
      </c>
      <c r="E110" s="44" t="str">
        <f>'8조'!E116</f>
        <v>8조 - Mico-Service - Usability</v>
      </c>
    </row>
    <row r="111" spans="1:5">
      <c r="A111" s="44" t="s">
        <v>15</v>
      </c>
      <c r="B111" s="44">
        <v>0</v>
      </c>
      <c r="C111" s="44" t="str">
        <f>'9조'!C116</f>
        <v>9조 - SOA - Usability</v>
      </c>
      <c r="D111" s="44">
        <v>0</v>
      </c>
      <c r="E111" s="44" t="str">
        <f>'9조'!E116</f>
        <v>9조 - Mico-Service - Usability</v>
      </c>
    </row>
  </sheetData>
  <mergeCells count="3">
    <mergeCell ref="A1:A2"/>
    <mergeCell ref="B1:C1"/>
    <mergeCell ref="D1:E1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11"/>
  <sheetViews>
    <sheetView workbookViewId="0">
      <selection activeCell="B103" sqref="B103:G111"/>
    </sheetView>
  </sheetViews>
  <sheetFormatPr defaultColWidth="14.42578125" defaultRowHeight="15" customHeight="1"/>
  <cols>
    <col min="1" max="1" width="17.5703125" bestFit="1" customWidth="1"/>
    <col min="2" max="2" width="7.7109375" bestFit="1" customWidth="1"/>
    <col min="3" max="3" width="41.140625" bestFit="1" customWidth="1"/>
    <col min="4" max="4" width="7.7109375" bestFit="1" customWidth="1"/>
    <col min="5" max="5" width="37.140625" bestFit="1" customWidth="1"/>
    <col min="6" max="6" width="7.7109375" bestFit="1" customWidth="1"/>
    <col min="7" max="7" width="36.140625" bestFit="1" customWidth="1"/>
  </cols>
  <sheetData>
    <row r="1" spans="1:7">
      <c r="A1" s="45" t="s">
        <v>48</v>
      </c>
      <c r="B1" s="45" t="s">
        <v>49</v>
      </c>
      <c r="C1" s="45"/>
      <c r="D1" s="45" t="s">
        <v>50</v>
      </c>
      <c r="E1" s="45"/>
      <c r="F1" s="45" t="s">
        <v>46</v>
      </c>
      <c r="G1" s="45"/>
    </row>
    <row r="2" spans="1:7">
      <c r="A2" s="45"/>
      <c r="B2" s="46" t="s">
        <v>4</v>
      </c>
      <c r="C2" s="46" t="s">
        <v>5</v>
      </c>
      <c r="D2" s="46" t="s">
        <v>4</v>
      </c>
      <c r="E2" s="46" t="s">
        <v>5</v>
      </c>
      <c r="F2" s="46" t="s">
        <v>4</v>
      </c>
      <c r="G2" s="46" t="s">
        <v>5</v>
      </c>
    </row>
    <row r="3" spans="1:7" ht="15" customHeight="1">
      <c r="A3" s="66" t="s">
        <v>6</v>
      </c>
      <c r="B3" s="66">
        <v>0</v>
      </c>
      <c r="C3" s="66">
        <v>0</v>
      </c>
      <c r="D3" s="66">
        <v>0</v>
      </c>
      <c r="E3" s="66">
        <v>0</v>
      </c>
      <c r="F3" s="66">
        <v>0</v>
      </c>
      <c r="G3" s="66">
        <v>0</v>
      </c>
    </row>
    <row r="4" spans="1:7">
      <c r="A4" s="44" t="s">
        <v>7</v>
      </c>
      <c r="B4" s="44">
        <v>0</v>
      </c>
      <c r="C4" s="44" t="str">
        <f>'1조'!C120</f>
        <v>1조 - Container-based - Availability</v>
      </c>
      <c r="D4" s="44">
        <v>0</v>
      </c>
      <c r="E4" s="44" t="str">
        <f>'1조'!E120</f>
        <v>1조 - Cloud-based - Availability</v>
      </c>
      <c r="F4" s="44">
        <v>0</v>
      </c>
      <c r="G4" s="44" t="str">
        <f>'1조'!G120</f>
        <v>1조 - Edge-based - Availability</v>
      </c>
    </row>
    <row r="5" spans="1:7">
      <c r="A5" s="44" t="s">
        <v>8</v>
      </c>
      <c r="B5" s="44">
        <v>0</v>
      </c>
      <c r="C5" s="44" t="str">
        <f>'2조'!C120</f>
        <v>2조 - Container-based - Availability</v>
      </c>
      <c r="D5" s="44">
        <v>0</v>
      </c>
      <c r="E5" s="44" t="str">
        <f>'2조'!E120</f>
        <v>2조 - Cloud-based - Availability</v>
      </c>
      <c r="F5" s="44">
        <v>0</v>
      </c>
      <c r="G5" s="44" t="str">
        <f>'2조'!G120</f>
        <v>2조 - Edge-based - Availability</v>
      </c>
    </row>
    <row r="6" spans="1:7">
      <c r="A6" s="44" t="s">
        <v>9</v>
      </c>
      <c r="B6" s="44">
        <v>0</v>
      </c>
      <c r="C6" s="44" t="str">
        <f>'3조'!C120</f>
        <v>3조 - Container-based - Availability</v>
      </c>
      <c r="D6" s="44">
        <v>0</v>
      </c>
      <c r="E6" s="44" t="str">
        <f>'3조'!E120</f>
        <v>3조 - Cloud-based - Availability</v>
      </c>
      <c r="F6" s="44">
        <v>0</v>
      </c>
      <c r="G6" s="44" t="str">
        <f>'3조'!G120</f>
        <v>3조 - Edge-based - Availability</v>
      </c>
    </row>
    <row r="7" spans="1:7">
      <c r="A7" s="44" t="s">
        <v>10</v>
      </c>
      <c r="B7" s="44">
        <v>0</v>
      </c>
      <c r="C7" s="44" t="str">
        <f>'4조'!C120</f>
        <v>4조 - Container-based - Availability</v>
      </c>
      <c r="D7" s="44">
        <v>0</v>
      </c>
      <c r="E7" s="44" t="str">
        <f>'4조'!E120</f>
        <v>4조 - Cloud-based - Availability</v>
      </c>
      <c r="F7" s="44">
        <v>0</v>
      </c>
      <c r="G7" s="44" t="str">
        <f>'4조'!G120</f>
        <v>4조 - Edge-based - Availability</v>
      </c>
    </row>
    <row r="8" spans="1:7">
      <c r="A8" s="44" t="s">
        <v>11</v>
      </c>
      <c r="B8" s="44">
        <v>0</v>
      </c>
      <c r="C8" s="44" t="str">
        <f>'5조'!C120</f>
        <v>5조 - Container-based - Availability</v>
      </c>
      <c r="D8" s="44">
        <v>0</v>
      </c>
      <c r="E8" s="44" t="str">
        <f>'5조'!E120</f>
        <v>5조 - Cloud-based - Availability</v>
      </c>
      <c r="F8" s="44">
        <v>0</v>
      </c>
      <c r="G8" s="44" t="str">
        <f>'5조'!G120</f>
        <v>5조 - Edge-based - Availability</v>
      </c>
    </row>
    <row r="9" spans="1:7">
      <c r="A9" s="44" t="s">
        <v>12</v>
      </c>
      <c r="B9" s="44">
        <v>0</v>
      </c>
      <c r="C9" s="44" t="str">
        <f>'6조'!C120</f>
        <v>6조 - Container-based - Availability</v>
      </c>
      <c r="D9" s="44">
        <v>0</v>
      </c>
      <c r="E9" s="44" t="str">
        <f>'6조'!E120</f>
        <v>6조 - Cloud-based - Availability</v>
      </c>
      <c r="F9" s="44">
        <v>0</v>
      </c>
      <c r="G9" s="44" t="str">
        <f>'6조'!G120</f>
        <v>6조 - Edge-based - Availability</v>
      </c>
    </row>
    <row r="10" spans="1:7">
      <c r="A10" s="44" t="s">
        <v>13</v>
      </c>
      <c r="B10" s="44">
        <v>0</v>
      </c>
      <c r="C10" s="44" t="str">
        <f>'7조'!C120</f>
        <v>7조 - Container-based - Availability</v>
      </c>
      <c r="D10" s="44">
        <v>0</v>
      </c>
      <c r="E10" s="44" t="str">
        <f>'7조'!E120</f>
        <v>7조 - Cloud-based - Availability</v>
      </c>
      <c r="F10" s="44">
        <v>0</v>
      </c>
      <c r="G10" s="44" t="str">
        <f>'7조'!G120</f>
        <v>7조 - Edge-based - Availability</v>
      </c>
    </row>
    <row r="11" spans="1:7">
      <c r="A11" s="44" t="s">
        <v>14</v>
      </c>
      <c r="B11" s="44">
        <v>0</v>
      </c>
      <c r="C11" s="44" t="str">
        <f>'8조'!C120</f>
        <v>8조 - Container-based - Availability</v>
      </c>
      <c r="D11" s="44">
        <v>0</v>
      </c>
      <c r="E11" s="44" t="str">
        <f>'8조'!E120</f>
        <v>8조 - Cloud-based - Availability</v>
      </c>
      <c r="F11" s="44">
        <v>0</v>
      </c>
      <c r="G11" s="44" t="str">
        <f>'8조'!G120</f>
        <v>8조 - Edge-based - Availability</v>
      </c>
    </row>
    <row r="12" spans="1:7">
      <c r="A12" s="44" t="s">
        <v>15</v>
      </c>
      <c r="B12" s="44">
        <v>0</v>
      </c>
      <c r="C12" s="44" t="str">
        <f>'9조'!C120</f>
        <v>9조 - Container-based - Availability</v>
      </c>
      <c r="D12" s="44">
        <v>0</v>
      </c>
      <c r="E12" s="44" t="str">
        <f>'9조'!E120</f>
        <v>9조 - Cloud-based - Availability</v>
      </c>
      <c r="F12" s="44">
        <v>0</v>
      </c>
      <c r="G12" s="44" t="str">
        <f>'9조'!G120</f>
        <v>9조 - Edge-based - Availability</v>
      </c>
    </row>
    <row r="13" spans="1:7">
      <c r="A13" s="44"/>
      <c r="B13" s="44"/>
      <c r="C13" s="44"/>
      <c r="D13" s="44"/>
      <c r="E13" s="44"/>
      <c r="F13" s="44"/>
      <c r="G13" s="44"/>
    </row>
    <row r="14" spans="1:7" ht="15" customHeight="1">
      <c r="A14" s="66" t="s">
        <v>16</v>
      </c>
      <c r="B14" s="66">
        <v>0</v>
      </c>
      <c r="C14" s="66">
        <v>0</v>
      </c>
      <c r="D14" s="66">
        <v>0</v>
      </c>
      <c r="E14" s="66">
        <v>0</v>
      </c>
      <c r="F14" s="66">
        <v>0</v>
      </c>
      <c r="G14" s="66">
        <v>0</v>
      </c>
    </row>
    <row r="15" spans="1:7">
      <c r="A15" s="44" t="s">
        <v>7</v>
      </c>
      <c r="B15" s="44">
        <v>0</v>
      </c>
      <c r="C15" s="44" t="str">
        <f>'1조'!C121</f>
        <v>1조 - Container-based - Deployability</v>
      </c>
      <c r="D15" s="44">
        <v>0</v>
      </c>
      <c r="E15" s="44" t="str">
        <f>'1조'!E121</f>
        <v>1조 - Cloud-based - Deployability</v>
      </c>
      <c r="F15" s="44">
        <v>0</v>
      </c>
      <c r="G15" s="44" t="str">
        <f>'1조'!G121</f>
        <v>1조 - Edge-based - Deployability</v>
      </c>
    </row>
    <row r="16" spans="1:7">
      <c r="A16" s="44" t="s">
        <v>8</v>
      </c>
      <c r="B16" s="44">
        <v>0</v>
      </c>
      <c r="C16" s="44" t="str">
        <f>'2조'!C121</f>
        <v>2조 - Container-based - Deployability</v>
      </c>
      <c r="D16" s="44">
        <v>0</v>
      </c>
      <c r="E16" s="44" t="str">
        <f>'2조'!E121</f>
        <v>2조 - Cloud-based - Deployability</v>
      </c>
      <c r="F16" s="44">
        <v>0</v>
      </c>
      <c r="G16" s="44" t="str">
        <f>'2조'!G121</f>
        <v>2조 - Edge-based - Deployability</v>
      </c>
    </row>
    <row r="17" spans="1:7">
      <c r="A17" s="44" t="s">
        <v>9</v>
      </c>
      <c r="B17" s="44">
        <v>0</v>
      </c>
      <c r="C17" s="44" t="str">
        <f>'3조'!C121</f>
        <v>3조 - Container-based - Deployability</v>
      </c>
      <c r="D17" s="44">
        <v>0</v>
      </c>
      <c r="E17" s="44" t="str">
        <f>'3조'!E121</f>
        <v>3조 - Cloud-based - Deployability</v>
      </c>
      <c r="F17" s="44">
        <v>0</v>
      </c>
      <c r="G17" s="44" t="str">
        <f>'3조'!G121</f>
        <v>3조 - Edge-based - Deployability</v>
      </c>
    </row>
    <row r="18" spans="1:7">
      <c r="A18" s="44" t="s">
        <v>10</v>
      </c>
      <c r="B18" s="44">
        <v>0</v>
      </c>
      <c r="C18" s="44" t="str">
        <f>'4조'!C121</f>
        <v>4조 - Container-based - Deployability</v>
      </c>
      <c r="D18" s="44">
        <v>0</v>
      </c>
      <c r="E18" s="44" t="str">
        <f>'4조'!E121</f>
        <v>4조 - Cloud-based - Deployability</v>
      </c>
      <c r="F18" s="44">
        <v>0</v>
      </c>
      <c r="G18" s="44" t="str">
        <f>'4조'!G121</f>
        <v>4조 - Edge-based - Deployability</v>
      </c>
    </row>
    <row r="19" spans="1:7">
      <c r="A19" s="44" t="s">
        <v>11</v>
      </c>
      <c r="B19" s="44">
        <v>0</v>
      </c>
      <c r="C19" s="44" t="str">
        <f>'5조'!C121</f>
        <v>5조 - Container-based - Deployability</v>
      </c>
      <c r="D19" s="44">
        <v>0</v>
      </c>
      <c r="E19" s="44" t="str">
        <f>'5조'!E121</f>
        <v>5조 - Cloud-based - Deployability</v>
      </c>
      <c r="F19" s="44">
        <v>0</v>
      </c>
      <c r="G19" s="44" t="str">
        <f>'5조'!G121</f>
        <v>5조 - Edge-based - Deployability</v>
      </c>
    </row>
    <row r="20" spans="1:7">
      <c r="A20" s="44" t="s">
        <v>12</v>
      </c>
      <c r="B20" s="44">
        <v>0</v>
      </c>
      <c r="C20" s="44" t="str">
        <f>'6조'!C121</f>
        <v>6조 - Container-based - Deployability</v>
      </c>
      <c r="D20" s="44">
        <v>0</v>
      </c>
      <c r="E20" s="44" t="str">
        <f>'6조'!E121</f>
        <v>6조 - Cloud-based - Deployability</v>
      </c>
      <c r="F20" s="44">
        <v>0</v>
      </c>
      <c r="G20" s="44" t="str">
        <f>'6조'!G121</f>
        <v>6조 - Edge-based - Deployability</v>
      </c>
    </row>
    <row r="21" spans="1:7">
      <c r="A21" s="44" t="s">
        <v>13</v>
      </c>
      <c r="B21" s="44">
        <v>0</v>
      </c>
      <c r="C21" s="44" t="str">
        <f>'7조'!C121</f>
        <v>7조 - Container-based - Deployability</v>
      </c>
      <c r="D21" s="44">
        <v>0</v>
      </c>
      <c r="E21" s="44" t="str">
        <f>'7조'!E121</f>
        <v>7조 - Cloud-based - Deployability</v>
      </c>
      <c r="F21" s="44">
        <v>0</v>
      </c>
      <c r="G21" s="44" t="str">
        <f>'7조'!G121</f>
        <v>7조 - Edge-based - Deployability</v>
      </c>
    </row>
    <row r="22" spans="1:7">
      <c r="A22" s="44" t="s">
        <v>14</v>
      </c>
      <c r="B22" s="44">
        <v>0</v>
      </c>
      <c r="C22" s="44" t="str">
        <f>'8조'!C121</f>
        <v>8조 - Container-based - Deployability</v>
      </c>
      <c r="D22" s="44">
        <v>0</v>
      </c>
      <c r="E22" s="44" t="str">
        <f>'8조'!E121</f>
        <v>8조 - Cloud-based - Deployability</v>
      </c>
      <c r="F22" s="44">
        <v>0</v>
      </c>
      <c r="G22" s="44" t="str">
        <f>'8조'!G121</f>
        <v>8조 - Edge-based - Deployability</v>
      </c>
    </row>
    <row r="23" spans="1:7">
      <c r="A23" s="44" t="s">
        <v>15</v>
      </c>
      <c r="B23" s="44">
        <v>0</v>
      </c>
      <c r="C23" s="44" t="str">
        <f>'9조'!C121</f>
        <v>9조 - Container-based - Deployability</v>
      </c>
      <c r="D23" s="44">
        <v>0</v>
      </c>
      <c r="E23" s="44" t="str">
        <f>'9조'!E121</f>
        <v>9조 - Cloud-based - Deployability</v>
      </c>
      <c r="F23" s="44">
        <v>0</v>
      </c>
      <c r="G23" s="44" t="str">
        <f>'9조'!G121</f>
        <v>9조 - Edge-based - Deployability</v>
      </c>
    </row>
    <row r="24" spans="1:7">
      <c r="A24" s="44"/>
      <c r="B24" s="44"/>
      <c r="C24" s="44"/>
      <c r="D24" s="44"/>
      <c r="E24" s="44"/>
      <c r="F24" s="44"/>
      <c r="G24" s="44"/>
    </row>
    <row r="25" spans="1:7" ht="15" customHeight="1">
      <c r="A25" s="66" t="s">
        <v>17</v>
      </c>
      <c r="B25" s="66">
        <v>0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</row>
    <row r="26" spans="1:7">
      <c r="A26" s="44" t="s">
        <v>7</v>
      </c>
      <c r="B26" s="44">
        <v>0</v>
      </c>
      <c r="C26" s="44" t="str">
        <f>'1조'!C122</f>
        <v>1조 - Container-based - Integrability</v>
      </c>
      <c r="D26" s="44">
        <v>0</v>
      </c>
      <c r="E26" s="44" t="str">
        <f>'1조'!E122</f>
        <v>1조 - Cloud-based - Integrability</v>
      </c>
      <c r="F26" s="44">
        <v>0</v>
      </c>
      <c r="G26" s="44" t="str">
        <f>'1조'!G122</f>
        <v>1조 - Edge-based - Integrability</v>
      </c>
    </row>
    <row r="27" spans="1:7">
      <c r="A27" s="44" t="s">
        <v>8</v>
      </c>
      <c r="B27" s="44">
        <v>0</v>
      </c>
      <c r="C27" s="44" t="str">
        <f>'2조'!C122</f>
        <v>2조 - Container-based - Integrability</v>
      </c>
      <c r="D27" s="44">
        <v>0</v>
      </c>
      <c r="E27" s="44" t="str">
        <f>'2조'!E122</f>
        <v>2조 - Cloud-based - Integrability</v>
      </c>
      <c r="F27" s="44">
        <v>0</v>
      </c>
      <c r="G27" s="44" t="str">
        <f>'2조'!G122</f>
        <v>2조 - Edge-based - Integrability</v>
      </c>
    </row>
    <row r="28" spans="1:7">
      <c r="A28" s="44" t="s">
        <v>9</v>
      </c>
      <c r="B28" s="44">
        <v>0</v>
      </c>
      <c r="C28" s="44" t="str">
        <f>'3조'!C122</f>
        <v>3조 - Container-based - Integrability</v>
      </c>
      <c r="D28" s="44">
        <v>0</v>
      </c>
      <c r="E28" s="44" t="str">
        <f>'3조'!E122</f>
        <v>3조 - Cloud-based - Integrability</v>
      </c>
      <c r="F28" s="44">
        <v>0</v>
      </c>
      <c r="G28" s="44" t="str">
        <f>'3조'!G122</f>
        <v>3조 - Edge-based - Integrability</v>
      </c>
    </row>
    <row r="29" spans="1:7">
      <c r="A29" s="44" t="s">
        <v>10</v>
      </c>
      <c r="B29" s="44">
        <v>0</v>
      </c>
      <c r="C29" s="44" t="str">
        <f>'4조'!C122</f>
        <v>4조 - Container-based - Integrability</v>
      </c>
      <c r="D29" s="44">
        <v>0</v>
      </c>
      <c r="E29" s="44" t="str">
        <f>'4조'!E122</f>
        <v>4조 - Cloud-based - Integrability</v>
      </c>
      <c r="F29" s="44">
        <v>0</v>
      </c>
      <c r="G29" s="44" t="str">
        <f>'4조'!G122</f>
        <v>4조 - Edge-based - Integrability</v>
      </c>
    </row>
    <row r="30" spans="1:7">
      <c r="A30" s="44" t="s">
        <v>11</v>
      </c>
      <c r="B30" s="44">
        <v>0</v>
      </c>
      <c r="C30" s="44" t="str">
        <f>'5조'!C122</f>
        <v>5조 - Container-based - Integrability</v>
      </c>
      <c r="D30" s="44">
        <v>0</v>
      </c>
      <c r="E30" s="44" t="str">
        <f>'5조'!E122</f>
        <v>5조 - Cloud-based - Integrability</v>
      </c>
      <c r="F30" s="44">
        <v>0</v>
      </c>
      <c r="G30" s="44" t="str">
        <f>'5조'!G122</f>
        <v>5조 - Edge-based - Integrability</v>
      </c>
    </row>
    <row r="31" spans="1:7">
      <c r="A31" s="44" t="s">
        <v>12</v>
      </c>
      <c r="B31" s="44">
        <v>0</v>
      </c>
      <c r="C31" s="44" t="str">
        <f>'6조'!C122</f>
        <v>6조 - Container-based - Integrability</v>
      </c>
      <c r="D31" s="44">
        <v>0</v>
      </c>
      <c r="E31" s="44" t="str">
        <f>'6조'!E122</f>
        <v>6조 - Cloud-based - Integrability</v>
      </c>
      <c r="F31" s="44">
        <v>0</v>
      </c>
      <c r="G31" s="44" t="str">
        <f>'6조'!G122</f>
        <v>6조 - Edge-based - Integrability</v>
      </c>
    </row>
    <row r="32" spans="1:7">
      <c r="A32" s="44" t="s">
        <v>13</v>
      </c>
      <c r="B32" s="44">
        <v>0</v>
      </c>
      <c r="C32" s="44" t="str">
        <f>'7조'!C122</f>
        <v>7조 - Container-based - Integrability</v>
      </c>
      <c r="D32" s="44">
        <v>0</v>
      </c>
      <c r="E32" s="44" t="str">
        <f>'7조'!E122</f>
        <v>7조 - Cloud-based - Integrability</v>
      </c>
      <c r="F32" s="44">
        <v>0</v>
      </c>
      <c r="G32" s="44" t="str">
        <f>'7조'!G122</f>
        <v>7조 - Edge-based - Integrability</v>
      </c>
    </row>
    <row r="33" spans="1:7">
      <c r="A33" s="44" t="s">
        <v>14</v>
      </c>
      <c r="B33" s="44">
        <v>0</v>
      </c>
      <c r="C33" s="44" t="str">
        <f>'8조'!C122</f>
        <v>8조 - Container-based - Integrability</v>
      </c>
      <c r="D33" s="44">
        <v>0</v>
      </c>
      <c r="E33" s="44" t="str">
        <f>'8조'!E122</f>
        <v>8조 - Cloud-based - Integrability</v>
      </c>
      <c r="F33" s="44">
        <v>0</v>
      </c>
      <c r="G33" s="44" t="str">
        <f>'8조'!G122</f>
        <v>8조 - Edge-based - Integrability</v>
      </c>
    </row>
    <row r="34" spans="1:7">
      <c r="A34" s="44" t="s">
        <v>15</v>
      </c>
      <c r="B34" s="44">
        <v>0</v>
      </c>
      <c r="C34" s="44" t="str">
        <f>'9조'!C122</f>
        <v>9조 - Container-based - Integrability</v>
      </c>
      <c r="D34" s="44">
        <v>0</v>
      </c>
      <c r="E34" s="44" t="str">
        <f>'9조'!E122</f>
        <v>9조 - Cloud-based - Integrability</v>
      </c>
      <c r="F34" s="44">
        <v>0</v>
      </c>
      <c r="G34" s="44" t="str">
        <f>'9조'!G122</f>
        <v>9조 - Edge-based - Integrability</v>
      </c>
    </row>
    <row r="35" spans="1:7">
      <c r="A35" s="44"/>
      <c r="B35" s="44"/>
      <c r="C35" s="44"/>
      <c r="D35" s="44"/>
      <c r="E35" s="44"/>
      <c r="F35" s="44"/>
      <c r="G35" s="44"/>
    </row>
    <row r="36" spans="1:7">
      <c r="A36" s="66" t="s">
        <v>18</v>
      </c>
      <c r="B36" s="66">
        <v>0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</row>
    <row r="37" spans="1:7">
      <c r="A37" s="44" t="s">
        <v>7</v>
      </c>
      <c r="B37" s="44">
        <v>0</v>
      </c>
      <c r="C37" s="44" t="str">
        <f>'1조'!C123</f>
        <v>1조 - Container-based - Energy Efficiency</v>
      </c>
      <c r="D37" s="44">
        <v>0</v>
      </c>
      <c r="E37" s="44" t="str">
        <f>'1조'!E123</f>
        <v>1조 - Cloud-based - Energy Efficiency</v>
      </c>
      <c r="F37" s="44">
        <v>0</v>
      </c>
      <c r="G37" s="44" t="str">
        <f>'1조'!G123</f>
        <v>1조 - Edge-based - Energy Efficiency</v>
      </c>
    </row>
    <row r="38" spans="1:7">
      <c r="A38" s="44" t="s">
        <v>8</v>
      </c>
      <c r="B38" s="44">
        <v>0</v>
      </c>
      <c r="C38" s="44" t="str">
        <f>'2조'!C123</f>
        <v>2조 - Container-based - Energy Efficiency</v>
      </c>
      <c r="D38" s="44">
        <v>0</v>
      </c>
      <c r="E38" s="44" t="str">
        <f>'2조'!E123</f>
        <v>2조 - Cloud-based - Energy Efficiency</v>
      </c>
      <c r="F38" s="44">
        <v>0</v>
      </c>
      <c r="G38" s="44" t="str">
        <f>'2조'!G123</f>
        <v>2조 - Edge-based - Energy Efficiency</v>
      </c>
    </row>
    <row r="39" spans="1:7">
      <c r="A39" s="44" t="s">
        <v>9</v>
      </c>
      <c r="B39" s="44">
        <v>0</v>
      </c>
      <c r="C39" s="44" t="str">
        <f>'3조'!C123</f>
        <v>3조 - Container-based - Energy Efficiency</v>
      </c>
      <c r="D39" s="44">
        <v>0</v>
      </c>
      <c r="E39" s="44" t="str">
        <f>'3조'!E123</f>
        <v>3조 - Cloud-based - Energy Efficiency</v>
      </c>
      <c r="F39" s="44">
        <v>0</v>
      </c>
      <c r="G39" s="44" t="str">
        <f>'3조'!G123</f>
        <v>3조 - Edge-based - Energy Efficiency</v>
      </c>
    </row>
    <row r="40" spans="1:7">
      <c r="A40" s="44" t="s">
        <v>10</v>
      </c>
      <c r="B40" s="44">
        <v>0</v>
      </c>
      <c r="C40" s="44" t="str">
        <f>'4조'!C123</f>
        <v>4조 - Container-based - Energy Efficiency</v>
      </c>
      <c r="D40" s="44">
        <v>0</v>
      </c>
      <c r="E40" s="44" t="str">
        <f>'4조'!E123</f>
        <v>4조 - Cloud-based - Energy Efficiency</v>
      </c>
      <c r="F40" s="44">
        <v>0</v>
      </c>
      <c r="G40" s="44" t="str">
        <f>'4조'!G123</f>
        <v>4조 - Edge-based - Energy Efficiency</v>
      </c>
    </row>
    <row r="41" spans="1:7">
      <c r="A41" s="44" t="s">
        <v>11</v>
      </c>
      <c r="B41" s="44">
        <v>0</v>
      </c>
      <c r="C41" s="44" t="str">
        <f>'5조'!C123</f>
        <v>5조 - Container-based - Energy Efficiency</v>
      </c>
      <c r="D41" s="44">
        <v>0</v>
      </c>
      <c r="E41" s="44" t="str">
        <f>'5조'!E123</f>
        <v>5조 - Cloud-based - Energy Efficiency</v>
      </c>
      <c r="F41" s="44">
        <v>0</v>
      </c>
      <c r="G41" s="44" t="str">
        <f>'5조'!G123</f>
        <v>5조 - Edge-based - Energy Efficiency</v>
      </c>
    </row>
    <row r="42" spans="1:7">
      <c r="A42" s="44" t="s">
        <v>12</v>
      </c>
      <c r="B42" s="44">
        <v>0</v>
      </c>
      <c r="C42" s="44" t="str">
        <f>'6조'!C123</f>
        <v>6조 - Container-based - Energy Efficiency</v>
      </c>
      <c r="D42" s="44">
        <v>0</v>
      </c>
      <c r="E42" s="44" t="str">
        <f>'6조'!E123</f>
        <v>6조 - Cloud-based - Energy Efficiency</v>
      </c>
      <c r="F42" s="44">
        <v>0</v>
      </c>
      <c r="G42" s="44" t="str">
        <f>'6조'!G123</f>
        <v>6조 - Edge-based - Energy Efficiency</v>
      </c>
    </row>
    <row r="43" spans="1:7">
      <c r="A43" s="44" t="s">
        <v>13</v>
      </c>
      <c r="B43" s="44">
        <v>0</v>
      </c>
      <c r="C43" s="44" t="str">
        <f>'7조'!C123</f>
        <v>7조 - Container-based - Energy Efficiency</v>
      </c>
      <c r="D43" s="44">
        <v>0</v>
      </c>
      <c r="E43" s="44" t="str">
        <f>'7조'!E123</f>
        <v>7조 - Cloud-based - Energy Efficiency</v>
      </c>
      <c r="F43" s="44">
        <v>0</v>
      </c>
      <c r="G43" s="44" t="str">
        <f>'7조'!G123</f>
        <v>7조 - Edge-based - Energy Efficiency</v>
      </c>
    </row>
    <row r="44" spans="1:7">
      <c r="A44" s="44" t="s">
        <v>14</v>
      </c>
      <c r="B44" s="44">
        <v>0</v>
      </c>
      <c r="C44" s="44" t="str">
        <f>'8조'!C123</f>
        <v>8조 - Container-based - Energy Efficiency</v>
      </c>
      <c r="D44" s="44">
        <v>0</v>
      </c>
      <c r="E44" s="44" t="str">
        <f>'8조'!E123</f>
        <v>8조 - Cloud-based - Energy Efficiency</v>
      </c>
      <c r="F44" s="44">
        <v>0</v>
      </c>
      <c r="G44" s="44" t="str">
        <f>'8조'!G123</f>
        <v>8조 - Edge-based - Energy Efficiency</v>
      </c>
    </row>
    <row r="45" spans="1:7">
      <c r="A45" s="44" t="s">
        <v>15</v>
      </c>
      <c r="B45" s="44">
        <v>0</v>
      </c>
      <c r="C45" s="44" t="str">
        <f>'9조'!C123</f>
        <v>9조 - Container-based - Energy Efficiency</v>
      </c>
      <c r="D45" s="44">
        <v>0</v>
      </c>
      <c r="E45" s="44" t="str">
        <f>'9조'!E123</f>
        <v>9조 - Cloud-based - Energy Efficiency</v>
      </c>
      <c r="F45" s="44">
        <v>0</v>
      </c>
      <c r="G45" s="44" t="str">
        <f>'9조'!G123</f>
        <v>9조 - Edge-based - Energy Efficiency</v>
      </c>
    </row>
    <row r="46" spans="1:7">
      <c r="A46" s="44"/>
      <c r="B46" s="44"/>
      <c r="C46" s="44"/>
      <c r="D46" s="44"/>
      <c r="E46" s="44"/>
      <c r="F46" s="44"/>
      <c r="G46" s="44"/>
    </row>
    <row r="47" spans="1:7">
      <c r="A47" s="66" t="s">
        <v>19</v>
      </c>
      <c r="B47" s="66">
        <v>0</v>
      </c>
      <c r="C47" s="66">
        <v>0</v>
      </c>
      <c r="D47" s="66">
        <v>0</v>
      </c>
      <c r="E47" s="66">
        <v>0</v>
      </c>
      <c r="F47" s="66">
        <v>0</v>
      </c>
      <c r="G47" s="66">
        <v>0</v>
      </c>
    </row>
    <row r="48" spans="1:7">
      <c r="A48" s="44" t="s">
        <v>7</v>
      </c>
      <c r="B48" s="44">
        <v>0</v>
      </c>
      <c r="C48" s="44" t="str">
        <f>'1조'!C124</f>
        <v>1조 - Container-based - Modifiability</v>
      </c>
      <c r="D48" s="44">
        <v>0</v>
      </c>
      <c r="E48" s="44" t="str">
        <f>'1조'!E124</f>
        <v>1조 - Cloud-based - Modifiability</v>
      </c>
      <c r="F48" s="44">
        <v>0</v>
      </c>
      <c r="G48" s="44" t="str">
        <f>'1조'!G124</f>
        <v>1조 - Edge-based - Modifiability</v>
      </c>
    </row>
    <row r="49" spans="1:7">
      <c r="A49" s="44" t="s">
        <v>8</v>
      </c>
      <c r="B49" s="44">
        <v>0</v>
      </c>
      <c r="C49" s="44" t="str">
        <f>'2조'!C124</f>
        <v>2조 - Container-based - Modifiability</v>
      </c>
      <c r="D49" s="44">
        <v>0</v>
      </c>
      <c r="E49" s="44" t="str">
        <f>'2조'!E124</f>
        <v>2조 - Cloud-based - Modifiability</v>
      </c>
      <c r="F49" s="44">
        <v>0</v>
      </c>
      <c r="G49" s="44" t="str">
        <f>'2조'!G124</f>
        <v>2조 - Edge-based - Modifiability</v>
      </c>
    </row>
    <row r="50" spans="1:7">
      <c r="A50" s="44" t="s">
        <v>9</v>
      </c>
      <c r="B50" s="44">
        <v>0</v>
      </c>
      <c r="C50" s="44" t="str">
        <f>'3조'!C124</f>
        <v>3조 - Container-based - Modifiability</v>
      </c>
      <c r="D50" s="44">
        <v>0</v>
      </c>
      <c r="E50" s="44" t="str">
        <f>'3조'!E124</f>
        <v>3조 - Cloud-based - Modifiability</v>
      </c>
      <c r="F50" s="44">
        <v>0</v>
      </c>
      <c r="G50" s="44" t="str">
        <f>'3조'!G124</f>
        <v>3조 - Edge-based - Modifiability</v>
      </c>
    </row>
    <row r="51" spans="1:7">
      <c r="A51" s="44" t="s">
        <v>10</v>
      </c>
      <c r="B51" s="44">
        <v>0</v>
      </c>
      <c r="C51" s="44" t="str">
        <f>'4조'!C124</f>
        <v>4조 - Container-based - Modifiability</v>
      </c>
      <c r="D51" s="44">
        <v>0</v>
      </c>
      <c r="E51" s="44" t="str">
        <f>'4조'!E124</f>
        <v>4조 - Cloud-based - Modifiability</v>
      </c>
      <c r="F51" s="44">
        <v>0</v>
      </c>
      <c r="G51" s="44" t="str">
        <f>'4조'!G124</f>
        <v>4조 - Edge-based - Modifiability</v>
      </c>
    </row>
    <row r="52" spans="1:7">
      <c r="A52" s="44" t="s">
        <v>11</v>
      </c>
      <c r="B52" s="44">
        <v>0</v>
      </c>
      <c r="C52" s="44" t="str">
        <f>'5조'!C124</f>
        <v>5조 - Container-based - Modifiability</v>
      </c>
      <c r="D52" s="44">
        <v>0</v>
      </c>
      <c r="E52" s="44" t="str">
        <f>'5조'!E124</f>
        <v>5조 - Cloud-based - Modifiability</v>
      </c>
      <c r="F52" s="44">
        <v>0</v>
      </c>
      <c r="G52" s="44" t="str">
        <f>'5조'!G124</f>
        <v>5조 - Edge-based - Modifiability</v>
      </c>
    </row>
    <row r="53" spans="1:7">
      <c r="A53" s="44" t="s">
        <v>12</v>
      </c>
      <c r="B53" s="44">
        <v>0</v>
      </c>
      <c r="C53" s="44" t="str">
        <f>'6조'!C124</f>
        <v>6조 - Container-based - Modifiability</v>
      </c>
      <c r="D53" s="44">
        <v>0</v>
      </c>
      <c r="E53" s="44" t="str">
        <f>'6조'!E124</f>
        <v>6조 - Cloud-based - Modifiability</v>
      </c>
      <c r="F53" s="44">
        <v>0</v>
      </c>
      <c r="G53" s="44" t="str">
        <f>'6조'!G124</f>
        <v>6조 - Edge-based - Modifiability</v>
      </c>
    </row>
    <row r="54" spans="1:7">
      <c r="A54" s="44" t="s">
        <v>13</v>
      </c>
      <c r="B54" s="44">
        <v>0</v>
      </c>
      <c r="C54" s="44" t="str">
        <f>'7조'!C124</f>
        <v>7조 - Container-based - Modifiability</v>
      </c>
      <c r="D54" s="44">
        <v>0</v>
      </c>
      <c r="E54" s="44" t="str">
        <f>'7조'!E124</f>
        <v>7조 - Cloud-based - Modifiability</v>
      </c>
      <c r="F54" s="44">
        <v>0</v>
      </c>
      <c r="G54" s="44" t="str">
        <f>'7조'!G124</f>
        <v>7조 - Edge-based - Modifiability</v>
      </c>
    </row>
    <row r="55" spans="1:7">
      <c r="A55" s="44" t="s">
        <v>14</v>
      </c>
      <c r="B55" s="44">
        <v>0</v>
      </c>
      <c r="C55" s="44" t="str">
        <f>'8조'!C124</f>
        <v>8조 - Container-based - Modifiability</v>
      </c>
      <c r="D55" s="44">
        <v>0</v>
      </c>
      <c r="E55" s="44" t="str">
        <f>'8조'!E124</f>
        <v>8조 - Cloud-based - Modifiability</v>
      </c>
      <c r="F55" s="44">
        <v>0</v>
      </c>
      <c r="G55" s="44" t="str">
        <f>'8조'!G124</f>
        <v>8조 - Edge-based - Modifiability</v>
      </c>
    </row>
    <row r="56" spans="1:7">
      <c r="A56" s="44" t="s">
        <v>15</v>
      </c>
      <c r="B56" s="44">
        <v>0</v>
      </c>
      <c r="C56" s="44" t="str">
        <f>'9조'!C124</f>
        <v>9조 - Container-based - Modifiability</v>
      </c>
      <c r="D56" s="44">
        <v>0</v>
      </c>
      <c r="E56" s="44" t="str">
        <f>'9조'!E124</f>
        <v>9조 - Cloud-based - Modifiability</v>
      </c>
      <c r="F56" s="44">
        <v>0</v>
      </c>
      <c r="G56" s="44" t="str">
        <f>'9조'!G124</f>
        <v>9조 - Edge-based - Modifiability</v>
      </c>
    </row>
    <row r="57" spans="1:7">
      <c r="A57" s="44"/>
      <c r="B57" s="44"/>
      <c r="C57" s="44"/>
      <c r="D57" s="44"/>
      <c r="E57" s="44"/>
      <c r="F57" s="44"/>
      <c r="G57" s="44"/>
    </row>
    <row r="58" spans="1:7">
      <c r="A58" s="66" t="s">
        <v>20</v>
      </c>
      <c r="B58" s="66">
        <v>0</v>
      </c>
      <c r="C58" s="66">
        <v>0</v>
      </c>
      <c r="D58" s="66">
        <v>0</v>
      </c>
      <c r="E58" s="66">
        <v>0</v>
      </c>
      <c r="F58" s="66">
        <v>0</v>
      </c>
      <c r="G58" s="66">
        <v>0</v>
      </c>
    </row>
    <row r="59" spans="1:7">
      <c r="A59" s="44" t="s">
        <v>7</v>
      </c>
      <c r="B59" s="44">
        <v>0</v>
      </c>
      <c r="C59" s="44" t="str">
        <f>'1조'!C125</f>
        <v>1조 - Container-based - Performance</v>
      </c>
      <c r="D59" s="44">
        <v>0</v>
      </c>
      <c r="E59" s="44" t="str">
        <f>'1조'!E125</f>
        <v>1조 - Cloud-based - Performance</v>
      </c>
      <c r="F59" s="44">
        <v>0</v>
      </c>
      <c r="G59" s="44" t="str">
        <f>'1조'!G125</f>
        <v>1조 - Edge-based - Performance</v>
      </c>
    </row>
    <row r="60" spans="1:7">
      <c r="A60" s="44" t="s">
        <v>8</v>
      </c>
      <c r="B60" s="44">
        <v>0</v>
      </c>
      <c r="C60" s="44" t="str">
        <f>'2조'!C125</f>
        <v>2조 - Container-based - Performance</v>
      </c>
      <c r="D60" s="44">
        <v>0</v>
      </c>
      <c r="E60" s="44" t="str">
        <f>'2조'!E125</f>
        <v>2조 - Cloud-based - Performance</v>
      </c>
      <c r="F60" s="44">
        <v>0</v>
      </c>
      <c r="G60" s="44" t="str">
        <f>'2조'!G125</f>
        <v>2조 - Edge-based - Performance</v>
      </c>
    </row>
    <row r="61" spans="1:7">
      <c r="A61" s="44" t="s">
        <v>9</v>
      </c>
      <c r="B61" s="44">
        <v>0</v>
      </c>
      <c r="C61" s="44" t="str">
        <f>'3조'!C125</f>
        <v>3조 - Container-based - Performance</v>
      </c>
      <c r="D61" s="44">
        <v>0</v>
      </c>
      <c r="E61" s="44" t="str">
        <f>'3조'!E125</f>
        <v>3조 - Cloud-based - Performance</v>
      </c>
      <c r="F61" s="44">
        <v>0</v>
      </c>
      <c r="G61" s="44" t="str">
        <f>'3조'!G125</f>
        <v>3조 - Edge-based - Performance</v>
      </c>
    </row>
    <row r="62" spans="1:7">
      <c r="A62" s="44" t="s">
        <v>10</v>
      </c>
      <c r="B62" s="44">
        <v>0</v>
      </c>
      <c r="C62" s="44" t="str">
        <f>'4조'!C125</f>
        <v>4조 - Container-based - Performance</v>
      </c>
      <c r="D62" s="44">
        <v>0</v>
      </c>
      <c r="E62" s="44" t="str">
        <f>'4조'!E125</f>
        <v>4조 - Cloud-based - Performance</v>
      </c>
      <c r="F62" s="44">
        <v>0</v>
      </c>
      <c r="G62" s="44" t="str">
        <f>'4조'!G125</f>
        <v>4조 - Edge-based - Performance</v>
      </c>
    </row>
    <row r="63" spans="1:7">
      <c r="A63" s="44" t="s">
        <v>11</v>
      </c>
      <c r="B63" s="44">
        <v>0</v>
      </c>
      <c r="C63" s="44" t="str">
        <f>'5조'!C125</f>
        <v>5조 - Container-based - Performance</v>
      </c>
      <c r="D63" s="44">
        <v>0</v>
      </c>
      <c r="E63" s="44" t="str">
        <f>'5조'!E125</f>
        <v>5조 - Cloud-based - Performance</v>
      </c>
      <c r="F63" s="44">
        <v>0</v>
      </c>
      <c r="G63" s="44" t="str">
        <f>'5조'!G125</f>
        <v>5조 - Edge-based - Performance</v>
      </c>
    </row>
    <row r="64" spans="1:7">
      <c r="A64" s="44" t="s">
        <v>12</v>
      </c>
      <c r="B64" s="44">
        <v>0</v>
      </c>
      <c r="C64" s="44" t="str">
        <f>'6조'!C125</f>
        <v>6조 - Container-based - Performance</v>
      </c>
      <c r="D64" s="44">
        <v>0</v>
      </c>
      <c r="E64" s="44" t="str">
        <f>'6조'!E125</f>
        <v>6조 - Cloud-based - Performance</v>
      </c>
      <c r="F64" s="44">
        <v>0</v>
      </c>
      <c r="G64" s="44" t="str">
        <f>'6조'!G125</f>
        <v>6조 - Edge-based - Performance</v>
      </c>
    </row>
    <row r="65" spans="1:7">
      <c r="A65" s="44" t="s">
        <v>13</v>
      </c>
      <c r="B65" s="44">
        <v>0</v>
      </c>
      <c r="C65" s="44" t="str">
        <f>'7조'!C125</f>
        <v>7조 - Container-based - Performance</v>
      </c>
      <c r="D65" s="44">
        <v>0</v>
      </c>
      <c r="E65" s="44" t="str">
        <f>'7조'!E125</f>
        <v>7조 - Cloud-based - Performance</v>
      </c>
      <c r="F65" s="44">
        <v>0</v>
      </c>
      <c r="G65" s="44" t="str">
        <f>'7조'!G125</f>
        <v>7조 - Edge-based - Performance</v>
      </c>
    </row>
    <row r="66" spans="1:7">
      <c r="A66" s="44" t="s">
        <v>14</v>
      </c>
      <c r="B66" s="44">
        <v>0</v>
      </c>
      <c r="C66" s="44" t="str">
        <f>'8조'!C125</f>
        <v>8조 - Container-based - Performance</v>
      </c>
      <c r="D66" s="44">
        <v>0</v>
      </c>
      <c r="E66" s="44" t="str">
        <f>'8조'!E125</f>
        <v>8조 - Cloud-based - Performance</v>
      </c>
      <c r="F66" s="44">
        <v>0</v>
      </c>
      <c r="G66" s="44" t="str">
        <f>'8조'!G125</f>
        <v>8조 - Edge-based - Performance</v>
      </c>
    </row>
    <row r="67" spans="1:7">
      <c r="A67" s="44" t="s">
        <v>15</v>
      </c>
      <c r="B67" s="44">
        <v>0</v>
      </c>
      <c r="C67" s="44" t="str">
        <f>'9조'!C125</f>
        <v>9조 - Container-based - Performance</v>
      </c>
      <c r="D67" s="44">
        <v>0</v>
      </c>
      <c r="E67" s="44" t="str">
        <f>'9조'!E125</f>
        <v>9조 - Cloud-based - Performance</v>
      </c>
      <c r="F67" s="44">
        <v>0</v>
      </c>
      <c r="G67" s="44" t="str">
        <f>'9조'!G125</f>
        <v>9조 - Edge-based - Performance</v>
      </c>
    </row>
    <row r="68" spans="1:7">
      <c r="A68" s="44"/>
      <c r="B68" s="44"/>
      <c r="C68" s="44"/>
      <c r="D68" s="44"/>
      <c r="E68" s="44"/>
      <c r="F68" s="44"/>
      <c r="G68" s="44"/>
    </row>
    <row r="69" spans="1:7">
      <c r="A69" s="66" t="s">
        <v>21</v>
      </c>
      <c r="B69" s="66">
        <v>0</v>
      </c>
      <c r="C69" s="66">
        <v>0</v>
      </c>
      <c r="D69" s="66">
        <v>0</v>
      </c>
      <c r="E69" s="66">
        <v>0</v>
      </c>
      <c r="F69" s="66">
        <v>0</v>
      </c>
      <c r="G69" s="66">
        <v>0</v>
      </c>
    </row>
    <row r="70" spans="1:7">
      <c r="A70" s="44" t="s">
        <v>7</v>
      </c>
      <c r="B70" s="44">
        <v>0</v>
      </c>
      <c r="C70" s="44" t="str">
        <f>'1조'!C126</f>
        <v>1조 - Container-based - Safety</v>
      </c>
      <c r="D70" s="44">
        <v>0</v>
      </c>
      <c r="E70" s="44" t="str">
        <f>'1조'!E126</f>
        <v>1조 - Cloud-based - Safety</v>
      </c>
      <c r="F70" s="44">
        <v>0</v>
      </c>
      <c r="G70" s="44" t="str">
        <f>'1조'!G126</f>
        <v>1조 - Edge-based - Safety</v>
      </c>
    </row>
    <row r="71" spans="1:7">
      <c r="A71" s="44" t="s">
        <v>8</v>
      </c>
      <c r="B71" s="44">
        <v>0</v>
      </c>
      <c r="C71" s="44" t="str">
        <f>'2조'!C126</f>
        <v>2조 - Container-based - Safety</v>
      </c>
      <c r="D71" s="44">
        <v>0</v>
      </c>
      <c r="E71" s="44" t="str">
        <f>'2조'!E126</f>
        <v>2조 - Cloud-based - Safety</v>
      </c>
      <c r="F71" s="44">
        <v>0</v>
      </c>
      <c r="G71" s="44" t="str">
        <f>'2조'!G126</f>
        <v>2조 - Edge-based - Safety</v>
      </c>
    </row>
    <row r="72" spans="1:7">
      <c r="A72" s="44" t="s">
        <v>9</v>
      </c>
      <c r="B72" s="44">
        <v>0</v>
      </c>
      <c r="C72" s="44" t="str">
        <f>'3조'!C126</f>
        <v>3조 - Container-based - Safety</v>
      </c>
      <c r="D72" s="44">
        <v>0</v>
      </c>
      <c r="E72" s="44" t="str">
        <f>'3조'!E126</f>
        <v>3조 - Cloud-based - Safety</v>
      </c>
      <c r="F72" s="44">
        <v>0</v>
      </c>
      <c r="G72" s="44" t="str">
        <f>'3조'!G126</f>
        <v>3조 - Edge-based - Safety</v>
      </c>
    </row>
    <row r="73" spans="1:7">
      <c r="A73" s="44" t="s">
        <v>10</v>
      </c>
      <c r="B73" s="44">
        <v>0</v>
      </c>
      <c r="C73" s="44" t="str">
        <f>'4조'!C126</f>
        <v>4조 - Container-based - Safety</v>
      </c>
      <c r="D73" s="44">
        <v>0</v>
      </c>
      <c r="E73" s="44" t="str">
        <f>'4조'!E126</f>
        <v>4조 - Cloud-based - Safety</v>
      </c>
      <c r="F73" s="44">
        <v>0</v>
      </c>
      <c r="G73" s="44" t="str">
        <f>'4조'!G126</f>
        <v>4조 - Edge-based - Safety</v>
      </c>
    </row>
    <row r="74" spans="1:7">
      <c r="A74" s="44" t="s">
        <v>11</v>
      </c>
      <c r="B74" s="44">
        <v>0</v>
      </c>
      <c r="C74" s="44" t="str">
        <f>'5조'!C126</f>
        <v>5조 - Container-based - Safety</v>
      </c>
      <c r="D74" s="44">
        <v>0</v>
      </c>
      <c r="E74" s="44" t="str">
        <f>'5조'!E126</f>
        <v>5조 - Cloud-based - Safety</v>
      </c>
      <c r="F74" s="44">
        <v>0</v>
      </c>
      <c r="G74" s="44" t="str">
        <f>'5조'!G126</f>
        <v>5조 - Edge-based - Safety</v>
      </c>
    </row>
    <row r="75" spans="1:7">
      <c r="A75" s="44" t="s">
        <v>12</v>
      </c>
      <c r="B75" s="44">
        <v>0</v>
      </c>
      <c r="C75" s="44" t="str">
        <f>'6조'!C126</f>
        <v>6조 - Container-based - Safety</v>
      </c>
      <c r="D75" s="44">
        <v>0</v>
      </c>
      <c r="E75" s="44" t="str">
        <f>'6조'!E126</f>
        <v>6조 - Cloud-based - Safety</v>
      </c>
      <c r="F75" s="44">
        <v>0</v>
      </c>
      <c r="G75" s="44" t="str">
        <f>'6조'!G126</f>
        <v>6조 - Edge-based - Safety</v>
      </c>
    </row>
    <row r="76" spans="1:7">
      <c r="A76" s="44" t="s">
        <v>13</v>
      </c>
      <c r="B76" s="44">
        <v>0</v>
      </c>
      <c r="C76" s="44" t="str">
        <f>'7조'!C126</f>
        <v>7조 - Container-based - Safety</v>
      </c>
      <c r="D76" s="44">
        <v>0</v>
      </c>
      <c r="E76" s="44" t="str">
        <f>'7조'!E126</f>
        <v>7조 - Cloud-based - Safety</v>
      </c>
      <c r="F76" s="44">
        <v>0</v>
      </c>
      <c r="G76" s="44" t="str">
        <f>'7조'!G126</f>
        <v>7조 - Edge-based - Safety</v>
      </c>
    </row>
    <row r="77" spans="1:7">
      <c r="A77" s="44" t="s">
        <v>14</v>
      </c>
      <c r="B77" s="44">
        <v>0</v>
      </c>
      <c r="C77" s="44" t="str">
        <f>'8조'!C126</f>
        <v>8조 - Container-based - Safety</v>
      </c>
      <c r="D77" s="44">
        <v>0</v>
      </c>
      <c r="E77" s="44" t="str">
        <f>'8조'!E126</f>
        <v>8조 - Cloud-based - Safety</v>
      </c>
      <c r="F77" s="44">
        <v>0</v>
      </c>
      <c r="G77" s="44" t="str">
        <f>'8조'!G126</f>
        <v>8조 - Edge-based - Safety</v>
      </c>
    </row>
    <row r="78" spans="1:7">
      <c r="A78" s="44" t="s">
        <v>15</v>
      </c>
      <c r="B78" s="44">
        <v>0</v>
      </c>
      <c r="C78" s="44" t="str">
        <f>'9조'!C126</f>
        <v>9조 - Container-based - Safety</v>
      </c>
      <c r="D78" s="44">
        <v>0</v>
      </c>
      <c r="E78" s="44" t="str">
        <f>'9조'!E126</f>
        <v>9조 - Cloud-based - Safety</v>
      </c>
      <c r="F78" s="44">
        <v>0</v>
      </c>
      <c r="G78" s="44" t="str">
        <f>'9조'!G126</f>
        <v>9조 - Edge-based - Safety</v>
      </c>
    </row>
    <row r="79" spans="1:7">
      <c r="A79" s="44"/>
      <c r="B79" s="44"/>
      <c r="C79" s="44"/>
      <c r="D79" s="44"/>
      <c r="E79" s="44"/>
      <c r="F79" s="44"/>
      <c r="G79" s="44"/>
    </row>
    <row r="80" spans="1:7">
      <c r="A80" s="66" t="s">
        <v>22</v>
      </c>
      <c r="B80" s="66">
        <v>0</v>
      </c>
      <c r="C80" s="66">
        <v>0</v>
      </c>
      <c r="D80" s="66">
        <v>0</v>
      </c>
      <c r="E80" s="66">
        <v>0</v>
      </c>
      <c r="F80" s="66">
        <v>0</v>
      </c>
      <c r="G80" s="66">
        <v>0</v>
      </c>
    </row>
    <row r="81" spans="1:7">
      <c r="A81" s="44" t="s">
        <v>7</v>
      </c>
      <c r="B81" s="44">
        <v>0</v>
      </c>
      <c r="C81" s="44" t="str">
        <f>'1조'!C127</f>
        <v>1조 - Container-based - Security</v>
      </c>
      <c r="D81" s="44">
        <v>0</v>
      </c>
      <c r="E81" s="44" t="str">
        <f>'1조'!E127</f>
        <v>1조 - Cloud-based - Security</v>
      </c>
      <c r="F81" s="44">
        <v>0</v>
      </c>
      <c r="G81" s="44" t="str">
        <f>'1조'!G127</f>
        <v>1조 - Edge-based - Security</v>
      </c>
    </row>
    <row r="82" spans="1:7">
      <c r="A82" s="44" t="s">
        <v>8</v>
      </c>
      <c r="B82" s="44">
        <v>0</v>
      </c>
      <c r="C82" s="44" t="str">
        <f>'2조'!C127</f>
        <v>2조 - Container-based - Security</v>
      </c>
      <c r="D82" s="44">
        <v>0</v>
      </c>
      <c r="E82" s="44" t="str">
        <f>'2조'!E127</f>
        <v>2조 - Cloud-based - Security</v>
      </c>
      <c r="F82" s="44">
        <v>0</v>
      </c>
      <c r="G82" s="44" t="str">
        <f>'2조'!G127</f>
        <v>2조 - Edge-based - Security</v>
      </c>
    </row>
    <row r="83" spans="1:7">
      <c r="A83" s="44" t="s">
        <v>9</v>
      </c>
      <c r="B83" s="44">
        <v>0</v>
      </c>
      <c r="C83" s="44" t="str">
        <f>'3조'!C127</f>
        <v>3조 - Container-based - Security</v>
      </c>
      <c r="D83" s="44">
        <v>0</v>
      </c>
      <c r="E83" s="44" t="str">
        <f>'3조'!E127</f>
        <v>3조 - Cloud-based - Security</v>
      </c>
      <c r="F83" s="44">
        <v>0</v>
      </c>
      <c r="G83" s="44" t="str">
        <f>'3조'!G127</f>
        <v>3조 - Edge-based - Security</v>
      </c>
    </row>
    <row r="84" spans="1:7">
      <c r="A84" s="44" t="s">
        <v>10</v>
      </c>
      <c r="B84" s="44">
        <v>0</v>
      </c>
      <c r="C84" s="44" t="str">
        <f>'4조'!C127</f>
        <v>4조 - Container-based - Security</v>
      </c>
      <c r="D84" s="44">
        <v>0</v>
      </c>
      <c r="E84" s="44" t="str">
        <f>'4조'!E127</f>
        <v>4조 - Cloud-based - Security</v>
      </c>
      <c r="F84" s="44">
        <v>0</v>
      </c>
      <c r="G84" s="44" t="str">
        <f>'4조'!G127</f>
        <v>4조 - Edge-based - Security</v>
      </c>
    </row>
    <row r="85" spans="1:7">
      <c r="A85" s="44" t="s">
        <v>11</v>
      </c>
      <c r="B85" s="44">
        <v>0</v>
      </c>
      <c r="C85" s="44" t="str">
        <f>'5조'!C127</f>
        <v>5조 - Container-based - Security</v>
      </c>
      <c r="D85" s="44">
        <v>0</v>
      </c>
      <c r="E85" s="44" t="str">
        <f>'5조'!E127</f>
        <v>5조 - Cloud-based - Security</v>
      </c>
      <c r="F85" s="44">
        <v>0</v>
      </c>
      <c r="G85" s="44" t="str">
        <f>'5조'!G127</f>
        <v>5조 - Edge-based - Security</v>
      </c>
    </row>
    <row r="86" spans="1:7">
      <c r="A86" s="44" t="s">
        <v>12</v>
      </c>
      <c r="B86" s="44">
        <v>0</v>
      </c>
      <c r="C86" s="44" t="str">
        <f>'6조'!C127</f>
        <v>6조 - Container-based - Security</v>
      </c>
      <c r="D86" s="44">
        <v>0</v>
      </c>
      <c r="E86" s="44" t="str">
        <f>'6조'!E127</f>
        <v>6조 - Cloud-based - Security</v>
      </c>
      <c r="F86" s="44">
        <v>0</v>
      </c>
      <c r="G86" s="44" t="str">
        <f>'6조'!G127</f>
        <v>6조 - Edge-based - Security</v>
      </c>
    </row>
    <row r="87" spans="1:7">
      <c r="A87" s="44" t="s">
        <v>13</v>
      </c>
      <c r="B87" s="44">
        <v>0</v>
      </c>
      <c r="C87" s="44" t="str">
        <f>'7조'!C127</f>
        <v>7조 - Container-based - Security</v>
      </c>
      <c r="D87" s="44">
        <v>0</v>
      </c>
      <c r="E87" s="44" t="str">
        <f>'7조'!E127</f>
        <v>7조 - Cloud-based - Security</v>
      </c>
      <c r="F87" s="44">
        <v>0</v>
      </c>
      <c r="G87" s="44" t="str">
        <f>'7조'!G127</f>
        <v>7조 - Edge-based - Security</v>
      </c>
    </row>
    <row r="88" spans="1:7">
      <c r="A88" s="44" t="s">
        <v>14</v>
      </c>
      <c r="B88" s="44">
        <v>0</v>
      </c>
      <c r="C88" s="44" t="str">
        <f>'8조'!C127</f>
        <v>8조 - Container-based - Security</v>
      </c>
      <c r="D88" s="44">
        <v>0</v>
      </c>
      <c r="E88" s="44" t="str">
        <f>'8조'!E127</f>
        <v>8조 - Cloud-based - Security</v>
      </c>
      <c r="F88" s="44">
        <v>0</v>
      </c>
      <c r="G88" s="44" t="str">
        <f>'8조'!G127</f>
        <v>8조 - Edge-based - Security</v>
      </c>
    </row>
    <row r="89" spans="1:7">
      <c r="A89" s="44" t="s">
        <v>15</v>
      </c>
      <c r="B89" s="44">
        <v>0</v>
      </c>
      <c r="C89" s="44" t="str">
        <f>'9조'!C127</f>
        <v>9조 - Container-based - Security</v>
      </c>
      <c r="D89" s="44">
        <v>0</v>
      </c>
      <c r="E89" s="44" t="str">
        <f>'9조'!E127</f>
        <v>9조 - Cloud-based - Security</v>
      </c>
      <c r="F89" s="44">
        <v>0</v>
      </c>
      <c r="G89" s="44" t="str">
        <f>'9조'!G127</f>
        <v>9조 - Edge-based - Security</v>
      </c>
    </row>
    <row r="90" spans="1:7">
      <c r="A90" s="44"/>
      <c r="B90" s="44"/>
      <c r="C90" s="44"/>
      <c r="D90" s="44"/>
      <c r="E90" s="44"/>
      <c r="F90" s="44"/>
      <c r="G90" s="44"/>
    </row>
    <row r="91" spans="1:7">
      <c r="A91" s="66" t="s">
        <v>23</v>
      </c>
      <c r="B91" s="66">
        <v>0</v>
      </c>
      <c r="C91" s="66">
        <v>0</v>
      </c>
      <c r="D91" s="66">
        <v>0</v>
      </c>
      <c r="E91" s="66">
        <v>0</v>
      </c>
      <c r="F91" s="66">
        <v>0</v>
      </c>
      <c r="G91" s="66">
        <v>0</v>
      </c>
    </row>
    <row r="92" spans="1:7">
      <c r="A92" s="44" t="s">
        <v>7</v>
      </c>
      <c r="B92" s="44">
        <v>0</v>
      </c>
      <c r="C92" s="44" t="str">
        <f>'1조'!C128</f>
        <v>1조 - Container-based - Testability</v>
      </c>
      <c r="D92" s="44">
        <v>0</v>
      </c>
      <c r="E92" s="44" t="str">
        <f>'1조'!E128</f>
        <v>1조 - Cloud-based - Testability</v>
      </c>
      <c r="F92" s="44">
        <v>0</v>
      </c>
      <c r="G92" s="44" t="str">
        <f>'1조'!G128</f>
        <v>1조 - Edge-based - Testability</v>
      </c>
    </row>
    <row r="93" spans="1:7">
      <c r="A93" s="44" t="s">
        <v>8</v>
      </c>
      <c r="B93" s="44">
        <v>0</v>
      </c>
      <c r="C93" s="44" t="str">
        <f>'2조'!C128</f>
        <v>2조 - Container-based - Testability</v>
      </c>
      <c r="D93" s="44">
        <v>0</v>
      </c>
      <c r="E93" s="44" t="str">
        <f>'2조'!E128</f>
        <v>2조 - Cloud-based - Testability</v>
      </c>
      <c r="F93" s="44">
        <v>0</v>
      </c>
      <c r="G93" s="44" t="str">
        <f>'2조'!G128</f>
        <v>2조 - Edge-based - Testability</v>
      </c>
    </row>
    <row r="94" spans="1:7">
      <c r="A94" s="44" t="s">
        <v>9</v>
      </c>
      <c r="B94" s="44">
        <v>0</v>
      </c>
      <c r="C94" s="44" t="str">
        <f>'3조'!C128</f>
        <v>3조 - Container-based - Testability</v>
      </c>
      <c r="D94" s="44">
        <v>0</v>
      </c>
      <c r="E94" s="44" t="str">
        <f>'3조'!E128</f>
        <v>3조 - Cloud-based - Testability</v>
      </c>
      <c r="F94" s="44">
        <v>0</v>
      </c>
      <c r="G94" s="44" t="str">
        <f>'3조'!G128</f>
        <v>3조 - Edge-based - Testability</v>
      </c>
    </row>
    <row r="95" spans="1:7">
      <c r="A95" s="44" t="s">
        <v>10</v>
      </c>
      <c r="B95" s="44">
        <v>0</v>
      </c>
      <c r="C95" s="44" t="str">
        <f>'4조'!C128</f>
        <v>4조 - Container-based - Testability</v>
      </c>
      <c r="D95" s="44">
        <v>0</v>
      </c>
      <c r="E95" s="44" t="str">
        <f>'4조'!E128</f>
        <v>4조 - Cloud-based - Testability</v>
      </c>
      <c r="F95" s="44">
        <v>0</v>
      </c>
      <c r="G95" s="44" t="str">
        <f>'4조'!G128</f>
        <v>4조 - Edge-based - Testability</v>
      </c>
    </row>
    <row r="96" spans="1:7">
      <c r="A96" s="44" t="s">
        <v>11</v>
      </c>
      <c r="B96" s="44">
        <v>0</v>
      </c>
      <c r="C96" s="44" t="str">
        <f>'5조'!C128</f>
        <v>5조 - Container-based - Testability</v>
      </c>
      <c r="D96" s="44">
        <v>0</v>
      </c>
      <c r="E96" s="44" t="str">
        <f>'5조'!E128</f>
        <v>5조 - Cloud-based - Testability</v>
      </c>
      <c r="F96" s="44">
        <v>0</v>
      </c>
      <c r="G96" s="44" t="str">
        <f>'5조'!G128</f>
        <v>5조 - Edge-based - Testability</v>
      </c>
    </row>
    <row r="97" spans="1:7">
      <c r="A97" s="44" t="s">
        <v>12</v>
      </c>
      <c r="B97" s="44">
        <v>0</v>
      </c>
      <c r="C97" s="44" t="str">
        <f>'6조'!C128</f>
        <v>6조 - Container-based - Testability</v>
      </c>
      <c r="D97" s="44">
        <v>0</v>
      </c>
      <c r="E97" s="44" t="str">
        <f>'6조'!E128</f>
        <v>6조 - Cloud-based - Testability</v>
      </c>
      <c r="F97" s="44">
        <v>0</v>
      </c>
      <c r="G97" s="44" t="str">
        <f>'6조'!G128</f>
        <v>6조 - Edge-based - Testability</v>
      </c>
    </row>
    <row r="98" spans="1:7">
      <c r="A98" s="44" t="s">
        <v>13</v>
      </c>
      <c r="B98" s="44">
        <v>0</v>
      </c>
      <c r="C98" s="44" t="str">
        <f>'7조'!C128</f>
        <v>7조 - Container-based - Testability</v>
      </c>
      <c r="D98" s="44">
        <v>0</v>
      </c>
      <c r="E98" s="44" t="str">
        <f>'7조'!E128</f>
        <v>7조 - Cloud-based - Testability</v>
      </c>
      <c r="F98" s="44">
        <v>0</v>
      </c>
      <c r="G98" s="44" t="str">
        <f>'7조'!G128</f>
        <v>7조 - Edge-based - Testability</v>
      </c>
    </row>
    <row r="99" spans="1:7">
      <c r="A99" s="44" t="s">
        <v>14</v>
      </c>
      <c r="B99" s="44">
        <v>0</v>
      </c>
      <c r="C99" s="44" t="str">
        <f>'8조'!C128</f>
        <v>8조 - Container-based - Testability</v>
      </c>
      <c r="D99" s="44">
        <v>0</v>
      </c>
      <c r="E99" s="44" t="str">
        <f>'8조'!E128</f>
        <v>8조 - Cloud-based - Testability</v>
      </c>
      <c r="F99" s="44">
        <v>0</v>
      </c>
      <c r="G99" s="44" t="str">
        <f>'8조'!G128</f>
        <v>8조 - Edge-based - Testability</v>
      </c>
    </row>
    <row r="100" spans="1:7">
      <c r="A100" s="44" t="s">
        <v>15</v>
      </c>
      <c r="B100" s="44">
        <v>0</v>
      </c>
      <c r="C100" s="44" t="str">
        <f>'9조'!C128</f>
        <v>9조 - Container-based - Testability</v>
      </c>
      <c r="D100" s="44">
        <v>0</v>
      </c>
      <c r="E100" s="44" t="str">
        <f>'9조'!E128</f>
        <v>9조 - Cloud-based - Testability</v>
      </c>
      <c r="F100" s="44">
        <v>0</v>
      </c>
      <c r="G100" s="44" t="str">
        <f>'9조'!G128</f>
        <v>9조 - Edge-based - Testability</v>
      </c>
    </row>
    <row r="101" spans="1:7" ht="15" customHeight="1">
      <c r="A101" s="44"/>
      <c r="B101" s="44"/>
      <c r="C101" s="44"/>
      <c r="D101" s="44"/>
      <c r="E101" s="44"/>
      <c r="F101" s="44"/>
      <c r="G101" s="44"/>
    </row>
    <row r="102" spans="1:7">
      <c r="A102" s="66" t="s">
        <v>24</v>
      </c>
      <c r="B102" s="66">
        <v>0</v>
      </c>
      <c r="C102" s="66">
        <v>0</v>
      </c>
      <c r="D102" s="66">
        <v>0</v>
      </c>
      <c r="E102" s="66">
        <v>0</v>
      </c>
      <c r="F102" s="66">
        <v>0</v>
      </c>
      <c r="G102" s="66">
        <v>0</v>
      </c>
    </row>
    <row r="103" spans="1:7">
      <c r="A103" s="44" t="s">
        <v>7</v>
      </c>
      <c r="B103" s="44">
        <v>0</v>
      </c>
      <c r="C103" s="44" t="str">
        <f>'1조'!C129</f>
        <v>1조 - Container-based - Usability</v>
      </c>
      <c r="D103" s="44">
        <v>0</v>
      </c>
      <c r="E103" s="44" t="str">
        <f>'1조'!E129</f>
        <v>1조 - Cloud-based - Usability</v>
      </c>
      <c r="F103" s="44">
        <v>0</v>
      </c>
      <c r="G103" s="44" t="str">
        <f>'1조'!G129</f>
        <v>1조 - Edge-based - Usability</v>
      </c>
    </row>
    <row r="104" spans="1:7">
      <c r="A104" s="44" t="s">
        <v>8</v>
      </c>
      <c r="B104" s="44">
        <v>0</v>
      </c>
      <c r="C104" s="44" t="str">
        <f>'2조'!C129</f>
        <v>2조 - Container-based - Usability</v>
      </c>
      <c r="D104" s="44">
        <v>0</v>
      </c>
      <c r="E104" s="44" t="str">
        <f>'2조'!E129</f>
        <v>2조 - Cloud-based - Usability</v>
      </c>
      <c r="F104" s="44">
        <v>0</v>
      </c>
      <c r="G104" s="44" t="str">
        <f>'2조'!G129</f>
        <v>2조 - Edge-based - Usability</v>
      </c>
    </row>
    <row r="105" spans="1:7">
      <c r="A105" s="44" t="s">
        <v>9</v>
      </c>
      <c r="B105" s="44">
        <v>0</v>
      </c>
      <c r="C105" s="44" t="str">
        <f>'3조'!C129</f>
        <v>3조 - Container-based - Usability</v>
      </c>
      <c r="D105" s="44">
        <v>0</v>
      </c>
      <c r="E105" s="44" t="str">
        <f>'3조'!E129</f>
        <v>3조 - Cloud-based - Usability</v>
      </c>
      <c r="F105" s="44">
        <v>0</v>
      </c>
      <c r="G105" s="44" t="str">
        <f>'3조'!G129</f>
        <v>3조 - Edge-based - Usability</v>
      </c>
    </row>
    <row r="106" spans="1:7">
      <c r="A106" s="44" t="s">
        <v>10</v>
      </c>
      <c r="B106" s="44">
        <v>0</v>
      </c>
      <c r="C106" s="44" t="str">
        <f>'4조'!C129</f>
        <v>4조 - Container-based - Usability</v>
      </c>
      <c r="D106" s="44">
        <v>0</v>
      </c>
      <c r="E106" s="44" t="str">
        <f>'4조'!E129</f>
        <v>4조 - Cloud-based - Usability</v>
      </c>
      <c r="F106" s="44">
        <v>0</v>
      </c>
      <c r="G106" s="44" t="str">
        <f>'4조'!G129</f>
        <v>4조 - Edge-based - Usability</v>
      </c>
    </row>
    <row r="107" spans="1:7">
      <c r="A107" s="44" t="s">
        <v>11</v>
      </c>
      <c r="B107" s="44">
        <v>0</v>
      </c>
      <c r="C107" s="44" t="str">
        <f>'5조'!C129</f>
        <v>5조 - Container-based - Usability</v>
      </c>
      <c r="D107" s="44">
        <v>0</v>
      </c>
      <c r="E107" s="44" t="str">
        <f>'5조'!E129</f>
        <v>5조 - Cloud-based - Usability</v>
      </c>
      <c r="F107" s="44">
        <v>0</v>
      </c>
      <c r="G107" s="44" t="str">
        <f>'5조'!G129</f>
        <v>5조 - Edge-based - Usability</v>
      </c>
    </row>
    <row r="108" spans="1:7">
      <c r="A108" s="44" t="s">
        <v>12</v>
      </c>
      <c r="B108" s="44">
        <v>0</v>
      </c>
      <c r="C108" s="44" t="str">
        <f>'6조'!C129</f>
        <v>6조 - Container-based - Usability</v>
      </c>
      <c r="D108" s="44">
        <v>0</v>
      </c>
      <c r="E108" s="44" t="str">
        <f>'6조'!E129</f>
        <v>6조 - Cloud-based - Usability</v>
      </c>
      <c r="F108" s="44">
        <v>0</v>
      </c>
      <c r="G108" s="44" t="str">
        <f>'6조'!G129</f>
        <v>6조 - Edge-based - Usability</v>
      </c>
    </row>
    <row r="109" spans="1:7">
      <c r="A109" s="44" t="s">
        <v>13</v>
      </c>
      <c r="B109" s="44">
        <v>0</v>
      </c>
      <c r="C109" s="44" t="str">
        <f>'7조'!C129</f>
        <v>7조 - Container-based - Usability</v>
      </c>
      <c r="D109" s="44">
        <v>0</v>
      </c>
      <c r="E109" s="44" t="str">
        <f>'7조'!E129</f>
        <v>7조 - Cloud-based - Usability</v>
      </c>
      <c r="F109" s="44">
        <v>0</v>
      </c>
      <c r="G109" s="44" t="str">
        <f>'7조'!G129</f>
        <v>7조 - Edge-based - Usability</v>
      </c>
    </row>
    <row r="110" spans="1:7">
      <c r="A110" s="44" t="s">
        <v>14</v>
      </c>
      <c r="B110" s="44">
        <v>0</v>
      </c>
      <c r="C110" s="44" t="str">
        <f>'8조'!C129</f>
        <v>8조 - Container-based - Usability</v>
      </c>
      <c r="D110" s="44">
        <v>0</v>
      </c>
      <c r="E110" s="44" t="str">
        <f>'8조'!E129</f>
        <v>8조 - Cloud-based - Usability</v>
      </c>
      <c r="F110" s="44">
        <v>0</v>
      </c>
      <c r="G110" s="44" t="str">
        <f>'8조'!G129</f>
        <v>8조 - Edge-based - Usability</v>
      </c>
    </row>
    <row r="111" spans="1:7">
      <c r="A111" s="44" t="s">
        <v>15</v>
      </c>
      <c r="B111" s="44">
        <v>0</v>
      </c>
      <c r="C111" s="44" t="str">
        <f>'9조'!C129</f>
        <v>9조 - Container-based - Usability</v>
      </c>
      <c r="D111" s="44">
        <v>0</v>
      </c>
      <c r="E111" s="44" t="str">
        <f>'9조'!E129</f>
        <v>9조 - Cloud-based - Usability</v>
      </c>
      <c r="F111" s="44">
        <v>0</v>
      </c>
      <c r="G111" s="44" t="str">
        <f>'9조'!G129</f>
        <v>9조 - Edge-based - Usability</v>
      </c>
    </row>
  </sheetData>
  <mergeCells count="4">
    <mergeCell ref="A1:A2"/>
    <mergeCell ref="B1:C1"/>
    <mergeCell ref="D1:E1"/>
    <mergeCell ref="F1:G1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99"/>
  <sheetViews>
    <sheetView workbookViewId="0">
      <pane xSplit="1" topLeftCell="B1" activePane="topRight" state="frozen"/>
      <selection pane="topRight" activeCell="C3" sqref="C3"/>
    </sheetView>
  </sheetViews>
  <sheetFormatPr defaultColWidth="14.42578125" defaultRowHeight="15" customHeight="1"/>
  <cols>
    <col min="1" max="1" width="19.5703125" customWidth="1"/>
    <col min="2" max="2" width="14.7109375" customWidth="1"/>
    <col min="3" max="3" width="73.85546875" customWidth="1"/>
    <col min="4" max="4" width="9.85546875" customWidth="1"/>
    <col min="5" max="5" width="64.42578125" customWidth="1"/>
    <col min="6" max="6" width="11.42578125" customWidth="1"/>
    <col min="7" max="7" width="61.5703125" customWidth="1"/>
    <col min="8" max="8" width="8.85546875" customWidth="1"/>
    <col min="9" max="9" width="64.140625" customWidth="1"/>
    <col min="10" max="26" width="8.85546875" customWidth="1"/>
  </cols>
  <sheetData>
    <row r="1" spans="1:7">
      <c r="A1" s="31" t="s">
        <v>0</v>
      </c>
      <c r="B1" s="38" t="s">
        <v>1</v>
      </c>
      <c r="C1" s="39"/>
      <c r="D1" s="38" t="s">
        <v>2</v>
      </c>
      <c r="E1" s="39"/>
      <c r="F1" s="38" t="s">
        <v>3</v>
      </c>
      <c r="G1" s="39"/>
    </row>
    <row r="2" spans="1:7">
      <c r="A2" s="37"/>
      <c r="B2" s="3" t="s">
        <v>4</v>
      </c>
      <c r="C2" s="3" t="s">
        <v>5</v>
      </c>
      <c r="D2" s="3" t="s">
        <v>4</v>
      </c>
      <c r="E2" s="3" t="s">
        <v>5</v>
      </c>
      <c r="F2" s="3" t="s">
        <v>4</v>
      </c>
      <c r="G2" s="3" t="s">
        <v>5</v>
      </c>
    </row>
    <row r="3" spans="1:7" ht="16.5" customHeight="1">
      <c r="A3" s="4" t="s">
        <v>6</v>
      </c>
      <c r="B3" s="5"/>
      <c r="C3" s="6"/>
      <c r="D3" s="5"/>
      <c r="E3" s="4"/>
      <c r="F3" s="7"/>
      <c r="G3" s="8"/>
    </row>
    <row r="4" spans="1:7" ht="16.5" customHeight="1">
      <c r="A4" s="4" t="s">
        <v>16</v>
      </c>
      <c r="B4" s="9"/>
      <c r="C4" s="6"/>
      <c r="D4" s="9"/>
      <c r="E4" s="4"/>
      <c r="F4" s="7"/>
      <c r="G4" s="8"/>
    </row>
    <row r="5" spans="1:7" ht="16.5" customHeight="1">
      <c r="A5" s="4" t="s">
        <v>17</v>
      </c>
      <c r="B5" s="5"/>
      <c r="C5" s="6"/>
      <c r="D5" s="9"/>
      <c r="E5" s="10"/>
      <c r="F5" s="7"/>
      <c r="G5" s="11"/>
    </row>
    <row r="6" spans="1:7" ht="16.5" customHeight="1">
      <c r="A6" s="4" t="s">
        <v>18</v>
      </c>
      <c r="B6" s="5"/>
      <c r="C6" s="6"/>
      <c r="D6" s="5"/>
      <c r="E6" s="6"/>
      <c r="F6" s="7"/>
      <c r="G6" s="8"/>
    </row>
    <row r="7" spans="1:7" ht="16.5" customHeight="1">
      <c r="A7" s="4" t="s">
        <v>19</v>
      </c>
      <c r="B7" s="9"/>
      <c r="C7" s="6"/>
      <c r="D7" s="9"/>
      <c r="E7" s="4"/>
      <c r="F7" s="9"/>
      <c r="G7" s="8"/>
    </row>
    <row r="8" spans="1:7" ht="16.5" customHeight="1">
      <c r="A8" s="4" t="s">
        <v>20</v>
      </c>
      <c r="B8" s="5"/>
      <c r="C8" s="4"/>
      <c r="D8" s="9"/>
      <c r="E8" s="4"/>
      <c r="F8" s="7"/>
      <c r="G8" s="6"/>
    </row>
    <row r="9" spans="1:7" ht="16.5" customHeight="1">
      <c r="A9" s="4" t="s">
        <v>21</v>
      </c>
      <c r="B9" s="5"/>
      <c r="C9" s="6"/>
      <c r="D9" s="5"/>
      <c r="E9" s="6"/>
      <c r="F9" s="7"/>
      <c r="G9" s="8"/>
    </row>
    <row r="10" spans="1:7" ht="16.5" customHeight="1">
      <c r="A10" s="4" t="s">
        <v>22</v>
      </c>
      <c r="B10" s="5"/>
      <c r="C10" s="6"/>
      <c r="D10" s="5"/>
      <c r="E10" s="6"/>
      <c r="F10" s="5"/>
      <c r="G10" s="6"/>
    </row>
    <row r="11" spans="1:7" ht="16.5" customHeight="1">
      <c r="A11" s="4" t="s">
        <v>23</v>
      </c>
      <c r="B11" s="9"/>
      <c r="C11" s="6"/>
      <c r="D11" s="9"/>
      <c r="E11" s="4"/>
      <c r="F11" s="9"/>
      <c r="G11" s="6"/>
    </row>
    <row r="12" spans="1:7" ht="16.5" customHeight="1">
      <c r="A12" s="4" t="s">
        <v>24</v>
      </c>
      <c r="B12" s="5"/>
      <c r="C12" s="6"/>
      <c r="D12" s="5"/>
      <c r="E12" s="6"/>
      <c r="F12" s="9"/>
      <c r="G12" s="6"/>
    </row>
    <row r="13" spans="1:7">
      <c r="A13" s="1"/>
      <c r="B13" s="1"/>
      <c r="C13" s="1"/>
      <c r="D13" s="1"/>
      <c r="E13" s="1"/>
      <c r="F13" s="1"/>
      <c r="G13" s="1"/>
    </row>
    <row r="14" spans="1:7" ht="36" customHeight="1">
      <c r="A14" s="2" t="s">
        <v>25</v>
      </c>
      <c r="B14" s="38" t="s">
        <v>47</v>
      </c>
      <c r="C14" s="39"/>
      <c r="D14" s="38" t="s">
        <v>27</v>
      </c>
      <c r="E14" s="39"/>
      <c r="F14" s="1"/>
      <c r="G14" s="1"/>
    </row>
    <row r="15" spans="1:7">
      <c r="A15" s="19"/>
      <c r="B15" s="20" t="s">
        <v>4</v>
      </c>
      <c r="C15" s="20" t="s">
        <v>5</v>
      </c>
      <c r="D15" s="20" t="s">
        <v>4</v>
      </c>
      <c r="E15" s="20" t="s">
        <v>5</v>
      </c>
      <c r="F15" s="1"/>
      <c r="G15" s="1"/>
    </row>
    <row r="16" spans="1:7" ht="16.5" customHeight="1">
      <c r="A16" s="4" t="s">
        <v>6</v>
      </c>
      <c r="B16" s="5"/>
      <c r="C16" s="6"/>
      <c r="D16" s="5"/>
      <c r="E16" s="6"/>
      <c r="F16" s="1"/>
      <c r="G16" s="1"/>
    </row>
    <row r="17" spans="1:7" ht="16.5" customHeight="1">
      <c r="A17" s="4" t="s">
        <v>16</v>
      </c>
      <c r="B17" s="5"/>
      <c r="C17" s="6"/>
      <c r="D17" s="5"/>
      <c r="E17" s="6"/>
      <c r="F17" s="1"/>
      <c r="G17" s="1"/>
    </row>
    <row r="18" spans="1:7" ht="16.5" customHeight="1">
      <c r="A18" s="4" t="s">
        <v>17</v>
      </c>
      <c r="B18" s="5"/>
      <c r="C18" s="6"/>
      <c r="D18" s="5"/>
      <c r="E18" s="4"/>
      <c r="F18" s="1"/>
      <c r="G18" s="1"/>
    </row>
    <row r="19" spans="1:7" ht="16.5" customHeight="1">
      <c r="A19" s="4" t="s">
        <v>18</v>
      </c>
      <c r="B19" s="9"/>
      <c r="C19" s="6"/>
      <c r="D19" s="5"/>
      <c r="E19" s="6"/>
      <c r="F19" s="1"/>
      <c r="G19" s="1"/>
    </row>
    <row r="20" spans="1:7" ht="16.5" customHeight="1">
      <c r="A20" s="4" t="s">
        <v>19</v>
      </c>
      <c r="B20" s="5"/>
      <c r="C20" s="12"/>
      <c r="D20" s="5"/>
      <c r="E20" s="12"/>
      <c r="F20" s="1"/>
      <c r="G20" s="1"/>
    </row>
    <row r="21" spans="1:7" ht="16.5" customHeight="1">
      <c r="A21" s="4" t="s">
        <v>20</v>
      </c>
      <c r="B21" s="9"/>
      <c r="C21" s="4"/>
      <c r="D21" s="9"/>
      <c r="E21" s="4"/>
      <c r="F21" s="1"/>
      <c r="G21" s="1"/>
    </row>
    <row r="22" spans="1:7" ht="16.5" customHeight="1">
      <c r="A22" s="4" t="s">
        <v>21</v>
      </c>
      <c r="B22" s="5"/>
      <c r="C22" s="6"/>
      <c r="D22" s="5"/>
      <c r="E22" s="4"/>
      <c r="F22" s="1"/>
      <c r="G22" s="1"/>
    </row>
    <row r="23" spans="1:7" ht="16.5" customHeight="1">
      <c r="A23" s="4" t="s">
        <v>22</v>
      </c>
      <c r="B23" s="5"/>
      <c r="C23" s="6"/>
      <c r="D23" s="5"/>
      <c r="E23" s="6"/>
      <c r="F23" s="1"/>
      <c r="G23" s="1"/>
    </row>
    <row r="24" spans="1:7" ht="16.5" customHeight="1">
      <c r="A24" s="4" t="s">
        <v>23</v>
      </c>
      <c r="B24" s="5"/>
      <c r="C24" s="6"/>
      <c r="D24" s="5"/>
      <c r="E24" s="6"/>
      <c r="F24" s="1"/>
      <c r="G24" s="1"/>
    </row>
    <row r="25" spans="1:7" ht="16.5" customHeight="1">
      <c r="A25" s="4" t="s">
        <v>24</v>
      </c>
      <c r="B25" s="5"/>
      <c r="C25" s="6"/>
      <c r="D25" s="5"/>
      <c r="E25" s="6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2" t="s">
        <v>28</v>
      </c>
      <c r="B27" s="38" t="s">
        <v>29</v>
      </c>
      <c r="C27" s="39"/>
      <c r="D27" s="38" t="s">
        <v>30</v>
      </c>
      <c r="E27" s="39"/>
      <c r="F27" s="1"/>
      <c r="G27" s="1"/>
    </row>
    <row r="28" spans="1:7">
      <c r="A28" s="22"/>
      <c r="B28" s="3" t="s">
        <v>4</v>
      </c>
      <c r="C28" s="3" t="s">
        <v>5</v>
      </c>
      <c r="D28" s="3" t="s">
        <v>4</v>
      </c>
      <c r="E28" s="3" t="s">
        <v>5</v>
      </c>
      <c r="F28" s="1"/>
      <c r="G28" s="1"/>
    </row>
    <row r="29" spans="1:7" ht="16.5" customHeight="1">
      <c r="A29" s="4" t="s">
        <v>6</v>
      </c>
      <c r="B29" s="3"/>
      <c r="C29" s="4"/>
      <c r="D29" s="9"/>
      <c r="E29" s="4"/>
      <c r="F29" s="1"/>
      <c r="G29" s="1"/>
    </row>
    <row r="30" spans="1:7" ht="16.5" customHeight="1">
      <c r="A30" s="4" t="s">
        <v>16</v>
      </c>
      <c r="B30" s="3"/>
      <c r="C30" s="4"/>
      <c r="D30" s="9"/>
      <c r="E30" s="4"/>
      <c r="F30" s="1"/>
      <c r="G30" s="1"/>
    </row>
    <row r="31" spans="1:7" ht="16.5" customHeight="1">
      <c r="A31" s="4" t="s">
        <v>17</v>
      </c>
      <c r="B31" s="3"/>
      <c r="C31" s="6"/>
      <c r="D31" s="9"/>
      <c r="E31" s="6"/>
      <c r="F31" s="1"/>
      <c r="G31" s="1"/>
    </row>
    <row r="32" spans="1:7" ht="16.5" customHeight="1">
      <c r="A32" s="4" t="s">
        <v>18</v>
      </c>
      <c r="B32" s="3"/>
      <c r="C32" s="6"/>
      <c r="D32" s="9"/>
      <c r="E32" s="6"/>
      <c r="F32" s="1"/>
      <c r="G32" s="1"/>
    </row>
    <row r="33" spans="1:9" ht="16.5" customHeight="1">
      <c r="A33" s="4" t="s">
        <v>19</v>
      </c>
      <c r="B33" s="9"/>
      <c r="C33" s="4"/>
      <c r="D33" s="9"/>
      <c r="E33" s="4"/>
      <c r="F33" s="1"/>
      <c r="G33" s="1"/>
    </row>
    <row r="34" spans="1:9" ht="16.5" customHeight="1">
      <c r="A34" s="4" t="s">
        <v>20</v>
      </c>
      <c r="B34" s="3"/>
      <c r="C34" s="4"/>
      <c r="D34" s="9"/>
      <c r="E34" s="4"/>
      <c r="F34" s="1"/>
      <c r="G34" s="1"/>
    </row>
    <row r="35" spans="1:9" ht="16.5" customHeight="1">
      <c r="A35" s="4" t="s">
        <v>21</v>
      </c>
      <c r="B35" s="3"/>
      <c r="C35" s="6"/>
      <c r="D35" s="3"/>
      <c r="E35" s="6"/>
      <c r="F35" s="1"/>
      <c r="G35" s="1"/>
    </row>
    <row r="36" spans="1:9" ht="16.5" customHeight="1">
      <c r="A36" s="4" t="s">
        <v>22</v>
      </c>
      <c r="B36" s="3"/>
      <c r="C36" s="4"/>
      <c r="D36" s="9"/>
      <c r="E36" s="4"/>
      <c r="F36" s="1"/>
      <c r="G36" s="1"/>
    </row>
    <row r="37" spans="1:9">
      <c r="A37" s="4" t="s">
        <v>23</v>
      </c>
      <c r="B37" s="3"/>
      <c r="C37" s="4"/>
      <c r="D37" s="3"/>
      <c r="E37" s="4"/>
      <c r="F37" s="1"/>
      <c r="G37" s="1"/>
    </row>
    <row r="38" spans="1:9" ht="16.5" customHeight="1">
      <c r="A38" s="4" t="s">
        <v>24</v>
      </c>
      <c r="B38" s="9"/>
      <c r="C38" s="4"/>
      <c r="D38" s="3"/>
      <c r="E38" s="4"/>
      <c r="F38" s="1"/>
      <c r="G38" s="1"/>
    </row>
    <row r="39" spans="1:9">
      <c r="A39" s="1"/>
      <c r="B39" s="1"/>
      <c r="C39" s="1"/>
      <c r="D39" s="1"/>
      <c r="E39" s="1"/>
      <c r="F39" s="1"/>
      <c r="G39" s="1"/>
    </row>
    <row r="40" spans="1:9">
      <c r="A40" s="2" t="s">
        <v>31</v>
      </c>
      <c r="B40" s="38" t="s">
        <v>32</v>
      </c>
      <c r="C40" s="39"/>
      <c r="D40" s="38" t="s">
        <v>33</v>
      </c>
      <c r="E40" s="39"/>
      <c r="F40" s="1"/>
      <c r="G40" s="1"/>
    </row>
    <row r="41" spans="1:9" ht="16.5" customHeight="1">
      <c r="A41" s="22"/>
      <c r="B41" s="3" t="s">
        <v>4</v>
      </c>
      <c r="C41" s="3" t="s">
        <v>5</v>
      </c>
      <c r="D41" s="3" t="s">
        <v>4</v>
      </c>
      <c r="E41" s="3" t="s">
        <v>5</v>
      </c>
      <c r="F41" s="1"/>
      <c r="G41" s="1"/>
      <c r="H41" s="36"/>
      <c r="I41" s="36"/>
    </row>
    <row r="42" spans="1:9" ht="16.5" customHeight="1">
      <c r="A42" s="4" t="s">
        <v>6</v>
      </c>
      <c r="B42" s="5"/>
      <c r="C42" s="6"/>
      <c r="D42" s="9"/>
      <c r="E42" s="6"/>
      <c r="F42" s="1"/>
      <c r="G42" s="1"/>
    </row>
    <row r="43" spans="1:9" ht="16.5" customHeight="1">
      <c r="A43" s="4" t="s">
        <v>16</v>
      </c>
      <c r="B43" s="5"/>
      <c r="C43" s="6"/>
      <c r="D43" s="9"/>
      <c r="E43" s="4"/>
      <c r="F43" s="1"/>
      <c r="G43" s="1"/>
      <c r="H43" s="14"/>
    </row>
    <row r="44" spans="1:9" ht="16.5" customHeight="1">
      <c r="A44" s="4" t="s">
        <v>17</v>
      </c>
      <c r="B44" s="9"/>
      <c r="C44" s="6"/>
      <c r="D44" s="5"/>
      <c r="E44" s="4"/>
      <c r="F44" s="1"/>
      <c r="G44" s="1"/>
      <c r="H44" s="14"/>
    </row>
    <row r="45" spans="1:9" ht="16.5" customHeight="1">
      <c r="A45" s="4" t="s">
        <v>18</v>
      </c>
      <c r="B45" s="5"/>
      <c r="C45" s="6"/>
      <c r="D45" s="5"/>
      <c r="E45" s="6"/>
      <c r="F45" s="1"/>
      <c r="G45" s="1"/>
      <c r="H45" s="14"/>
    </row>
    <row r="46" spans="1:9" ht="16.5" customHeight="1">
      <c r="A46" s="4" t="s">
        <v>19</v>
      </c>
      <c r="B46" s="9"/>
      <c r="C46" s="12"/>
      <c r="D46" s="9"/>
      <c r="E46" s="6"/>
      <c r="F46" s="1"/>
      <c r="G46" s="1"/>
      <c r="H46" s="14"/>
    </row>
    <row r="47" spans="1:9" ht="16.5" customHeight="1">
      <c r="A47" s="4" t="s">
        <v>20</v>
      </c>
      <c r="B47" s="5"/>
      <c r="C47" s="6"/>
      <c r="D47" s="5"/>
      <c r="E47" s="12"/>
      <c r="F47" s="1"/>
      <c r="G47" s="1"/>
      <c r="H47" s="14"/>
    </row>
    <row r="48" spans="1:9" ht="16.5" customHeight="1">
      <c r="A48" s="4" t="s">
        <v>21</v>
      </c>
      <c r="B48" s="5"/>
      <c r="C48" s="6"/>
      <c r="D48" s="5"/>
      <c r="E48" s="6"/>
      <c r="F48" s="1"/>
      <c r="G48" s="1"/>
      <c r="H48" s="14"/>
    </row>
    <row r="49" spans="1:9" ht="16.5" customHeight="1">
      <c r="A49" s="4" t="s">
        <v>22</v>
      </c>
      <c r="B49" s="9"/>
      <c r="C49" s="6"/>
      <c r="D49" s="5"/>
      <c r="E49" s="6"/>
      <c r="F49" s="1"/>
      <c r="G49" s="1"/>
      <c r="H49" s="14"/>
    </row>
    <row r="50" spans="1:9" ht="16.5" customHeight="1">
      <c r="A50" s="4" t="s">
        <v>23</v>
      </c>
      <c r="B50" s="5"/>
      <c r="C50" s="6"/>
      <c r="D50" s="9"/>
      <c r="E50" s="6"/>
      <c r="F50" s="1"/>
      <c r="G50" s="1"/>
      <c r="H50" s="15"/>
      <c r="I50" s="15"/>
    </row>
    <row r="51" spans="1:9" ht="16.5" customHeight="1">
      <c r="A51" s="4" t="s">
        <v>24</v>
      </c>
      <c r="B51" s="9"/>
      <c r="C51" s="6"/>
      <c r="D51" s="9"/>
      <c r="E51" s="6"/>
      <c r="F51" s="1"/>
      <c r="G51" s="16"/>
      <c r="H51" s="36"/>
      <c r="I51" s="36"/>
    </row>
    <row r="52" spans="1:9">
      <c r="A52" s="1"/>
      <c r="B52" s="1"/>
      <c r="C52" s="1"/>
      <c r="D52" s="1"/>
      <c r="E52" s="1"/>
      <c r="F52" s="1"/>
      <c r="G52" s="1"/>
    </row>
    <row r="53" spans="1:9">
      <c r="A53" s="2" t="s">
        <v>34</v>
      </c>
      <c r="B53" s="38" t="s">
        <v>35</v>
      </c>
      <c r="C53" s="39"/>
      <c r="D53" s="38" t="s">
        <v>36</v>
      </c>
      <c r="E53" s="39"/>
      <c r="F53" s="1"/>
      <c r="G53" s="1"/>
      <c r="H53" s="14"/>
    </row>
    <row r="54" spans="1:9">
      <c r="A54" s="22"/>
      <c r="B54" s="3" t="s">
        <v>4</v>
      </c>
      <c r="C54" s="3" t="s">
        <v>5</v>
      </c>
      <c r="D54" s="3" t="s">
        <v>4</v>
      </c>
      <c r="E54" s="3" t="s">
        <v>5</v>
      </c>
      <c r="F54" s="1"/>
      <c r="G54" s="16"/>
      <c r="H54" s="14"/>
    </row>
    <row r="55" spans="1:9" ht="16.5" customHeight="1">
      <c r="A55" s="4" t="s">
        <v>6</v>
      </c>
      <c r="B55" s="3"/>
      <c r="C55" s="4"/>
      <c r="D55" s="9"/>
      <c r="E55" s="4"/>
      <c r="F55" s="1"/>
      <c r="G55" s="16"/>
      <c r="H55" s="14"/>
    </row>
    <row r="56" spans="1:9">
      <c r="A56" s="4" t="s">
        <v>16</v>
      </c>
      <c r="B56" s="3"/>
      <c r="C56" s="10"/>
      <c r="D56" s="3"/>
      <c r="E56" s="4"/>
      <c r="F56" s="1"/>
      <c r="G56" s="16"/>
      <c r="H56" s="14"/>
    </row>
    <row r="57" spans="1:9" ht="16.5" customHeight="1">
      <c r="A57" s="4" t="s">
        <v>17</v>
      </c>
      <c r="B57" s="3"/>
      <c r="C57" s="6"/>
      <c r="D57" s="3"/>
      <c r="E57" s="4"/>
      <c r="F57" s="1"/>
      <c r="G57" s="16"/>
      <c r="H57" s="14"/>
    </row>
    <row r="58" spans="1:9" ht="16.5" customHeight="1">
      <c r="A58" s="4" t="s">
        <v>18</v>
      </c>
      <c r="B58" s="9"/>
      <c r="C58" s="6"/>
      <c r="D58" s="3"/>
      <c r="E58" s="6"/>
      <c r="F58" s="1"/>
      <c r="G58" s="16"/>
      <c r="H58" s="14"/>
    </row>
    <row r="59" spans="1:9" ht="16.5" customHeight="1">
      <c r="A59" s="4" t="s">
        <v>19</v>
      </c>
      <c r="B59" s="3"/>
      <c r="C59" s="4"/>
      <c r="D59" s="9"/>
      <c r="E59" s="4"/>
      <c r="F59" s="1"/>
      <c r="G59" s="16"/>
      <c r="H59" s="14"/>
    </row>
    <row r="60" spans="1:9" ht="16.5" customHeight="1">
      <c r="A60" s="4" t="s">
        <v>20</v>
      </c>
      <c r="B60" s="3"/>
      <c r="C60" s="4"/>
      <c r="D60" s="9"/>
      <c r="E60" s="4"/>
      <c r="F60" s="1"/>
      <c r="G60" s="16"/>
      <c r="H60" s="15"/>
      <c r="I60" s="15"/>
    </row>
    <row r="61" spans="1:9" ht="16.5" customHeight="1">
      <c r="A61" s="4" t="s">
        <v>21</v>
      </c>
      <c r="B61" s="3"/>
      <c r="C61" s="6"/>
      <c r="D61" s="3"/>
      <c r="E61" s="4"/>
      <c r="F61" s="1"/>
      <c r="G61" s="16"/>
      <c r="H61" s="36"/>
      <c r="I61" s="36"/>
    </row>
    <row r="62" spans="1:9">
      <c r="A62" s="4" t="s">
        <v>22</v>
      </c>
      <c r="B62" s="3"/>
      <c r="C62" s="4"/>
      <c r="D62" s="3"/>
      <c r="E62" s="4"/>
      <c r="F62" s="1"/>
      <c r="G62" s="16"/>
    </row>
    <row r="63" spans="1:9" ht="16.5" customHeight="1">
      <c r="A63" s="4" t="s">
        <v>23</v>
      </c>
      <c r="B63" s="9"/>
      <c r="C63" s="4"/>
      <c r="D63" s="3"/>
      <c r="E63" s="4"/>
      <c r="F63" s="1"/>
      <c r="G63" s="1"/>
      <c r="H63" s="14"/>
    </row>
    <row r="64" spans="1:9">
      <c r="A64" s="4" t="s">
        <v>24</v>
      </c>
      <c r="B64" s="3"/>
      <c r="C64" s="4"/>
      <c r="D64" s="3"/>
      <c r="E64" s="4"/>
      <c r="F64" s="1"/>
      <c r="G64" s="1"/>
      <c r="H64" s="14"/>
    </row>
    <row r="65" spans="1:8">
      <c r="A65" s="1"/>
      <c r="B65" s="1"/>
      <c r="C65" s="1"/>
      <c r="D65" s="1"/>
      <c r="E65" s="1"/>
      <c r="F65" s="1"/>
      <c r="G65" s="16"/>
      <c r="H65" s="14"/>
    </row>
    <row r="66" spans="1:8">
      <c r="A66" s="2" t="s">
        <v>34</v>
      </c>
      <c r="B66" s="38" t="s">
        <v>37</v>
      </c>
      <c r="C66" s="39"/>
      <c r="D66" s="38" t="s">
        <v>38</v>
      </c>
      <c r="E66" s="39"/>
      <c r="F66" s="40" t="s">
        <v>39</v>
      </c>
      <c r="G66" s="41"/>
      <c r="H66" s="14"/>
    </row>
    <row r="67" spans="1:8">
      <c r="A67" s="22"/>
      <c r="B67" s="3" t="s">
        <v>4</v>
      </c>
      <c r="C67" s="3" t="s">
        <v>5</v>
      </c>
      <c r="D67" s="3" t="s">
        <v>4</v>
      </c>
      <c r="E67" s="3" t="s">
        <v>5</v>
      </c>
      <c r="F67" s="17" t="s">
        <v>4</v>
      </c>
      <c r="G67" s="17" t="s">
        <v>5</v>
      </c>
      <c r="H67" s="14"/>
    </row>
    <row r="68" spans="1:8">
      <c r="A68" s="4" t="s">
        <v>6</v>
      </c>
      <c r="B68" s="3"/>
      <c r="C68" s="4"/>
      <c r="D68" s="3"/>
      <c r="E68" s="4"/>
      <c r="F68" s="18"/>
      <c r="G68" s="11"/>
      <c r="H68" s="14"/>
    </row>
    <row r="69" spans="1:8" ht="16.5" customHeight="1">
      <c r="A69" s="4" t="s">
        <v>16</v>
      </c>
      <c r="B69" s="3"/>
      <c r="C69" s="4"/>
      <c r="D69" s="9"/>
      <c r="E69" s="10"/>
      <c r="F69" s="18"/>
      <c r="G69" s="11"/>
      <c r="H69" s="14"/>
    </row>
    <row r="70" spans="1:8" ht="16.5" customHeight="1">
      <c r="A70" s="4" t="s">
        <v>17</v>
      </c>
      <c r="B70" s="9"/>
      <c r="C70" s="6"/>
      <c r="D70" s="9"/>
      <c r="E70" s="4"/>
      <c r="F70" s="18"/>
      <c r="G70" s="11"/>
    </row>
    <row r="71" spans="1:8" ht="16.5" customHeight="1">
      <c r="A71" s="4" t="s">
        <v>18</v>
      </c>
      <c r="B71" s="3"/>
      <c r="C71" s="6"/>
      <c r="D71" s="3"/>
      <c r="E71" s="6"/>
      <c r="F71" s="17"/>
      <c r="G71" s="8"/>
    </row>
    <row r="72" spans="1:8" ht="16.5" customHeight="1">
      <c r="A72" s="4" t="s">
        <v>19</v>
      </c>
      <c r="B72" s="9"/>
      <c r="C72" s="4"/>
      <c r="D72" s="9"/>
      <c r="E72" s="4"/>
      <c r="F72" s="18"/>
      <c r="G72" s="4"/>
    </row>
    <row r="73" spans="1:8">
      <c r="A73" s="4" t="s">
        <v>20</v>
      </c>
      <c r="B73" s="3"/>
      <c r="C73" s="4"/>
      <c r="D73" s="3"/>
      <c r="E73" s="4"/>
      <c r="F73" s="3"/>
      <c r="G73" s="4"/>
    </row>
    <row r="74" spans="1:8" ht="16.5" customHeight="1">
      <c r="A74" s="4" t="s">
        <v>21</v>
      </c>
      <c r="B74" s="9"/>
      <c r="C74" s="6"/>
      <c r="D74" s="3"/>
      <c r="E74" s="6"/>
      <c r="F74" s="3"/>
      <c r="G74" s="6"/>
    </row>
    <row r="75" spans="1:8" ht="16.5" customHeight="1">
      <c r="A75" s="4" t="s">
        <v>22</v>
      </c>
      <c r="B75" s="9"/>
      <c r="C75" s="4"/>
      <c r="D75" s="9"/>
      <c r="E75" s="4"/>
      <c r="F75" s="17"/>
      <c r="G75" s="8"/>
    </row>
    <row r="76" spans="1:8" ht="16.5" customHeight="1">
      <c r="A76" s="4" t="s">
        <v>23</v>
      </c>
      <c r="B76" s="9"/>
      <c r="C76" s="4"/>
      <c r="D76" s="9"/>
      <c r="E76" s="4"/>
      <c r="F76" s="9"/>
      <c r="G76" s="8"/>
    </row>
    <row r="77" spans="1:8" ht="16.5" customHeight="1">
      <c r="A77" s="4" t="s">
        <v>24</v>
      </c>
      <c r="B77" s="9"/>
      <c r="C77" s="4"/>
      <c r="D77" s="9"/>
      <c r="E77" s="4"/>
      <c r="F77" s="9"/>
      <c r="G77" s="11"/>
    </row>
    <row r="78" spans="1:8">
      <c r="A78" s="1"/>
      <c r="B78" s="1"/>
      <c r="C78" s="1"/>
      <c r="D78" s="1"/>
      <c r="E78" s="1"/>
      <c r="F78" s="16"/>
      <c r="G78" s="16"/>
    </row>
    <row r="79" spans="1:8">
      <c r="A79" s="31" t="s">
        <v>40</v>
      </c>
      <c r="B79" s="38" t="s">
        <v>41</v>
      </c>
      <c r="C79" s="39"/>
      <c r="D79" s="38" t="s">
        <v>42</v>
      </c>
      <c r="E79" s="39"/>
      <c r="F79" s="40" t="s">
        <v>43</v>
      </c>
      <c r="G79" s="41"/>
    </row>
    <row r="80" spans="1:8">
      <c r="A80" s="37"/>
      <c r="B80" s="3" t="s">
        <v>4</v>
      </c>
      <c r="C80" s="3" t="s">
        <v>5</v>
      </c>
      <c r="D80" s="3" t="s">
        <v>4</v>
      </c>
      <c r="E80" s="3" t="s">
        <v>5</v>
      </c>
      <c r="F80" s="17" t="s">
        <v>4</v>
      </c>
      <c r="G80" s="17" t="s">
        <v>5</v>
      </c>
    </row>
    <row r="81" spans="1:7">
      <c r="A81" s="4" t="s">
        <v>6</v>
      </c>
      <c r="B81" s="3"/>
      <c r="C81" s="4"/>
      <c r="D81" s="3"/>
      <c r="E81" s="4"/>
      <c r="F81" s="17"/>
      <c r="G81" s="11"/>
    </row>
    <row r="82" spans="1:7" ht="16.5" customHeight="1">
      <c r="A82" s="4" t="s">
        <v>16</v>
      </c>
      <c r="B82" s="3"/>
      <c r="C82" s="6"/>
      <c r="D82" s="3"/>
      <c r="E82" s="10"/>
      <c r="F82" s="9"/>
      <c r="G82" s="4"/>
    </row>
    <row r="83" spans="1:7" ht="16.5" customHeight="1">
      <c r="A83" s="4" t="s">
        <v>17</v>
      </c>
      <c r="B83" s="9"/>
      <c r="C83" s="4"/>
      <c r="D83" s="9"/>
      <c r="E83" s="6"/>
      <c r="F83" s="18"/>
      <c r="G83" s="4"/>
    </row>
    <row r="84" spans="1:7" ht="16.5" customHeight="1">
      <c r="A84" s="4" t="s">
        <v>18</v>
      </c>
      <c r="B84" s="3"/>
      <c r="C84" s="6"/>
      <c r="D84" s="3"/>
      <c r="E84" s="6"/>
      <c r="F84" s="3"/>
      <c r="G84" s="6"/>
    </row>
    <row r="85" spans="1:7" ht="16.5" customHeight="1">
      <c r="A85" s="4" t="s">
        <v>19</v>
      </c>
      <c r="B85" s="9"/>
      <c r="C85" s="4"/>
      <c r="D85" s="9"/>
      <c r="E85" s="4"/>
      <c r="F85" s="18"/>
      <c r="G85" s="4"/>
    </row>
    <row r="86" spans="1:7" ht="16.5" customHeight="1">
      <c r="A86" s="4" t="s">
        <v>20</v>
      </c>
      <c r="B86" s="3"/>
      <c r="C86" s="4"/>
      <c r="D86" s="9"/>
      <c r="E86" s="4"/>
      <c r="F86" s="3"/>
      <c r="G86" s="4"/>
    </row>
    <row r="87" spans="1:7" ht="16.5" customHeight="1">
      <c r="A87" s="4" t="s">
        <v>21</v>
      </c>
      <c r="B87" s="3"/>
      <c r="C87" s="6"/>
      <c r="D87" s="3"/>
      <c r="E87" s="6"/>
      <c r="F87" s="3"/>
      <c r="G87" s="6"/>
    </row>
    <row r="88" spans="1:7" ht="16.5" customHeight="1">
      <c r="A88" s="4" t="s">
        <v>22</v>
      </c>
      <c r="B88" s="9"/>
      <c r="C88" s="4"/>
      <c r="D88" s="3"/>
      <c r="E88" s="4"/>
      <c r="F88" s="3"/>
      <c r="G88" s="4"/>
    </row>
    <row r="89" spans="1:7">
      <c r="A89" s="4" t="s">
        <v>23</v>
      </c>
      <c r="B89" s="3"/>
      <c r="C89" s="4"/>
      <c r="D89" s="3"/>
      <c r="E89" s="4"/>
      <c r="F89" s="3"/>
      <c r="G89" s="4"/>
    </row>
    <row r="90" spans="1:7" ht="16.5" customHeight="1">
      <c r="A90" s="4" t="s">
        <v>24</v>
      </c>
      <c r="B90" s="9"/>
      <c r="C90" s="4"/>
      <c r="D90" s="9"/>
      <c r="E90" s="4"/>
      <c r="F90" s="3"/>
      <c r="G90" s="4"/>
    </row>
    <row r="91" spans="1:7">
      <c r="A91" s="1"/>
      <c r="B91" s="1"/>
      <c r="C91" s="1"/>
      <c r="D91" s="1"/>
      <c r="E91" s="1"/>
      <c r="F91" s="1"/>
      <c r="G91" s="1"/>
    </row>
    <row r="92" spans="1:7">
      <c r="A92" s="31" t="s">
        <v>40</v>
      </c>
      <c r="B92" s="38" t="s">
        <v>44</v>
      </c>
      <c r="C92" s="39"/>
      <c r="D92" s="38" t="s">
        <v>45</v>
      </c>
      <c r="E92" s="39"/>
      <c r="F92" s="42"/>
      <c r="G92" s="43"/>
    </row>
    <row r="93" spans="1:7">
      <c r="A93" s="37"/>
      <c r="B93" s="3" t="s">
        <v>4</v>
      </c>
      <c r="C93" s="3" t="s">
        <v>5</v>
      </c>
      <c r="D93" s="3" t="s">
        <v>4</v>
      </c>
      <c r="E93" s="3" t="s">
        <v>5</v>
      </c>
      <c r="F93" s="1"/>
      <c r="G93" s="1"/>
    </row>
    <row r="94" spans="1:7" ht="16.5" customHeight="1">
      <c r="A94" s="4" t="s">
        <v>6</v>
      </c>
      <c r="B94" s="3"/>
      <c r="C94" s="4"/>
      <c r="D94" s="9"/>
      <c r="E94" s="4"/>
      <c r="F94" s="1"/>
      <c r="G94" s="1"/>
    </row>
    <row r="95" spans="1:7" ht="16.5" customHeight="1">
      <c r="A95" s="4" t="s">
        <v>16</v>
      </c>
      <c r="B95" s="9"/>
      <c r="C95" s="4"/>
      <c r="D95" s="18"/>
      <c r="E95" s="4"/>
      <c r="F95" s="1"/>
      <c r="G95" s="1"/>
    </row>
    <row r="96" spans="1:7" ht="16.5" customHeight="1">
      <c r="A96" s="4" t="s">
        <v>17</v>
      </c>
      <c r="B96" s="9"/>
      <c r="C96" s="4"/>
      <c r="D96" s="18"/>
      <c r="E96" s="6"/>
      <c r="F96" s="1"/>
      <c r="G96" s="1"/>
    </row>
    <row r="97" spans="1:7" ht="16.5" customHeight="1">
      <c r="A97" s="4" t="s">
        <v>18</v>
      </c>
      <c r="B97" s="3"/>
      <c r="C97" s="6"/>
      <c r="D97" s="3"/>
      <c r="E97" s="6"/>
      <c r="F97" s="1"/>
      <c r="G97" s="1"/>
    </row>
    <row r="98" spans="1:7" ht="16.5" customHeight="1">
      <c r="A98" s="4" t="s">
        <v>19</v>
      </c>
      <c r="B98" s="3"/>
      <c r="C98" s="4"/>
      <c r="D98" s="9"/>
      <c r="E98" s="4"/>
      <c r="F98" s="1"/>
      <c r="G98" s="1"/>
    </row>
    <row r="99" spans="1:7">
      <c r="A99" s="4" t="s">
        <v>20</v>
      </c>
      <c r="B99" s="3"/>
      <c r="C99" s="4"/>
      <c r="D99" s="3"/>
      <c r="E99" s="4"/>
      <c r="F99" s="1"/>
      <c r="G99" s="1"/>
    </row>
    <row r="100" spans="1:7" ht="16.5" customHeight="1">
      <c r="A100" s="4" t="s">
        <v>21</v>
      </c>
      <c r="B100" s="3"/>
      <c r="C100" s="6"/>
      <c r="D100" s="3"/>
      <c r="E100" s="4"/>
      <c r="F100" s="1"/>
      <c r="G100" s="1"/>
    </row>
    <row r="101" spans="1:7" ht="16.5" customHeight="1">
      <c r="A101" s="4" t="s">
        <v>22</v>
      </c>
      <c r="B101" s="3"/>
      <c r="C101" s="4"/>
      <c r="D101" s="9"/>
      <c r="E101" s="4"/>
      <c r="F101" s="1"/>
      <c r="G101" s="1"/>
    </row>
    <row r="102" spans="1:7">
      <c r="A102" s="4" t="s">
        <v>23</v>
      </c>
      <c r="B102" s="3"/>
      <c r="C102" s="4"/>
      <c r="D102" s="3"/>
      <c r="E102" s="4"/>
      <c r="F102" s="1"/>
      <c r="G102" s="1"/>
    </row>
    <row r="103" spans="1:7" ht="16.5" customHeight="1">
      <c r="A103" s="4" t="s">
        <v>24</v>
      </c>
      <c r="B103" s="3"/>
      <c r="C103" s="4"/>
      <c r="D103" s="9"/>
      <c r="E103" s="4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31" t="s">
        <v>48</v>
      </c>
      <c r="B105" s="38" t="s">
        <v>49</v>
      </c>
      <c r="C105" s="39"/>
      <c r="D105" s="38" t="s">
        <v>50</v>
      </c>
      <c r="E105" s="39"/>
      <c r="F105" s="38" t="s">
        <v>46</v>
      </c>
      <c r="G105" s="39"/>
    </row>
    <row r="106" spans="1:7">
      <c r="A106" s="37"/>
      <c r="B106" s="3" t="s">
        <v>4</v>
      </c>
      <c r="C106" s="3" t="s">
        <v>5</v>
      </c>
      <c r="D106" s="3" t="s">
        <v>4</v>
      </c>
      <c r="E106" s="3" t="s">
        <v>5</v>
      </c>
      <c r="F106" s="3" t="s">
        <v>4</v>
      </c>
      <c r="G106" s="3" t="s">
        <v>5</v>
      </c>
    </row>
    <row r="107" spans="1:7" ht="16.5" customHeight="1">
      <c r="A107" s="4" t="s">
        <v>6</v>
      </c>
      <c r="B107" s="9"/>
      <c r="C107" s="6"/>
      <c r="D107" s="18"/>
      <c r="E107" s="6"/>
      <c r="F107" s="9"/>
      <c r="G107" s="4"/>
    </row>
    <row r="108" spans="1:7">
      <c r="A108" s="4" t="s">
        <v>16</v>
      </c>
      <c r="B108" s="18"/>
      <c r="C108" s="4"/>
      <c r="D108" s="18"/>
      <c r="E108" s="4"/>
      <c r="F108" s="3"/>
      <c r="G108" s="4"/>
    </row>
    <row r="109" spans="1:7">
      <c r="A109" s="4" t="s">
        <v>17</v>
      </c>
      <c r="B109" s="18"/>
      <c r="C109" s="4"/>
      <c r="D109" s="18"/>
      <c r="E109" s="4"/>
      <c r="F109" s="3"/>
      <c r="G109" s="4"/>
    </row>
    <row r="110" spans="1:7" ht="16.5" customHeight="1">
      <c r="A110" s="4" t="s">
        <v>18</v>
      </c>
      <c r="B110" s="9"/>
      <c r="C110" s="4"/>
      <c r="D110" s="3"/>
      <c r="E110" s="6"/>
      <c r="F110" s="3"/>
      <c r="G110" s="6"/>
    </row>
    <row r="111" spans="1:7" ht="16.5" customHeight="1">
      <c r="A111" s="4" t="s">
        <v>19</v>
      </c>
      <c r="B111" s="18"/>
      <c r="C111" s="6"/>
      <c r="D111" s="9"/>
      <c r="E111" s="6"/>
      <c r="F111" s="3"/>
      <c r="G111" s="6"/>
    </row>
    <row r="112" spans="1:7" ht="16.5" customHeight="1">
      <c r="A112" s="4" t="s">
        <v>20</v>
      </c>
      <c r="B112" s="3"/>
      <c r="C112" s="4"/>
      <c r="D112" s="9"/>
      <c r="E112" s="6"/>
      <c r="F112" s="9"/>
      <c r="G112" s="6"/>
    </row>
    <row r="113" spans="1:7" ht="16.5" customHeight="1">
      <c r="A113" s="4" t="s">
        <v>21</v>
      </c>
      <c r="B113" s="9"/>
      <c r="C113" s="6"/>
      <c r="D113" s="3"/>
      <c r="E113" s="6"/>
      <c r="F113" s="3"/>
      <c r="G113" s="4"/>
    </row>
    <row r="114" spans="1:7" ht="16.5" customHeight="1">
      <c r="A114" s="4" t="s">
        <v>22</v>
      </c>
      <c r="B114" s="3"/>
      <c r="C114" s="6"/>
      <c r="D114" s="9"/>
      <c r="E114" s="4"/>
      <c r="F114" s="3"/>
      <c r="G114" s="6"/>
    </row>
    <row r="115" spans="1:7" ht="16.5" customHeight="1">
      <c r="A115" s="4" t="s">
        <v>23</v>
      </c>
      <c r="B115" s="9"/>
      <c r="C115" s="6"/>
      <c r="D115" s="9"/>
      <c r="E115" s="4"/>
      <c r="F115" s="3"/>
      <c r="G115" s="4"/>
    </row>
    <row r="116" spans="1:7" ht="16.5" customHeight="1">
      <c r="A116" s="4" t="s">
        <v>24</v>
      </c>
      <c r="B116" s="3"/>
      <c r="C116" s="6"/>
      <c r="D116" s="9"/>
      <c r="E116" s="4"/>
      <c r="F116" s="9"/>
      <c r="G116" s="4"/>
    </row>
    <row r="117" spans="1:7" ht="16.5" customHeight="1"/>
    <row r="118" spans="1:7" ht="16.5" customHeight="1"/>
    <row r="119" spans="1:7" ht="16.5" customHeight="1"/>
    <row r="120" spans="1:7" ht="16.5" customHeight="1"/>
    <row r="121" spans="1:7" ht="16.5" customHeight="1"/>
    <row r="122" spans="1:7" ht="16.5" customHeight="1"/>
    <row r="123" spans="1:7" ht="16.5" customHeight="1"/>
    <row r="124" spans="1:7" ht="16.5" customHeight="1"/>
    <row r="125" spans="1:7" ht="16.5" customHeight="1"/>
    <row r="126" spans="1:7" ht="16.5" customHeight="1"/>
    <row r="127" spans="1:7" ht="16.5" customHeight="1"/>
    <row r="128" spans="1:7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30">
    <mergeCell ref="B79:C79"/>
    <mergeCell ref="D79:E79"/>
    <mergeCell ref="F79:G79"/>
    <mergeCell ref="A105:A106"/>
    <mergeCell ref="B105:C105"/>
    <mergeCell ref="A79:A80"/>
    <mergeCell ref="A92:A93"/>
    <mergeCell ref="B92:C92"/>
    <mergeCell ref="D105:E105"/>
    <mergeCell ref="F105:G105"/>
    <mergeCell ref="H51:I51"/>
    <mergeCell ref="D53:E53"/>
    <mergeCell ref="H61:I61"/>
    <mergeCell ref="D92:E92"/>
    <mergeCell ref="F92:G92"/>
    <mergeCell ref="B53:C53"/>
    <mergeCell ref="B66:C66"/>
    <mergeCell ref="D66:E66"/>
    <mergeCell ref="F66:G66"/>
    <mergeCell ref="D27:E27"/>
    <mergeCell ref="B27:C27"/>
    <mergeCell ref="B40:C40"/>
    <mergeCell ref="D40:E40"/>
    <mergeCell ref="H41:I41"/>
    <mergeCell ref="A1:A2"/>
    <mergeCell ref="B1:C1"/>
    <mergeCell ref="D1:E1"/>
    <mergeCell ref="F1:G1"/>
    <mergeCell ref="B14:C14"/>
    <mergeCell ref="D14:E14"/>
  </mergeCells>
  <phoneticPr fontId="7" type="noConversion"/>
  <dataValidations count="2">
    <dataValidation type="list" allowBlank="1" showErrorMessage="1" sqref="H43:H50 H53:H60 H63:H69" xr:uid="{00000000-0002-0000-0900-000000000000}">
      <formula1>"++,+,N,-,--"</formula1>
    </dataValidation>
    <dataValidation type="list" allowBlank="1" showErrorMessage="1" sqref="F3:F6 F8:F9 F66:F72 F75 F78:F81 F83 F85 D95:D96 B108:B109 D107:D109 B111" xr:uid="{00000000-0002-0000-0900-000001000000}">
      <formula1>"'++,'+,'0,'-,'--"</formula1>
    </dataValidation>
  </dataValidation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12"/>
  <sheetViews>
    <sheetView tabSelected="1" topLeftCell="A100" workbookViewId="0">
      <pane xSplit="1" topLeftCell="B1" activePane="topRight" state="frozen"/>
      <selection pane="topRight" activeCell="C3" sqref="C3:C12"/>
    </sheetView>
  </sheetViews>
  <sheetFormatPr defaultColWidth="14.42578125" defaultRowHeight="15" customHeight="1"/>
  <cols>
    <col min="1" max="1" width="18" customWidth="1"/>
    <col min="2" max="2" width="14.7109375" customWidth="1"/>
    <col min="3" max="3" width="70.5703125" customWidth="1"/>
    <col min="4" max="4" width="9.85546875" customWidth="1"/>
    <col min="5" max="5" width="64.42578125" customWidth="1"/>
    <col min="6" max="6" width="11.42578125" customWidth="1"/>
    <col min="7" max="7" width="61.5703125" customWidth="1"/>
    <col min="8" max="8" width="8.85546875" customWidth="1"/>
    <col min="9" max="9" width="64.140625" customWidth="1"/>
    <col min="10" max="26" width="8.85546875" customWidth="1"/>
  </cols>
  <sheetData>
    <row r="1" spans="1:7" ht="16.5" customHeight="1">
      <c r="A1" s="31" t="s">
        <v>0</v>
      </c>
      <c r="B1" s="33" t="s">
        <v>1</v>
      </c>
      <c r="C1" s="34"/>
      <c r="D1" s="33" t="s">
        <v>2</v>
      </c>
      <c r="E1" s="34"/>
      <c r="F1" s="33" t="s">
        <v>3</v>
      </c>
      <c r="G1" s="34"/>
    </row>
    <row r="2" spans="1:7" ht="16.5" customHeight="1">
      <c r="A2" s="32"/>
      <c r="B2" s="3" t="s">
        <v>4</v>
      </c>
      <c r="C2" s="3" t="s">
        <v>5</v>
      </c>
      <c r="D2" s="3" t="s">
        <v>4</v>
      </c>
      <c r="E2" s="3" t="s">
        <v>5</v>
      </c>
      <c r="F2" s="3" t="s">
        <v>4</v>
      </c>
      <c r="G2" s="3" t="s">
        <v>5</v>
      </c>
    </row>
    <row r="3" spans="1:7" ht="16.5" customHeight="1">
      <c r="A3" s="4" t="s">
        <v>6</v>
      </c>
      <c r="B3" s="24"/>
      <c r="C3" s="26" t="str">
        <f t="shared" ref="C3:C12" si="0">"1조" &amp; " - " &amp; B$1 &amp; " - " &amp; $A3</f>
        <v>1조 - Batch Sequential - Availability</v>
      </c>
      <c r="D3" s="24"/>
      <c r="E3" s="26" t="str">
        <f t="shared" ref="E3:E12" si="1">"1조" &amp; " - " &amp; D$1 &amp; " - " &amp; $A3</f>
        <v>1조 - Pipe and Filter - Availability</v>
      </c>
      <c r="F3" s="23"/>
      <c r="G3" s="27" t="str">
        <f t="shared" ref="G3:G12" si="2">"1조" &amp; " - " &amp; F$1 &amp; " - " &amp; $A3</f>
        <v>1조 - Process Control - Availability</v>
      </c>
    </row>
    <row r="4" spans="1:7" ht="16.5" customHeight="1">
      <c r="A4" s="4" t="s">
        <v>16</v>
      </c>
      <c r="B4" s="24"/>
      <c r="C4" s="26" t="str">
        <f t="shared" si="0"/>
        <v>1조 - Batch Sequential - Deployability</v>
      </c>
      <c r="D4" s="24"/>
      <c r="E4" s="26" t="str">
        <f t="shared" si="1"/>
        <v>1조 - Pipe and Filter - Deployability</v>
      </c>
      <c r="F4" s="23"/>
      <c r="G4" s="27" t="str">
        <f t="shared" si="2"/>
        <v>1조 - Process Control - Deployability</v>
      </c>
    </row>
    <row r="5" spans="1:7" ht="16.5" customHeight="1">
      <c r="A5" s="4" t="s">
        <v>17</v>
      </c>
      <c r="B5" s="23"/>
      <c r="C5" s="26" t="str">
        <f t="shared" si="0"/>
        <v>1조 - Batch Sequential - Integrability</v>
      </c>
      <c r="D5" s="24"/>
      <c r="E5" s="28" t="str">
        <f t="shared" si="1"/>
        <v>1조 - Pipe and Filter - Integrability</v>
      </c>
      <c r="F5" s="23"/>
      <c r="G5" s="27" t="str">
        <f t="shared" si="2"/>
        <v>1조 - Process Control - Integrability</v>
      </c>
    </row>
    <row r="6" spans="1:7" ht="16.5" customHeight="1">
      <c r="A6" s="4" t="s">
        <v>18</v>
      </c>
      <c r="B6" s="24"/>
      <c r="C6" s="26" t="str">
        <f t="shared" si="0"/>
        <v>1조 - Batch Sequential - Energy Efficiency</v>
      </c>
      <c r="D6" s="23"/>
      <c r="E6" s="27" t="str">
        <f t="shared" si="1"/>
        <v>1조 - Pipe and Filter - Energy Efficiency</v>
      </c>
      <c r="F6" s="23"/>
      <c r="G6" s="27" t="str">
        <f t="shared" si="2"/>
        <v>1조 - Process Control - Energy Efficiency</v>
      </c>
    </row>
    <row r="7" spans="1:7" ht="16.5" customHeight="1">
      <c r="A7" s="4" t="s">
        <v>19</v>
      </c>
      <c r="B7" s="24"/>
      <c r="C7" s="26" t="str">
        <f t="shared" si="0"/>
        <v>1조 - Batch Sequential - Modifiability</v>
      </c>
      <c r="D7" s="24"/>
      <c r="E7" s="26" t="str">
        <f t="shared" si="1"/>
        <v>1조 - Pipe and Filter - Modifiability</v>
      </c>
      <c r="F7" s="23"/>
      <c r="G7" s="27" t="str">
        <f t="shared" si="2"/>
        <v>1조 - Process Control - Modifiability</v>
      </c>
    </row>
    <row r="8" spans="1:7" ht="16.5" customHeight="1">
      <c r="A8" s="4" t="s">
        <v>20</v>
      </c>
      <c r="B8" s="24"/>
      <c r="C8" s="26" t="str">
        <f t="shared" si="0"/>
        <v>1조 - Batch Sequential - Performance</v>
      </c>
      <c r="D8" s="24"/>
      <c r="E8" s="26" t="str">
        <f t="shared" si="1"/>
        <v>1조 - Pipe and Filter - Performance</v>
      </c>
      <c r="F8" s="23"/>
      <c r="G8" s="27" t="str">
        <f t="shared" si="2"/>
        <v>1조 - Process Control - Performance</v>
      </c>
    </row>
    <row r="9" spans="1:7" ht="16.5" customHeight="1">
      <c r="A9" s="4" t="s">
        <v>21</v>
      </c>
      <c r="B9" s="23"/>
      <c r="C9" s="26" t="str">
        <f t="shared" si="0"/>
        <v>1조 - Batch Sequential - Safety</v>
      </c>
      <c r="D9" s="23"/>
      <c r="E9" s="27" t="str">
        <f t="shared" si="1"/>
        <v>1조 - Pipe and Filter - Safety</v>
      </c>
      <c r="F9" s="23"/>
      <c r="G9" s="27" t="str">
        <f t="shared" si="2"/>
        <v>1조 - Process Control - Safety</v>
      </c>
    </row>
    <row r="10" spans="1:7" ht="16.5" customHeight="1">
      <c r="A10" s="4" t="s">
        <v>22</v>
      </c>
      <c r="B10" s="24"/>
      <c r="C10" s="26" t="str">
        <f t="shared" si="0"/>
        <v>1조 - Batch Sequential - Security</v>
      </c>
      <c r="D10" s="24"/>
      <c r="E10" s="26" t="str">
        <f t="shared" si="1"/>
        <v>1조 - Pipe and Filter - Security</v>
      </c>
      <c r="F10" s="23"/>
      <c r="G10" s="27" t="str">
        <f t="shared" si="2"/>
        <v>1조 - Process Control - Security</v>
      </c>
    </row>
    <row r="11" spans="1:7" ht="16.5" customHeight="1">
      <c r="A11" s="4" t="s">
        <v>23</v>
      </c>
      <c r="B11" s="24"/>
      <c r="C11" s="26" t="str">
        <f t="shared" si="0"/>
        <v>1조 - Batch Sequential - Testability</v>
      </c>
      <c r="D11" s="24"/>
      <c r="E11" s="26" t="str">
        <f t="shared" si="1"/>
        <v>1조 - Pipe and Filter - Testability</v>
      </c>
      <c r="F11" s="23"/>
      <c r="G11" s="27" t="str">
        <f t="shared" si="2"/>
        <v>1조 - Process Control - Testability</v>
      </c>
    </row>
    <row r="12" spans="1:7" ht="16.5" customHeight="1">
      <c r="A12" s="4" t="s">
        <v>24</v>
      </c>
      <c r="B12" s="23"/>
      <c r="C12" s="26" t="str">
        <f t="shared" si="0"/>
        <v>1조 - Batch Sequential - Usability</v>
      </c>
      <c r="D12" s="23"/>
      <c r="E12" s="27" t="str">
        <f t="shared" si="1"/>
        <v>1조 - Pipe and Filter - Usability</v>
      </c>
      <c r="F12" s="23"/>
      <c r="G12" s="27" t="str">
        <f t="shared" si="2"/>
        <v>1조 - Process Control - Usability</v>
      </c>
    </row>
    <row r="13" spans="1:7" ht="16.5" customHeight="1">
      <c r="A13" s="1"/>
      <c r="B13" s="16"/>
      <c r="C13" s="16"/>
      <c r="D13" s="16"/>
      <c r="E13" s="16"/>
      <c r="F13" s="16"/>
      <c r="G13" s="1"/>
    </row>
    <row r="14" spans="1:7" ht="16.5" customHeight="1">
      <c r="A14" s="2" t="s">
        <v>25</v>
      </c>
      <c r="B14" s="35" t="s">
        <v>47</v>
      </c>
      <c r="C14" s="34"/>
      <c r="D14" s="35" t="s">
        <v>27</v>
      </c>
      <c r="E14" s="34"/>
      <c r="F14" s="1"/>
      <c r="G14" s="1"/>
    </row>
    <row r="15" spans="1:7" ht="16.5" customHeight="1">
      <c r="A15" s="19"/>
      <c r="B15" s="20" t="s">
        <v>4</v>
      </c>
      <c r="C15" s="21" t="s">
        <v>5</v>
      </c>
      <c r="D15" s="20" t="s">
        <v>4</v>
      </c>
      <c r="E15" s="21" t="s">
        <v>5</v>
      </c>
      <c r="F15" s="1"/>
      <c r="G15" s="1"/>
    </row>
    <row r="16" spans="1:7" ht="16.5" customHeight="1">
      <c r="A16" s="4" t="s">
        <v>6</v>
      </c>
      <c r="B16" s="24"/>
      <c r="C16" s="26" t="str">
        <f t="shared" ref="C16:C25" si="3">"1조" &amp; " - " &amp; B$14 &amp; " - " &amp; $A16</f>
        <v>1조 - Shared Respository - Availability</v>
      </c>
      <c r="D16" s="23"/>
      <c r="E16" s="27" t="str">
        <f t="shared" ref="E16:E25" si="4">"1조" &amp; " - " &amp; D$14 &amp; " - " &amp; $A16</f>
        <v>1조 - Blackboard - Availability</v>
      </c>
      <c r="F16" s="1"/>
      <c r="G16" s="1"/>
    </row>
    <row r="17" spans="1:7" ht="16.5" customHeight="1">
      <c r="A17" s="4" t="s">
        <v>16</v>
      </c>
      <c r="B17" s="24"/>
      <c r="C17" s="26" t="str">
        <f t="shared" si="3"/>
        <v>1조 - Shared Respository - Deployability</v>
      </c>
      <c r="D17" s="23"/>
      <c r="E17" s="27" t="str">
        <f t="shared" si="4"/>
        <v>1조 - Blackboard - Deployability</v>
      </c>
      <c r="F17" s="1"/>
      <c r="G17" s="1"/>
    </row>
    <row r="18" spans="1:7" ht="16.5" customHeight="1">
      <c r="A18" s="4" t="s">
        <v>17</v>
      </c>
      <c r="B18" s="24"/>
      <c r="C18" s="26" t="str">
        <f t="shared" si="3"/>
        <v>1조 - Shared Respository - Integrability</v>
      </c>
      <c r="D18" s="23"/>
      <c r="E18" s="27" t="str">
        <f t="shared" si="4"/>
        <v>1조 - Blackboard - Integrability</v>
      </c>
      <c r="F18" s="1"/>
      <c r="G18" s="1"/>
    </row>
    <row r="19" spans="1:7" ht="16.5" customHeight="1">
      <c r="A19" s="4" t="s">
        <v>18</v>
      </c>
      <c r="B19" s="23"/>
      <c r="C19" s="27" t="str">
        <f t="shared" si="3"/>
        <v>1조 - Shared Respository - Energy Efficiency</v>
      </c>
      <c r="D19" s="23"/>
      <c r="E19" s="27" t="str">
        <f t="shared" si="4"/>
        <v>1조 - Blackboard - Energy Efficiency</v>
      </c>
      <c r="F19" s="1"/>
      <c r="G19" s="1"/>
    </row>
    <row r="20" spans="1:7" ht="16.5" customHeight="1">
      <c r="A20" s="4" t="s">
        <v>19</v>
      </c>
      <c r="B20" s="24"/>
      <c r="C20" s="26" t="str">
        <f t="shared" si="3"/>
        <v>1조 - Shared Respository - Modifiability</v>
      </c>
      <c r="D20" s="23"/>
      <c r="E20" s="27" t="str">
        <f t="shared" si="4"/>
        <v>1조 - Blackboard - Modifiability</v>
      </c>
      <c r="F20" s="1"/>
      <c r="G20" s="1"/>
    </row>
    <row r="21" spans="1:7" ht="16.5" customHeight="1">
      <c r="A21" s="4" t="s">
        <v>20</v>
      </c>
      <c r="B21" s="24"/>
      <c r="C21" s="26" t="str">
        <f t="shared" si="3"/>
        <v>1조 - Shared Respository - Performance</v>
      </c>
      <c r="D21" s="23"/>
      <c r="E21" s="27" t="str">
        <f t="shared" si="4"/>
        <v>1조 - Blackboard - Performance</v>
      </c>
      <c r="F21" s="1"/>
      <c r="G21" s="1"/>
    </row>
    <row r="22" spans="1:7" ht="16.5" customHeight="1">
      <c r="A22" s="4" t="s">
        <v>21</v>
      </c>
      <c r="B22" s="23"/>
      <c r="C22" s="27" t="str">
        <f t="shared" si="3"/>
        <v>1조 - Shared Respository - Safety</v>
      </c>
      <c r="D22" s="23"/>
      <c r="E22" s="27" t="str">
        <f t="shared" si="4"/>
        <v>1조 - Blackboard - Safety</v>
      </c>
      <c r="F22" s="1"/>
      <c r="G22" s="1"/>
    </row>
    <row r="23" spans="1:7" ht="16.5" customHeight="1">
      <c r="A23" s="4" t="s">
        <v>22</v>
      </c>
      <c r="B23" s="24"/>
      <c r="C23" s="26" t="str">
        <f t="shared" si="3"/>
        <v>1조 - Shared Respository - Security</v>
      </c>
      <c r="D23" s="23"/>
      <c r="E23" s="27" t="str">
        <f t="shared" si="4"/>
        <v>1조 - Blackboard - Security</v>
      </c>
      <c r="F23" s="1"/>
      <c r="G23" s="1"/>
    </row>
    <row r="24" spans="1:7" ht="16.5" customHeight="1">
      <c r="A24" s="4" t="s">
        <v>23</v>
      </c>
      <c r="B24" s="24"/>
      <c r="C24" s="26" t="str">
        <f t="shared" si="3"/>
        <v>1조 - Shared Respository - Testability</v>
      </c>
      <c r="D24" s="23"/>
      <c r="E24" s="27" t="str">
        <f t="shared" si="4"/>
        <v>1조 - Blackboard - Testability</v>
      </c>
      <c r="F24" s="1"/>
      <c r="G24" s="1"/>
    </row>
    <row r="25" spans="1:7" ht="16.5" customHeight="1">
      <c r="A25" s="4" t="s">
        <v>24</v>
      </c>
      <c r="B25" s="23"/>
      <c r="C25" s="27" t="str">
        <f t="shared" si="3"/>
        <v>1조 - Shared Respository - Usability</v>
      </c>
      <c r="D25" s="23"/>
      <c r="E25" s="27" t="str">
        <f t="shared" si="4"/>
        <v>1조 - Blackboard - Usability</v>
      </c>
      <c r="F25" s="1"/>
      <c r="G25" s="1"/>
    </row>
    <row r="26" spans="1:7" ht="16.5" customHeight="1">
      <c r="A26" s="1"/>
      <c r="B26" s="16"/>
      <c r="C26" s="16"/>
      <c r="D26" s="16"/>
      <c r="E26" s="16"/>
      <c r="F26" s="1"/>
      <c r="G26" s="1"/>
    </row>
    <row r="27" spans="1:7" ht="16.5" customHeight="1">
      <c r="A27" s="2" t="s">
        <v>28</v>
      </c>
      <c r="B27" s="35" t="s">
        <v>29</v>
      </c>
      <c r="C27" s="34"/>
      <c r="D27" s="35" t="s">
        <v>30</v>
      </c>
      <c r="E27" s="34"/>
      <c r="F27" s="1"/>
      <c r="G27" s="1"/>
    </row>
    <row r="28" spans="1:7" ht="16.5" customHeight="1">
      <c r="A28" s="22"/>
      <c r="B28" s="3" t="s">
        <v>4</v>
      </c>
      <c r="C28" s="17" t="s">
        <v>5</v>
      </c>
      <c r="D28" s="3" t="s">
        <v>4</v>
      </c>
      <c r="E28" s="17" t="s">
        <v>5</v>
      </c>
      <c r="F28" s="1"/>
      <c r="G28" s="1"/>
    </row>
    <row r="29" spans="1:7" ht="16.5" customHeight="1">
      <c r="A29" s="4" t="s">
        <v>6</v>
      </c>
      <c r="B29" s="24"/>
      <c r="C29" s="26" t="str">
        <f t="shared" ref="C29:C38" si="5">"1조" &amp; " - " &amp; B$27 &amp; " - " &amp; $A29</f>
        <v>1조 - Non-Buffered Event Based - Availability</v>
      </c>
      <c r="D29" s="24"/>
      <c r="E29" s="26" t="str">
        <f t="shared" ref="E29:E38" si="6">"1조" &amp; " - " &amp; D$27 &amp; " - " &amp; $A29</f>
        <v>1조 - Buffered Message Based - Availability</v>
      </c>
      <c r="F29" s="1"/>
      <c r="G29" s="1"/>
    </row>
    <row r="30" spans="1:7" ht="16.5" customHeight="1">
      <c r="A30" s="4" t="s">
        <v>16</v>
      </c>
      <c r="B30" s="23"/>
      <c r="C30" s="27" t="str">
        <f t="shared" si="5"/>
        <v>1조 - Non-Buffered Event Based - Deployability</v>
      </c>
      <c r="D30" s="23"/>
      <c r="E30" s="27" t="str">
        <f t="shared" si="6"/>
        <v>1조 - Buffered Message Based - Deployability</v>
      </c>
      <c r="F30" s="1"/>
      <c r="G30" s="1"/>
    </row>
    <row r="31" spans="1:7" ht="16.5" customHeight="1">
      <c r="A31" s="4" t="s">
        <v>17</v>
      </c>
      <c r="B31" s="24"/>
      <c r="C31" s="26" t="str">
        <f t="shared" si="5"/>
        <v>1조 - Non-Buffered Event Based - Integrability</v>
      </c>
      <c r="D31" s="24"/>
      <c r="E31" s="26" t="str">
        <f t="shared" si="6"/>
        <v>1조 - Buffered Message Based - Integrability</v>
      </c>
      <c r="F31" s="1"/>
      <c r="G31" s="1"/>
    </row>
    <row r="32" spans="1:7" ht="16.5" customHeight="1">
      <c r="A32" s="4" t="s">
        <v>18</v>
      </c>
      <c r="B32" s="23"/>
      <c r="C32" s="27" t="str">
        <f t="shared" si="5"/>
        <v>1조 - Non-Buffered Event Based - Energy Efficiency</v>
      </c>
      <c r="D32" s="23"/>
      <c r="E32" s="27" t="str">
        <f t="shared" si="6"/>
        <v>1조 - Buffered Message Based - Energy Efficiency</v>
      </c>
      <c r="F32" s="1"/>
      <c r="G32" s="1"/>
    </row>
    <row r="33" spans="1:9" ht="16.5" customHeight="1">
      <c r="A33" s="4" t="s">
        <v>19</v>
      </c>
      <c r="B33" s="24"/>
      <c r="C33" s="26" t="str">
        <f t="shared" si="5"/>
        <v>1조 - Non-Buffered Event Based - Modifiability</v>
      </c>
      <c r="D33" s="24"/>
      <c r="E33" s="26" t="str">
        <f t="shared" si="6"/>
        <v>1조 - Buffered Message Based - Modifiability</v>
      </c>
      <c r="F33" s="1"/>
      <c r="G33" s="1"/>
    </row>
    <row r="34" spans="1:9" ht="16.5" customHeight="1">
      <c r="A34" s="4" t="s">
        <v>20</v>
      </c>
      <c r="B34" s="24"/>
      <c r="C34" s="26" t="str">
        <f t="shared" si="5"/>
        <v>1조 - Non-Buffered Event Based - Performance</v>
      </c>
      <c r="D34" s="24"/>
      <c r="E34" s="26" t="str">
        <f t="shared" si="6"/>
        <v>1조 - Buffered Message Based - Performance</v>
      </c>
      <c r="F34" s="1"/>
      <c r="G34" s="1"/>
    </row>
    <row r="35" spans="1:9" ht="16.5" customHeight="1">
      <c r="A35" s="4" t="s">
        <v>21</v>
      </c>
      <c r="B35" s="25"/>
      <c r="C35" s="29" t="str">
        <f t="shared" si="5"/>
        <v>1조 - Non-Buffered Event Based - Safety</v>
      </c>
      <c r="D35" s="25"/>
      <c r="E35" s="29" t="str">
        <f t="shared" si="6"/>
        <v>1조 - Buffered Message Based - Safety</v>
      </c>
      <c r="F35" s="1"/>
      <c r="G35" s="1"/>
    </row>
    <row r="36" spans="1:9" ht="16.5" customHeight="1">
      <c r="A36" s="4" t="s">
        <v>22</v>
      </c>
      <c r="B36" s="23"/>
      <c r="C36" s="27" t="str">
        <f t="shared" si="5"/>
        <v>1조 - Non-Buffered Event Based - Security</v>
      </c>
      <c r="D36" s="23"/>
      <c r="E36" s="27" t="str">
        <f t="shared" si="6"/>
        <v>1조 - Buffered Message Based - Security</v>
      </c>
      <c r="F36" s="1"/>
      <c r="G36" s="1"/>
    </row>
    <row r="37" spans="1:9" ht="16.5" customHeight="1">
      <c r="A37" s="4" t="s">
        <v>23</v>
      </c>
      <c r="B37" s="24"/>
      <c r="C37" s="26" t="str">
        <f t="shared" si="5"/>
        <v>1조 - Non-Buffered Event Based - Testability</v>
      </c>
      <c r="D37" s="24"/>
      <c r="E37" s="26" t="str">
        <f t="shared" si="6"/>
        <v>1조 - Buffered Message Based - Testability</v>
      </c>
      <c r="F37" s="1"/>
      <c r="G37" s="1"/>
    </row>
    <row r="38" spans="1:9" ht="16.5" customHeight="1">
      <c r="A38" s="4" t="s">
        <v>24</v>
      </c>
      <c r="B38" s="23"/>
      <c r="C38" s="27" t="str">
        <f t="shared" si="5"/>
        <v>1조 - Non-Buffered Event Based - Usability</v>
      </c>
      <c r="D38" s="23"/>
      <c r="E38" s="27" t="str">
        <f t="shared" si="6"/>
        <v>1조 - Buffered Message Based - Usability</v>
      </c>
      <c r="F38" s="1"/>
      <c r="G38" s="1"/>
    </row>
    <row r="39" spans="1:9" ht="16.5" customHeight="1">
      <c r="A39" s="1"/>
      <c r="B39" s="16"/>
      <c r="C39" s="16"/>
      <c r="D39" s="16"/>
      <c r="E39" s="16"/>
      <c r="F39" s="1"/>
      <c r="G39" s="1"/>
    </row>
    <row r="40" spans="1:9" ht="16.5" customHeight="1">
      <c r="A40" s="2" t="s">
        <v>31</v>
      </c>
      <c r="B40" s="33" t="s">
        <v>32</v>
      </c>
      <c r="C40" s="34"/>
      <c r="D40" s="33" t="s">
        <v>33</v>
      </c>
      <c r="E40" s="34"/>
      <c r="F40" s="1"/>
      <c r="G40" s="1"/>
      <c r="H40" s="1"/>
    </row>
    <row r="41" spans="1:9" ht="16.5" customHeight="1">
      <c r="A41" s="22"/>
      <c r="B41" s="3" t="s">
        <v>4</v>
      </c>
      <c r="C41" s="3" t="s">
        <v>5</v>
      </c>
      <c r="D41" s="3" t="s">
        <v>4</v>
      </c>
      <c r="E41" s="3" t="s">
        <v>5</v>
      </c>
      <c r="F41" s="1"/>
      <c r="G41" s="1"/>
      <c r="H41" s="1"/>
      <c r="I41" s="13"/>
    </row>
    <row r="42" spans="1:9" ht="16.5" customHeight="1">
      <c r="A42" s="4" t="s">
        <v>6</v>
      </c>
      <c r="B42" s="23"/>
      <c r="C42" s="27" t="str">
        <f t="shared" ref="C42:C51" si="7">"1조" &amp; " - " &amp; B$40 &amp; " - " &amp; $A42</f>
        <v>1조 - MVC - Availability</v>
      </c>
      <c r="D42" s="23"/>
      <c r="E42" s="27" t="str">
        <f t="shared" ref="E42:E51" si="8">"1조" &amp; " - " &amp; D$40 &amp; " - " &amp; $A42</f>
        <v>1조 - PAC - Availability</v>
      </c>
      <c r="F42" s="1"/>
      <c r="G42" s="1"/>
      <c r="H42" s="1"/>
    </row>
    <row r="43" spans="1:9" ht="16.5" customHeight="1">
      <c r="A43" s="4" t="s">
        <v>16</v>
      </c>
      <c r="B43" s="23"/>
      <c r="C43" s="27" t="str">
        <f t="shared" si="7"/>
        <v>1조 - MVC - Deployability</v>
      </c>
      <c r="D43" s="23"/>
      <c r="E43" s="27" t="str">
        <f t="shared" si="8"/>
        <v>1조 - PAC - Deployability</v>
      </c>
      <c r="F43" s="1"/>
      <c r="G43" s="1"/>
      <c r="H43" s="1"/>
    </row>
    <row r="44" spans="1:9" ht="16.5" customHeight="1">
      <c r="A44" s="4" t="s">
        <v>17</v>
      </c>
      <c r="B44" s="24"/>
      <c r="C44" s="26" t="str">
        <f t="shared" si="7"/>
        <v>1조 - MVC - Integrability</v>
      </c>
      <c r="D44" s="23"/>
      <c r="E44" s="27" t="str">
        <f t="shared" si="8"/>
        <v>1조 - PAC - Integrability</v>
      </c>
      <c r="F44" s="1"/>
      <c r="G44" s="1"/>
      <c r="H44" s="1"/>
    </row>
    <row r="45" spans="1:9" ht="16.5" customHeight="1">
      <c r="A45" s="4" t="s">
        <v>18</v>
      </c>
      <c r="B45" s="23"/>
      <c r="C45" s="27" t="str">
        <f t="shared" si="7"/>
        <v>1조 - MVC - Energy Efficiency</v>
      </c>
      <c r="D45" s="23"/>
      <c r="E45" s="27" t="str">
        <f t="shared" si="8"/>
        <v>1조 - PAC - Energy Efficiency</v>
      </c>
      <c r="F45" s="1"/>
      <c r="G45" s="1"/>
      <c r="H45" s="1"/>
    </row>
    <row r="46" spans="1:9" ht="16.5" customHeight="1">
      <c r="A46" s="4" t="s">
        <v>19</v>
      </c>
      <c r="B46" s="24"/>
      <c r="C46" s="26" t="str">
        <f t="shared" si="7"/>
        <v>1조 - MVC - Modifiability</v>
      </c>
      <c r="D46" s="23"/>
      <c r="E46" s="27" t="str">
        <f t="shared" si="8"/>
        <v>1조 - PAC - Modifiability</v>
      </c>
      <c r="F46" s="1"/>
      <c r="G46" s="1"/>
      <c r="H46" s="1"/>
    </row>
    <row r="47" spans="1:9" ht="16.5" customHeight="1">
      <c r="A47" s="4" t="s">
        <v>20</v>
      </c>
      <c r="B47" s="24"/>
      <c r="C47" s="26" t="str">
        <f t="shared" si="7"/>
        <v>1조 - MVC - Performance</v>
      </c>
      <c r="D47" s="23"/>
      <c r="E47" s="27" t="str">
        <f t="shared" si="8"/>
        <v>1조 - PAC - Performance</v>
      </c>
      <c r="F47" s="1"/>
      <c r="G47" s="1"/>
      <c r="H47" s="1"/>
    </row>
    <row r="48" spans="1:9" ht="16.5" customHeight="1">
      <c r="A48" s="4" t="s">
        <v>21</v>
      </c>
      <c r="B48" s="23"/>
      <c r="C48" s="27" t="str">
        <f t="shared" si="7"/>
        <v>1조 - MVC - Safety</v>
      </c>
      <c r="D48" s="23"/>
      <c r="E48" s="27" t="str">
        <f t="shared" si="8"/>
        <v>1조 - PAC - Safety</v>
      </c>
      <c r="F48" s="1"/>
      <c r="G48" s="1"/>
      <c r="H48" s="1"/>
    </row>
    <row r="49" spans="1:9" ht="16.5" customHeight="1">
      <c r="A49" s="4" t="s">
        <v>22</v>
      </c>
      <c r="B49" s="24"/>
      <c r="C49" s="26" t="str">
        <f t="shared" si="7"/>
        <v>1조 - MVC - Security</v>
      </c>
      <c r="D49" s="23"/>
      <c r="E49" s="27" t="str">
        <f t="shared" si="8"/>
        <v>1조 - PAC - Security</v>
      </c>
      <c r="F49" s="1"/>
      <c r="G49" s="1"/>
      <c r="H49" s="1"/>
    </row>
    <row r="50" spans="1:9" ht="16.5" customHeight="1">
      <c r="A50" s="4" t="s">
        <v>23</v>
      </c>
      <c r="B50" s="23"/>
      <c r="C50" s="27" t="str">
        <f t="shared" si="7"/>
        <v>1조 - MVC - Testability</v>
      </c>
      <c r="D50" s="23"/>
      <c r="E50" s="27" t="str">
        <f t="shared" si="8"/>
        <v>1조 - PAC - Testability</v>
      </c>
      <c r="F50" s="1"/>
      <c r="G50" s="16"/>
      <c r="H50" s="1"/>
      <c r="I50" s="15"/>
    </row>
    <row r="51" spans="1:9" ht="16.5" customHeight="1">
      <c r="A51" s="4" t="s">
        <v>24</v>
      </c>
      <c r="B51" s="24"/>
      <c r="C51" s="26" t="str">
        <f t="shared" si="7"/>
        <v>1조 - MVC - Usability</v>
      </c>
      <c r="D51" s="23"/>
      <c r="E51" s="27" t="str">
        <f t="shared" si="8"/>
        <v>1조 - PAC - Usability</v>
      </c>
      <c r="F51" s="1"/>
      <c r="G51" s="16"/>
      <c r="H51" s="1"/>
      <c r="I51" s="13"/>
    </row>
    <row r="52" spans="1:9" ht="16.5" customHeight="1">
      <c r="A52" s="1"/>
      <c r="B52" s="16"/>
      <c r="C52" s="1"/>
      <c r="D52" s="16"/>
      <c r="E52" s="1"/>
      <c r="F52" s="1"/>
      <c r="G52" s="1"/>
    </row>
    <row r="53" spans="1:9" ht="16.5" customHeight="1">
      <c r="A53" s="2" t="s">
        <v>34</v>
      </c>
      <c r="B53" s="35" t="s">
        <v>35</v>
      </c>
      <c r="C53" s="34"/>
      <c r="D53" s="35" t="s">
        <v>36</v>
      </c>
      <c r="E53" s="34"/>
      <c r="F53" s="1"/>
      <c r="G53" s="16"/>
      <c r="H53" s="1"/>
    </row>
    <row r="54" spans="1:9" ht="16.5" customHeight="1">
      <c r="A54" s="22"/>
      <c r="B54" s="3" t="s">
        <v>4</v>
      </c>
      <c r="C54" s="17" t="s">
        <v>5</v>
      </c>
      <c r="D54" s="3" t="s">
        <v>4</v>
      </c>
      <c r="E54" s="17" t="s">
        <v>5</v>
      </c>
      <c r="F54" s="1"/>
      <c r="G54" s="16"/>
      <c r="H54" s="1"/>
    </row>
    <row r="55" spans="1:9" ht="16.5" customHeight="1">
      <c r="A55" s="4" t="s">
        <v>6</v>
      </c>
      <c r="B55" s="23"/>
      <c r="C55" s="27" t="str">
        <f t="shared" ref="C55:C64" si="9">"1조" &amp; " - " &amp; B$53 &amp; " - " &amp; $A55</f>
        <v>1조 - Main-subroutine - Availability</v>
      </c>
      <c r="D55" s="24"/>
      <c r="E55" s="26" t="str">
        <f t="shared" ref="E55:E64" si="10">"1조" &amp; " - " &amp; D$53 &amp; " - " &amp; $A55</f>
        <v>1조 - Master-Slave - Availability</v>
      </c>
      <c r="F55" s="1"/>
      <c r="G55" s="16"/>
      <c r="H55" s="1"/>
    </row>
    <row r="56" spans="1:9" ht="16.5" customHeight="1">
      <c r="A56" s="4" t="s">
        <v>16</v>
      </c>
      <c r="B56" s="23"/>
      <c r="C56" s="30" t="str">
        <f t="shared" si="9"/>
        <v>1조 - Main-subroutine - Deployability</v>
      </c>
      <c r="D56" s="24"/>
      <c r="E56" s="26" t="str">
        <f t="shared" si="10"/>
        <v>1조 - Master-Slave - Deployability</v>
      </c>
      <c r="F56" s="1"/>
      <c r="G56" s="16"/>
      <c r="H56" s="1"/>
    </row>
    <row r="57" spans="1:9" ht="16.5" customHeight="1">
      <c r="A57" s="4" t="s">
        <v>17</v>
      </c>
      <c r="B57" s="23"/>
      <c r="C57" s="27" t="str">
        <f t="shared" si="9"/>
        <v>1조 - Main-subroutine - Integrability</v>
      </c>
      <c r="D57" s="24"/>
      <c r="E57" s="26" t="str">
        <f t="shared" si="10"/>
        <v>1조 - Master-Slave - Integrability</v>
      </c>
      <c r="F57" s="1"/>
      <c r="G57" s="16"/>
      <c r="H57" s="1"/>
    </row>
    <row r="58" spans="1:9" ht="16.5" customHeight="1">
      <c r="A58" s="4" t="s">
        <v>18</v>
      </c>
      <c r="B58" s="23"/>
      <c r="C58" s="27" t="str">
        <f t="shared" si="9"/>
        <v>1조 - Main-subroutine - Energy Efficiency</v>
      </c>
      <c r="D58" s="24"/>
      <c r="E58" s="26" t="str">
        <f t="shared" si="10"/>
        <v>1조 - Master-Slave - Energy Efficiency</v>
      </c>
      <c r="F58" s="1"/>
      <c r="G58" s="16"/>
      <c r="H58" s="1"/>
    </row>
    <row r="59" spans="1:9" ht="16.5" customHeight="1">
      <c r="A59" s="4" t="s">
        <v>19</v>
      </c>
      <c r="B59" s="23"/>
      <c r="C59" s="27" t="str">
        <f t="shared" si="9"/>
        <v>1조 - Main-subroutine - Modifiability</v>
      </c>
      <c r="D59" s="23"/>
      <c r="E59" s="27" t="str">
        <f t="shared" si="10"/>
        <v>1조 - Master-Slave - Modifiability</v>
      </c>
      <c r="F59" s="1"/>
      <c r="G59" s="16"/>
      <c r="H59" s="1"/>
    </row>
    <row r="60" spans="1:9" ht="16.5" customHeight="1">
      <c r="A60" s="4" t="s">
        <v>20</v>
      </c>
      <c r="B60" s="23"/>
      <c r="C60" s="27" t="str">
        <f t="shared" si="9"/>
        <v>1조 - Main-subroutine - Performance</v>
      </c>
      <c r="D60" s="24"/>
      <c r="E60" s="26" t="str">
        <f t="shared" si="10"/>
        <v>1조 - Master-Slave - Performance</v>
      </c>
      <c r="F60" s="1"/>
      <c r="G60" s="16"/>
      <c r="H60" s="1"/>
      <c r="I60" s="15"/>
    </row>
    <row r="61" spans="1:9" ht="16.5" customHeight="1">
      <c r="A61" s="4" t="s">
        <v>21</v>
      </c>
      <c r="B61" s="23"/>
      <c r="C61" s="27" t="str">
        <f t="shared" si="9"/>
        <v>1조 - Main-subroutine - Safety</v>
      </c>
      <c r="D61" s="23"/>
      <c r="E61" s="27" t="str">
        <f t="shared" si="10"/>
        <v>1조 - Master-Slave - Safety</v>
      </c>
      <c r="F61" s="1"/>
      <c r="G61" s="16"/>
      <c r="H61" s="1"/>
      <c r="I61" s="13"/>
    </row>
    <row r="62" spans="1:9" ht="16.5" customHeight="1">
      <c r="A62" s="4" t="s">
        <v>22</v>
      </c>
      <c r="B62" s="23"/>
      <c r="C62" s="27" t="str">
        <f t="shared" si="9"/>
        <v>1조 - Main-subroutine - Security</v>
      </c>
      <c r="D62" s="23"/>
      <c r="E62" s="27" t="str">
        <f t="shared" si="10"/>
        <v>1조 - Master-Slave - Security</v>
      </c>
      <c r="F62" s="1"/>
      <c r="G62" s="16"/>
      <c r="H62" s="1"/>
    </row>
    <row r="63" spans="1:9" ht="16.5" customHeight="1">
      <c r="A63" s="4" t="s">
        <v>23</v>
      </c>
      <c r="B63" s="23"/>
      <c r="C63" s="27" t="str">
        <f t="shared" si="9"/>
        <v>1조 - Main-subroutine - Testability</v>
      </c>
      <c r="D63" s="23"/>
      <c r="E63" s="27" t="str">
        <f t="shared" si="10"/>
        <v>1조 - Master-Slave - Testability</v>
      </c>
      <c r="F63" s="1"/>
      <c r="G63" s="16"/>
      <c r="H63" s="1"/>
    </row>
    <row r="64" spans="1:9" ht="16.5" customHeight="1">
      <c r="A64" s="4" t="s">
        <v>24</v>
      </c>
      <c r="B64" s="23"/>
      <c r="C64" s="27" t="str">
        <f t="shared" si="9"/>
        <v>1조 - Main-subroutine - Usability</v>
      </c>
      <c r="D64" s="23"/>
      <c r="E64" s="27" t="str">
        <f t="shared" si="10"/>
        <v>1조 - Master-Slave - Usability</v>
      </c>
      <c r="F64" s="1"/>
      <c r="G64" s="16"/>
      <c r="H64" s="1"/>
    </row>
    <row r="65" spans="1:8" ht="16.5" customHeight="1">
      <c r="A65" s="1"/>
      <c r="B65" s="16"/>
      <c r="C65" s="16"/>
      <c r="D65" s="16"/>
      <c r="E65" s="16"/>
      <c r="F65" s="1"/>
      <c r="G65" s="16"/>
      <c r="H65" s="1"/>
    </row>
    <row r="66" spans="1:8" ht="16.5" customHeight="1">
      <c r="A66" s="2" t="s">
        <v>34</v>
      </c>
      <c r="B66" s="35" t="s">
        <v>37</v>
      </c>
      <c r="C66" s="34"/>
      <c r="D66" s="35" t="s">
        <v>38</v>
      </c>
      <c r="E66" s="34"/>
      <c r="F66" s="35" t="s">
        <v>39</v>
      </c>
      <c r="G66" s="34"/>
      <c r="H66" s="1"/>
    </row>
    <row r="67" spans="1:8" ht="16.5" customHeight="1">
      <c r="A67" s="22"/>
      <c r="B67" s="3" t="s">
        <v>4</v>
      </c>
      <c r="C67" s="17" t="s">
        <v>5</v>
      </c>
      <c r="D67" s="3" t="s">
        <v>4</v>
      </c>
      <c r="E67" s="17" t="s">
        <v>5</v>
      </c>
      <c r="F67" s="3" t="s">
        <v>4</v>
      </c>
      <c r="G67" s="17" t="s">
        <v>5</v>
      </c>
      <c r="H67" s="1"/>
    </row>
    <row r="68" spans="1:8" ht="16.5" customHeight="1">
      <c r="A68" s="4" t="s">
        <v>6</v>
      </c>
      <c r="B68" s="24"/>
      <c r="C68" s="26" t="str">
        <f t="shared" ref="C68:C77" si="11">"1조" &amp; " - " &amp; B$66 &amp; " - " &amp; $A68</f>
        <v>1조 - Layered - Availability</v>
      </c>
      <c r="D68" s="23"/>
      <c r="E68" s="27" t="str">
        <f t="shared" ref="E68:E77" si="12">"1조" &amp; " - " &amp; D$66 &amp; " - " &amp; $A68</f>
        <v>1조 - Virtual Machine - Availability</v>
      </c>
      <c r="F68" s="23"/>
      <c r="G68" s="27" t="str">
        <f t="shared" ref="G68:G77" si="13">"1조" &amp; " - " &amp; F$66 &amp; " - " &amp; $A68</f>
        <v>1조 - Microkernel - Availability</v>
      </c>
      <c r="H68" s="1"/>
    </row>
    <row r="69" spans="1:8" ht="16.5" customHeight="1">
      <c r="A69" s="4" t="s">
        <v>16</v>
      </c>
      <c r="B69" s="23"/>
      <c r="C69" s="27" t="str">
        <f t="shared" si="11"/>
        <v>1조 - Layered - Deployability</v>
      </c>
      <c r="D69" s="23"/>
      <c r="E69" s="30" t="str">
        <f t="shared" si="12"/>
        <v>1조 - Virtual Machine - Deployability</v>
      </c>
      <c r="F69" s="24"/>
      <c r="G69" s="26" t="str">
        <f t="shared" si="13"/>
        <v>1조 - Microkernel - Deployability</v>
      </c>
      <c r="H69" s="1"/>
    </row>
    <row r="70" spans="1:8" ht="16.5" customHeight="1">
      <c r="A70" s="4" t="s">
        <v>17</v>
      </c>
      <c r="B70" s="24"/>
      <c r="C70" s="26" t="str">
        <f t="shared" si="11"/>
        <v>1조 - Layered - Integrability</v>
      </c>
      <c r="D70" s="23"/>
      <c r="E70" s="27" t="str">
        <f t="shared" si="12"/>
        <v>1조 - Virtual Machine - Integrability</v>
      </c>
      <c r="F70" s="24"/>
      <c r="G70" s="26" t="str">
        <f t="shared" si="13"/>
        <v>1조 - Microkernel - Integrability</v>
      </c>
      <c r="H70" s="1"/>
    </row>
    <row r="71" spans="1:8" ht="16.5" customHeight="1">
      <c r="A71" s="4" t="s">
        <v>18</v>
      </c>
      <c r="B71" s="23"/>
      <c r="C71" s="27" t="str">
        <f t="shared" si="11"/>
        <v>1조 - Layered - Energy Efficiency</v>
      </c>
      <c r="D71" s="23"/>
      <c r="E71" s="27" t="str">
        <f t="shared" si="12"/>
        <v>1조 - Virtual Machine - Energy Efficiency</v>
      </c>
      <c r="F71" s="23"/>
      <c r="G71" s="27" t="str">
        <f t="shared" si="13"/>
        <v>1조 - Microkernel - Energy Efficiency</v>
      </c>
      <c r="H71" s="1"/>
    </row>
    <row r="72" spans="1:8" ht="16.5" customHeight="1">
      <c r="A72" s="4" t="s">
        <v>19</v>
      </c>
      <c r="B72" s="24"/>
      <c r="C72" s="26" t="str">
        <f t="shared" si="11"/>
        <v>1조 - Layered - Modifiability</v>
      </c>
      <c r="D72" s="23"/>
      <c r="E72" s="27" t="str">
        <f t="shared" si="12"/>
        <v>1조 - Virtual Machine - Modifiability</v>
      </c>
      <c r="F72" s="24"/>
      <c r="G72" s="26" t="str">
        <f t="shared" si="13"/>
        <v>1조 - Microkernel - Modifiability</v>
      </c>
      <c r="H72" s="1"/>
    </row>
    <row r="73" spans="1:8" ht="16.5" customHeight="1">
      <c r="A73" s="4" t="s">
        <v>20</v>
      </c>
      <c r="B73" s="24"/>
      <c r="C73" s="26" t="str">
        <f t="shared" si="11"/>
        <v>1조 - Layered - Performance</v>
      </c>
      <c r="D73" s="23"/>
      <c r="E73" s="27" t="str">
        <f t="shared" si="12"/>
        <v>1조 - Virtual Machine - Performance</v>
      </c>
      <c r="F73" s="24"/>
      <c r="G73" s="26" t="str">
        <f t="shared" si="13"/>
        <v>1조 - Microkernel - Performance</v>
      </c>
      <c r="H73" s="1"/>
    </row>
    <row r="74" spans="1:8" ht="16.5" customHeight="1">
      <c r="A74" s="4" t="s">
        <v>21</v>
      </c>
      <c r="B74" s="23"/>
      <c r="C74" s="27" t="str">
        <f t="shared" si="11"/>
        <v>1조 - Layered - Safety</v>
      </c>
      <c r="D74" s="23"/>
      <c r="E74" s="27" t="str">
        <f t="shared" si="12"/>
        <v>1조 - Virtual Machine - Safety</v>
      </c>
      <c r="F74" s="23"/>
      <c r="G74" s="27" t="str">
        <f t="shared" si="13"/>
        <v>1조 - Microkernel - Safety</v>
      </c>
    </row>
    <row r="75" spans="1:8" ht="16.5" customHeight="1">
      <c r="A75" s="4" t="s">
        <v>22</v>
      </c>
      <c r="B75" s="24"/>
      <c r="C75" s="26" t="str">
        <f t="shared" si="11"/>
        <v>1조 - Layered - Security</v>
      </c>
      <c r="D75" s="23"/>
      <c r="E75" s="27" t="str">
        <f t="shared" si="12"/>
        <v>1조 - Virtual Machine - Security</v>
      </c>
      <c r="F75" s="24"/>
      <c r="G75" s="26" t="str">
        <f t="shared" si="13"/>
        <v>1조 - Microkernel - Security</v>
      </c>
    </row>
    <row r="76" spans="1:8" ht="16.5" customHeight="1">
      <c r="A76" s="4" t="s">
        <v>23</v>
      </c>
      <c r="B76" s="24"/>
      <c r="C76" s="26" t="str">
        <f t="shared" si="11"/>
        <v>1조 - Layered - Testability</v>
      </c>
      <c r="D76" s="23"/>
      <c r="E76" s="27" t="str">
        <f t="shared" si="12"/>
        <v>1조 - Virtual Machine - Testability</v>
      </c>
      <c r="F76" s="24"/>
      <c r="G76" s="26" t="str">
        <f t="shared" si="13"/>
        <v>1조 - Microkernel - Testability</v>
      </c>
    </row>
    <row r="77" spans="1:8" ht="16.5" customHeight="1">
      <c r="A77" s="4" t="s">
        <v>24</v>
      </c>
      <c r="B77" s="23"/>
      <c r="C77" s="27" t="str">
        <f t="shared" si="11"/>
        <v>1조 - Layered - Usability</v>
      </c>
      <c r="D77" s="23"/>
      <c r="E77" s="27" t="str">
        <f t="shared" si="12"/>
        <v>1조 - Virtual Machine - Usability</v>
      </c>
      <c r="F77" s="23"/>
      <c r="G77" s="27" t="str">
        <f t="shared" si="13"/>
        <v>1조 - Microkernel - Usability</v>
      </c>
    </row>
    <row r="78" spans="1:8" ht="16.5" customHeight="1">
      <c r="A78" s="1"/>
      <c r="B78" s="16"/>
      <c r="C78" s="16"/>
      <c r="D78" s="16"/>
      <c r="E78" s="16"/>
      <c r="F78" s="16"/>
      <c r="G78" s="16"/>
    </row>
    <row r="79" spans="1:8" ht="16.5" customHeight="1">
      <c r="A79" s="31" t="s">
        <v>40</v>
      </c>
      <c r="B79" s="35" t="s">
        <v>41</v>
      </c>
      <c r="C79" s="34"/>
      <c r="D79" s="35" t="s">
        <v>42</v>
      </c>
      <c r="E79" s="34"/>
    </row>
    <row r="80" spans="1:8" ht="16.5" customHeight="1">
      <c r="A80" s="32"/>
      <c r="B80" s="3" t="s">
        <v>4</v>
      </c>
      <c r="C80" s="3" t="s">
        <v>5</v>
      </c>
      <c r="D80" s="3" t="s">
        <v>4</v>
      </c>
      <c r="E80" s="3" t="s">
        <v>5</v>
      </c>
    </row>
    <row r="81" spans="1:7" ht="16.5" customHeight="1">
      <c r="A81" s="4" t="s">
        <v>6</v>
      </c>
      <c r="B81" s="24"/>
      <c r="C81" s="26" t="str">
        <f t="shared" ref="C81:C90" si="14">"1조" &amp; " - " &amp; B$79 &amp; " - " &amp; $A81</f>
        <v>1조 - Multi-tier - Availability</v>
      </c>
      <c r="D81" s="23"/>
      <c r="E81" s="27" t="str">
        <f t="shared" ref="E81:E90" si="15">"1조" &amp; " - " &amp; D$79 &amp; " - " &amp; $A81</f>
        <v>1조 - Client-Server - Availability</v>
      </c>
    </row>
    <row r="82" spans="1:7" ht="16.5" customHeight="1">
      <c r="A82" s="4" t="s">
        <v>16</v>
      </c>
      <c r="B82" s="24"/>
      <c r="C82" s="26" t="str">
        <f t="shared" si="14"/>
        <v>1조 - Multi-tier - Deployability</v>
      </c>
      <c r="D82" s="23"/>
      <c r="E82" s="27" t="str">
        <f t="shared" si="15"/>
        <v>1조 - Client-Server - Deployability</v>
      </c>
    </row>
    <row r="83" spans="1:7" ht="16.5" customHeight="1">
      <c r="A83" s="4" t="s">
        <v>17</v>
      </c>
      <c r="B83" s="24"/>
      <c r="C83" s="26" t="str">
        <f t="shared" si="14"/>
        <v>1조 - Multi-tier - Integrability</v>
      </c>
      <c r="D83" s="23"/>
      <c r="E83" s="27" t="str">
        <f t="shared" si="15"/>
        <v>1조 - Client-Server - Integrability</v>
      </c>
    </row>
    <row r="84" spans="1:7" ht="16.5" customHeight="1">
      <c r="A84" s="4" t="s">
        <v>18</v>
      </c>
      <c r="B84" s="24"/>
      <c r="C84" s="26" t="str">
        <f t="shared" si="14"/>
        <v>1조 - Multi-tier - Energy Efficiency</v>
      </c>
      <c r="D84" s="23"/>
      <c r="E84" s="27" t="str">
        <f t="shared" si="15"/>
        <v>1조 - Client-Server - Energy Efficiency</v>
      </c>
    </row>
    <row r="85" spans="1:7" ht="16.5" customHeight="1">
      <c r="A85" s="4" t="s">
        <v>19</v>
      </c>
      <c r="B85" s="23"/>
      <c r="C85" s="27" t="str">
        <f t="shared" si="14"/>
        <v>1조 - Multi-tier - Modifiability</v>
      </c>
      <c r="D85" s="23"/>
      <c r="E85" s="27" t="str">
        <f t="shared" si="15"/>
        <v>1조 - Client-Server - Modifiability</v>
      </c>
    </row>
    <row r="86" spans="1:7" ht="16.5" customHeight="1">
      <c r="A86" s="4" t="s">
        <v>20</v>
      </c>
      <c r="B86" s="24"/>
      <c r="C86" s="26" t="str">
        <f t="shared" si="14"/>
        <v>1조 - Multi-tier - Performance</v>
      </c>
      <c r="D86" s="23"/>
      <c r="E86" s="27" t="str">
        <f t="shared" si="15"/>
        <v>1조 - Client-Server - Performance</v>
      </c>
    </row>
    <row r="87" spans="1:7" ht="16.5" customHeight="1">
      <c r="A87" s="4" t="s">
        <v>21</v>
      </c>
      <c r="B87" s="23"/>
      <c r="C87" s="27" t="str">
        <f t="shared" si="14"/>
        <v>1조 - Multi-tier - Safety</v>
      </c>
      <c r="D87" s="23"/>
      <c r="E87" s="27" t="str">
        <f t="shared" si="15"/>
        <v>1조 - Client-Server - Safety</v>
      </c>
    </row>
    <row r="88" spans="1:7" ht="16.5" customHeight="1">
      <c r="A88" s="4" t="s">
        <v>22</v>
      </c>
      <c r="B88" s="24"/>
      <c r="C88" s="26" t="str">
        <f t="shared" si="14"/>
        <v>1조 - Multi-tier - Security</v>
      </c>
      <c r="D88" s="23"/>
      <c r="E88" s="27" t="str">
        <f t="shared" si="15"/>
        <v>1조 - Client-Server - Security</v>
      </c>
    </row>
    <row r="89" spans="1:7" ht="16.5" customHeight="1">
      <c r="A89" s="4" t="s">
        <v>23</v>
      </c>
      <c r="B89" s="23"/>
      <c r="C89" s="27" t="str">
        <f t="shared" si="14"/>
        <v>1조 - Multi-tier - Testability</v>
      </c>
      <c r="D89" s="23"/>
      <c r="E89" s="27" t="str">
        <f t="shared" si="15"/>
        <v>1조 - Client-Server - Testability</v>
      </c>
    </row>
    <row r="90" spans="1:7" ht="16.5" customHeight="1">
      <c r="A90" s="4" t="s">
        <v>24</v>
      </c>
      <c r="B90" s="23"/>
      <c r="C90" s="27" t="str">
        <f t="shared" si="14"/>
        <v>1조 - Multi-tier - Usability</v>
      </c>
      <c r="D90" s="23"/>
      <c r="E90" s="27" t="str">
        <f t="shared" si="15"/>
        <v>1조 - Client-Server - Usability</v>
      </c>
    </row>
    <row r="91" spans="1:7" ht="16.5" customHeight="1">
      <c r="A91" s="1"/>
      <c r="B91" s="16"/>
      <c r="C91" s="1"/>
      <c r="D91" s="16"/>
      <c r="E91" s="1"/>
      <c r="F91" s="16"/>
      <c r="G91" s="1"/>
    </row>
    <row r="92" spans="1:7" ht="16.5" customHeight="1">
      <c r="A92" s="31" t="s">
        <v>40</v>
      </c>
      <c r="B92" s="35" t="s">
        <v>43</v>
      </c>
      <c r="C92" s="34"/>
      <c r="D92" s="33" t="s">
        <v>44</v>
      </c>
      <c r="E92" s="34"/>
    </row>
    <row r="93" spans="1:7" ht="16.5" customHeight="1">
      <c r="A93" s="32"/>
      <c r="B93" s="3" t="s">
        <v>4</v>
      </c>
      <c r="C93" s="3" t="s">
        <v>5</v>
      </c>
      <c r="D93" s="3" t="s">
        <v>4</v>
      </c>
      <c r="E93" s="3" t="s">
        <v>5</v>
      </c>
    </row>
    <row r="94" spans="1:7" ht="16.5" customHeight="1">
      <c r="A94" s="4" t="s">
        <v>6</v>
      </c>
      <c r="B94" s="23"/>
      <c r="C94" s="27" t="str">
        <f t="shared" ref="C94:C103" si="16">"1조" &amp; " - " &amp; B$92 &amp; " - " &amp; $A94</f>
        <v>1조 - Broker - Availability</v>
      </c>
      <c r="D94" s="23"/>
      <c r="E94" s="27" t="str">
        <f t="shared" ref="E94:E103" si="17">"1조" &amp; " - " &amp; D$92 &amp; " - " &amp; $A94</f>
        <v>1조 - Dispatcher - Availability</v>
      </c>
    </row>
    <row r="95" spans="1:7" ht="16.5" customHeight="1">
      <c r="A95" s="4" t="s">
        <v>16</v>
      </c>
      <c r="B95" s="23"/>
      <c r="C95" s="27" t="str">
        <f t="shared" si="16"/>
        <v>1조 - Broker - Deployability</v>
      </c>
      <c r="D95" s="23"/>
      <c r="E95" s="27" t="str">
        <f t="shared" si="17"/>
        <v>1조 - Dispatcher - Deployability</v>
      </c>
    </row>
    <row r="96" spans="1:7" ht="16.5" customHeight="1">
      <c r="A96" s="4" t="s">
        <v>17</v>
      </c>
      <c r="B96" s="23"/>
      <c r="C96" s="27" t="str">
        <f t="shared" si="16"/>
        <v>1조 - Broker - Integrability</v>
      </c>
      <c r="D96" s="23"/>
      <c r="E96" s="27" t="str">
        <f t="shared" si="17"/>
        <v>1조 - Dispatcher - Integrability</v>
      </c>
    </row>
    <row r="97" spans="1:7" ht="16.5" customHeight="1">
      <c r="A97" s="4" t="s">
        <v>18</v>
      </c>
      <c r="B97" s="23"/>
      <c r="C97" s="27" t="str">
        <f t="shared" si="16"/>
        <v>1조 - Broker - Energy Efficiency</v>
      </c>
      <c r="D97" s="23"/>
      <c r="E97" s="27" t="str">
        <f t="shared" si="17"/>
        <v>1조 - Dispatcher - Energy Efficiency</v>
      </c>
    </row>
    <row r="98" spans="1:7" ht="16.5" customHeight="1">
      <c r="A98" s="4" t="s">
        <v>19</v>
      </c>
      <c r="B98" s="23"/>
      <c r="C98" s="27" t="str">
        <f t="shared" si="16"/>
        <v>1조 - Broker - Modifiability</v>
      </c>
      <c r="D98" s="23"/>
      <c r="E98" s="27" t="str">
        <f t="shared" si="17"/>
        <v>1조 - Dispatcher - Modifiability</v>
      </c>
    </row>
    <row r="99" spans="1:7" ht="16.5" customHeight="1">
      <c r="A99" s="4" t="s">
        <v>20</v>
      </c>
      <c r="B99" s="23"/>
      <c r="C99" s="27" t="str">
        <f t="shared" si="16"/>
        <v>1조 - Broker - Performance</v>
      </c>
      <c r="D99" s="23"/>
      <c r="E99" s="27" t="str">
        <f t="shared" si="17"/>
        <v>1조 - Dispatcher - Performance</v>
      </c>
    </row>
    <row r="100" spans="1:7" ht="16.5" customHeight="1">
      <c r="A100" s="4" t="s">
        <v>21</v>
      </c>
      <c r="B100" s="23"/>
      <c r="C100" s="27" t="str">
        <f t="shared" si="16"/>
        <v>1조 - Broker - Safety</v>
      </c>
      <c r="D100" s="23"/>
      <c r="E100" s="27" t="str">
        <f t="shared" si="17"/>
        <v>1조 - Dispatcher - Safety</v>
      </c>
    </row>
    <row r="101" spans="1:7" ht="16.5" customHeight="1">
      <c r="A101" s="4" t="s">
        <v>22</v>
      </c>
      <c r="B101" s="23"/>
      <c r="C101" s="27" t="str">
        <f t="shared" si="16"/>
        <v>1조 - Broker - Security</v>
      </c>
      <c r="D101" s="23"/>
      <c r="E101" s="27" t="str">
        <f t="shared" si="17"/>
        <v>1조 - Dispatcher - Security</v>
      </c>
    </row>
    <row r="102" spans="1:7" ht="16.5" customHeight="1">
      <c r="A102" s="4" t="s">
        <v>23</v>
      </c>
      <c r="B102" s="23"/>
      <c r="C102" s="27" t="str">
        <f t="shared" si="16"/>
        <v>1조 - Broker - Testability</v>
      </c>
      <c r="D102" s="23"/>
      <c r="E102" s="27" t="str">
        <f t="shared" si="17"/>
        <v>1조 - Dispatcher - Testability</v>
      </c>
    </row>
    <row r="103" spans="1:7" ht="16.5" customHeight="1">
      <c r="A103" s="4" t="s">
        <v>24</v>
      </c>
      <c r="B103" s="23"/>
      <c r="C103" s="27" t="str">
        <f t="shared" si="16"/>
        <v>1조 - Broker - Usability</v>
      </c>
      <c r="D103" s="23"/>
      <c r="E103" s="27" t="str">
        <f t="shared" si="17"/>
        <v>1조 - Dispatcher - Usability</v>
      </c>
    </row>
    <row r="104" spans="1:7" ht="16.5" customHeight="1">
      <c r="A104" s="1"/>
      <c r="B104" s="16"/>
      <c r="C104" s="1"/>
      <c r="D104" s="16"/>
      <c r="E104" s="1"/>
      <c r="F104" s="1"/>
      <c r="G104" s="1"/>
    </row>
    <row r="105" spans="1:7" ht="16.5" customHeight="1">
      <c r="A105" s="31" t="s">
        <v>40</v>
      </c>
      <c r="B105" s="35" t="s">
        <v>51</v>
      </c>
      <c r="C105" s="34"/>
      <c r="D105" s="33" t="s">
        <v>52</v>
      </c>
      <c r="E105" s="34"/>
    </row>
    <row r="106" spans="1:7" ht="16.5" customHeight="1">
      <c r="A106" s="32"/>
      <c r="B106" s="3" t="s">
        <v>4</v>
      </c>
      <c r="C106" s="3" t="s">
        <v>5</v>
      </c>
      <c r="D106" s="3" t="s">
        <v>4</v>
      </c>
      <c r="E106" s="3" t="s">
        <v>5</v>
      </c>
    </row>
    <row r="107" spans="1:7" ht="16.5" customHeight="1">
      <c r="A107" s="4" t="s">
        <v>6</v>
      </c>
      <c r="B107" s="23"/>
      <c r="C107" s="27" t="str">
        <f t="shared" ref="C107:C116" si="18">"1조" &amp; " - " &amp; B$105 &amp; " - " &amp; $A107</f>
        <v>1조 - SOA - Availability</v>
      </c>
      <c r="D107" s="23"/>
      <c r="E107" s="27" t="str">
        <f t="shared" ref="E107:E116" si="19">"1조" &amp; " - " &amp; D$105 &amp; " - " &amp; $A107</f>
        <v>1조 - Mico-Service - Availability</v>
      </c>
    </row>
    <row r="108" spans="1:7" ht="16.5" customHeight="1">
      <c r="A108" s="4" t="s">
        <v>16</v>
      </c>
      <c r="B108" s="23"/>
      <c r="C108" s="27" t="str">
        <f t="shared" si="18"/>
        <v>1조 - SOA - Deployability</v>
      </c>
      <c r="D108" s="23"/>
      <c r="E108" s="27" t="str">
        <f t="shared" si="19"/>
        <v>1조 - Mico-Service - Deployability</v>
      </c>
    </row>
    <row r="109" spans="1:7" ht="16.5" customHeight="1">
      <c r="A109" s="4" t="s">
        <v>17</v>
      </c>
      <c r="B109" s="23"/>
      <c r="C109" s="27" t="str">
        <f t="shared" si="18"/>
        <v>1조 - SOA - Integrability</v>
      </c>
      <c r="D109" s="23"/>
      <c r="E109" s="27" t="str">
        <f t="shared" si="19"/>
        <v>1조 - Mico-Service - Integrability</v>
      </c>
    </row>
    <row r="110" spans="1:7" ht="16.5" customHeight="1">
      <c r="A110" s="4" t="s">
        <v>18</v>
      </c>
      <c r="B110" s="23"/>
      <c r="C110" s="27" t="str">
        <f t="shared" si="18"/>
        <v>1조 - SOA - Energy Efficiency</v>
      </c>
      <c r="D110" s="23"/>
      <c r="E110" s="27" t="str">
        <f t="shared" si="19"/>
        <v>1조 - Mico-Service - Energy Efficiency</v>
      </c>
    </row>
    <row r="111" spans="1:7" ht="16.5" customHeight="1">
      <c r="A111" s="4" t="s">
        <v>19</v>
      </c>
      <c r="B111" s="23"/>
      <c r="C111" s="27" t="str">
        <f t="shared" si="18"/>
        <v>1조 - SOA - Modifiability</v>
      </c>
      <c r="D111" s="23"/>
      <c r="E111" s="27" t="str">
        <f t="shared" si="19"/>
        <v>1조 - Mico-Service - Modifiability</v>
      </c>
    </row>
    <row r="112" spans="1:7" ht="16.5" customHeight="1">
      <c r="A112" s="4" t="s">
        <v>20</v>
      </c>
      <c r="B112" s="23"/>
      <c r="C112" s="27" t="str">
        <f t="shared" si="18"/>
        <v>1조 - SOA - Performance</v>
      </c>
      <c r="D112" s="23"/>
      <c r="E112" s="27" t="str">
        <f t="shared" si="19"/>
        <v>1조 - Mico-Service - Performance</v>
      </c>
    </row>
    <row r="113" spans="1:7" ht="16.5" customHeight="1">
      <c r="A113" s="4" t="s">
        <v>21</v>
      </c>
      <c r="B113" s="23"/>
      <c r="C113" s="27" t="str">
        <f t="shared" si="18"/>
        <v>1조 - SOA - Safety</v>
      </c>
      <c r="D113" s="23"/>
      <c r="E113" s="27" t="str">
        <f t="shared" si="19"/>
        <v>1조 - Mico-Service - Safety</v>
      </c>
    </row>
    <row r="114" spans="1:7" ht="16.5" customHeight="1">
      <c r="A114" s="4" t="s">
        <v>22</v>
      </c>
      <c r="B114" s="23"/>
      <c r="C114" s="27" t="str">
        <f t="shared" si="18"/>
        <v>1조 - SOA - Security</v>
      </c>
      <c r="D114" s="23"/>
      <c r="E114" s="27" t="str">
        <f t="shared" si="19"/>
        <v>1조 - Mico-Service - Security</v>
      </c>
    </row>
    <row r="115" spans="1:7" ht="16.5" customHeight="1">
      <c r="A115" s="4" t="s">
        <v>23</v>
      </c>
      <c r="B115" s="23"/>
      <c r="C115" s="27" t="str">
        <f t="shared" si="18"/>
        <v>1조 - SOA - Testability</v>
      </c>
      <c r="D115" s="23"/>
      <c r="E115" s="27" t="str">
        <f t="shared" si="19"/>
        <v>1조 - Mico-Service - Testability</v>
      </c>
    </row>
    <row r="116" spans="1:7" ht="16.5" customHeight="1">
      <c r="A116" s="4" t="s">
        <v>24</v>
      </c>
      <c r="B116" s="23"/>
      <c r="C116" s="27" t="str">
        <f t="shared" si="18"/>
        <v>1조 - SOA - Usability</v>
      </c>
      <c r="D116" s="23"/>
      <c r="E116" s="27" t="str">
        <f t="shared" si="19"/>
        <v>1조 - Mico-Service - Usability</v>
      </c>
    </row>
    <row r="117" spans="1:7" ht="16.5" customHeight="1">
      <c r="A117" s="1"/>
      <c r="B117" s="16"/>
      <c r="C117" s="1"/>
      <c r="D117" s="16"/>
      <c r="E117" s="1"/>
      <c r="F117" s="1"/>
      <c r="G117" s="1"/>
    </row>
    <row r="118" spans="1:7" ht="16.5" customHeight="1">
      <c r="A118" s="31" t="s">
        <v>48</v>
      </c>
      <c r="B118" s="33" t="s">
        <v>49</v>
      </c>
      <c r="C118" s="34"/>
      <c r="D118" s="33" t="s">
        <v>50</v>
      </c>
      <c r="E118" s="34"/>
      <c r="F118" s="33" t="s">
        <v>46</v>
      </c>
      <c r="G118" s="34"/>
    </row>
    <row r="119" spans="1:7" ht="16.5" customHeight="1">
      <c r="A119" s="32"/>
      <c r="B119" s="3" t="s">
        <v>4</v>
      </c>
      <c r="C119" s="3" t="s">
        <v>5</v>
      </c>
      <c r="D119" s="3" t="s">
        <v>4</v>
      </c>
      <c r="E119" s="3" t="s">
        <v>5</v>
      </c>
      <c r="F119" s="3" t="s">
        <v>4</v>
      </c>
      <c r="G119" s="3" t="s">
        <v>5</v>
      </c>
    </row>
    <row r="120" spans="1:7" ht="16.5" customHeight="1">
      <c r="A120" s="4" t="s">
        <v>6</v>
      </c>
      <c r="B120" s="24"/>
      <c r="C120" s="26" t="str">
        <f t="shared" ref="C120:C129" si="20">"1조" &amp; " - " &amp; B$118 &amp; " - " &amp; $A120</f>
        <v>1조 - Container-based - Availability</v>
      </c>
      <c r="D120" s="24"/>
      <c r="E120" s="26" t="str">
        <f t="shared" ref="E120:E129" si="21">"1조" &amp; " - " &amp; D$118 &amp; " - " &amp; $A120</f>
        <v>1조 - Cloud-based - Availability</v>
      </c>
      <c r="F120" s="24"/>
      <c r="G120" s="26" t="str">
        <f t="shared" ref="G120:G129" si="22">"1조" &amp; " - " &amp; F$118 &amp; " - " &amp; $A120</f>
        <v>1조 - Edge-based - Availability</v>
      </c>
    </row>
    <row r="121" spans="1:7" ht="16.5" customHeight="1">
      <c r="A121" s="4" t="s">
        <v>16</v>
      </c>
      <c r="B121" s="24"/>
      <c r="C121" s="26" t="str">
        <f t="shared" si="20"/>
        <v>1조 - Container-based - Deployability</v>
      </c>
      <c r="D121" s="24"/>
      <c r="E121" s="26" t="str">
        <f t="shared" si="21"/>
        <v>1조 - Cloud-based - Deployability</v>
      </c>
      <c r="F121" s="24"/>
      <c r="G121" s="26" t="str">
        <f t="shared" si="22"/>
        <v>1조 - Edge-based - Deployability</v>
      </c>
    </row>
    <row r="122" spans="1:7" ht="16.5" customHeight="1">
      <c r="A122" s="4" t="s">
        <v>17</v>
      </c>
      <c r="B122" s="24"/>
      <c r="C122" s="26" t="str">
        <f t="shared" si="20"/>
        <v>1조 - Container-based - Integrability</v>
      </c>
      <c r="D122" s="24"/>
      <c r="E122" s="26" t="str">
        <f t="shared" si="21"/>
        <v>1조 - Cloud-based - Integrability</v>
      </c>
      <c r="F122" s="24"/>
      <c r="G122" s="26" t="str">
        <f t="shared" si="22"/>
        <v>1조 - Edge-based - Integrability</v>
      </c>
    </row>
    <row r="123" spans="1:7" ht="16.5" customHeight="1">
      <c r="A123" s="4" t="s">
        <v>18</v>
      </c>
      <c r="B123" s="23"/>
      <c r="C123" s="27" t="str">
        <f t="shared" si="20"/>
        <v>1조 - Container-based - Energy Efficiency</v>
      </c>
      <c r="D123" s="23"/>
      <c r="E123" s="27" t="str">
        <f t="shared" si="21"/>
        <v>1조 - Cloud-based - Energy Efficiency</v>
      </c>
      <c r="F123" s="24"/>
      <c r="G123" s="26" t="str">
        <f t="shared" si="22"/>
        <v>1조 - Edge-based - Energy Efficiency</v>
      </c>
    </row>
    <row r="124" spans="1:7" ht="16.5" customHeight="1">
      <c r="A124" s="4" t="s">
        <v>19</v>
      </c>
      <c r="B124" s="24"/>
      <c r="C124" s="26" t="str">
        <f t="shared" si="20"/>
        <v>1조 - Container-based - Modifiability</v>
      </c>
      <c r="D124" s="23"/>
      <c r="E124" s="27" t="str">
        <f t="shared" si="21"/>
        <v>1조 - Cloud-based - Modifiability</v>
      </c>
      <c r="F124" s="24"/>
      <c r="G124" s="26" t="str">
        <f t="shared" si="22"/>
        <v>1조 - Edge-based - Modifiability</v>
      </c>
    </row>
    <row r="125" spans="1:7" ht="16.5" customHeight="1">
      <c r="A125" s="4" t="s">
        <v>20</v>
      </c>
      <c r="B125" s="24"/>
      <c r="C125" s="26" t="str">
        <f t="shared" si="20"/>
        <v>1조 - Container-based - Performance</v>
      </c>
      <c r="D125" s="24"/>
      <c r="E125" s="26" t="str">
        <f t="shared" si="21"/>
        <v>1조 - Cloud-based - Performance</v>
      </c>
      <c r="F125" s="24"/>
      <c r="G125" s="26" t="str">
        <f t="shared" si="22"/>
        <v>1조 - Edge-based - Performance</v>
      </c>
    </row>
    <row r="126" spans="1:7" ht="16.5" customHeight="1">
      <c r="A126" s="4" t="s">
        <v>21</v>
      </c>
      <c r="B126" s="23"/>
      <c r="C126" s="27" t="str">
        <f t="shared" si="20"/>
        <v>1조 - Container-based - Safety</v>
      </c>
      <c r="D126" s="23"/>
      <c r="E126" s="27" t="str">
        <f t="shared" si="21"/>
        <v>1조 - Cloud-based - Safety</v>
      </c>
      <c r="F126" s="23"/>
      <c r="G126" s="27" t="str">
        <f t="shared" si="22"/>
        <v>1조 - Edge-based - Safety</v>
      </c>
    </row>
    <row r="127" spans="1:7" ht="16.5" customHeight="1">
      <c r="A127" s="4" t="s">
        <v>22</v>
      </c>
      <c r="B127" s="23"/>
      <c r="C127" s="27" t="str">
        <f t="shared" si="20"/>
        <v>1조 - Container-based - Security</v>
      </c>
      <c r="D127" s="24"/>
      <c r="E127" s="26" t="str">
        <f t="shared" si="21"/>
        <v>1조 - Cloud-based - Security</v>
      </c>
      <c r="F127" s="24"/>
      <c r="G127" s="26" t="str">
        <f t="shared" si="22"/>
        <v>1조 - Edge-based - Security</v>
      </c>
    </row>
    <row r="128" spans="1:7" ht="16.5" customHeight="1">
      <c r="A128" s="4" t="s">
        <v>23</v>
      </c>
      <c r="B128" s="24"/>
      <c r="C128" s="26" t="str">
        <f t="shared" si="20"/>
        <v>1조 - Container-based - Testability</v>
      </c>
      <c r="D128" s="24"/>
      <c r="E128" s="26" t="str">
        <f t="shared" si="21"/>
        <v>1조 - Cloud-based - Testability</v>
      </c>
      <c r="F128" s="24"/>
      <c r="G128" s="26" t="str">
        <f t="shared" si="22"/>
        <v>1조 - Edge-based - Testability</v>
      </c>
    </row>
    <row r="129" spans="1:7" ht="16.5" customHeight="1">
      <c r="A129" s="4" t="s">
        <v>24</v>
      </c>
      <c r="B129" s="23"/>
      <c r="C129" s="27" t="str">
        <f t="shared" si="20"/>
        <v>1조 - Container-based - Usability</v>
      </c>
      <c r="D129" s="23"/>
      <c r="E129" s="27" t="str">
        <f t="shared" si="21"/>
        <v>1조 - Cloud-based - Usability</v>
      </c>
      <c r="F129" s="23"/>
      <c r="G129" s="27" t="str">
        <f t="shared" si="22"/>
        <v>1조 - Edge-based - Usability</v>
      </c>
    </row>
    <row r="130" spans="1:7" ht="16.5" customHeight="1">
      <c r="B130" s="16"/>
      <c r="D130" s="16"/>
      <c r="F130" s="16"/>
    </row>
    <row r="131" spans="1:7" ht="16.5" customHeight="1"/>
    <row r="132" spans="1:7" ht="16.5" customHeight="1"/>
    <row r="133" spans="1:7" ht="16.5" customHeight="1"/>
    <row r="134" spans="1:7" ht="16.5" customHeight="1"/>
    <row r="135" spans="1:7" ht="16.5" customHeight="1"/>
    <row r="136" spans="1:7" ht="16.5" customHeight="1"/>
    <row r="137" spans="1:7" ht="16.5" customHeight="1"/>
    <row r="138" spans="1:7" ht="16.5" customHeight="1"/>
    <row r="139" spans="1:7" ht="16.5" customHeight="1"/>
    <row r="140" spans="1:7" ht="16.5" customHeight="1"/>
    <row r="141" spans="1:7" ht="16.5" customHeight="1"/>
    <row r="142" spans="1:7" ht="16.5" customHeight="1"/>
    <row r="143" spans="1:7" ht="16.5" customHeight="1"/>
    <row r="144" spans="1:7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</sheetData>
  <mergeCells count="28">
    <mergeCell ref="F66:G66"/>
    <mergeCell ref="D92:E92"/>
    <mergeCell ref="A118:A119"/>
    <mergeCell ref="B118:C118"/>
    <mergeCell ref="D118:E118"/>
    <mergeCell ref="F118:G118"/>
    <mergeCell ref="B66:C66"/>
    <mergeCell ref="A79:A80"/>
    <mergeCell ref="B79:C79"/>
    <mergeCell ref="D79:E79"/>
    <mergeCell ref="A92:A93"/>
    <mergeCell ref="B92:C92"/>
    <mergeCell ref="A105:A106"/>
    <mergeCell ref="B105:C105"/>
    <mergeCell ref="D105:E105"/>
    <mergeCell ref="F1:G1"/>
    <mergeCell ref="B14:C14"/>
    <mergeCell ref="D14:E14"/>
    <mergeCell ref="D27:E27"/>
    <mergeCell ref="B27:C27"/>
    <mergeCell ref="B53:C53"/>
    <mergeCell ref="D53:E53"/>
    <mergeCell ref="D66:E66"/>
    <mergeCell ref="A1:A2"/>
    <mergeCell ref="B1:C1"/>
    <mergeCell ref="D1:E1"/>
    <mergeCell ref="B40:C40"/>
    <mergeCell ref="D40:E40"/>
  </mergeCells>
  <phoneticPr fontId="7" type="noConversion"/>
  <dataValidations count="1">
    <dataValidation type="list" allowBlank="1" showErrorMessage="1" sqref="B3:B12 D3:D12 F3:F12 B14 D14 B16:B25 D16:D25 B27 D27 B29:B38 D29:D38 B42:B51 D42:D51 B53 D53 B55:B64 D55:D64 B66 D66 F66 B68:B77 D68:D77 B79 D79 F68:F78 B81:B90 D81:D90 B92 B94:B103 F120:F129 B120:B129 D120:D129 D94:D103 D107:D116 B107:B116" xr:uid="{00000000-0002-0000-0A00-000000000000}">
      <formula1>"'++,'+,'0,'-,'--"</formula1>
    </dataValidation>
  </dataValidation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99"/>
  <sheetViews>
    <sheetView topLeftCell="A2" workbookViewId="0">
      <pane xSplit="1" topLeftCell="B1" activePane="topRight" state="frozen"/>
      <selection pane="topRight" activeCell="E29" sqref="E29"/>
    </sheetView>
  </sheetViews>
  <sheetFormatPr defaultColWidth="14.42578125" defaultRowHeight="15" customHeight="1"/>
  <cols>
    <col min="1" max="1" width="18" customWidth="1"/>
    <col min="2" max="2" width="14.7109375" customWidth="1"/>
    <col min="3" max="3" width="70.5703125" customWidth="1"/>
    <col min="4" max="4" width="9.85546875" customWidth="1"/>
    <col min="5" max="5" width="64.42578125" customWidth="1"/>
    <col min="6" max="6" width="11.42578125" customWidth="1"/>
    <col min="7" max="7" width="61.5703125" customWidth="1"/>
    <col min="8" max="8" width="8.85546875" customWidth="1"/>
    <col min="9" max="9" width="64.140625" customWidth="1"/>
    <col min="10" max="26" width="8.85546875" customWidth="1"/>
  </cols>
  <sheetData>
    <row r="1" spans="1:7" ht="16.5" customHeight="1">
      <c r="A1" s="31" t="s">
        <v>53</v>
      </c>
      <c r="B1" s="33" t="s">
        <v>54</v>
      </c>
      <c r="C1" s="34"/>
      <c r="D1" s="33" t="s">
        <v>55</v>
      </c>
      <c r="E1" s="34"/>
      <c r="F1" s="33" t="s">
        <v>56</v>
      </c>
      <c r="G1" s="34"/>
    </row>
    <row r="2" spans="1:7" ht="16.5" customHeight="1">
      <c r="A2" s="32"/>
      <c r="B2" s="3" t="s">
        <v>57</v>
      </c>
      <c r="C2" s="3" t="s">
        <v>58</v>
      </c>
      <c r="D2" s="3" t="s">
        <v>57</v>
      </c>
      <c r="E2" s="3" t="s">
        <v>58</v>
      </c>
      <c r="F2" s="3" t="s">
        <v>57</v>
      </c>
      <c r="G2" s="3" t="s">
        <v>58</v>
      </c>
    </row>
    <row r="3" spans="1:7" ht="16.5" customHeight="1">
      <c r="A3" s="4" t="s">
        <v>59</v>
      </c>
      <c r="B3" s="24" t="s">
        <v>60</v>
      </c>
      <c r="C3" s="26" t="str">
        <f t="shared" ref="C3:C12" si="0">"2조" &amp; " - " &amp; B$1 &amp; " - " &amp; $A3</f>
        <v>2조 - Batch Sequential - Availability</v>
      </c>
      <c r="D3" s="24" t="s">
        <v>60</v>
      </c>
      <c r="E3" s="26" t="str">
        <f t="shared" ref="E3:E12" si="1">"2조" &amp; " - " &amp; D$1 &amp; " - " &amp; $A3</f>
        <v>2조 - Pipe and Filter - Availability</v>
      </c>
      <c r="F3" s="23" t="s">
        <v>60</v>
      </c>
      <c r="G3" s="27" t="str">
        <f t="shared" ref="G3:G12" si="2">"2조" &amp; " - " &amp; F$1 &amp; " - " &amp; $A3</f>
        <v>2조 - Process Control - Availability</v>
      </c>
    </row>
    <row r="4" spans="1:7" ht="16.5" customHeight="1">
      <c r="A4" s="4" t="s">
        <v>61</v>
      </c>
      <c r="B4" s="24" t="s">
        <v>60</v>
      </c>
      <c r="C4" s="26" t="str">
        <f t="shared" si="0"/>
        <v>2조 - Batch Sequential - Deployability</v>
      </c>
      <c r="D4" s="24" t="s">
        <v>60</v>
      </c>
      <c r="E4" s="26" t="str">
        <f t="shared" si="1"/>
        <v>2조 - Pipe and Filter - Deployability</v>
      </c>
      <c r="F4" s="23" t="s">
        <v>60</v>
      </c>
      <c r="G4" s="27" t="str">
        <f t="shared" si="2"/>
        <v>2조 - Process Control - Deployability</v>
      </c>
    </row>
    <row r="5" spans="1:7" ht="16.5" customHeight="1">
      <c r="A5" s="4" t="s">
        <v>62</v>
      </c>
      <c r="B5" s="23" t="s">
        <v>60</v>
      </c>
      <c r="C5" s="26" t="str">
        <f t="shared" si="0"/>
        <v>2조 - Batch Sequential - Integrability</v>
      </c>
      <c r="D5" s="24" t="s">
        <v>60</v>
      </c>
      <c r="E5" s="28" t="str">
        <f t="shared" si="1"/>
        <v>2조 - Pipe and Filter - Integrability</v>
      </c>
      <c r="F5" s="23" t="s">
        <v>60</v>
      </c>
      <c r="G5" s="27" t="str">
        <f t="shared" si="2"/>
        <v>2조 - Process Control - Integrability</v>
      </c>
    </row>
    <row r="6" spans="1:7" ht="16.5" customHeight="1">
      <c r="A6" s="4" t="s">
        <v>63</v>
      </c>
      <c r="B6" s="24" t="s">
        <v>60</v>
      </c>
      <c r="C6" s="26" t="str">
        <f t="shared" si="0"/>
        <v>2조 - Batch Sequential - Energy Efficiency</v>
      </c>
      <c r="D6" s="23" t="s">
        <v>60</v>
      </c>
      <c r="E6" s="27" t="str">
        <f t="shared" si="1"/>
        <v>2조 - Pipe and Filter - Energy Efficiency</v>
      </c>
      <c r="F6" s="23" t="s">
        <v>60</v>
      </c>
      <c r="G6" s="27" t="str">
        <f t="shared" si="2"/>
        <v>2조 - Process Control - Energy Efficiency</v>
      </c>
    </row>
    <row r="7" spans="1:7" ht="16.5" customHeight="1">
      <c r="A7" s="4" t="s">
        <v>64</v>
      </c>
      <c r="B7" s="24" t="s">
        <v>60</v>
      </c>
      <c r="C7" s="26" t="str">
        <f t="shared" si="0"/>
        <v>2조 - Batch Sequential - Modifiability</v>
      </c>
      <c r="D7" s="24" t="s">
        <v>60</v>
      </c>
      <c r="E7" s="26" t="str">
        <f t="shared" si="1"/>
        <v>2조 - Pipe and Filter - Modifiability</v>
      </c>
      <c r="F7" s="23" t="s">
        <v>60</v>
      </c>
      <c r="G7" s="27" t="str">
        <f t="shared" si="2"/>
        <v>2조 - Process Control - Modifiability</v>
      </c>
    </row>
    <row r="8" spans="1:7" ht="16.5" customHeight="1">
      <c r="A8" s="4" t="s">
        <v>65</v>
      </c>
      <c r="B8" s="24" t="s">
        <v>60</v>
      </c>
      <c r="C8" s="26" t="str">
        <f t="shared" si="0"/>
        <v>2조 - Batch Sequential - Performance</v>
      </c>
      <c r="D8" s="24" t="s">
        <v>60</v>
      </c>
      <c r="E8" s="26" t="str">
        <f t="shared" si="1"/>
        <v>2조 - Pipe and Filter - Performance</v>
      </c>
      <c r="F8" s="23" t="s">
        <v>60</v>
      </c>
      <c r="G8" s="27" t="str">
        <f t="shared" si="2"/>
        <v>2조 - Process Control - Performance</v>
      </c>
    </row>
    <row r="9" spans="1:7" ht="16.5" customHeight="1">
      <c r="A9" s="4" t="s">
        <v>66</v>
      </c>
      <c r="B9" s="23" t="s">
        <v>60</v>
      </c>
      <c r="C9" s="26" t="str">
        <f t="shared" si="0"/>
        <v>2조 - Batch Sequential - Safety</v>
      </c>
      <c r="D9" s="23" t="s">
        <v>60</v>
      </c>
      <c r="E9" s="27" t="str">
        <f t="shared" si="1"/>
        <v>2조 - Pipe and Filter - Safety</v>
      </c>
      <c r="F9" s="23" t="s">
        <v>60</v>
      </c>
      <c r="G9" s="27" t="str">
        <f t="shared" si="2"/>
        <v>2조 - Process Control - Safety</v>
      </c>
    </row>
    <row r="10" spans="1:7" ht="16.5" customHeight="1">
      <c r="A10" s="4" t="s">
        <v>67</v>
      </c>
      <c r="B10" s="24" t="s">
        <v>60</v>
      </c>
      <c r="C10" s="26" t="str">
        <f t="shared" si="0"/>
        <v>2조 - Batch Sequential - Security</v>
      </c>
      <c r="D10" s="24" t="s">
        <v>60</v>
      </c>
      <c r="E10" s="26" t="str">
        <f t="shared" si="1"/>
        <v>2조 - Pipe and Filter - Security</v>
      </c>
      <c r="F10" s="23" t="s">
        <v>60</v>
      </c>
      <c r="G10" s="27" t="str">
        <f t="shared" si="2"/>
        <v>2조 - Process Control - Security</v>
      </c>
    </row>
    <row r="11" spans="1:7" ht="16.5" customHeight="1">
      <c r="A11" s="4" t="s">
        <v>68</v>
      </c>
      <c r="B11" s="24" t="s">
        <v>60</v>
      </c>
      <c r="C11" s="26" t="str">
        <f t="shared" si="0"/>
        <v>2조 - Batch Sequential - Testability</v>
      </c>
      <c r="D11" s="24" t="s">
        <v>60</v>
      </c>
      <c r="E11" s="26" t="str">
        <f t="shared" si="1"/>
        <v>2조 - Pipe and Filter - Testability</v>
      </c>
      <c r="F11" s="23" t="s">
        <v>60</v>
      </c>
      <c r="G11" s="27" t="str">
        <f t="shared" si="2"/>
        <v>2조 - Process Control - Testability</v>
      </c>
    </row>
    <row r="12" spans="1:7" ht="16.5" customHeight="1">
      <c r="A12" s="4" t="s">
        <v>69</v>
      </c>
      <c r="B12" s="23" t="s">
        <v>60</v>
      </c>
      <c r="C12" s="26" t="str">
        <f t="shared" si="0"/>
        <v>2조 - Batch Sequential - Usability</v>
      </c>
      <c r="D12" s="23" t="s">
        <v>60</v>
      </c>
      <c r="E12" s="27" t="str">
        <f t="shared" si="1"/>
        <v>2조 - Pipe and Filter - Usability</v>
      </c>
      <c r="F12" s="23" t="s">
        <v>60</v>
      </c>
      <c r="G12" s="27" t="str">
        <f t="shared" si="2"/>
        <v>2조 - Process Control - Usability</v>
      </c>
    </row>
    <row r="13" spans="1:7" ht="16.5" customHeight="1">
      <c r="A13" s="1"/>
      <c r="B13" s="16" t="s">
        <v>60</v>
      </c>
      <c r="C13" s="16" t="s">
        <v>60</v>
      </c>
      <c r="D13" s="16" t="s">
        <v>60</v>
      </c>
      <c r="E13" s="16" t="s">
        <v>60</v>
      </c>
      <c r="F13" s="16" t="s">
        <v>60</v>
      </c>
      <c r="G13" s="1"/>
    </row>
    <row r="14" spans="1:7" ht="16.5" customHeight="1">
      <c r="A14" s="2" t="s">
        <v>70</v>
      </c>
      <c r="B14" s="35" t="s">
        <v>71</v>
      </c>
      <c r="C14" s="34"/>
      <c r="D14" s="35" t="s">
        <v>72</v>
      </c>
      <c r="E14" s="34"/>
      <c r="F14" s="1"/>
      <c r="G14" s="1"/>
    </row>
    <row r="15" spans="1:7" ht="16.5" customHeight="1">
      <c r="A15" s="19"/>
      <c r="B15" s="20" t="s">
        <v>57</v>
      </c>
      <c r="C15" s="21" t="s">
        <v>58</v>
      </c>
      <c r="D15" s="20" t="s">
        <v>57</v>
      </c>
      <c r="E15" s="21" t="s">
        <v>58</v>
      </c>
      <c r="F15" s="1"/>
      <c r="G15" s="1"/>
    </row>
    <row r="16" spans="1:7" ht="16.5" customHeight="1">
      <c r="A16" s="4" t="s">
        <v>59</v>
      </c>
      <c r="B16" s="24" t="s">
        <v>60</v>
      </c>
      <c r="C16" s="26" t="str">
        <f t="shared" ref="C16:C25" si="3">"2조" &amp; " - " &amp; B$14 &amp; " - " &amp; $A16</f>
        <v>2조 - Shared Respository - Availability</v>
      </c>
      <c r="D16" s="23" t="s">
        <v>60</v>
      </c>
      <c r="E16" s="27" t="str">
        <f t="shared" ref="E16:E25" si="4">"2조" &amp; " - " &amp; D$14 &amp; " - " &amp; $A16</f>
        <v>2조 - Blackboard - Availability</v>
      </c>
      <c r="F16" s="1"/>
      <c r="G16" s="1"/>
    </row>
    <row r="17" spans="1:7" ht="16.5" customHeight="1">
      <c r="A17" s="4" t="s">
        <v>61</v>
      </c>
      <c r="B17" s="24" t="s">
        <v>60</v>
      </c>
      <c r="C17" s="26" t="str">
        <f t="shared" si="3"/>
        <v>2조 - Shared Respository - Deployability</v>
      </c>
      <c r="D17" s="23" t="s">
        <v>60</v>
      </c>
      <c r="E17" s="27" t="str">
        <f t="shared" si="4"/>
        <v>2조 - Blackboard - Deployability</v>
      </c>
      <c r="F17" s="1"/>
      <c r="G17" s="1"/>
    </row>
    <row r="18" spans="1:7" ht="16.5" customHeight="1">
      <c r="A18" s="4" t="s">
        <v>62</v>
      </c>
      <c r="B18" s="24" t="s">
        <v>60</v>
      </c>
      <c r="C18" s="26" t="str">
        <f t="shared" si="3"/>
        <v>2조 - Shared Respository - Integrability</v>
      </c>
      <c r="D18" s="23" t="s">
        <v>60</v>
      </c>
      <c r="E18" s="27" t="str">
        <f t="shared" si="4"/>
        <v>2조 - Blackboard - Integrability</v>
      </c>
      <c r="F18" s="1"/>
      <c r="G18" s="1"/>
    </row>
    <row r="19" spans="1:7" ht="16.5" customHeight="1">
      <c r="A19" s="4" t="s">
        <v>63</v>
      </c>
      <c r="B19" s="23" t="s">
        <v>60</v>
      </c>
      <c r="C19" s="27" t="str">
        <f t="shared" si="3"/>
        <v>2조 - Shared Respository - Energy Efficiency</v>
      </c>
      <c r="D19" s="23" t="s">
        <v>60</v>
      </c>
      <c r="E19" s="27" t="str">
        <f t="shared" si="4"/>
        <v>2조 - Blackboard - Energy Efficiency</v>
      </c>
      <c r="F19" s="1"/>
      <c r="G19" s="1"/>
    </row>
    <row r="20" spans="1:7" ht="16.5" customHeight="1">
      <c r="A20" s="4" t="s">
        <v>64</v>
      </c>
      <c r="B20" s="24" t="s">
        <v>60</v>
      </c>
      <c r="C20" s="26" t="str">
        <f t="shared" si="3"/>
        <v>2조 - Shared Respository - Modifiability</v>
      </c>
      <c r="D20" s="23" t="s">
        <v>60</v>
      </c>
      <c r="E20" s="27" t="str">
        <f t="shared" si="4"/>
        <v>2조 - Blackboard - Modifiability</v>
      </c>
      <c r="F20" s="1"/>
      <c r="G20" s="1"/>
    </row>
    <row r="21" spans="1:7" ht="16.5" customHeight="1">
      <c r="A21" s="4" t="s">
        <v>65</v>
      </c>
      <c r="B21" s="24" t="s">
        <v>60</v>
      </c>
      <c r="C21" s="26" t="str">
        <f t="shared" si="3"/>
        <v>2조 - Shared Respository - Performance</v>
      </c>
      <c r="D21" s="23" t="s">
        <v>60</v>
      </c>
      <c r="E21" s="27" t="str">
        <f t="shared" si="4"/>
        <v>2조 - Blackboard - Performance</v>
      </c>
      <c r="F21" s="1"/>
      <c r="G21" s="1"/>
    </row>
    <row r="22" spans="1:7" ht="16.5" customHeight="1">
      <c r="A22" s="4" t="s">
        <v>66</v>
      </c>
      <c r="B22" s="23" t="s">
        <v>60</v>
      </c>
      <c r="C22" s="27" t="str">
        <f t="shared" si="3"/>
        <v>2조 - Shared Respository - Safety</v>
      </c>
      <c r="D22" s="23" t="s">
        <v>60</v>
      </c>
      <c r="E22" s="27" t="str">
        <f t="shared" si="4"/>
        <v>2조 - Blackboard - Safety</v>
      </c>
      <c r="F22" s="1"/>
      <c r="G22" s="1"/>
    </row>
    <row r="23" spans="1:7" ht="16.5" customHeight="1">
      <c r="A23" s="4" t="s">
        <v>67</v>
      </c>
      <c r="B23" s="24" t="s">
        <v>60</v>
      </c>
      <c r="C23" s="26" t="str">
        <f t="shared" si="3"/>
        <v>2조 - Shared Respository - Security</v>
      </c>
      <c r="D23" s="23" t="s">
        <v>60</v>
      </c>
      <c r="E23" s="27" t="str">
        <f t="shared" si="4"/>
        <v>2조 - Blackboard - Security</v>
      </c>
      <c r="F23" s="1"/>
      <c r="G23" s="1"/>
    </row>
    <row r="24" spans="1:7" ht="16.5" customHeight="1">
      <c r="A24" s="4" t="s">
        <v>68</v>
      </c>
      <c r="B24" s="24" t="s">
        <v>60</v>
      </c>
      <c r="C24" s="26" t="str">
        <f t="shared" si="3"/>
        <v>2조 - Shared Respository - Testability</v>
      </c>
      <c r="D24" s="23" t="s">
        <v>60</v>
      </c>
      <c r="E24" s="27" t="str">
        <f t="shared" si="4"/>
        <v>2조 - Blackboard - Testability</v>
      </c>
      <c r="F24" s="1"/>
      <c r="G24" s="1"/>
    </row>
    <row r="25" spans="1:7" ht="16.5" customHeight="1">
      <c r="A25" s="4" t="s">
        <v>69</v>
      </c>
      <c r="B25" s="23" t="s">
        <v>60</v>
      </c>
      <c r="C25" s="27" t="str">
        <f t="shared" si="3"/>
        <v>2조 - Shared Respository - Usability</v>
      </c>
      <c r="D25" s="23" t="s">
        <v>60</v>
      </c>
      <c r="E25" s="27" t="str">
        <f t="shared" si="4"/>
        <v>2조 - Blackboard - Usability</v>
      </c>
      <c r="F25" s="1"/>
      <c r="G25" s="1"/>
    </row>
    <row r="26" spans="1:7" ht="16.5" customHeight="1">
      <c r="A26" s="1"/>
      <c r="B26" s="16" t="s">
        <v>60</v>
      </c>
      <c r="C26" s="16" t="s">
        <v>60</v>
      </c>
      <c r="D26" s="16" t="s">
        <v>60</v>
      </c>
      <c r="E26" s="16" t="s">
        <v>60</v>
      </c>
      <c r="F26" s="1"/>
      <c r="G26" s="1"/>
    </row>
    <row r="27" spans="1:7" ht="16.5" customHeight="1">
      <c r="A27" s="2" t="s">
        <v>73</v>
      </c>
      <c r="B27" s="35" t="s">
        <v>74</v>
      </c>
      <c r="C27" s="34"/>
      <c r="D27" s="35" t="s">
        <v>75</v>
      </c>
      <c r="E27" s="34"/>
      <c r="F27" s="1"/>
      <c r="G27" s="1"/>
    </row>
    <row r="28" spans="1:7" ht="16.5" customHeight="1">
      <c r="A28" s="22"/>
      <c r="B28" s="3" t="s">
        <v>57</v>
      </c>
      <c r="C28" s="17" t="s">
        <v>58</v>
      </c>
      <c r="D28" s="3" t="s">
        <v>57</v>
      </c>
      <c r="E28" s="17" t="s">
        <v>58</v>
      </c>
      <c r="F28" s="1"/>
      <c r="G28" s="1"/>
    </row>
    <row r="29" spans="1:7" ht="16.5" customHeight="1">
      <c r="A29" s="4" t="s">
        <v>59</v>
      </c>
      <c r="B29" s="24" t="s">
        <v>60</v>
      </c>
      <c r="C29" s="26" t="str">
        <f t="shared" ref="C29:C38" si="5">"2조" &amp; " - " &amp; B$27 &amp; " - " &amp; $A29</f>
        <v>2조 - Non-Buffered Event Based - Availability</v>
      </c>
      <c r="D29" s="24" t="s">
        <v>60</v>
      </c>
      <c r="E29" s="26" t="str">
        <f t="shared" ref="E29:E38" si="6">"2조" &amp; " - " &amp; D$27 &amp; " - " &amp; $A29</f>
        <v>2조 - Buffered Message Based - Availability</v>
      </c>
      <c r="F29" s="1"/>
      <c r="G29" s="1"/>
    </row>
    <row r="30" spans="1:7" ht="16.5" customHeight="1">
      <c r="A30" s="4" t="s">
        <v>61</v>
      </c>
      <c r="B30" s="23" t="s">
        <v>60</v>
      </c>
      <c r="C30" s="27" t="str">
        <f t="shared" si="5"/>
        <v>2조 - Non-Buffered Event Based - Deployability</v>
      </c>
      <c r="D30" s="23" t="s">
        <v>60</v>
      </c>
      <c r="E30" s="27" t="str">
        <f t="shared" si="6"/>
        <v>2조 - Buffered Message Based - Deployability</v>
      </c>
      <c r="F30" s="1"/>
      <c r="G30" s="1"/>
    </row>
    <row r="31" spans="1:7" ht="16.5" customHeight="1">
      <c r="A31" s="4" t="s">
        <v>62</v>
      </c>
      <c r="B31" s="24" t="s">
        <v>60</v>
      </c>
      <c r="C31" s="26" t="str">
        <f t="shared" si="5"/>
        <v>2조 - Non-Buffered Event Based - Integrability</v>
      </c>
      <c r="D31" s="24" t="s">
        <v>60</v>
      </c>
      <c r="E31" s="26" t="str">
        <f t="shared" si="6"/>
        <v>2조 - Buffered Message Based - Integrability</v>
      </c>
      <c r="F31" s="1"/>
      <c r="G31" s="1"/>
    </row>
    <row r="32" spans="1:7" ht="16.5" customHeight="1">
      <c r="A32" s="4" t="s">
        <v>63</v>
      </c>
      <c r="B32" s="23" t="s">
        <v>60</v>
      </c>
      <c r="C32" s="27" t="str">
        <f t="shared" si="5"/>
        <v>2조 - Non-Buffered Event Based - Energy Efficiency</v>
      </c>
      <c r="D32" s="23" t="s">
        <v>60</v>
      </c>
      <c r="E32" s="27" t="str">
        <f t="shared" si="6"/>
        <v>2조 - Buffered Message Based - Energy Efficiency</v>
      </c>
      <c r="F32" s="1"/>
      <c r="G32" s="1"/>
    </row>
    <row r="33" spans="1:9" ht="16.5" customHeight="1">
      <c r="A33" s="4" t="s">
        <v>64</v>
      </c>
      <c r="B33" s="24" t="s">
        <v>60</v>
      </c>
      <c r="C33" s="26" t="str">
        <f t="shared" si="5"/>
        <v>2조 - Non-Buffered Event Based - Modifiability</v>
      </c>
      <c r="D33" s="24" t="s">
        <v>60</v>
      </c>
      <c r="E33" s="26" t="str">
        <f t="shared" si="6"/>
        <v>2조 - Buffered Message Based - Modifiability</v>
      </c>
      <c r="F33" s="1"/>
      <c r="G33" s="1"/>
    </row>
    <row r="34" spans="1:9" ht="16.5" customHeight="1">
      <c r="A34" s="4" t="s">
        <v>65</v>
      </c>
      <c r="B34" s="24" t="s">
        <v>60</v>
      </c>
      <c r="C34" s="26" t="str">
        <f t="shared" si="5"/>
        <v>2조 - Non-Buffered Event Based - Performance</v>
      </c>
      <c r="D34" s="24" t="s">
        <v>60</v>
      </c>
      <c r="E34" s="26" t="str">
        <f t="shared" si="6"/>
        <v>2조 - Buffered Message Based - Performance</v>
      </c>
      <c r="F34" s="1"/>
      <c r="G34" s="1"/>
    </row>
    <row r="35" spans="1:9" ht="16.5" customHeight="1">
      <c r="A35" s="4" t="s">
        <v>66</v>
      </c>
      <c r="B35" s="25" t="s">
        <v>60</v>
      </c>
      <c r="C35" s="29" t="str">
        <f t="shared" si="5"/>
        <v>2조 - Non-Buffered Event Based - Safety</v>
      </c>
      <c r="D35" s="25" t="s">
        <v>60</v>
      </c>
      <c r="E35" s="29" t="str">
        <f t="shared" si="6"/>
        <v>2조 - Buffered Message Based - Safety</v>
      </c>
      <c r="F35" s="1"/>
      <c r="G35" s="1"/>
    </row>
    <row r="36" spans="1:9" ht="16.5" customHeight="1">
      <c r="A36" s="4" t="s">
        <v>67</v>
      </c>
      <c r="B36" s="23" t="s">
        <v>60</v>
      </c>
      <c r="C36" s="27" t="str">
        <f t="shared" si="5"/>
        <v>2조 - Non-Buffered Event Based - Security</v>
      </c>
      <c r="D36" s="23" t="s">
        <v>60</v>
      </c>
      <c r="E36" s="27" t="str">
        <f t="shared" si="6"/>
        <v>2조 - Buffered Message Based - Security</v>
      </c>
      <c r="F36" s="1"/>
      <c r="G36" s="1"/>
    </row>
    <row r="37" spans="1:9" ht="16.5" customHeight="1">
      <c r="A37" s="4" t="s">
        <v>68</v>
      </c>
      <c r="B37" s="24" t="s">
        <v>60</v>
      </c>
      <c r="C37" s="26" t="str">
        <f t="shared" si="5"/>
        <v>2조 - Non-Buffered Event Based - Testability</v>
      </c>
      <c r="D37" s="24" t="s">
        <v>60</v>
      </c>
      <c r="E37" s="26" t="str">
        <f t="shared" si="6"/>
        <v>2조 - Buffered Message Based - Testability</v>
      </c>
      <c r="F37" s="1"/>
      <c r="G37" s="1"/>
    </row>
    <row r="38" spans="1:9" ht="16.5" customHeight="1">
      <c r="A38" s="4" t="s">
        <v>69</v>
      </c>
      <c r="B38" s="23" t="s">
        <v>60</v>
      </c>
      <c r="C38" s="27" t="str">
        <f t="shared" si="5"/>
        <v>2조 - Non-Buffered Event Based - Usability</v>
      </c>
      <c r="D38" s="23" t="s">
        <v>60</v>
      </c>
      <c r="E38" s="27" t="str">
        <f t="shared" si="6"/>
        <v>2조 - Buffered Message Based - Usability</v>
      </c>
      <c r="F38" s="1"/>
      <c r="G38" s="1"/>
    </row>
    <row r="39" spans="1:9" ht="16.5" customHeight="1">
      <c r="A39" s="1"/>
      <c r="B39" s="16" t="s">
        <v>60</v>
      </c>
      <c r="C39" s="16" t="s">
        <v>60</v>
      </c>
      <c r="D39" s="16" t="s">
        <v>60</v>
      </c>
      <c r="E39" s="16" t="s">
        <v>60</v>
      </c>
      <c r="F39" s="1"/>
      <c r="G39" s="1"/>
    </row>
    <row r="40" spans="1:9" ht="16.5" customHeight="1">
      <c r="A40" s="2" t="s">
        <v>76</v>
      </c>
      <c r="B40" s="33" t="s">
        <v>77</v>
      </c>
      <c r="C40" s="34"/>
      <c r="D40" s="33" t="s">
        <v>78</v>
      </c>
      <c r="E40" s="34"/>
      <c r="F40" s="1"/>
      <c r="G40" s="1"/>
      <c r="H40" s="1"/>
    </row>
    <row r="41" spans="1:9" ht="16.5">
      <c r="A41" s="22"/>
      <c r="B41" s="3" t="s">
        <v>57</v>
      </c>
      <c r="C41" s="3" t="s">
        <v>58</v>
      </c>
      <c r="D41" s="3" t="s">
        <v>57</v>
      </c>
      <c r="E41" s="3" t="s">
        <v>58</v>
      </c>
      <c r="F41" s="1"/>
      <c r="G41" s="1"/>
      <c r="H41" s="1"/>
      <c r="I41" s="13"/>
    </row>
    <row r="42" spans="1:9" ht="16.5" customHeight="1">
      <c r="A42" s="4" t="s">
        <v>59</v>
      </c>
      <c r="B42" s="23" t="s">
        <v>60</v>
      </c>
      <c r="C42" s="27" t="str">
        <f t="shared" ref="C42:C51" si="7">"2조" &amp; " - " &amp; B$40 &amp; " - " &amp; $A42</f>
        <v>2조 - MVC - Availability</v>
      </c>
      <c r="D42" s="23" t="s">
        <v>60</v>
      </c>
      <c r="E42" s="27" t="str">
        <f t="shared" ref="E42:E51" si="8">"2조" &amp; " - " &amp; D$40 &amp; " - " &amp; $A42</f>
        <v>2조 - PAC - Availability</v>
      </c>
      <c r="F42" s="1"/>
      <c r="G42" s="1"/>
      <c r="H42" s="1"/>
    </row>
    <row r="43" spans="1:9" ht="16.5" customHeight="1">
      <c r="A43" s="4" t="s">
        <v>61</v>
      </c>
      <c r="B43" s="23" t="s">
        <v>60</v>
      </c>
      <c r="C43" s="27" t="str">
        <f t="shared" si="7"/>
        <v>2조 - MVC - Deployability</v>
      </c>
      <c r="D43" s="23" t="s">
        <v>60</v>
      </c>
      <c r="E43" s="27" t="str">
        <f t="shared" si="8"/>
        <v>2조 - PAC - Deployability</v>
      </c>
      <c r="F43" s="1"/>
      <c r="G43" s="1"/>
      <c r="H43" s="1"/>
    </row>
    <row r="44" spans="1:9" ht="16.5" customHeight="1">
      <c r="A44" s="4" t="s">
        <v>62</v>
      </c>
      <c r="B44" s="24" t="s">
        <v>60</v>
      </c>
      <c r="C44" s="26" t="str">
        <f t="shared" si="7"/>
        <v>2조 - MVC - Integrability</v>
      </c>
      <c r="D44" s="23" t="s">
        <v>60</v>
      </c>
      <c r="E44" s="27" t="str">
        <f t="shared" si="8"/>
        <v>2조 - PAC - Integrability</v>
      </c>
      <c r="F44" s="1"/>
      <c r="G44" s="1"/>
      <c r="H44" s="1"/>
    </row>
    <row r="45" spans="1:9" ht="16.5" customHeight="1">
      <c r="A45" s="4" t="s">
        <v>63</v>
      </c>
      <c r="B45" s="23" t="s">
        <v>60</v>
      </c>
      <c r="C45" s="27" t="str">
        <f t="shared" si="7"/>
        <v>2조 - MVC - Energy Efficiency</v>
      </c>
      <c r="D45" s="23" t="s">
        <v>60</v>
      </c>
      <c r="E45" s="27" t="str">
        <f t="shared" si="8"/>
        <v>2조 - PAC - Energy Efficiency</v>
      </c>
      <c r="F45" s="1"/>
      <c r="G45" s="1"/>
      <c r="H45" s="1"/>
    </row>
    <row r="46" spans="1:9" ht="16.5" customHeight="1">
      <c r="A46" s="4" t="s">
        <v>64</v>
      </c>
      <c r="B46" s="24" t="s">
        <v>60</v>
      </c>
      <c r="C46" s="26" t="str">
        <f t="shared" si="7"/>
        <v>2조 - MVC - Modifiability</v>
      </c>
      <c r="D46" s="23" t="s">
        <v>60</v>
      </c>
      <c r="E46" s="27" t="str">
        <f t="shared" si="8"/>
        <v>2조 - PAC - Modifiability</v>
      </c>
      <c r="F46" s="1"/>
      <c r="G46" s="1"/>
      <c r="H46" s="1"/>
    </row>
    <row r="47" spans="1:9" ht="16.5" customHeight="1">
      <c r="A47" s="4" t="s">
        <v>65</v>
      </c>
      <c r="B47" s="24" t="s">
        <v>60</v>
      </c>
      <c r="C47" s="26" t="str">
        <f t="shared" si="7"/>
        <v>2조 - MVC - Performance</v>
      </c>
      <c r="D47" s="23" t="s">
        <v>60</v>
      </c>
      <c r="E47" s="27" t="str">
        <f t="shared" si="8"/>
        <v>2조 - PAC - Performance</v>
      </c>
      <c r="F47" s="1"/>
      <c r="G47" s="1"/>
      <c r="H47" s="1"/>
    </row>
    <row r="48" spans="1:9" ht="16.5" customHeight="1">
      <c r="A48" s="4" t="s">
        <v>66</v>
      </c>
      <c r="B48" s="23" t="s">
        <v>60</v>
      </c>
      <c r="C48" s="27" t="str">
        <f t="shared" si="7"/>
        <v>2조 - MVC - Safety</v>
      </c>
      <c r="D48" s="23" t="s">
        <v>60</v>
      </c>
      <c r="E48" s="27" t="str">
        <f t="shared" si="8"/>
        <v>2조 - PAC - Safety</v>
      </c>
      <c r="F48" s="1"/>
      <c r="G48" s="1"/>
      <c r="H48" s="1"/>
    </row>
    <row r="49" spans="1:9" ht="16.5" customHeight="1">
      <c r="A49" s="4" t="s">
        <v>67</v>
      </c>
      <c r="B49" s="24" t="s">
        <v>60</v>
      </c>
      <c r="C49" s="26" t="str">
        <f t="shared" si="7"/>
        <v>2조 - MVC - Security</v>
      </c>
      <c r="D49" s="23" t="s">
        <v>60</v>
      </c>
      <c r="E49" s="27" t="str">
        <f t="shared" si="8"/>
        <v>2조 - PAC - Security</v>
      </c>
      <c r="F49" s="1"/>
      <c r="G49" s="1"/>
      <c r="H49" s="1"/>
    </row>
    <row r="50" spans="1:9" ht="16.5">
      <c r="A50" s="4" t="s">
        <v>68</v>
      </c>
      <c r="B50" s="23" t="s">
        <v>60</v>
      </c>
      <c r="C50" s="27" t="str">
        <f t="shared" si="7"/>
        <v>2조 - MVC - Testability</v>
      </c>
      <c r="D50" s="23" t="s">
        <v>60</v>
      </c>
      <c r="E50" s="27" t="str">
        <f t="shared" si="8"/>
        <v>2조 - PAC - Testability</v>
      </c>
      <c r="F50" s="1"/>
      <c r="G50" s="16" t="s">
        <v>60</v>
      </c>
      <c r="H50" s="1"/>
      <c r="I50" s="15"/>
    </row>
    <row r="51" spans="1:9" ht="16.5">
      <c r="A51" s="4" t="s">
        <v>69</v>
      </c>
      <c r="B51" s="24" t="s">
        <v>60</v>
      </c>
      <c r="C51" s="26" t="str">
        <f t="shared" si="7"/>
        <v>2조 - MVC - Usability</v>
      </c>
      <c r="D51" s="23" t="s">
        <v>60</v>
      </c>
      <c r="E51" s="27" t="str">
        <f t="shared" si="8"/>
        <v>2조 - PAC - Usability</v>
      </c>
      <c r="F51" s="1"/>
      <c r="G51" s="16" t="s">
        <v>60</v>
      </c>
      <c r="H51" s="1"/>
      <c r="I51" s="13"/>
    </row>
    <row r="52" spans="1:9" ht="16.5" customHeight="1">
      <c r="A52" s="1"/>
      <c r="B52" s="16" t="s">
        <v>60</v>
      </c>
      <c r="C52" s="1"/>
      <c r="D52" s="16" t="s">
        <v>60</v>
      </c>
      <c r="E52" s="1"/>
      <c r="F52" s="1"/>
      <c r="G52" s="1"/>
    </row>
    <row r="53" spans="1:9" ht="16.5" customHeight="1">
      <c r="A53" s="2" t="s">
        <v>79</v>
      </c>
      <c r="B53" s="35" t="s">
        <v>80</v>
      </c>
      <c r="C53" s="34"/>
      <c r="D53" s="35" t="s">
        <v>81</v>
      </c>
      <c r="E53" s="34"/>
      <c r="F53" s="1"/>
      <c r="G53" s="16" t="s">
        <v>60</v>
      </c>
      <c r="H53" s="1"/>
    </row>
    <row r="54" spans="1:9" ht="16.5" customHeight="1">
      <c r="A54" s="22"/>
      <c r="B54" s="3" t="s">
        <v>57</v>
      </c>
      <c r="C54" s="17" t="s">
        <v>58</v>
      </c>
      <c r="D54" s="3" t="s">
        <v>57</v>
      </c>
      <c r="E54" s="17" t="s">
        <v>58</v>
      </c>
      <c r="F54" s="1"/>
      <c r="G54" s="16" t="s">
        <v>60</v>
      </c>
      <c r="H54" s="1"/>
    </row>
    <row r="55" spans="1:9" ht="16.5" customHeight="1">
      <c r="A55" s="4" t="s">
        <v>59</v>
      </c>
      <c r="B55" s="23" t="s">
        <v>60</v>
      </c>
      <c r="C55" s="27" t="str">
        <f t="shared" ref="C55:C64" si="9">"2조" &amp; " - " &amp; B$53 &amp; " - " &amp; $A55</f>
        <v>2조 - Main-subroutine - Availability</v>
      </c>
      <c r="D55" s="24" t="s">
        <v>60</v>
      </c>
      <c r="E55" s="26" t="str">
        <f t="shared" ref="E55:E64" si="10">"2조" &amp; " - " &amp; D$53 &amp; " - " &amp; $A55</f>
        <v>2조 - Master-Slave - Availability</v>
      </c>
      <c r="F55" s="1"/>
      <c r="G55" s="16" t="s">
        <v>60</v>
      </c>
      <c r="H55" s="1"/>
    </row>
    <row r="56" spans="1:9" ht="16.5" customHeight="1">
      <c r="A56" s="4" t="s">
        <v>61</v>
      </c>
      <c r="B56" s="23" t="s">
        <v>60</v>
      </c>
      <c r="C56" s="30" t="str">
        <f t="shared" si="9"/>
        <v>2조 - Main-subroutine - Deployability</v>
      </c>
      <c r="D56" s="24" t="s">
        <v>60</v>
      </c>
      <c r="E56" s="26" t="str">
        <f t="shared" si="10"/>
        <v>2조 - Master-Slave - Deployability</v>
      </c>
      <c r="F56" s="1"/>
      <c r="G56" s="16" t="s">
        <v>60</v>
      </c>
      <c r="H56" s="1"/>
    </row>
    <row r="57" spans="1:9" ht="16.5" customHeight="1">
      <c r="A57" s="4" t="s">
        <v>62</v>
      </c>
      <c r="B57" s="23" t="s">
        <v>60</v>
      </c>
      <c r="C57" s="27" t="str">
        <f t="shared" si="9"/>
        <v>2조 - Main-subroutine - Integrability</v>
      </c>
      <c r="D57" s="24" t="s">
        <v>60</v>
      </c>
      <c r="E57" s="26" t="str">
        <f t="shared" si="10"/>
        <v>2조 - Master-Slave - Integrability</v>
      </c>
      <c r="F57" s="1"/>
      <c r="G57" s="16" t="s">
        <v>60</v>
      </c>
      <c r="H57" s="1"/>
    </row>
    <row r="58" spans="1:9" ht="16.5" customHeight="1">
      <c r="A58" s="4" t="s">
        <v>63</v>
      </c>
      <c r="B58" s="23" t="s">
        <v>60</v>
      </c>
      <c r="C58" s="27" t="str">
        <f t="shared" si="9"/>
        <v>2조 - Main-subroutine - Energy Efficiency</v>
      </c>
      <c r="D58" s="24" t="s">
        <v>60</v>
      </c>
      <c r="E58" s="26" t="str">
        <f t="shared" si="10"/>
        <v>2조 - Master-Slave - Energy Efficiency</v>
      </c>
      <c r="F58" s="1"/>
      <c r="G58" s="16" t="s">
        <v>60</v>
      </c>
      <c r="H58" s="1"/>
    </row>
    <row r="59" spans="1:9" ht="16.5" customHeight="1">
      <c r="A59" s="4" t="s">
        <v>64</v>
      </c>
      <c r="B59" s="23" t="s">
        <v>60</v>
      </c>
      <c r="C59" s="27" t="str">
        <f t="shared" si="9"/>
        <v>2조 - Main-subroutine - Modifiability</v>
      </c>
      <c r="D59" s="23" t="s">
        <v>60</v>
      </c>
      <c r="E59" s="27" t="str">
        <f t="shared" si="10"/>
        <v>2조 - Master-Slave - Modifiability</v>
      </c>
      <c r="F59" s="1"/>
      <c r="G59" s="16" t="s">
        <v>60</v>
      </c>
      <c r="H59" s="1"/>
    </row>
    <row r="60" spans="1:9" ht="16.5">
      <c r="A60" s="4" t="s">
        <v>65</v>
      </c>
      <c r="B60" s="23" t="s">
        <v>60</v>
      </c>
      <c r="C60" s="27" t="str">
        <f t="shared" si="9"/>
        <v>2조 - Main-subroutine - Performance</v>
      </c>
      <c r="D60" s="24" t="s">
        <v>60</v>
      </c>
      <c r="E60" s="26" t="str">
        <f t="shared" si="10"/>
        <v>2조 - Master-Slave - Performance</v>
      </c>
      <c r="F60" s="1"/>
      <c r="G60" s="16" t="s">
        <v>60</v>
      </c>
      <c r="H60" s="1"/>
      <c r="I60" s="15"/>
    </row>
    <row r="61" spans="1:9" ht="16.5">
      <c r="A61" s="4" t="s">
        <v>66</v>
      </c>
      <c r="B61" s="23" t="s">
        <v>60</v>
      </c>
      <c r="C61" s="27" t="str">
        <f t="shared" si="9"/>
        <v>2조 - Main-subroutine - Safety</v>
      </c>
      <c r="D61" s="23" t="s">
        <v>60</v>
      </c>
      <c r="E61" s="27" t="str">
        <f t="shared" si="10"/>
        <v>2조 - Master-Slave - Safety</v>
      </c>
      <c r="F61" s="1"/>
      <c r="G61" s="16" t="s">
        <v>60</v>
      </c>
      <c r="H61" s="1"/>
      <c r="I61" s="13"/>
    </row>
    <row r="62" spans="1:9" ht="16.5" customHeight="1">
      <c r="A62" s="4" t="s">
        <v>67</v>
      </c>
      <c r="B62" s="23" t="s">
        <v>60</v>
      </c>
      <c r="C62" s="27" t="str">
        <f t="shared" si="9"/>
        <v>2조 - Main-subroutine - Security</v>
      </c>
      <c r="D62" s="23" t="s">
        <v>60</v>
      </c>
      <c r="E62" s="27" t="str">
        <f t="shared" si="10"/>
        <v>2조 - Master-Slave - Security</v>
      </c>
      <c r="F62" s="1"/>
      <c r="G62" s="16" t="s">
        <v>60</v>
      </c>
      <c r="H62" s="1"/>
    </row>
    <row r="63" spans="1:9" ht="16.5" customHeight="1">
      <c r="A63" s="4" t="s">
        <v>68</v>
      </c>
      <c r="B63" s="23" t="s">
        <v>60</v>
      </c>
      <c r="C63" s="27" t="str">
        <f t="shared" si="9"/>
        <v>2조 - Main-subroutine - Testability</v>
      </c>
      <c r="D63" s="23" t="s">
        <v>60</v>
      </c>
      <c r="E63" s="27" t="str">
        <f t="shared" si="10"/>
        <v>2조 - Master-Slave - Testability</v>
      </c>
      <c r="F63" s="1"/>
      <c r="G63" s="16" t="s">
        <v>60</v>
      </c>
      <c r="H63" s="1"/>
    </row>
    <row r="64" spans="1:9" ht="16.5" customHeight="1">
      <c r="A64" s="4" t="s">
        <v>69</v>
      </c>
      <c r="B64" s="23" t="s">
        <v>60</v>
      </c>
      <c r="C64" s="27" t="str">
        <f t="shared" si="9"/>
        <v>2조 - Main-subroutine - Usability</v>
      </c>
      <c r="D64" s="23" t="s">
        <v>60</v>
      </c>
      <c r="E64" s="27" t="str">
        <f t="shared" si="10"/>
        <v>2조 - Master-Slave - Usability</v>
      </c>
      <c r="F64" s="1"/>
      <c r="G64" s="16" t="s">
        <v>60</v>
      </c>
      <c r="H64" s="1"/>
    </row>
    <row r="65" spans="1:8" ht="16.5" customHeight="1">
      <c r="A65" s="1"/>
      <c r="B65" s="16" t="s">
        <v>60</v>
      </c>
      <c r="C65" s="16" t="s">
        <v>60</v>
      </c>
      <c r="D65" s="16" t="s">
        <v>60</v>
      </c>
      <c r="E65" s="16" t="s">
        <v>60</v>
      </c>
      <c r="F65" s="1"/>
      <c r="G65" s="16" t="s">
        <v>60</v>
      </c>
      <c r="H65" s="1"/>
    </row>
    <row r="66" spans="1:8" ht="16.5" customHeight="1">
      <c r="A66" s="2" t="s">
        <v>79</v>
      </c>
      <c r="B66" s="35" t="s">
        <v>82</v>
      </c>
      <c r="C66" s="34"/>
      <c r="D66" s="35" t="s">
        <v>83</v>
      </c>
      <c r="E66" s="34"/>
      <c r="F66" s="35" t="s">
        <v>84</v>
      </c>
      <c r="G66" s="34"/>
      <c r="H66" s="1"/>
    </row>
    <row r="67" spans="1:8" ht="16.5" customHeight="1">
      <c r="A67" s="22"/>
      <c r="B67" s="3" t="s">
        <v>57</v>
      </c>
      <c r="C67" s="17" t="s">
        <v>58</v>
      </c>
      <c r="D67" s="3" t="s">
        <v>57</v>
      </c>
      <c r="E67" s="17" t="s">
        <v>58</v>
      </c>
      <c r="F67" s="3" t="s">
        <v>57</v>
      </c>
      <c r="G67" s="17" t="s">
        <v>58</v>
      </c>
      <c r="H67" s="1"/>
    </row>
    <row r="68" spans="1:8" ht="16.5" customHeight="1">
      <c r="A68" s="4" t="s">
        <v>59</v>
      </c>
      <c r="B68" s="24" t="s">
        <v>60</v>
      </c>
      <c r="C68" s="26" t="str">
        <f t="shared" ref="C68:C77" si="11">"2조" &amp; " - " &amp; B$66 &amp; " - " &amp; $A68</f>
        <v>2조 - Layered - Availability</v>
      </c>
      <c r="D68" s="23" t="s">
        <v>60</v>
      </c>
      <c r="E68" s="27" t="str">
        <f t="shared" ref="E68:E77" si="12">"2조" &amp; " - " &amp; D$66 &amp; " - " &amp; $A68</f>
        <v>2조 - Virtual Machine - Availability</v>
      </c>
      <c r="F68" s="23" t="s">
        <v>60</v>
      </c>
      <c r="G68" s="27" t="str">
        <f t="shared" ref="G68:G77" si="13">"2조" &amp; " - " &amp; F$66 &amp; " - " &amp; $A68</f>
        <v>2조 - Microkernel - Availability</v>
      </c>
      <c r="H68" s="1"/>
    </row>
    <row r="69" spans="1:8" ht="16.5" customHeight="1">
      <c r="A69" s="4" t="s">
        <v>61</v>
      </c>
      <c r="B69" s="23" t="s">
        <v>60</v>
      </c>
      <c r="C69" s="27" t="str">
        <f t="shared" si="11"/>
        <v>2조 - Layered - Deployability</v>
      </c>
      <c r="D69" s="23" t="s">
        <v>60</v>
      </c>
      <c r="E69" s="30" t="str">
        <f t="shared" si="12"/>
        <v>2조 - Virtual Machine - Deployability</v>
      </c>
      <c r="F69" s="24" t="s">
        <v>60</v>
      </c>
      <c r="G69" s="26" t="str">
        <f t="shared" si="13"/>
        <v>2조 - Microkernel - Deployability</v>
      </c>
      <c r="H69" s="1"/>
    </row>
    <row r="70" spans="1:8" ht="16.5" customHeight="1">
      <c r="A70" s="4" t="s">
        <v>62</v>
      </c>
      <c r="B70" s="24" t="s">
        <v>60</v>
      </c>
      <c r="C70" s="26" t="str">
        <f t="shared" si="11"/>
        <v>2조 - Layered - Integrability</v>
      </c>
      <c r="D70" s="23" t="s">
        <v>60</v>
      </c>
      <c r="E70" s="27" t="str">
        <f t="shared" si="12"/>
        <v>2조 - Virtual Machine - Integrability</v>
      </c>
      <c r="F70" s="24" t="s">
        <v>60</v>
      </c>
      <c r="G70" s="26" t="str">
        <f t="shared" si="13"/>
        <v>2조 - Microkernel - Integrability</v>
      </c>
      <c r="H70" s="1"/>
    </row>
    <row r="71" spans="1:8" ht="16.5" customHeight="1">
      <c r="A71" s="4" t="s">
        <v>63</v>
      </c>
      <c r="B71" s="23" t="s">
        <v>60</v>
      </c>
      <c r="C71" s="27" t="str">
        <f t="shared" si="11"/>
        <v>2조 - Layered - Energy Efficiency</v>
      </c>
      <c r="D71" s="23" t="s">
        <v>60</v>
      </c>
      <c r="E71" s="27" t="str">
        <f t="shared" si="12"/>
        <v>2조 - Virtual Machine - Energy Efficiency</v>
      </c>
      <c r="F71" s="23" t="s">
        <v>60</v>
      </c>
      <c r="G71" s="27" t="str">
        <f t="shared" si="13"/>
        <v>2조 - Microkernel - Energy Efficiency</v>
      </c>
      <c r="H71" s="1"/>
    </row>
    <row r="72" spans="1:8" ht="16.5" customHeight="1">
      <c r="A72" s="4" t="s">
        <v>64</v>
      </c>
      <c r="B72" s="24" t="s">
        <v>60</v>
      </c>
      <c r="C72" s="26" t="str">
        <f t="shared" si="11"/>
        <v>2조 - Layered - Modifiability</v>
      </c>
      <c r="D72" s="23" t="s">
        <v>60</v>
      </c>
      <c r="E72" s="27" t="str">
        <f t="shared" si="12"/>
        <v>2조 - Virtual Machine - Modifiability</v>
      </c>
      <c r="F72" s="24" t="s">
        <v>60</v>
      </c>
      <c r="G72" s="26" t="str">
        <f t="shared" si="13"/>
        <v>2조 - Microkernel - Modifiability</v>
      </c>
      <c r="H72" s="1"/>
    </row>
    <row r="73" spans="1:8" ht="16.5" customHeight="1">
      <c r="A73" s="4" t="s">
        <v>65</v>
      </c>
      <c r="B73" s="24" t="s">
        <v>60</v>
      </c>
      <c r="C73" s="26" t="str">
        <f t="shared" si="11"/>
        <v>2조 - Layered - Performance</v>
      </c>
      <c r="D73" s="23" t="s">
        <v>60</v>
      </c>
      <c r="E73" s="27" t="str">
        <f t="shared" si="12"/>
        <v>2조 - Virtual Machine - Performance</v>
      </c>
      <c r="F73" s="24" t="s">
        <v>60</v>
      </c>
      <c r="G73" s="26" t="str">
        <f t="shared" si="13"/>
        <v>2조 - Microkernel - Performance</v>
      </c>
      <c r="H73" s="1"/>
    </row>
    <row r="74" spans="1:8" ht="16.5" customHeight="1">
      <c r="A74" s="4" t="s">
        <v>66</v>
      </c>
      <c r="B74" s="23" t="s">
        <v>60</v>
      </c>
      <c r="C74" s="27" t="str">
        <f t="shared" si="11"/>
        <v>2조 - Layered - Safety</v>
      </c>
      <c r="D74" s="23" t="s">
        <v>60</v>
      </c>
      <c r="E74" s="27" t="str">
        <f t="shared" si="12"/>
        <v>2조 - Virtual Machine - Safety</v>
      </c>
      <c r="F74" s="23" t="s">
        <v>60</v>
      </c>
      <c r="G74" s="27" t="str">
        <f t="shared" si="13"/>
        <v>2조 - Microkernel - Safety</v>
      </c>
    </row>
    <row r="75" spans="1:8" ht="16.5" customHeight="1">
      <c r="A75" s="4" t="s">
        <v>67</v>
      </c>
      <c r="B75" s="24" t="s">
        <v>60</v>
      </c>
      <c r="C75" s="26" t="str">
        <f t="shared" si="11"/>
        <v>2조 - Layered - Security</v>
      </c>
      <c r="D75" s="23" t="s">
        <v>60</v>
      </c>
      <c r="E75" s="27" t="str">
        <f t="shared" si="12"/>
        <v>2조 - Virtual Machine - Security</v>
      </c>
      <c r="F75" s="24" t="s">
        <v>60</v>
      </c>
      <c r="G75" s="26" t="str">
        <f t="shared" si="13"/>
        <v>2조 - Microkernel - Security</v>
      </c>
    </row>
    <row r="76" spans="1:8" ht="16.5" customHeight="1">
      <c r="A76" s="4" t="s">
        <v>68</v>
      </c>
      <c r="B76" s="24" t="s">
        <v>60</v>
      </c>
      <c r="C76" s="26" t="str">
        <f t="shared" si="11"/>
        <v>2조 - Layered - Testability</v>
      </c>
      <c r="D76" s="23" t="s">
        <v>60</v>
      </c>
      <c r="E76" s="27" t="str">
        <f t="shared" si="12"/>
        <v>2조 - Virtual Machine - Testability</v>
      </c>
      <c r="F76" s="24" t="s">
        <v>60</v>
      </c>
      <c r="G76" s="26" t="str">
        <f t="shared" si="13"/>
        <v>2조 - Microkernel - Testability</v>
      </c>
    </row>
    <row r="77" spans="1:8" ht="16.5" customHeight="1">
      <c r="A77" s="4" t="s">
        <v>69</v>
      </c>
      <c r="B77" s="23" t="s">
        <v>60</v>
      </c>
      <c r="C77" s="27" t="str">
        <f t="shared" si="11"/>
        <v>2조 - Layered - Usability</v>
      </c>
      <c r="D77" s="23" t="s">
        <v>60</v>
      </c>
      <c r="E77" s="27" t="str">
        <f t="shared" si="12"/>
        <v>2조 - Virtual Machine - Usability</v>
      </c>
      <c r="F77" s="23" t="s">
        <v>60</v>
      </c>
      <c r="G77" s="27" t="str">
        <f t="shared" si="13"/>
        <v>2조 - Microkernel - Usability</v>
      </c>
    </row>
    <row r="78" spans="1:8" ht="16.5" customHeight="1">
      <c r="A78" s="1"/>
      <c r="B78" s="16" t="s">
        <v>60</v>
      </c>
      <c r="C78" s="16" t="s">
        <v>60</v>
      </c>
      <c r="D78" s="16" t="s">
        <v>60</v>
      </c>
      <c r="E78" s="16" t="s">
        <v>60</v>
      </c>
      <c r="F78" s="16" t="s">
        <v>60</v>
      </c>
      <c r="G78" s="16" t="s">
        <v>60</v>
      </c>
    </row>
    <row r="79" spans="1:8" ht="16.5" customHeight="1">
      <c r="A79" s="31" t="s">
        <v>85</v>
      </c>
      <c r="B79" s="35" t="s">
        <v>86</v>
      </c>
      <c r="C79" s="34"/>
      <c r="D79" s="35" t="s">
        <v>87</v>
      </c>
      <c r="E79" s="34"/>
    </row>
    <row r="80" spans="1:8" ht="16.5" customHeight="1">
      <c r="A80" s="32"/>
      <c r="B80" s="3" t="s">
        <v>57</v>
      </c>
      <c r="C80" s="3" t="s">
        <v>58</v>
      </c>
      <c r="D80" s="3" t="s">
        <v>57</v>
      </c>
      <c r="E80" s="3" t="s">
        <v>58</v>
      </c>
    </row>
    <row r="81" spans="1:7" ht="16.5" customHeight="1">
      <c r="A81" s="4" t="s">
        <v>59</v>
      </c>
      <c r="B81" s="24" t="s">
        <v>60</v>
      </c>
      <c r="C81" s="26" t="str">
        <f t="shared" ref="C81:C90" si="14">"2조" &amp; " - " &amp; B$79 &amp; " - " &amp; $A81</f>
        <v>2조 - Multi-tier - Availability</v>
      </c>
      <c r="D81" s="23" t="s">
        <v>60</v>
      </c>
      <c r="E81" s="27" t="str">
        <f t="shared" ref="E81:E90" si="15">"2조" &amp; " - " &amp; D$79 &amp; " - " &amp; $A81</f>
        <v>2조 - Client-Server - Availability</v>
      </c>
    </row>
    <row r="82" spans="1:7" ht="16.5" customHeight="1">
      <c r="A82" s="4" t="s">
        <v>61</v>
      </c>
      <c r="B82" s="24" t="s">
        <v>60</v>
      </c>
      <c r="C82" s="26" t="str">
        <f t="shared" si="14"/>
        <v>2조 - Multi-tier - Deployability</v>
      </c>
      <c r="D82" s="23" t="s">
        <v>60</v>
      </c>
      <c r="E82" s="27" t="str">
        <f t="shared" si="15"/>
        <v>2조 - Client-Server - Deployability</v>
      </c>
    </row>
    <row r="83" spans="1:7" ht="16.5" customHeight="1">
      <c r="A83" s="4" t="s">
        <v>62</v>
      </c>
      <c r="B83" s="24" t="s">
        <v>60</v>
      </c>
      <c r="C83" s="26" t="str">
        <f t="shared" si="14"/>
        <v>2조 - Multi-tier - Integrability</v>
      </c>
      <c r="D83" s="23" t="s">
        <v>60</v>
      </c>
      <c r="E83" s="27" t="str">
        <f t="shared" si="15"/>
        <v>2조 - Client-Server - Integrability</v>
      </c>
    </row>
    <row r="84" spans="1:7" ht="16.5" customHeight="1">
      <c r="A84" s="4" t="s">
        <v>63</v>
      </c>
      <c r="B84" s="24" t="s">
        <v>60</v>
      </c>
      <c r="C84" s="26" t="str">
        <f t="shared" si="14"/>
        <v>2조 - Multi-tier - Energy Efficiency</v>
      </c>
      <c r="D84" s="23" t="s">
        <v>60</v>
      </c>
      <c r="E84" s="27" t="str">
        <f t="shared" si="15"/>
        <v>2조 - Client-Server - Energy Efficiency</v>
      </c>
    </row>
    <row r="85" spans="1:7" ht="16.5" customHeight="1">
      <c r="A85" s="4" t="s">
        <v>64</v>
      </c>
      <c r="B85" s="23" t="s">
        <v>60</v>
      </c>
      <c r="C85" s="27" t="str">
        <f t="shared" si="14"/>
        <v>2조 - Multi-tier - Modifiability</v>
      </c>
      <c r="D85" s="23" t="s">
        <v>60</v>
      </c>
      <c r="E85" s="27" t="str">
        <f t="shared" si="15"/>
        <v>2조 - Client-Server - Modifiability</v>
      </c>
    </row>
    <row r="86" spans="1:7" ht="16.5" customHeight="1">
      <c r="A86" s="4" t="s">
        <v>65</v>
      </c>
      <c r="B86" s="24" t="s">
        <v>60</v>
      </c>
      <c r="C86" s="26" t="str">
        <f t="shared" si="14"/>
        <v>2조 - Multi-tier - Performance</v>
      </c>
      <c r="D86" s="23" t="s">
        <v>60</v>
      </c>
      <c r="E86" s="27" t="str">
        <f t="shared" si="15"/>
        <v>2조 - Client-Server - Performance</v>
      </c>
    </row>
    <row r="87" spans="1:7" ht="16.5" customHeight="1">
      <c r="A87" s="4" t="s">
        <v>66</v>
      </c>
      <c r="B87" s="23" t="s">
        <v>60</v>
      </c>
      <c r="C87" s="27" t="str">
        <f t="shared" si="14"/>
        <v>2조 - Multi-tier - Safety</v>
      </c>
      <c r="D87" s="23" t="s">
        <v>60</v>
      </c>
      <c r="E87" s="27" t="str">
        <f t="shared" si="15"/>
        <v>2조 - Client-Server - Safety</v>
      </c>
    </row>
    <row r="88" spans="1:7" ht="16.5" customHeight="1">
      <c r="A88" s="4" t="s">
        <v>67</v>
      </c>
      <c r="B88" s="24" t="s">
        <v>60</v>
      </c>
      <c r="C88" s="26" t="str">
        <f t="shared" si="14"/>
        <v>2조 - Multi-tier - Security</v>
      </c>
      <c r="D88" s="23" t="s">
        <v>60</v>
      </c>
      <c r="E88" s="27" t="str">
        <f t="shared" si="15"/>
        <v>2조 - Client-Server - Security</v>
      </c>
    </row>
    <row r="89" spans="1:7" ht="16.5" customHeight="1">
      <c r="A89" s="4" t="s">
        <v>68</v>
      </c>
      <c r="B89" s="23" t="s">
        <v>60</v>
      </c>
      <c r="C89" s="27" t="str">
        <f t="shared" si="14"/>
        <v>2조 - Multi-tier - Testability</v>
      </c>
      <c r="D89" s="23" t="s">
        <v>60</v>
      </c>
      <c r="E89" s="27" t="str">
        <f t="shared" si="15"/>
        <v>2조 - Client-Server - Testability</v>
      </c>
    </row>
    <row r="90" spans="1:7" ht="16.5" customHeight="1">
      <c r="A90" s="4" t="s">
        <v>69</v>
      </c>
      <c r="B90" s="23" t="s">
        <v>60</v>
      </c>
      <c r="C90" s="27" t="str">
        <f t="shared" si="14"/>
        <v>2조 - Multi-tier - Usability</v>
      </c>
      <c r="D90" s="23" t="s">
        <v>60</v>
      </c>
      <c r="E90" s="27" t="str">
        <f t="shared" si="15"/>
        <v>2조 - Client-Server - Usability</v>
      </c>
    </row>
    <row r="91" spans="1:7" ht="16.5" customHeight="1">
      <c r="A91" s="1"/>
      <c r="B91" s="16" t="s">
        <v>60</v>
      </c>
      <c r="C91" s="1"/>
      <c r="D91" s="16" t="s">
        <v>60</v>
      </c>
      <c r="E91" s="1"/>
      <c r="F91" s="16" t="s">
        <v>60</v>
      </c>
      <c r="G91" s="1"/>
    </row>
    <row r="92" spans="1:7" ht="16.5" customHeight="1">
      <c r="A92" s="31" t="s">
        <v>85</v>
      </c>
      <c r="B92" s="35" t="s">
        <v>88</v>
      </c>
      <c r="C92" s="34"/>
      <c r="D92" s="33" t="s">
        <v>89</v>
      </c>
      <c r="E92" s="34"/>
    </row>
    <row r="93" spans="1:7" ht="16.5" customHeight="1">
      <c r="A93" s="32"/>
      <c r="B93" s="3" t="s">
        <v>57</v>
      </c>
      <c r="C93" s="3" t="s">
        <v>58</v>
      </c>
      <c r="D93" s="3" t="s">
        <v>57</v>
      </c>
      <c r="E93" s="3" t="s">
        <v>58</v>
      </c>
    </row>
    <row r="94" spans="1:7" ht="16.5" customHeight="1">
      <c r="A94" s="4" t="s">
        <v>59</v>
      </c>
      <c r="B94" s="23" t="s">
        <v>60</v>
      </c>
      <c r="C94" s="27" t="str">
        <f t="shared" ref="C94:C103" si="16">"2조" &amp; " - " &amp; B$92 &amp; " - " &amp; $A94</f>
        <v>2조 - Broker - Availability</v>
      </c>
      <c r="D94" s="23" t="s">
        <v>60</v>
      </c>
      <c r="E94" s="27" t="str">
        <f t="shared" ref="E94:E103" si="17">"2조" &amp; " - " &amp; D$92 &amp; " - " &amp; $A94</f>
        <v>2조 - Dispatcher - Availability</v>
      </c>
    </row>
    <row r="95" spans="1:7" ht="16.5" customHeight="1">
      <c r="A95" s="4" t="s">
        <v>61</v>
      </c>
      <c r="B95" s="23" t="s">
        <v>60</v>
      </c>
      <c r="C95" s="27" t="str">
        <f t="shared" si="16"/>
        <v>2조 - Broker - Deployability</v>
      </c>
      <c r="D95" s="23" t="s">
        <v>60</v>
      </c>
      <c r="E95" s="27" t="str">
        <f t="shared" si="17"/>
        <v>2조 - Dispatcher - Deployability</v>
      </c>
    </row>
    <row r="96" spans="1:7" ht="16.5" customHeight="1">
      <c r="A96" s="4" t="s">
        <v>62</v>
      </c>
      <c r="B96" s="23" t="s">
        <v>60</v>
      </c>
      <c r="C96" s="27" t="str">
        <f t="shared" si="16"/>
        <v>2조 - Broker - Integrability</v>
      </c>
      <c r="D96" s="23" t="s">
        <v>60</v>
      </c>
      <c r="E96" s="27" t="str">
        <f t="shared" si="17"/>
        <v>2조 - Dispatcher - Integrability</v>
      </c>
    </row>
    <row r="97" spans="1:7" ht="16.5" customHeight="1">
      <c r="A97" s="4" t="s">
        <v>63</v>
      </c>
      <c r="B97" s="23" t="s">
        <v>60</v>
      </c>
      <c r="C97" s="27" t="str">
        <f t="shared" si="16"/>
        <v>2조 - Broker - Energy Efficiency</v>
      </c>
      <c r="D97" s="23" t="s">
        <v>60</v>
      </c>
      <c r="E97" s="27" t="str">
        <f t="shared" si="17"/>
        <v>2조 - Dispatcher - Energy Efficiency</v>
      </c>
    </row>
    <row r="98" spans="1:7" ht="16.5" customHeight="1">
      <c r="A98" s="4" t="s">
        <v>64</v>
      </c>
      <c r="B98" s="23" t="s">
        <v>60</v>
      </c>
      <c r="C98" s="27" t="str">
        <f t="shared" si="16"/>
        <v>2조 - Broker - Modifiability</v>
      </c>
      <c r="D98" s="23" t="s">
        <v>60</v>
      </c>
      <c r="E98" s="27" t="str">
        <f t="shared" si="17"/>
        <v>2조 - Dispatcher - Modifiability</v>
      </c>
    </row>
    <row r="99" spans="1:7" ht="16.5" customHeight="1">
      <c r="A99" s="4" t="s">
        <v>65</v>
      </c>
      <c r="B99" s="23" t="s">
        <v>60</v>
      </c>
      <c r="C99" s="27" t="str">
        <f t="shared" si="16"/>
        <v>2조 - Broker - Performance</v>
      </c>
      <c r="D99" s="23" t="s">
        <v>60</v>
      </c>
      <c r="E99" s="27" t="str">
        <f t="shared" si="17"/>
        <v>2조 - Dispatcher - Performance</v>
      </c>
    </row>
    <row r="100" spans="1:7" ht="16.5" customHeight="1">
      <c r="A100" s="4" t="s">
        <v>66</v>
      </c>
      <c r="B100" s="23" t="s">
        <v>60</v>
      </c>
      <c r="C100" s="27" t="str">
        <f t="shared" si="16"/>
        <v>2조 - Broker - Safety</v>
      </c>
      <c r="D100" s="23" t="s">
        <v>60</v>
      </c>
      <c r="E100" s="27" t="str">
        <f t="shared" si="17"/>
        <v>2조 - Dispatcher - Safety</v>
      </c>
    </row>
    <row r="101" spans="1:7" ht="16.5" customHeight="1">
      <c r="A101" s="4" t="s">
        <v>67</v>
      </c>
      <c r="B101" s="23" t="s">
        <v>60</v>
      </c>
      <c r="C101" s="27" t="str">
        <f t="shared" si="16"/>
        <v>2조 - Broker - Security</v>
      </c>
      <c r="D101" s="23" t="s">
        <v>60</v>
      </c>
      <c r="E101" s="27" t="str">
        <f t="shared" si="17"/>
        <v>2조 - Dispatcher - Security</v>
      </c>
    </row>
    <row r="102" spans="1:7" ht="16.5" customHeight="1">
      <c r="A102" s="4" t="s">
        <v>68</v>
      </c>
      <c r="B102" s="23" t="s">
        <v>60</v>
      </c>
      <c r="C102" s="27" t="str">
        <f t="shared" si="16"/>
        <v>2조 - Broker - Testability</v>
      </c>
      <c r="D102" s="23" t="s">
        <v>60</v>
      </c>
      <c r="E102" s="27" t="str">
        <f t="shared" si="17"/>
        <v>2조 - Dispatcher - Testability</v>
      </c>
    </row>
    <row r="103" spans="1:7" ht="16.5" customHeight="1">
      <c r="A103" s="4" t="s">
        <v>69</v>
      </c>
      <c r="B103" s="23" t="s">
        <v>60</v>
      </c>
      <c r="C103" s="27" t="str">
        <f t="shared" si="16"/>
        <v>2조 - Broker - Usability</v>
      </c>
      <c r="D103" s="23" t="s">
        <v>60</v>
      </c>
      <c r="E103" s="27" t="str">
        <f t="shared" si="17"/>
        <v>2조 - Dispatcher - Usability</v>
      </c>
    </row>
    <row r="104" spans="1:7" ht="16.5" customHeight="1">
      <c r="A104" s="1"/>
      <c r="B104" s="16" t="s">
        <v>60</v>
      </c>
      <c r="C104" s="1"/>
      <c r="D104" s="16" t="s">
        <v>60</v>
      </c>
      <c r="E104" s="1"/>
      <c r="F104" s="1"/>
      <c r="G104" s="1"/>
    </row>
    <row r="105" spans="1:7" ht="16.5" customHeight="1">
      <c r="A105" s="31" t="s">
        <v>85</v>
      </c>
      <c r="B105" s="35" t="s">
        <v>51</v>
      </c>
      <c r="C105" s="34"/>
      <c r="D105" s="33" t="s">
        <v>52</v>
      </c>
      <c r="E105" s="34"/>
    </row>
    <row r="106" spans="1:7" ht="16.5" customHeight="1">
      <c r="A106" s="32"/>
      <c r="B106" s="3" t="s">
        <v>57</v>
      </c>
      <c r="C106" s="3" t="s">
        <v>58</v>
      </c>
      <c r="D106" s="3" t="s">
        <v>57</v>
      </c>
      <c r="E106" s="3" t="s">
        <v>58</v>
      </c>
    </row>
    <row r="107" spans="1:7" ht="16.5" customHeight="1">
      <c r="A107" s="4" t="s">
        <v>59</v>
      </c>
      <c r="B107" s="23" t="s">
        <v>60</v>
      </c>
      <c r="C107" s="27" t="str">
        <f t="shared" ref="C107:C116" si="18">"2조" &amp; " - " &amp; B$105 &amp; " - " &amp; $A107</f>
        <v>2조 - SOA - Availability</v>
      </c>
      <c r="D107" s="23" t="s">
        <v>60</v>
      </c>
      <c r="E107" s="27" t="str">
        <f t="shared" ref="E107:E116" si="19">"2조" &amp; " - " &amp; D$105 &amp; " - " &amp; $A107</f>
        <v>2조 - Mico-Service - Availability</v>
      </c>
    </row>
    <row r="108" spans="1:7" ht="16.5" customHeight="1">
      <c r="A108" s="4" t="s">
        <v>61</v>
      </c>
      <c r="B108" s="23" t="s">
        <v>60</v>
      </c>
      <c r="C108" s="27" t="str">
        <f t="shared" si="18"/>
        <v>2조 - SOA - Deployability</v>
      </c>
      <c r="D108" s="23" t="s">
        <v>60</v>
      </c>
      <c r="E108" s="27" t="str">
        <f t="shared" si="19"/>
        <v>2조 - Mico-Service - Deployability</v>
      </c>
    </row>
    <row r="109" spans="1:7" ht="16.5" customHeight="1">
      <c r="A109" s="4" t="s">
        <v>62</v>
      </c>
      <c r="B109" s="23" t="s">
        <v>60</v>
      </c>
      <c r="C109" s="27" t="str">
        <f t="shared" si="18"/>
        <v>2조 - SOA - Integrability</v>
      </c>
      <c r="D109" s="23" t="s">
        <v>60</v>
      </c>
      <c r="E109" s="27" t="str">
        <f t="shared" si="19"/>
        <v>2조 - Mico-Service - Integrability</v>
      </c>
    </row>
    <row r="110" spans="1:7" ht="16.5" customHeight="1">
      <c r="A110" s="4" t="s">
        <v>63</v>
      </c>
      <c r="B110" s="23" t="s">
        <v>60</v>
      </c>
      <c r="C110" s="27" t="str">
        <f t="shared" si="18"/>
        <v>2조 - SOA - Energy Efficiency</v>
      </c>
      <c r="D110" s="23" t="s">
        <v>60</v>
      </c>
      <c r="E110" s="27" t="str">
        <f t="shared" si="19"/>
        <v>2조 - Mico-Service - Energy Efficiency</v>
      </c>
    </row>
    <row r="111" spans="1:7" ht="16.5" customHeight="1">
      <c r="A111" s="4" t="s">
        <v>64</v>
      </c>
      <c r="B111" s="23" t="s">
        <v>60</v>
      </c>
      <c r="C111" s="27" t="str">
        <f t="shared" si="18"/>
        <v>2조 - SOA - Modifiability</v>
      </c>
      <c r="D111" s="23" t="s">
        <v>60</v>
      </c>
      <c r="E111" s="27" t="str">
        <f t="shared" si="19"/>
        <v>2조 - Mico-Service - Modifiability</v>
      </c>
    </row>
    <row r="112" spans="1:7" ht="16.5" customHeight="1">
      <c r="A112" s="4" t="s">
        <v>65</v>
      </c>
      <c r="B112" s="23" t="s">
        <v>60</v>
      </c>
      <c r="C112" s="27" t="str">
        <f t="shared" si="18"/>
        <v>2조 - SOA - Performance</v>
      </c>
      <c r="D112" s="23" t="s">
        <v>60</v>
      </c>
      <c r="E112" s="27" t="str">
        <f t="shared" si="19"/>
        <v>2조 - Mico-Service - Performance</v>
      </c>
    </row>
    <row r="113" spans="1:7" ht="16.5" customHeight="1">
      <c r="A113" s="4" t="s">
        <v>66</v>
      </c>
      <c r="B113" s="23" t="s">
        <v>60</v>
      </c>
      <c r="C113" s="27" t="str">
        <f t="shared" si="18"/>
        <v>2조 - SOA - Safety</v>
      </c>
      <c r="D113" s="23" t="s">
        <v>60</v>
      </c>
      <c r="E113" s="27" t="str">
        <f t="shared" si="19"/>
        <v>2조 - Mico-Service - Safety</v>
      </c>
    </row>
    <row r="114" spans="1:7" ht="16.5" customHeight="1">
      <c r="A114" s="4" t="s">
        <v>67</v>
      </c>
      <c r="B114" s="23" t="s">
        <v>60</v>
      </c>
      <c r="C114" s="27" t="str">
        <f t="shared" si="18"/>
        <v>2조 - SOA - Security</v>
      </c>
      <c r="D114" s="23" t="s">
        <v>60</v>
      </c>
      <c r="E114" s="27" t="str">
        <f t="shared" si="19"/>
        <v>2조 - Mico-Service - Security</v>
      </c>
    </row>
    <row r="115" spans="1:7" ht="16.5" customHeight="1">
      <c r="A115" s="4" t="s">
        <v>68</v>
      </c>
      <c r="B115" s="23" t="s">
        <v>60</v>
      </c>
      <c r="C115" s="27" t="str">
        <f t="shared" si="18"/>
        <v>2조 - SOA - Testability</v>
      </c>
      <c r="D115" s="23" t="s">
        <v>60</v>
      </c>
      <c r="E115" s="27" t="str">
        <f t="shared" si="19"/>
        <v>2조 - Mico-Service - Testability</v>
      </c>
    </row>
    <row r="116" spans="1:7" ht="16.5" customHeight="1">
      <c r="A116" s="4" t="s">
        <v>69</v>
      </c>
      <c r="B116" s="23" t="s">
        <v>60</v>
      </c>
      <c r="C116" s="27" t="str">
        <f t="shared" si="18"/>
        <v>2조 - SOA - Usability</v>
      </c>
      <c r="D116" s="23" t="s">
        <v>60</v>
      </c>
      <c r="E116" s="27" t="str">
        <f t="shared" si="19"/>
        <v>2조 - Mico-Service - Usability</v>
      </c>
    </row>
    <row r="117" spans="1:7" ht="16.5" customHeight="1">
      <c r="A117" s="1"/>
      <c r="B117" s="16" t="s">
        <v>60</v>
      </c>
      <c r="C117" s="1"/>
      <c r="D117" s="16" t="s">
        <v>60</v>
      </c>
      <c r="E117" s="1"/>
      <c r="F117" s="1"/>
      <c r="G117" s="1"/>
    </row>
    <row r="118" spans="1:7" ht="16.5" customHeight="1">
      <c r="A118" s="31" t="s">
        <v>90</v>
      </c>
      <c r="B118" s="33" t="s">
        <v>91</v>
      </c>
      <c r="C118" s="34"/>
      <c r="D118" s="33" t="s">
        <v>92</v>
      </c>
      <c r="E118" s="34"/>
      <c r="F118" s="33" t="s">
        <v>93</v>
      </c>
      <c r="G118" s="34"/>
    </row>
    <row r="119" spans="1:7" ht="16.5" customHeight="1">
      <c r="A119" s="32"/>
      <c r="B119" s="3" t="s">
        <v>57</v>
      </c>
      <c r="C119" s="3" t="s">
        <v>58</v>
      </c>
      <c r="D119" s="3" t="s">
        <v>57</v>
      </c>
      <c r="E119" s="3" t="s">
        <v>58</v>
      </c>
      <c r="F119" s="3" t="s">
        <v>57</v>
      </c>
      <c r="G119" s="3" t="s">
        <v>58</v>
      </c>
    </row>
    <row r="120" spans="1:7" ht="16.5" customHeight="1">
      <c r="A120" s="4" t="s">
        <v>59</v>
      </c>
      <c r="B120" s="24" t="s">
        <v>60</v>
      </c>
      <c r="C120" s="26" t="str">
        <f t="shared" ref="C120:C129" si="20">"2조" &amp; " - " &amp; B$118 &amp; " - " &amp; $A120</f>
        <v>2조 - Container-based - Availability</v>
      </c>
      <c r="D120" s="24" t="s">
        <v>60</v>
      </c>
      <c r="E120" s="26" t="str">
        <f t="shared" ref="E120:E129" si="21">"2조" &amp; " - " &amp; D$118 &amp; " - " &amp; $A120</f>
        <v>2조 - Cloud-based - Availability</v>
      </c>
      <c r="F120" s="24" t="s">
        <v>60</v>
      </c>
      <c r="G120" s="26" t="str">
        <f t="shared" ref="G120:G129" si="22">"2조" &amp; " - " &amp; F$118 &amp; " - " &amp; $A120</f>
        <v>2조 - Edge-based - Availability</v>
      </c>
    </row>
    <row r="121" spans="1:7" ht="16.5" customHeight="1">
      <c r="A121" s="4" t="s">
        <v>61</v>
      </c>
      <c r="B121" s="24" t="s">
        <v>60</v>
      </c>
      <c r="C121" s="26" t="str">
        <f t="shared" si="20"/>
        <v>2조 - Container-based - Deployability</v>
      </c>
      <c r="D121" s="24" t="s">
        <v>60</v>
      </c>
      <c r="E121" s="26" t="str">
        <f t="shared" si="21"/>
        <v>2조 - Cloud-based - Deployability</v>
      </c>
      <c r="F121" s="24" t="s">
        <v>60</v>
      </c>
      <c r="G121" s="26" t="str">
        <f t="shared" si="22"/>
        <v>2조 - Edge-based - Deployability</v>
      </c>
    </row>
    <row r="122" spans="1:7" ht="16.5" customHeight="1">
      <c r="A122" s="4" t="s">
        <v>62</v>
      </c>
      <c r="B122" s="24" t="s">
        <v>60</v>
      </c>
      <c r="C122" s="26" t="str">
        <f t="shared" si="20"/>
        <v>2조 - Container-based - Integrability</v>
      </c>
      <c r="D122" s="24" t="s">
        <v>60</v>
      </c>
      <c r="E122" s="26" t="str">
        <f t="shared" si="21"/>
        <v>2조 - Cloud-based - Integrability</v>
      </c>
      <c r="F122" s="24" t="s">
        <v>60</v>
      </c>
      <c r="G122" s="26" t="str">
        <f t="shared" si="22"/>
        <v>2조 - Edge-based - Integrability</v>
      </c>
    </row>
    <row r="123" spans="1:7" ht="16.5" customHeight="1">
      <c r="A123" s="4" t="s">
        <v>63</v>
      </c>
      <c r="B123" s="23" t="s">
        <v>60</v>
      </c>
      <c r="C123" s="27" t="str">
        <f t="shared" si="20"/>
        <v>2조 - Container-based - Energy Efficiency</v>
      </c>
      <c r="D123" s="23" t="s">
        <v>60</v>
      </c>
      <c r="E123" s="27" t="str">
        <f t="shared" si="21"/>
        <v>2조 - Cloud-based - Energy Efficiency</v>
      </c>
      <c r="F123" s="24" t="s">
        <v>60</v>
      </c>
      <c r="G123" s="26" t="str">
        <f t="shared" si="22"/>
        <v>2조 - Edge-based - Energy Efficiency</v>
      </c>
    </row>
    <row r="124" spans="1:7" ht="16.5" customHeight="1">
      <c r="A124" s="4" t="s">
        <v>64</v>
      </c>
      <c r="B124" s="24" t="s">
        <v>60</v>
      </c>
      <c r="C124" s="26" t="str">
        <f t="shared" si="20"/>
        <v>2조 - Container-based - Modifiability</v>
      </c>
      <c r="D124" s="23" t="s">
        <v>60</v>
      </c>
      <c r="E124" s="27" t="str">
        <f t="shared" si="21"/>
        <v>2조 - Cloud-based - Modifiability</v>
      </c>
      <c r="F124" s="24" t="s">
        <v>60</v>
      </c>
      <c r="G124" s="26" t="str">
        <f t="shared" si="22"/>
        <v>2조 - Edge-based - Modifiability</v>
      </c>
    </row>
    <row r="125" spans="1:7" ht="16.5" customHeight="1">
      <c r="A125" s="4" t="s">
        <v>65</v>
      </c>
      <c r="B125" s="24" t="s">
        <v>60</v>
      </c>
      <c r="C125" s="26" t="str">
        <f t="shared" si="20"/>
        <v>2조 - Container-based - Performance</v>
      </c>
      <c r="D125" s="24" t="s">
        <v>60</v>
      </c>
      <c r="E125" s="26" t="str">
        <f t="shared" si="21"/>
        <v>2조 - Cloud-based - Performance</v>
      </c>
      <c r="F125" s="24" t="s">
        <v>60</v>
      </c>
      <c r="G125" s="26" t="str">
        <f t="shared" si="22"/>
        <v>2조 - Edge-based - Performance</v>
      </c>
    </row>
    <row r="126" spans="1:7" ht="16.5" customHeight="1">
      <c r="A126" s="4" t="s">
        <v>66</v>
      </c>
      <c r="B126" s="23" t="s">
        <v>60</v>
      </c>
      <c r="C126" s="27" t="str">
        <f t="shared" si="20"/>
        <v>2조 - Container-based - Safety</v>
      </c>
      <c r="D126" s="23" t="s">
        <v>60</v>
      </c>
      <c r="E126" s="27" t="str">
        <f t="shared" si="21"/>
        <v>2조 - Cloud-based - Safety</v>
      </c>
      <c r="F126" s="23" t="s">
        <v>60</v>
      </c>
      <c r="G126" s="27" t="str">
        <f t="shared" si="22"/>
        <v>2조 - Edge-based - Safety</v>
      </c>
    </row>
    <row r="127" spans="1:7" ht="16.5" customHeight="1">
      <c r="A127" s="4" t="s">
        <v>67</v>
      </c>
      <c r="B127" s="23" t="s">
        <v>60</v>
      </c>
      <c r="C127" s="27" t="str">
        <f t="shared" si="20"/>
        <v>2조 - Container-based - Security</v>
      </c>
      <c r="D127" s="24" t="s">
        <v>60</v>
      </c>
      <c r="E127" s="26" t="str">
        <f t="shared" si="21"/>
        <v>2조 - Cloud-based - Security</v>
      </c>
      <c r="F127" s="24" t="s">
        <v>60</v>
      </c>
      <c r="G127" s="26" t="str">
        <f t="shared" si="22"/>
        <v>2조 - Edge-based - Security</v>
      </c>
    </row>
    <row r="128" spans="1:7" ht="16.5" customHeight="1">
      <c r="A128" s="4" t="s">
        <v>68</v>
      </c>
      <c r="B128" s="24" t="s">
        <v>60</v>
      </c>
      <c r="C128" s="26" t="str">
        <f t="shared" si="20"/>
        <v>2조 - Container-based - Testability</v>
      </c>
      <c r="D128" s="24" t="s">
        <v>60</v>
      </c>
      <c r="E128" s="26" t="str">
        <f t="shared" si="21"/>
        <v>2조 - Cloud-based - Testability</v>
      </c>
      <c r="F128" s="24" t="s">
        <v>60</v>
      </c>
      <c r="G128" s="26" t="str">
        <f t="shared" si="22"/>
        <v>2조 - Edge-based - Testability</v>
      </c>
    </row>
    <row r="129" spans="1:7" ht="16.5" customHeight="1">
      <c r="A129" s="4" t="s">
        <v>69</v>
      </c>
      <c r="B129" s="23" t="s">
        <v>60</v>
      </c>
      <c r="C129" s="27" t="str">
        <f t="shared" si="20"/>
        <v>2조 - Container-based - Usability</v>
      </c>
      <c r="D129" s="23" t="s">
        <v>60</v>
      </c>
      <c r="E129" s="27" t="str">
        <f t="shared" si="21"/>
        <v>2조 - Cloud-based - Usability</v>
      </c>
      <c r="F129" s="23" t="s">
        <v>60</v>
      </c>
      <c r="G129" s="27" t="str">
        <f t="shared" si="22"/>
        <v>2조 - Edge-based - Usability</v>
      </c>
    </row>
    <row r="130" spans="1:7" ht="16.5" customHeight="1"/>
    <row r="131" spans="1:7" ht="16.5" customHeight="1"/>
    <row r="132" spans="1:7" ht="16.5" customHeight="1"/>
    <row r="133" spans="1:7" ht="16.5" customHeight="1"/>
    <row r="134" spans="1:7" ht="16.5" customHeight="1"/>
    <row r="135" spans="1:7" ht="16.5" customHeight="1"/>
    <row r="136" spans="1:7" ht="16.5" customHeight="1"/>
    <row r="137" spans="1:7" ht="16.5" customHeight="1"/>
    <row r="138" spans="1:7" ht="16.5" customHeight="1"/>
    <row r="139" spans="1:7" ht="16.5" customHeight="1"/>
    <row r="140" spans="1:7" ht="16.5" customHeight="1"/>
    <row r="141" spans="1:7" ht="16.5" customHeight="1"/>
    <row r="142" spans="1:7" ht="16.5" customHeight="1"/>
    <row r="143" spans="1:7" ht="16.5" customHeight="1"/>
    <row r="144" spans="1:7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8">
    <mergeCell ref="D66:E66"/>
    <mergeCell ref="F66:G66"/>
    <mergeCell ref="D92:E92"/>
    <mergeCell ref="A105:A106"/>
    <mergeCell ref="B105:C105"/>
    <mergeCell ref="D105:E105"/>
    <mergeCell ref="B66:C66"/>
    <mergeCell ref="A79:A80"/>
    <mergeCell ref="B79:C79"/>
    <mergeCell ref="D79:E79"/>
    <mergeCell ref="A92:A93"/>
    <mergeCell ref="B92:C92"/>
    <mergeCell ref="A118:A119"/>
    <mergeCell ref="B118:C118"/>
    <mergeCell ref="D118:E118"/>
    <mergeCell ref="F118:G118"/>
    <mergeCell ref="A1:A2"/>
    <mergeCell ref="B1:C1"/>
    <mergeCell ref="D1:E1"/>
    <mergeCell ref="F1:G1"/>
    <mergeCell ref="B14:C14"/>
    <mergeCell ref="D14:E14"/>
    <mergeCell ref="D27:E27"/>
    <mergeCell ref="B27:C27"/>
    <mergeCell ref="B40:C40"/>
    <mergeCell ref="D40:E40"/>
    <mergeCell ref="B53:C53"/>
    <mergeCell ref="D53:E53"/>
  </mergeCells>
  <phoneticPr fontId="7" type="noConversion"/>
  <dataValidations count="1">
    <dataValidation type="list" allowBlank="1" showErrorMessage="1" sqref="B3:B12 D3:D12 F3:F12 B14 D14 B16:B25 D16:D25 B27 D27 B29:B38 D29:D38 B42:B51 D42:D51 B53 D53 B55:B64 D55:D64 B66 D66 F66 B68:B77 D68:D77 B79 D79 F68:F78 B81:B90 D81:D90 B92 B94:B103 F120:F129 B120:B129 D120:D129 D94:D103 D107:D116 B107:B116" xr:uid="{F49CFBE9-1D73-4259-AB67-D65823F77285}">
      <formula1>"'++,'+,'0,'-,'--"</formula1>
    </dataValidation>
  </dataValidation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99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/>
  <cols>
    <col min="1" max="1" width="18" customWidth="1"/>
    <col min="2" max="2" width="14.7109375" customWidth="1"/>
    <col min="3" max="3" width="70.5703125" customWidth="1"/>
    <col min="4" max="4" width="9.85546875" customWidth="1"/>
    <col min="5" max="5" width="64.42578125" customWidth="1"/>
    <col min="6" max="6" width="11.42578125" customWidth="1"/>
    <col min="7" max="7" width="61.5703125" customWidth="1"/>
    <col min="8" max="8" width="8.85546875" customWidth="1"/>
    <col min="9" max="9" width="64.140625" customWidth="1"/>
    <col min="10" max="26" width="8.85546875" customWidth="1"/>
  </cols>
  <sheetData>
    <row r="1" spans="1:7" ht="16.5" customHeight="1">
      <c r="A1" s="31" t="s">
        <v>53</v>
      </c>
      <c r="B1" s="33" t="s">
        <v>54</v>
      </c>
      <c r="C1" s="34"/>
      <c r="D1" s="33" t="s">
        <v>55</v>
      </c>
      <c r="E1" s="34"/>
      <c r="F1" s="33" t="s">
        <v>56</v>
      </c>
      <c r="G1" s="34"/>
    </row>
    <row r="2" spans="1:7" ht="16.5" customHeight="1">
      <c r="A2" s="32"/>
      <c r="B2" s="3" t="s">
        <v>57</v>
      </c>
      <c r="C2" s="3" t="s">
        <v>58</v>
      </c>
      <c r="D2" s="3" t="s">
        <v>57</v>
      </c>
      <c r="E2" s="3" t="s">
        <v>58</v>
      </c>
      <c r="F2" s="3" t="s">
        <v>57</v>
      </c>
      <c r="G2" s="3" t="s">
        <v>58</v>
      </c>
    </row>
    <row r="3" spans="1:7" ht="16.5" customHeight="1">
      <c r="A3" s="4" t="s">
        <v>59</v>
      </c>
      <c r="B3" s="24" t="s">
        <v>60</v>
      </c>
      <c r="C3" s="26" t="str">
        <f>"3조" &amp; " - " &amp; B$1 &amp; " - " &amp; $A3</f>
        <v>3조 - Batch Sequential - Availability</v>
      </c>
      <c r="D3" s="24" t="s">
        <v>60</v>
      </c>
      <c r="E3" s="26" t="str">
        <f>"3조" &amp; " - " &amp; D$1 &amp; " - " &amp; $A3</f>
        <v>3조 - Pipe and Filter - Availability</v>
      </c>
      <c r="F3" s="23" t="s">
        <v>60</v>
      </c>
      <c r="G3" s="27" t="str">
        <f>"3조" &amp; " - " &amp; F$1 &amp; " - " &amp; $A3</f>
        <v>3조 - Process Control - Availability</v>
      </c>
    </row>
    <row r="4" spans="1:7" ht="16.5" customHeight="1">
      <c r="A4" s="4" t="s">
        <v>61</v>
      </c>
      <c r="B4" s="24" t="s">
        <v>60</v>
      </c>
      <c r="C4" s="26" t="str">
        <f>"3조" &amp; " - " &amp; B$1 &amp; " - " &amp; $A4</f>
        <v>3조 - Batch Sequential - Deployability</v>
      </c>
      <c r="D4" s="24" t="s">
        <v>60</v>
      </c>
      <c r="E4" s="26" t="str">
        <f>"3조" &amp; " - " &amp; D$1 &amp; " - " &amp; $A4</f>
        <v>3조 - Pipe and Filter - Deployability</v>
      </c>
      <c r="F4" s="23" t="s">
        <v>60</v>
      </c>
      <c r="G4" s="27" t="str">
        <f>"3조" &amp; " - " &amp; F$1 &amp; " - " &amp; $A4</f>
        <v>3조 - Process Control - Deployability</v>
      </c>
    </row>
    <row r="5" spans="1:7" ht="16.5" customHeight="1">
      <c r="A5" s="4" t="s">
        <v>62</v>
      </c>
      <c r="B5" s="23" t="s">
        <v>60</v>
      </c>
      <c r="C5" s="26" t="str">
        <f>"3조" &amp; " - " &amp; B$1 &amp; " - " &amp; $A5</f>
        <v>3조 - Batch Sequential - Integrability</v>
      </c>
      <c r="D5" s="24" t="s">
        <v>60</v>
      </c>
      <c r="E5" s="28" t="str">
        <f>"3조" &amp; " - " &amp; D$1 &amp; " - " &amp; $A5</f>
        <v>3조 - Pipe and Filter - Integrability</v>
      </c>
      <c r="F5" s="23" t="s">
        <v>60</v>
      </c>
      <c r="G5" s="27" t="str">
        <f>"3조" &amp; " - " &amp; F$1 &amp; " - " &amp; $A5</f>
        <v>3조 - Process Control - Integrability</v>
      </c>
    </row>
    <row r="6" spans="1:7" ht="16.5" customHeight="1">
      <c r="A6" s="4" t="s">
        <v>63</v>
      </c>
      <c r="B6" s="24" t="s">
        <v>60</v>
      </c>
      <c r="C6" s="26" t="str">
        <f>"3조" &amp; " - " &amp; B$1 &amp; " - " &amp; $A6</f>
        <v>3조 - Batch Sequential - Energy Efficiency</v>
      </c>
      <c r="D6" s="23" t="s">
        <v>60</v>
      </c>
      <c r="E6" s="27" t="str">
        <f>"3조" &amp; " - " &amp; D$1 &amp; " - " &amp; $A6</f>
        <v>3조 - Pipe and Filter - Energy Efficiency</v>
      </c>
      <c r="F6" s="23" t="s">
        <v>60</v>
      </c>
      <c r="G6" s="27" t="str">
        <f>"3조" &amp; " - " &amp; F$1 &amp; " - " &amp; $A6</f>
        <v>3조 - Process Control - Energy Efficiency</v>
      </c>
    </row>
    <row r="7" spans="1:7" ht="16.5" customHeight="1">
      <c r="A7" s="4" t="s">
        <v>64</v>
      </c>
      <c r="B7" s="24" t="s">
        <v>60</v>
      </c>
      <c r="C7" s="26" t="str">
        <f>"3조" &amp; " - " &amp; B$1 &amp; " - " &amp; $A7</f>
        <v>3조 - Batch Sequential - Modifiability</v>
      </c>
      <c r="D7" s="24" t="s">
        <v>60</v>
      </c>
      <c r="E7" s="26" t="str">
        <f>"3조" &amp; " - " &amp; D$1 &amp; " - " &amp; $A7</f>
        <v>3조 - Pipe and Filter - Modifiability</v>
      </c>
      <c r="F7" s="23" t="s">
        <v>60</v>
      </c>
      <c r="G7" s="27" t="str">
        <f>"3조" &amp; " - " &amp; F$1 &amp; " - " &amp; $A7</f>
        <v>3조 - Process Control - Modifiability</v>
      </c>
    </row>
    <row r="8" spans="1:7" ht="16.5" customHeight="1">
      <c r="A8" s="4" t="s">
        <v>65</v>
      </c>
      <c r="B8" s="24" t="s">
        <v>60</v>
      </c>
      <c r="C8" s="26" t="str">
        <f>"3조" &amp; " - " &amp; B$1 &amp; " - " &amp; $A8</f>
        <v>3조 - Batch Sequential - Performance</v>
      </c>
      <c r="D8" s="24" t="s">
        <v>60</v>
      </c>
      <c r="E8" s="26" t="str">
        <f>"3조" &amp; " - " &amp; D$1 &amp; " - " &amp; $A8</f>
        <v>3조 - Pipe and Filter - Performance</v>
      </c>
      <c r="F8" s="23" t="s">
        <v>60</v>
      </c>
      <c r="G8" s="27" t="str">
        <f>"3조" &amp; " - " &amp; F$1 &amp; " - " &amp; $A8</f>
        <v>3조 - Process Control - Performance</v>
      </c>
    </row>
    <row r="9" spans="1:7" ht="16.5" customHeight="1">
      <c r="A9" s="4" t="s">
        <v>66</v>
      </c>
      <c r="B9" s="23" t="s">
        <v>60</v>
      </c>
      <c r="C9" s="26" t="str">
        <f>"3조" &amp; " - " &amp; B$1 &amp; " - " &amp; $A9</f>
        <v>3조 - Batch Sequential - Safety</v>
      </c>
      <c r="D9" s="23" t="s">
        <v>60</v>
      </c>
      <c r="E9" s="27" t="str">
        <f>"3조" &amp; " - " &amp; D$1 &amp; " - " &amp; $A9</f>
        <v>3조 - Pipe and Filter - Safety</v>
      </c>
      <c r="F9" s="23" t="s">
        <v>60</v>
      </c>
      <c r="G9" s="27" t="str">
        <f>"3조" &amp; " - " &amp; F$1 &amp; " - " &amp; $A9</f>
        <v>3조 - Process Control - Safety</v>
      </c>
    </row>
    <row r="10" spans="1:7" ht="16.5" customHeight="1">
      <c r="A10" s="4" t="s">
        <v>67</v>
      </c>
      <c r="B10" s="24" t="s">
        <v>60</v>
      </c>
      <c r="C10" s="26" t="str">
        <f>"3조" &amp; " - " &amp; B$1 &amp; " - " &amp; $A10</f>
        <v>3조 - Batch Sequential - Security</v>
      </c>
      <c r="D10" s="24" t="s">
        <v>60</v>
      </c>
      <c r="E10" s="26" t="str">
        <f>"3조" &amp; " - " &amp; D$1 &amp; " - " &amp; $A10</f>
        <v>3조 - Pipe and Filter - Security</v>
      </c>
      <c r="F10" s="23" t="s">
        <v>60</v>
      </c>
      <c r="G10" s="27" t="str">
        <f>"3조" &amp; " - " &amp; F$1 &amp; " - " &amp; $A10</f>
        <v>3조 - Process Control - Security</v>
      </c>
    </row>
    <row r="11" spans="1:7" ht="16.5" customHeight="1">
      <c r="A11" s="4" t="s">
        <v>68</v>
      </c>
      <c r="B11" s="24" t="s">
        <v>60</v>
      </c>
      <c r="C11" s="26" t="str">
        <f>"3조" &amp; " - " &amp; B$1 &amp; " - " &amp; $A11</f>
        <v>3조 - Batch Sequential - Testability</v>
      </c>
      <c r="D11" s="24" t="s">
        <v>60</v>
      </c>
      <c r="E11" s="26" t="str">
        <f>"3조" &amp; " - " &amp; D$1 &amp; " - " &amp; $A11</f>
        <v>3조 - Pipe and Filter - Testability</v>
      </c>
      <c r="F11" s="23" t="s">
        <v>60</v>
      </c>
      <c r="G11" s="27" t="str">
        <f>"3조" &amp; " - " &amp; F$1 &amp; " - " &amp; $A11</f>
        <v>3조 - Process Control - Testability</v>
      </c>
    </row>
    <row r="12" spans="1:7" ht="16.5" customHeight="1">
      <c r="A12" s="4" t="s">
        <v>69</v>
      </c>
      <c r="B12" s="23" t="s">
        <v>60</v>
      </c>
      <c r="C12" s="26" t="str">
        <f>"3조" &amp; " - " &amp; B$1 &amp; " - " &amp; $A12</f>
        <v>3조 - Batch Sequential - Usability</v>
      </c>
      <c r="D12" s="23" t="s">
        <v>60</v>
      </c>
      <c r="E12" s="27" t="str">
        <f>"3조" &amp; " - " &amp; D$1 &amp; " - " &amp; $A12</f>
        <v>3조 - Pipe and Filter - Usability</v>
      </c>
      <c r="F12" s="23" t="s">
        <v>60</v>
      </c>
      <c r="G12" s="27" t="str">
        <f>"3조" &amp; " - " &amp; F$1 &amp; " - " &amp; $A12</f>
        <v>3조 - Process Control - Usability</v>
      </c>
    </row>
    <row r="13" spans="1:7" ht="16.5" customHeight="1">
      <c r="A13" s="1"/>
      <c r="B13" s="16" t="s">
        <v>60</v>
      </c>
      <c r="C13" s="16" t="s">
        <v>60</v>
      </c>
      <c r="D13" s="16" t="s">
        <v>60</v>
      </c>
      <c r="E13" s="16" t="s">
        <v>60</v>
      </c>
      <c r="F13" s="16" t="s">
        <v>60</v>
      </c>
      <c r="G13" s="1"/>
    </row>
    <row r="14" spans="1:7" ht="16.5" customHeight="1">
      <c r="A14" s="2" t="s">
        <v>70</v>
      </c>
      <c r="B14" s="35" t="s">
        <v>71</v>
      </c>
      <c r="C14" s="34"/>
      <c r="D14" s="35" t="s">
        <v>72</v>
      </c>
      <c r="E14" s="34"/>
      <c r="F14" s="1"/>
      <c r="G14" s="1"/>
    </row>
    <row r="15" spans="1:7" ht="16.5" customHeight="1">
      <c r="A15" s="19"/>
      <c r="B15" s="20" t="s">
        <v>57</v>
      </c>
      <c r="C15" s="21" t="s">
        <v>58</v>
      </c>
      <c r="D15" s="20" t="s">
        <v>57</v>
      </c>
      <c r="E15" s="21" t="s">
        <v>58</v>
      </c>
      <c r="F15" s="1"/>
      <c r="G15" s="1"/>
    </row>
    <row r="16" spans="1:7" ht="16.5" customHeight="1">
      <c r="A16" s="4" t="s">
        <v>59</v>
      </c>
      <c r="B16" s="24" t="s">
        <v>60</v>
      </c>
      <c r="C16" s="26" t="str">
        <f>"3조" &amp; " - " &amp; B$14 &amp; " - " &amp; $A16</f>
        <v>3조 - Shared Respository - Availability</v>
      </c>
      <c r="D16" s="23" t="s">
        <v>60</v>
      </c>
      <c r="E16" s="27" t="str">
        <f>"3조" &amp; " - " &amp; D$14 &amp; " - " &amp; $A16</f>
        <v>3조 - Blackboard - Availability</v>
      </c>
      <c r="F16" s="1"/>
      <c r="G16" s="1"/>
    </row>
    <row r="17" spans="1:7" ht="16.5" customHeight="1">
      <c r="A17" s="4" t="s">
        <v>61</v>
      </c>
      <c r="B17" s="24" t="s">
        <v>60</v>
      </c>
      <c r="C17" s="26" t="str">
        <f>"3조" &amp; " - " &amp; B$14 &amp; " - " &amp; $A17</f>
        <v>3조 - Shared Respository - Deployability</v>
      </c>
      <c r="D17" s="23" t="s">
        <v>60</v>
      </c>
      <c r="E17" s="27" t="str">
        <f>"3조" &amp; " - " &amp; D$14 &amp; " - " &amp; $A17</f>
        <v>3조 - Blackboard - Deployability</v>
      </c>
      <c r="F17" s="1"/>
      <c r="G17" s="1"/>
    </row>
    <row r="18" spans="1:7" ht="16.5" customHeight="1">
      <c r="A18" s="4" t="s">
        <v>62</v>
      </c>
      <c r="B18" s="24" t="s">
        <v>60</v>
      </c>
      <c r="C18" s="26" t="str">
        <f>"3조" &amp; " - " &amp; B$14 &amp; " - " &amp; $A18</f>
        <v>3조 - Shared Respository - Integrability</v>
      </c>
      <c r="D18" s="23" t="s">
        <v>60</v>
      </c>
      <c r="E18" s="27" t="str">
        <f>"3조" &amp; " - " &amp; D$14 &amp; " - " &amp; $A18</f>
        <v>3조 - Blackboard - Integrability</v>
      </c>
      <c r="F18" s="1"/>
      <c r="G18" s="1"/>
    </row>
    <row r="19" spans="1:7" ht="16.5" customHeight="1">
      <c r="A19" s="4" t="s">
        <v>63</v>
      </c>
      <c r="B19" s="23" t="s">
        <v>60</v>
      </c>
      <c r="C19" s="27" t="str">
        <f>"3조" &amp; " - " &amp; B$14 &amp; " - " &amp; $A19</f>
        <v>3조 - Shared Respository - Energy Efficiency</v>
      </c>
      <c r="D19" s="23" t="s">
        <v>60</v>
      </c>
      <c r="E19" s="27" t="str">
        <f>"3조" &amp; " - " &amp; D$14 &amp; " - " &amp; $A19</f>
        <v>3조 - Blackboard - Energy Efficiency</v>
      </c>
      <c r="F19" s="1"/>
      <c r="G19" s="1"/>
    </row>
    <row r="20" spans="1:7" ht="16.5" customHeight="1">
      <c r="A20" s="4" t="s">
        <v>64</v>
      </c>
      <c r="B20" s="24" t="s">
        <v>60</v>
      </c>
      <c r="C20" s="26" t="str">
        <f>"3조" &amp; " - " &amp; B$14 &amp; " - " &amp; $A20</f>
        <v>3조 - Shared Respository - Modifiability</v>
      </c>
      <c r="D20" s="23" t="s">
        <v>60</v>
      </c>
      <c r="E20" s="27" t="str">
        <f>"3조" &amp; " - " &amp; D$14 &amp; " - " &amp; $A20</f>
        <v>3조 - Blackboard - Modifiability</v>
      </c>
      <c r="F20" s="1"/>
      <c r="G20" s="1"/>
    </row>
    <row r="21" spans="1:7" ht="16.5" customHeight="1">
      <c r="A21" s="4" t="s">
        <v>65</v>
      </c>
      <c r="B21" s="24" t="s">
        <v>60</v>
      </c>
      <c r="C21" s="26" t="str">
        <f>"3조" &amp; " - " &amp; B$14 &amp; " - " &amp; $A21</f>
        <v>3조 - Shared Respository - Performance</v>
      </c>
      <c r="D21" s="23" t="s">
        <v>60</v>
      </c>
      <c r="E21" s="27" t="str">
        <f>"3조" &amp; " - " &amp; D$14 &amp; " - " &amp; $A21</f>
        <v>3조 - Blackboard - Performance</v>
      </c>
      <c r="F21" s="1"/>
      <c r="G21" s="1"/>
    </row>
    <row r="22" spans="1:7" ht="16.5" customHeight="1">
      <c r="A22" s="4" t="s">
        <v>66</v>
      </c>
      <c r="B22" s="23" t="s">
        <v>60</v>
      </c>
      <c r="C22" s="27" t="str">
        <f>"3조" &amp; " - " &amp; B$14 &amp; " - " &amp; $A22</f>
        <v>3조 - Shared Respository - Safety</v>
      </c>
      <c r="D22" s="23" t="s">
        <v>60</v>
      </c>
      <c r="E22" s="27" t="str">
        <f>"3조" &amp; " - " &amp; D$14 &amp; " - " &amp; $A22</f>
        <v>3조 - Blackboard - Safety</v>
      </c>
      <c r="F22" s="1"/>
      <c r="G22" s="1"/>
    </row>
    <row r="23" spans="1:7" ht="16.5" customHeight="1">
      <c r="A23" s="4" t="s">
        <v>67</v>
      </c>
      <c r="B23" s="24" t="s">
        <v>60</v>
      </c>
      <c r="C23" s="26" t="str">
        <f>"3조" &amp; " - " &amp; B$14 &amp; " - " &amp; $A23</f>
        <v>3조 - Shared Respository - Security</v>
      </c>
      <c r="D23" s="23" t="s">
        <v>60</v>
      </c>
      <c r="E23" s="27" t="str">
        <f>"3조" &amp; " - " &amp; D$14 &amp; " - " &amp; $A23</f>
        <v>3조 - Blackboard - Security</v>
      </c>
      <c r="F23" s="1"/>
      <c r="G23" s="1"/>
    </row>
    <row r="24" spans="1:7" ht="16.5" customHeight="1">
      <c r="A24" s="4" t="s">
        <v>68</v>
      </c>
      <c r="B24" s="24" t="s">
        <v>60</v>
      </c>
      <c r="C24" s="26" t="str">
        <f>"3조" &amp; " - " &amp; B$14 &amp; " - " &amp; $A24</f>
        <v>3조 - Shared Respository - Testability</v>
      </c>
      <c r="D24" s="23" t="s">
        <v>60</v>
      </c>
      <c r="E24" s="27" t="str">
        <f>"3조" &amp; " - " &amp; D$14 &amp; " - " &amp; $A24</f>
        <v>3조 - Blackboard - Testability</v>
      </c>
      <c r="F24" s="1"/>
      <c r="G24" s="1"/>
    </row>
    <row r="25" spans="1:7" ht="16.5" customHeight="1">
      <c r="A25" s="4" t="s">
        <v>69</v>
      </c>
      <c r="B25" s="23" t="s">
        <v>60</v>
      </c>
      <c r="C25" s="27" t="str">
        <f>"3조" &amp; " - " &amp; B$14 &amp; " - " &amp; $A25</f>
        <v>3조 - Shared Respository - Usability</v>
      </c>
      <c r="D25" s="23" t="s">
        <v>60</v>
      </c>
      <c r="E25" s="27" t="str">
        <f>"3조" &amp; " - " &amp; D$14 &amp; " - " &amp; $A25</f>
        <v>3조 - Blackboard - Usability</v>
      </c>
      <c r="F25" s="1"/>
      <c r="G25" s="1"/>
    </row>
    <row r="26" spans="1:7" ht="16.5" customHeight="1">
      <c r="A26" s="1"/>
      <c r="B26" s="16" t="s">
        <v>60</v>
      </c>
      <c r="C26" s="16" t="s">
        <v>60</v>
      </c>
      <c r="D26" s="16" t="s">
        <v>60</v>
      </c>
      <c r="E26" s="16" t="s">
        <v>60</v>
      </c>
      <c r="F26" s="1"/>
      <c r="G26" s="1"/>
    </row>
    <row r="27" spans="1:7" ht="16.5" customHeight="1">
      <c r="A27" s="2" t="s">
        <v>73</v>
      </c>
      <c r="B27" s="35" t="s">
        <v>74</v>
      </c>
      <c r="C27" s="34"/>
      <c r="D27" s="35" t="s">
        <v>75</v>
      </c>
      <c r="E27" s="34"/>
      <c r="F27" s="1"/>
      <c r="G27" s="1"/>
    </row>
    <row r="28" spans="1:7" ht="16.5" customHeight="1">
      <c r="A28" s="22"/>
      <c r="B28" s="3" t="s">
        <v>57</v>
      </c>
      <c r="C28" s="17" t="s">
        <v>58</v>
      </c>
      <c r="D28" s="3" t="s">
        <v>57</v>
      </c>
      <c r="E28" s="17" t="s">
        <v>58</v>
      </c>
      <c r="F28" s="1"/>
      <c r="G28" s="1"/>
    </row>
    <row r="29" spans="1:7" ht="16.5" customHeight="1">
      <c r="A29" s="4" t="s">
        <v>59</v>
      </c>
      <c r="B29" s="24" t="s">
        <v>60</v>
      </c>
      <c r="C29" s="26" t="str">
        <f>"3조" &amp; " - " &amp; B$27 &amp; " - " &amp; $A29</f>
        <v>3조 - Non-Buffered Event Based - Availability</v>
      </c>
      <c r="D29" s="24" t="s">
        <v>60</v>
      </c>
      <c r="E29" s="26" t="str">
        <f>"3조" &amp; " - " &amp; D$27 &amp; " - " &amp; $A29</f>
        <v>3조 - Buffered Message Based - Availability</v>
      </c>
      <c r="F29" s="1"/>
      <c r="G29" s="1"/>
    </row>
    <row r="30" spans="1:7" ht="16.5" customHeight="1">
      <c r="A30" s="4" t="s">
        <v>61</v>
      </c>
      <c r="B30" s="23" t="s">
        <v>60</v>
      </c>
      <c r="C30" s="27" t="str">
        <f>"3조" &amp; " - " &amp; B$27 &amp; " - " &amp; $A30</f>
        <v>3조 - Non-Buffered Event Based - Deployability</v>
      </c>
      <c r="D30" s="23" t="s">
        <v>60</v>
      </c>
      <c r="E30" s="27" t="str">
        <f>"3조" &amp; " - " &amp; D$27 &amp; " - " &amp; $A30</f>
        <v>3조 - Buffered Message Based - Deployability</v>
      </c>
      <c r="F30" s="1"/>
      <c r="G30" s="1"/>
    </row>
    <row r="31" spans="1:7" ht="16.5" customHeight="1">
      <c r="A31" s="4" t="s">
        <v>62</v>
      </c>
      <c r="B31" s="24" t="s">
        <v>60</v>
      </c>
      <c r="C31" s="26" t="str">
        <f>"3조" &amp; " - " &amp; B$27 &amp; " - " &amp; $A31</f>
        <v>3조 - Non-Buffered Event Based - Integrability</v>
      </c>
      <c r="D31" s="24" t="s">
        <v>60</v>
      </c>
      <c r="E31" s="26" t="str">
        <f>"3조" &amp; " - " &amp; D$27 &amp; " - " &amp; $A31</f>
        <v>3조 - Buffered Message Based - Integrability</v>
      </c>
      <c r="F31" s="1"/>
      <c r="G31" s="1"/>
    </row>
    <row r="32" spans="1:7" ht="16.5" customHeight="1">
      <c r="A32" s="4" t="s">
        <v>63</v>
      </c>
      <c r="B32" s="23" t="s">
        <v>60</v>
      </c>
      <c r="C32" s="27" t="str">
        <f>"3조" &amp; " - " &amp; B$27 &amp; " - " &amp; $A32</f>
        <v>3조 - Non-Buffered Event Based - Energy Efficiency</v>
      </c>
      <c r="D32" s="23" t="s">
        <v>60</v>
      </c>
      <c r="E32" s="27" t="str">
        <f>"3조" &amp; " - " &amp; D$27 &amp; " - " &amp; $A32</f>
        <v>3조 - Buffered Message Based - Energy Efficiency</v>
      </c>
      <c r="F32" s="1"/>
      <c r="G32" s="1"/>
    </row>
    <row r="33" spans="1:9" ht="16.5" customHeight="1">
      <c r="A33" s="4" t="s">
        <v>64</v>
      </c>
      <c r="B33" s="24" t="s">
        <v>60</v>
      </c>
      <c r="C33" s="26" t="str">
        <f>"3조" &amp; " - " &amp; B$27 &amp; " - " &amp; $A33</f>
        <v>3조 - Non-Buffered Event Based - Modifiability</v>
      </c>
      <c r="D33" s="24" t="s">
        <v>60</v>
      </c>
      <c r="E33" s="26" t="str">
        <f>"3조" &amp; " - " &amp; D$27 &amp; " - " &amp; $A33</f>
        <v>3조 - Buffered Message Based - Modifiability</v>
      </c>
      <c r="F33" s="1"/>
      <c r="G33" s="1"/>
    </row>
    <row r="34" spans="1:9" ht="16.5" customHeight="1">
      <c r="A34" s="4" t="s">
        <v>65</v>
      </c>
      <c r="B34" s="24" t="s">
        <v>60</v>
      </c>
      <c r="C34" s="26" t="str">
        <f>"3조" &amp; " - " &amp; B$27 &amp; " - " &amp; $A34</f>
        <v>3조 - Non-Buffered Event Based - Performance</v>
      </c>
      <c r="D34" s="24" t="s">
        <v>60</v>
      </c>
      <c r="E34" s="26" t="str">
        <f>"3조" &amp; " - " &amp; D$27 &amp; " - " &amp; $A34</f>
        <v>3조 - Buffered Message Based - Performance</v>
      </c>
      <c r="F34" s="1"/>
      <c r="G34" s="1"/>
    </row>
    <row r="35" spans="1:9" ht="16.5" customHeight="1">
      <c r="A35" s="4" t="s">
        <v>66</v>
      </c>
      <c r="B35" s="25" t="s">
        <v>60</v>
      </c>
      <c r="C35" s="29" t="str">
        <f>"3조" &amp; " - " &amp; B$27 &amp; " - " &amp; $A35</f>
        <v>3조 - Non-Buffered Event Based - Safety</v>
      </c>
      <c r="D35" s="25" t="s">
        <v>60</v>
      </c>
      <c r="E35" s="29" t="str">
        <f>"3조" &amp; " - " &amp; D$27 &amp; " - " &amp; $A35</f>
        <v>3조 - Buffered Message Based - Safety</v>
      </c>
      <c r="F35" s="1"/>
      <c r="G35" s="1"/>
    </row>
    <row r="36" spans="1:9" ht="16.5" customHeight="1">
      <c r="A36" s="4" t="s">
        <v>67</v>
      </c>
      <c r="B36" s="23" t="s">
        <v>60</v>
      </c>
      <c r="C36" s="27" t="str">
        <f>"3조" &amp; " - " &amp; B$27 &amp; " - " &amp; $A36</f>
        <v>3조 - Non-Buffered Event Based - Security</v>
      </c>
      <c r="D36" s="23" t="s">
        <v>60</v>
      </c>
      <c r="E36" s="27" t="str">
        <f>"3조" &amp; " - " &amp; D$27 &amp; " - " &amp; $A36</f>
        <v>3조 - Buffered Message Based - Security</v>
      </c>
      <c r="F36" s="1"/>
      <c r="G36" s="1"/>
    </row>
    <row r="37" spans="1:9" ht="16.5" customHeight="1">
      <c r="A37" s="4" t="s">
        <v>68</v>
      </c>
      <c r="B37" s="24" t="s">
        <v>60</v>
      </c>
      <c r="C37" s="26" t="str">
        <f>"3조" &amp; " - " &amp; B$27 &amp; " - " &amp; $A37</f>
        <v>3조 - Non-Buffered Event Based - Testability</v>
      </c>
      <c r="D37" s="24" t="s">
        <v>60</v>
      </c>
      <c r="E37" s="26" t="str">
        <f>"3조" &amp; " - " &amp; D$27 &amp; " - " &amp; $A37</f>
        <v>3조 - Buffered Message Based - Testability</v>
      </c>
      <c r="F37" s="1"/>
      <c r="G37" s="1"/>
    </row>
    <row r="38" spans="1:9" ht="16.5" customHeight="1">
      <c r="A38" s="4" t="s">
        <v>69</v>
      </c>
      <c r="B38" s="23" t="s">
        <v>60</v>
      </c>
      <c r="C38" s="27" t="str">
        <f>"3조" &amp; " - " &amp; B$27 &amp; " - " &amp; $A38</f>
        <v>3조 - Non-Buffered Event Based - Usability</v>
      </c>
      <c r="D38" s="23" t="s">
        <v>60</v>
      </c>
      <c r="E38" s="27" t="str">
        <f>"3조" &amp; " - " &amp; D$27 &amp; " - " &amp; $A38</f>
        <v>3조 - Buffered Message Based - Usability</v>
      </c>
      <c r="F38" s="1"/>
      <c r="G38" s="1"/>
    </row>
    <row r="39" spans="1:9" ht="16.5" customHeight="1">
      <c r="A39" s="1"/>
      <c r="B39" s="16" t="s">
        <v>60</v>
      </c>
      <c r="C39" s="16" t="s">
        <v>60</v>
      </c>
      <c r="D39" s="16" t="s">
        <v>60</v>
      </c>
      <c r="E39" s="16" t="s">
        <v>60</v>
      </c>
      <c r="F39" s="1"/>
      <c r="G39" s="1"/>
    </row>
    <row r="40" spans="1:9" ht="16.5" customHeight="1">
      <c r="A40" s="2" t="s">
        <v>76</v>
      </c>
      <c r="B40" s="33" t="s">
        <v>77</v>
      </c>
      <c r="C40" s="34"/>
      <c r="D40" s="33" t="s">
        <v>78</v>
      </c>
      <c r="E40" s="34"/>
      <c r="F40" s="1"/>
      <c r="G40" s="1"/>
      <c r="H40" s="1"/>
    </row>
    <row r="41" spans="1:9" ht="16.5">
      <c r="A41" s="22"/>
      <c r="B41" s="3" t="s">
        <v>57</v>
      </c>
      <c r="C41" s="3" t="s">
        <v>58</v>
      </c>
      <c r="D41" s="3" t="s">
        <v>57</v>
      </c>
      <c r="E41" s="3" t="s">
        <v>58</v>
      </c>
      <c r="F41" s="1"/>
      <c r="G41" s="1"/>
      <c r="H41" s="1"/>
      <c r="I41" s="13"/>
    </row>
    <row r="42" spans="1:9" ht="16.5" customHeight="1">
      <c r="A42" s="4" t="s">
        <v>59</v>
      </c>
      <c r="B42" s="23" t="s">
        <v>60</v>
      </c>
      <c r="C42" s="27" t="str">
        <f>"3조" &amp; " - " &amp; B$40 &amp; " - " &amp; $A42</f>
        <v>3조 - MVC - Availability</v>
      </c>
      <c r="D42" s="23" t="s">
        <v>60</v>
      </c>
      <c r="E42" s="27" t="str">
        <f>"3조" &amp; " - " &amp; D$40 &amp; " - " &amp; $A42</f>
        <v>3조 - PAC - Availability</v>
      </c>
      <c r="F42" s="1"/>
      <c r="G42" s="1"/>
      <c r="H42" s="1"/>
    </row>
    <row r="43" spans="1:9" ht="16.5" customHeight="1">
      <c r="A43" s="4" t="s">
        <v>61</v>
      </c>
      <c r="B43" s="23" t="s">
        <v>60</v>
      </c>
      <c r="C43" s="27" t="str">
        <f>"3조" &amp; " - " &amp; B$40 &amp; " - " &amp; $A43</f>
        <v>3조 - MVC - Deployability</v>
      </c>
      <c r="D43" s="23" t="s">
        <v>60</v>
      </c>
      <c r="E43" s="27" t="str">
        <f>"3조" &amp; " - " &amp; D$40 &amp; " - " &amp; $A43</f>
        <v>3조 - PAC - Deployability</v>
      </c>
      <c r="F43" s="1"/>
      <c r="G43" s="1"/>
      <c r="H43" s="1"/>
    </row>
    <row r="44" spans="1:9" ht="16.5" customHeight="1">
      <c r="A44" s="4" t="s">
        <v>62</v>
      </c>
      <c r="B44" s="24" t="s">
        <v>60</v>
      </c>
      <c r="C44" s="26" t="str">
        <f>"3조" &amp; " - " &amp; B$40 &amp; " - " &amp; $A44</f>
        <v>3조 - MVC - Integrability</v>
      </c>
      <c r="D44" s="23" t="s">
        <v>60</v>
      </c>
      <c r="E44" s="27" t="str">
        <f>"3조" &amp; " - " &amp; D$40 &amp; " - " &amp; $A44</f>
        <v>3조 - PAC - Integrability</v>
      </c>
      <c r="F44" s="1"/>
      <c r="G44" s="1"/>
      <c r="H44" s="1"/>
    </row>
    <row r="45" spans="1:9" ht="16.5" customHeight="1">
      <c r="A45" s="4" t="s">
        <v>63</v>
      </c>
      <c r="B45" s="23" t="s">
        <v>60</v>
      </c>
      <c r="C45" s="27" t="str">
        <f>"3조" &amp; " - " &amp; B$40 &amp; " - " &amp; $A45</f>
        <v>3조 - MVC - Energy Efficiency</v>
      </c>
      <c r="D45" s="23" t="s">
        <v>60</v>
      </c>
      <c r="E45" s="27" t="str">
        <f>"3조" &amp; " - " &amp; D$40 &amp; " - " &amp; $A45</f>
        <v>3조 - PAC - Energy Efficiency</v>
      </c>
      <c r="F45" s="1"/>
      <c r="G45" s="1"/>
      <c r="H45" s="1"/>
    </row>
    <row r="46" spans="1:9" ht="16.5" customHeight="1">
      <c r="A46" s="4" t="s">
        <v>64</v>
      </c>
      <c r="B46" s="24" t="s">
        <v>60</v>
      </c>
      <c r="C46" s="26" t="str">
        <f>"3조" &amp; " - " &amp; B$40 &amp; " - " &amp; $A46</f>
        <v>3조 - MVC - Modifiability</v>
      </c>
      <c r="D46" s="23" t="s">
        <v>60</v>
      </c>
      <c r="E46" s="27" t="str">
        <f>"3조" &amp; " - " &amp; D$40 &amp; " - " &amp; $A46</f>
        <v>3조 - PAC - Modifiability</v>
      </c>
      <c r="F46" s="1"/>
      <c r="G46" s="1"/>
      <c r="H46" s="1"/>
    </row>
    <row r="47" spans="1:9" ht="16.5" customHeight="1">
      <c r="A47" s="4" t="s">
        <v>65</v>
      </c>
      <c r="B47" s="24" t="s">
        <v>60</v>
      </c>
      <c r="C47" s="26" t="str">
        <f>"3조" &amp; " - " &amp; B$40 &amp; " - " &amp; $A47</f>
        <v>3조 - MVC - Performance</v>
      </c>
      <c r="D47" s="23" t="s">
        <v>60</v>
      </c>
      <c r="E47" s="27" t="str">
        <f>"3조" &amp; " - " &amp; D$40 &amp; " - " &amp; $A47</f>
        <v>3조 - PAC - Performance</v>
      </c>
      <c r="F47" s="1"/>
      <c r="G47" s="1"/>
      <c r="H47" s="1"/>
    </row>
    <row r="48" spans="1:9" ht="16.5" customHeight="1">
      <c r="A48" s="4" t="s">
        <v>66</v>
      </c>
      <c r="B48" s="23" t="s">
        <v>60</v>
      </c>
      <c r="C48" s="27" t="str">
        <f>"3조" &amp; " - " &amp; B$40 &amp; " - " &amp; $A48</f>
        <v>3조 - MVC - Safety</v>
      </c>
      <c r="D48" s="23" t="s">
        <v>60</v>
      </c>
      <c r="E48" s="27" t="str">
        <f>"3조" &amp; " - " &amp; D$40 &amp; " - " &amp; $A48</f>
        <v>3조 - PAC - Safety</v>
      </c>
      <c r="F48" s="1"/>
      <c r="G48" s="1"/>
      <c r="H48" s="1"/>
    </row>
    <row r="49" spans="1:9" ht="16.5" customHeight="1">
      <c r="A49" s="4" t="s">
        <v>67</v>
      </c>
      <c r="B49" s="24" t="s">
        <v>60</v>
      </c>
      <c r="C49" s="26" t="str">
        <f>"3조" &amp; " - " &amp; B$40 &amp; " - " &amp; $A49</f>
        <v>3조 - MVC - Security</v>
      </c>
      <c r="D49" s="23" t="s">
        <v>60</v>
      </c>
      <c r="E49" s="27" t="str">
        <f>"3조" &amp; " - " &amp; D$40 &amp; " - " &amp; $A49</f>
        <v>3조 - PAC - Security</v>
      </c>
      <c r="F49" s="1"/>
      <c r="G49" s="1"/>
      <c r="H49" s="1"/>
    </row>
    <row r="50" spans="1:9" ht="16.5">
      <c r="A50" s="4" t="s">
        <v>68</v>
      </c>
      <c r="B50" s="23" t="s">
        <v>60</v>
      </c>
      <c r="C50" s="27" t="str">
        <f>"3조" &amp; " - " &amp; B$40 &amp; " - " &amp; $A50</f>
        <v>3조 - MVC - Testability</v>
      </c>
      <c r="D50" s="23" t="s">
        <v>60</v>
      </c>
      <c r="E50" s="27" t="str">
        <f>"3조" &amp; " - " &amp; D$40 &amp; " - " &amp; $A50</f>
        <v>3조 - PAC - Testability</v>
      </c>
      <c r="F50" s="1"/>
      <c r="G50" s="16" t="s">
        <v>60</v>
      </c>
      <c r="H50" s="1"/>
      <c r="I50" s="15"/>
    </row>
    <row r="51" spans="1:9" ht="16.5">
      <c r="A51" s="4" t="s">
        <v>69</v>
      </c>
      <c r="B51" s="24" t="s">
        <v>60</v>
      </c>
      <c r="C51" s="26" t="str">
        <f>"3조" &amp; " - " &amp; B$40 &amp; " - " &amp; $A51</f>
        <v>3조 - MVC - Usability</v>
      </c>
      <c r="D51" s="23" t="s">
        <v>60</v>
      </c>
      <c r="E51" s="27" t="str">
        <f>"3조" &amp; " - " &amp; D$40 &amp; " - " &amp; $A51</f>
        <v>3조 - PAC - Usability</v>
      </c>
      <c r="F51" s="1"/>
      <c r="G51" s="16" t="s">
        <v>60</v>
      </c>
      <c r="H51" s="1"/>
      <c r="I51" s="13"/>
    </row>
    <row r="52" spans="1:9" ht="16.5" customHeight="1">
      <c r="A52" s="1"/>
      <c r="B52" s="16" t="s">
        <v>60</v>
      </c>
      <c r="C52" s="1"/>
      <c r="D52" s="16" t="s">
        <v>60</v>
      </c>
      <c r="E52" s="1"/>
      <c r="F52" s="1"/>
      <c r="G52" s="1"/>
    </row>
    <row r="53" spans="1:9" ht="16.5" customHeight="1">
      <c r="A53" s="2" t="s">
        <v>79</v>
      </c>
      <c r="B53" s="35" t="s">
        <v>80</v>
      </c>
      <c r="C53" s="34"/>
      <c r="D53" s="35" t="s">
        <v>81</v>
      </c>
      <c r="E53" s="34"/>
      <c r="F53" s="1"/>
      <c r="G53" s="16" t="s">
        <v>60</v>
      </c>
      <c r="H53" s="1"/>
    </row>
    <row r="54" spans="1:9" ht="16.5" customHeight="1">
      <c r="A54" s="22"/>
      <c r="B54" s="3" t="s">
        <v>57</v>
      </c>
      <c r="C54" s="17" t="s">
        <v>58</v>
      </c>
      <c r="D54" s="3" t="s">
        <v>57</v>
      </c>
      <c r="E54" s="17" t="s">
        <v>58</v>
      </c>
      <c r="F54" s="1"/>
      <c r="G54" s="16" t="s">
        <v>60</v>
      </c>
      <c r="H54" s="1"/>
    </row>
    <row r="55" spans="1:9" ht="16.5" customHeight="1">
      <c r="A55" s="4" t="s">
        <v>59</v>
      </c>
      <c r="B55" s="23" t="s">
        <v>60</v>
      </c>
      <c r="C55" s="27" t="str">
        <f>"3조" &amp; " - " &amp; B$53 &amp; " - " &amp; $A55</f>
        <v>3조 - Main-subroutine - Availability</v>
      </c>
      <c r="D55" s="24" t="s">
        <v>60</v>
      </c>
      <c r="E55" s="26" t="str">
        <f>"3조" &amp; " - " &amp; D$53 &amp; " - " &amp; $A55</f>
        <v>3조 - Master-Slave - Availability</v>
      </c>
      <c r="F55" s="1"/>
      <c r="G55" s="16" t="s">
        <v>60</v>
      </c>
      <c r="H55" s="1"/>
    </row>
    <row r="56" spans="1:9" ht="16.5" customHeight="1">
      <c r="A56" s="4" t="s">
        <v>61</v>
      </c>
      <c r="B56" s="23" t="s">
        <v>60</v>
      </c>
      <c r="C56" s="30" t="str">
        <f>"3조" &amp; " - " &amp; B$53 &amp; " - " &amp; $A56</f>
        <v>3조 - Main-subroutine - Deployability</v>
      </c>
      <c r="D56" s="24" t="s">
        <v>60</v>
      </c>
      <c r="E56" s="26" t="str">
        <f>"3조" &amp; " - " &amp; D$53 &amp; " - " &amp; $A56</f>
        <v>3조 - Master-Slave - Deployability</v>
      </c>
      <c r="F56" s="1"/>
      <c r="G56" s="16" t="s">
        <v>60</v>
      </c>
      <c r="H56" s="1"/>
    </row>
    <row r="57" spans="1:9" ht="16.5" customHeight="1">
      <c r="A57" s="4" t="s">
        <v>62</v>
      </c>
      <c r="B57" s="23" t="s">
        <v>60</v>
      </c>
      <c r="C57" s="27" t="str">
        <f>"3조" &amp; " - " &amp; B$53 &amp; " - " &amp; $A57</f>
        <v>3조 - Main-subroutine - Integrability</v>
      </c>
      <c r="D57" s="24" t="s">
        <v>60</v>
      </c>
      <c r="E57" s="26" t="str">
        <f>"3조" &amp; " - " &amp; D$53 &amp; " - " &amp; $A57</f>
        <v>3조 - Master-Slave - Integrability</v>
      </c>
      <c r="F57" s="1"/>
      <c r="G57" s="16" t="s">
        <v>60</v>
      </c>
      <c r="H57" s="1"/>
    </row>
    <row r="58" spans="1:9" ht="16.5" customHeight="1">
      <c r="A58" s="4" t="s">
        <v>63</v>
      </c>
      <c r="B58" s="23" t="s">
        <v>60</v>
      </c>
      <c r="C58" s="27" t="str">
        <f>"3조" &amp; " - " &amp; B$53 &amp; " - " &amp; $A58</f>
        <v>3조 - Main-subroutine - Energy Efficiency</v>
      </c>
      <c r="D58" s="24" t="s">
        <v>60</v>
      </c>
      <c r="E58" s="26" t="str">
        <f>"3조" &amp; " - " &amp; D$53 &amp; " - " &amp; $A58</f>
        <v>3조 - Master-Slave - Energy Efficiency</v>
      </c>
      <c r="F58" s="1"/>
      <c r="G58" s="16" t="s">
        <v>60</v>
      </c>
      <c r="H58" s="1"/>
    </row>
    <row r="59" spans="1:9" ht="16.5" customHeight="1">
      <c r="A59" s="4" t="s">
        <v>64</v>
      </c>
      <c r="B59" s="23" t="s">
        <v>60</v>
      </c>
      <c r="C59" s="27" t="str">
        <f>"3조" &amp; " - " &amp; B$53 &amp; " - " &amp; $A59</f>
        <v>3조 - Main-subroutine - Modifiability</v>
      </c>
      <c r="D59" s="23" t="s">
        <v>60</v>
      </c>
      <c r="E59" s="27" t="str">
        <f>"3조" &amp; " - " &amp; D$53 &amp; " - " &amp; $A59</f>
        <v>3조 - Master-Slave - Modifiability</v>
      </c>
      <c r="F59" s="1"/>
      <c r="G59" s="16" t="s">
        <v>60</v>
      </c>
      <c r="H59" s="1"/>
    </row>
    <row r="60" spans="1:9" ht="16.5">
      <c r="A60" s="4" t="s">
        <v>65</v>
      </c>
      <c r="B60" s="23" t="s">
        <v>60</v>
      </c>
      <c r="C60" s="27" t="str">
        <f>"3조" &amp; " - " &amp; B$53 &amp; " - " &amp; $A60</f>
        <v>3조 - Main-subroutine - Performance</v>
      </c>
      <c r="D60" s="24" t="s">
        <v>60</v>
      </c>
      <c r="E60" s="26" t="str">
        <f>"3조" &amp; " - " &amp; D$53 &amp; " - " &amp; $A60</f>
        <v>3조 - Master-Slave - Performance</v>
      </c>
      <c r="F60" s="1"/>
      <c r="G60" s="16" t="s">
        <v>60</v>
      </c>
      <c r="H60" s="1"/>
      <c r="I60" s="15"/>
    </row>
    <row r="61" spans="1:9" ht="16.5">
      <c r="A61" s="4" t="s">
        <v>66</v>
      </c>
      <c r="B61" s="23" t="s">
        <v>60</v>
      </c>
      <c r="C61" s="27" t="str">
        <f>"3조" &amp; " - " &amp; B$53 &amp; " - " &amp; $A61</f>
        <v>3조 - Main-subroutine - Safety</v>
      </c>
      <c r="D61" s="23" t="s">
        <v>60</v>
      </c>
      <c r="E61" s="27" t="str">
        <f>"3조" &amp; " - " &amp; D$53 &amp; " - " &amp; $A61</f>
        <v>3조 - Master-Slave - Safety</v>
      </c>
      <c r="F61" s="1"/>
      <c r="G61" s="16" t="s">
        <v>60</v>
      </c>
      <c r="H61" s="1"/>
      <c r="I61" s="13"/>
    </row>
    <row r="62" spans="1:9" ht="16.5" customHeight="1">
      <c r="A62" s="4" t="s">
        <v>67</v>
      </c>
      <c r="B62" s="23" t="s">
        <v>60</v>
      </c>
      <c r="C62" s="27" t="str">
        <f>"3조" &amp; " - " &amp; B$53 &amp; " - " &amp; $A62</f>
        <v>3조 - Main-subroutine - Security</v>
      </c>
      <c r="D62" s="23" t="s">
        <v>60</v>
      </c>
      <c r="E62" s="27" t="str">
        <f>"3조" &amp; " - " &amp; D$53 &amp; " - " &amp; $A62</f>
        <v>3조 - Master-Slave - Security</v>
      </c>
      <c r="F62" s="1"/>
      <c r="G62" s="16" t="s">
        <v>60</v>
      </c>
      <c r="H62" s="1"/>
    </row>
    <row r="63" spans="1:9" ht="16.5" customHeight="1">
      <c r="A63" s="4" t="s">
        <v>68</v>
      </c>
      <c r="B63" s="23" t="s">
        <v>60</v>
      </c>
      <c r="C63" s="27" t="str">
        <f>"3조" &amp; " - " &amp; B$53 &amp; " - " &amp; $A63</f>
        <v>3조 - Main-subroutine - Testability</v>
      </c>
      <c r="D63" s="23" t="s">
        <v>60</v>
      </c>
      <c r="E63" s="27" t="str">
        <f>"3조" &amp; " - " &amp; D$53 &amp; " - " &amp; $A63</f>
        <v>3조 - Master-Slave - Testability</v>
      </c>
      <c r="F63" s="1"/>
      <c r="G63" s="16" t="s">
        <v>60</v>
      </c>
      <c r="H63" s="1"/>
    </row>
    <row r="64" spans="1:9" ht="16.5" customHeight="1">
      <c r="A64" s="4" t="s">
        <v>69</v>
      </c>
      <c r="B64" s="23" t="s">
        <v>60</v>
      </c>
      <c r="C64" s="27" t="str">
        <f>"3조" &amp; " - " &amp; B$53 &amp; " - " &amp; $A64</f>
        <v>3조 - Main-subroutine - Usability</v>
      </c>
      <c r="D64" s="23" t="s">
        <v>60</v>
      </c>
      <c r="E64" s="27" t="str">
        <f>"3조" &amp; " - " &amp; D$53 &amp; " - " &amp; $A64</f>
        <v>3조 - Master-Slave - Usability</v>
      </c>
      <c r="F64" s="1"/>
      <c r="G64" s="16" t="s">
        <v>60</v>
      </c>
      <c r="H64" s="1"/>
    </row>
    <row r="65" spans="1:8" ht="16.5" customHeight="1">
      <c r="A65" s="1"/>
      <c r="B65" s="16" t="s">
        <v>60</v>
      </c>
      <c r="C65" s="16" t="s">
        <v>60</v>
      </c>
      <c r="D65" s="16" t="s">
        <v>60</v>
      </c>
      <c r="E65" s="16" t="s">
        <v>60</v>
      </c>
      <c r="F65" s="1"/>
      <c r="G65" s="16" t="s">
        <v>60</v>
      </c>
      <c r="H65" s="1"/>
    </row>
    <row r="66" spans="1:8" ht="16.5" customHeight="1">
      <c r="A66" s="2" t="s">
        <v>79</v>
      </c>
      <c r="B66" s="35" t="s">
        <v>82</v>
      </c>
      <c r="C66" s="34"/>
      <c r="D66" s="35" t="s">
        <v>83</v>
      </c>
      <c r="E66" s="34"/>
      <c r="F66" s="35" t="s">
        <v>84</v>
      </c>
      <c r="G66" s="34"/>
      <c r="H66" s="1"/>
    </row>
    <row r="67" spans="1:8" ht="16.5" customHeight="1">
      <c r="A67" s="22"/>
      <c r="B67" s="3" t="s">
        <v>57</v>
      </c>
      <c r="C67" s="17" t="s">
        <v>58</v>
      </c>
      <c r="D67" s="3" t="s">
        <v>57</v>
      </c>
      <c r="E67" s="17" t="s">
        <v>58</v>
      </c>
      <c r="F67" s="3" t="s">
        <v>57</v>
      </c>
      <c r="G67" s="17" t="s">
        <v>58</v>
      </c>
      <c r="H67" s="1"/>
    </row>
    <row r="68" spans="1:8" ht="16.5" customHeight="1">
      <c r="A68" s="4" t="s">
        <v>59</v>
      </c>
      <c r="B68" s="24" t="s">
        <v>60</v>
      </c>
      <c r="C68" s="26" t="str">
        <f>"3조" &amp; " - " &amp; B$66 &amp; " - " &amp; $A68</f>
        <v>3조 - Layered - Availability</v>
      </c>
      <c r="D68" s="23" t="s">
        <v>60</v>
      </c>
      <c r="E68" s="27" t="str">
        <f>"3조" &amp; " - " &amp; D$66 &amp; " - " &amp; $A68</f>
        <v>3조 - Virtual Machine - Availability</v>
      </c>
      <c r="F68" s="23" t="s">
        <v>60</v>
      </c>
      <c r="G68" s="27" t="str">
        <f>"3조" &amp; " - " &amp; F$66 &amp; " - " &amp; $A68</f>
        <v>3조 - Microkernel - Availability</v>
      </c>
      <c r="H68" s="1"/>
    </row>
    <row r="69" spans="1:8" ht="16.5" customHeight="1">
      <c r="A69" s="4" t="s">
        <v>61</v>
      </c>
      <c r="B69" s="23" t="s">
        <v>60</v>
      </c>
      <c r="C69" s="27" t="str">
        <f>"3조" &amp; " - " &amp; B$66 &amp; " - " &amp; $A69</f>
        <v>3조 - Layered - Deployability</v>
      </c>
      <c r="D69" s="23" t="s">
        <v>60</v>
      </c>
      <c r="E69" s="30" t="str">
        <f>"3조" &amp; " - " &amp; D$66 &amp; " - " &amp; $A69</f>
        <v>3조 - Virtual Machine - Deployability</v>
      </c>
      <c r="F69" s="24" t="s">
        <v>60</v>
      </c>
      <c r="G69" s="26" t="str">
        <f>"3조" &amp; " - " &amp; F$66 &amp; " - " &amp; $A69</f>
        <v>3조 - Microkernel - Deployability</v>
      </c>
      <c r="H69" s="1"/>
    </row>
    <row r="70" spans="1:8" ht="16.5" customHeight="1">
      <c r="A70" s="4" t="s">
        <v>62</v>
      </c>
      <c r="B70" s="24" t="s">
        <v>60</v>
      </c>
      <c r="C70" s="26" t="str">
        <f>"3조" &amp; " - " &amp; B$66 &amp; " - " &amp; $A70</f>
        <v>3조 - Layered - Integrability</v>
      </c>
      <c r="D70" s="23" t="s">
        <v>60</v>
      </c>
      <c r="E70" s="27" t="str">
        <f>"3조" &amp; " - " &amp; D$66 &amp; " - " &amp; $A70</f>
        <v>3조 - Virtual Machine - Integrability</v>
      </c>
      <c r="F70" s="24" t="s">
        <v>60</v>
      </c>
      <c r="G70" s="26" t="str">
        <f>"3조" &amp; " - " &amp; F$66 &amp; " - " &amp; $A70</f>
        <v>3조 - Microkernel - Integrability</v>
      </c>
      <c r="H70" s="1"/>
    </row>
    <row r="71" spans="1:8" ht="16.5" customHeight="1">
      <c r="A71" s="4" t="s">
        <v>63</v>
      </c>
      <c r="B71" s="23" t="s">
        <v>60</v>
      </c>
      <c r="C71" s="27" t="str">
        <f>"3조" &amp; " - " &amp; B$66 &amp; " - " &amp; $A71</f>
        <v>3조 - Layered - Energy Efficiency</v>
      </c>
      <c r="D71" s="23" t="s">
        <v>60</v>
      </c>
      <c r="E71" s="27" t="str">
        <f>"3조" &amp; " - " &amp; D$66 &amp; " - " &amp; $A71</f>
        <v>3조 - Virtual Machine - Energy Efficiency</v>
      </c>
      <c r="F71" s="23" t="s">
        <v>60</v>
      </c>
      <c r="G71" s="27" t="str">
        <f>"3조" &amp; " - " &amp; F$66 &amp; " - " &amp; $A71</f>
        <v>3조 - Microkernel - Energy Efficiency</v>
      </c>
      <c r="H71" s="1"/>
    </row>
    <row r="72" spans="1:8" ht="16.5" customHeight="1">
      <c r="A72" s="4" t="s">
        <v>64</v>
      </c>
      <c r="B72" s="24" t="s">
        <v>60</v>
      </c>
      <c r="C72" s="26" t="str">
        <f>"3조" &amp; " - " &amp; B$66 &amp; " - " &amp; $A72</f>
        <v>3조 - Layered - Modifiability</v>
      </c>
      <c r="D72" s="23" t="s">
        <v>60</v>
      </c>
      <c r="E72" s="27" t="str">
        <f>"3조" &amp; " - " &amp; D$66 &amp; " - " &amp; $A72</f>
        <v>3조 - Virtual Machine - Modifiability</v>
      </c>
      <c r="F72" s="24" t="s">
        <v>60</v>
      </c>
      <c r="G72" s="26" t="str">
        <f>"3조" &amp; " - " &amp; F$66 &amp; " - " &amp; $A72</f>
        <v>3조 - Microkernel - Modifiability</v>
      </c>
      <c r="H72" s="1"/>
    </row>
    <row r="73" spans="1:8" ht="16.5" customHeight="1">
      <c r="A73" s="4" t="s">
        <v>65</v>
      </c>
      <c r="B73" s="24" t="s">
        <v>60</v>
      </c>
      <c r="C73" s="26" t="str">
        <f>"3조" &amp; " - " &amp; B$66 &amp; " - " &amp; $A73</f>
        <v>3조 - Layered - Performance</v>
      </c>
      <c r="D73" s="23" t="s">
        <v>60</v>
      </c>
      <c r="E73" s="27" t="str">
        <f>"3조" &amp; " - " &amp; D$66 &amp; " - " &amp; $A73</f>
        <v>3조 - Virtual Machine - Performance</v>
      </c>
      <c r="F73" s="24" t="s">
        <v>60</v>
      </c>
      <c r="G73" s="26" t="str">
        <f>"3조" &amp; " - " &amp; F$66 &amp; " - " &amp; $A73</f>
        <v>3조 - Microkernel - Performance</v>
      </c>
      <c r="H73" s="1"/>
    </row>
    <row r="74" spans="1:8" ht="16.5" customHeight="1">
      <c r="A74" s="4" t="s">
        <v>66</v>
      </c>
      <c r="B74" s="23" t="s">
        <v>60</v>
      </c>
      <c r="C74" s="27" t="str">
        <f>"3조" &amp; " - " &amp; B$66 &amp; " - " &amp; $A74</f>
        <v>3조 - Layered - Safety</v>
      </c>
      <c r="D74" s="23" t="s">
        <v>60</v>
      </c>
      <c r="E74" s="27" t="str">
        <f>"3조" &amp; " - " &amp; D$66 &amp; " - " &amp; $A74</f>
        <v>3조 - Virtual Machine - Safety</v>
      </c>
      <c r="F74" s="23" t="s">
        <v>60</v>
      </c>
      <c r="G74" s="27" t="str">
        <f>"3조" &amp; " - " &amp; F$66 &amp; " - " &amp; $A74</f>
        <v>3조 - Microkernel - Safety</v>
      </c>
    </row>
    <row r="75" spans="1:8" ht="16.5" customHeight="1">
      <c r="A75" s="4" t="s">
        <v>67</v>
      </c>
      <c r="B75" s="24" t="s">
        <v>60</v>
      </c>
      <c r="C75" s="26" t="str">
        <f>"3조" &amp; " - " &amp; B$66 &amp; " - " &amp; $A75</f>
        <v>3조 - Layered - Security</v>
      </c>
      <c r="D75" s="23" t="s">
        <v>60</v>
      </c>
      <c r="E75" s="27" t="str">
        <f>"3조" &amp; " - " &amp; D$66 &amp; " - " &amp; $A75</f>
        <v>3조 - Virtual Machine - Security</v>
      </c>
      <c r="F75" s="24" t="s">
        <v>60</v>
      </c>
      <c r="G75" s="26" t="str">
        <f>"3조" &amp; " - " &amp; F$66 &amp; " - " &amp; $A75</f>
        <v>3조 - Microkernel - Security</v>
      </c>
    </row>
    <row r="76" spans="1:8" ht="16.5" customHeight="1">
      <c r="A76" s="4" t="s">
        <v>68</v>
      </c>
      <c r="B76" s="24" t="s">
        <v>60</v>
      </c>
      <c r="C76" s="26" t="str">
        <f>"3조" &amp; " - " &amp; B$66 &amp; " - " &amp; $A76</f>
        <v>3조 - Layered - Testability</v>
      </c>
      <c r="D76" s="23" t="s">
        <v>60</v>
      </c>
      <c r="E76" s="27" t="str">
        <f>"3조" &amp; " - " &amp; D$66 &amp; " - " &amp; $A76</f>
        <v>3조 - Virtual Machine - Testability</v>
      </c>
      <c r="F76" s="24" t="s">
        <v>60</v>
      </c>
      <c r="G76" s="26" t="str">
        <f>"3조" &amp; " - " &amp; F$66 &amp; " - " &amp; $A76</f>
        <v>3조 - Microkernel - Testability</v>
      </c>
    </row>
    <row r="77" spans="1:8" ht="16.5" customHeight="1">
      <c r="A77" s="4" t="s">
        <v>69</v>
      </c>
      <c r="B77" s="23" t="s">
        <v>60</v>
      </c>
      <c r="C77" s="27" t="str">
        <f>"3조" &amp; " - " &amp; B$66 &amp; " - " &amp; $A77</f>
        <v>3조 - Layered - Usability</v>
      </c>
      <c r="D77" s="23" t="s">
        <v>60</v>
      </c>
      <c r="E77" s="27" t="str">
        <f>"3조" &amp; " - " &amp; D$66 &amp; " - " &amp; $A77</f>
        <v>3조 - Virtual Machine - Usability</v>
      </c>
      <c r="F77" s="23" t="s">
        <v>60</v>
      </c>
      <c r="G77" s="27" t="str">
        <f>"3조" &amp; " - " &amp; F$66 &amp; " - " &amp; $A77</f>
        <v>3조 - Microkernel - Usability</v>
      </c>
    </row>
    <row r="78" spans="1:8" ht="16.5" customHeight="1">
      <c r="A78" s="1"/>
      <c r="B78" s="16" t="s">
        <v>60</v>
      </c>
      <c r="C78" s="16" t="s">
        <v>60</v>
      </c>
      <c r="D78" s="16" t="s">
        <v>60</v>
      </c>
      <c r="E78" s="16" t="s">
        <v>60</v>
      </c>
      <c r="F78" s="16" t="s">
        <v>60</v>
      </c>
      <c r="G78" s="16" t="s">
        <v>60</v>
      </c>
    </row>
    <row r="79" spans="1:8" ht="16.5" customHeight="1">
      <c r="A79" s="31" t="s">
        <v>85</v>
      </c>
      <c r="B79" s="35" t="s">
        <v>86</v>
      </c>
      <c r="C79" s="34"/>
      <c r="D79" s="35" t="s">
        <v>87</v>
      </c>
      <c r="E79" s="34"/>
    </row>
    <row r="80" spans="1:8" ht="16.5" customHeight="1">
      <c r="A80" s="32"/>
      <c r="B80" s="3" t="s">
        <v>57</v>
      </c>
      <c r="C80" s="3" t="s">
        <v>58</v>
      </c>
      <c r="D80" s="3" t="s">
        <v>57</v>
      </c>
      <c r="E80" s="3" t="s">
        <v>58</v>
      </c>
    </row>
    <row r="81" spans="1:7" ht="16.5" customHeight="1">
      <c r="A81" s="4" t="s">
        <v>59</v>
      </c>
      <c r="B81" s="24" t="s">
        <v>60</v>
      </c>
      <c r="C81" s="26" t="str">
        <f>"3조" &amp; " - " &amp; B$79 &amp; " - " &amp; $A81</f>
        <v>3조 - Multi-tier - Availability</v>
      </c>
      <c r="D81" s="23" t="s">
        <v>60</v>
      </c>
      <c r="E81" s="27" t="str">
        <f>"3조" &amp; " - " &amp; D$79 &amp; " - " &amp; $A81</f>
        <v>3조 - Client-Server - Availability</v>
      </c>
    </row>
    <row r="82" spans="1:7" ht="16.5" customHeight="1">
      <c r="A82" s="4" t="s">
        <v>61</v>
      </c>
      <c r="B82" s="24" t="s">
        <v>60</v>
      </c>
      <c r="C82" s="26" t="str">
        <f>"3조" &amp; " - " &amp; B$79 &amp; " - " &amp; $A82</f>
        <v>3조 - Multi-tier - Deployability</v>
      </c>
      <c r="D82" s="23" t="s">
        <v>60</v>
      </c>
      <c r="E82" s="27" t="str">
        <f>"3조" &amp; " - " &amp; D$79 &amp; " - " &amp; $A82</f>
        <v>3조 - Client-Server - Deployability</v>
      </c>
    </row>
    <row r="83" spans="1:7" ht="16.5" customHeight="1">
      <c r="A83" s="4" t="s">
        <v>62</v>
      </c>
      <c r="B83" s="24" t="s">
        <v>60</v>
      </c>
      <c r="C83" s="26" t="str">
        <f>"3조" &amp; " - " &amp; B$79 &amp; " - " &amp; $A83</f>
        <v>3조 - Multi-tier - Integrability</v>
      </c>
      <c r="D83" s="23" t="s">
        <v>60</v>
      </c>
      <c r="E83" s="27" t="str">
        <f>"3조" &amp; " - " &amp; D$79 &amp; " - " &amp; $A83</f>
        <v>3조 - Client-Server - Integrability</v>
      </c>
    </row>
    <row r="84" spans="1:7" ht="16.5" customHeight="1">
      <c r="A84" s="4" t="s">
        <v>63</v>
      </c>
      <c r="B84" s="24" t="s">
        <v>60</v>
      </c>
      <c r="C84" s="26" t="str">
        <f>"3조" &amp; " - " &amp; B$79 &amp; " - " &amp; $A84</f>
        <v>3조 - Multi-tier - Energy Efficiency</v>
      </c>
      <c r="D84" s="23" t="s">
        <v>60</v>
      </c>
      <c r="E84" s="27" t="str">
        <f>"3조" &amp; " - " &amp; D$79 &amp; " - " &amp; $A84</f>
        <v>3조 - Client-Server - Energy Efficiency</v>
      </c>
    </row>
    <row r="85" spans="1:7" ht="16.5" customHeight="1">
      <c r="A85" s="4" t="s">
        <v>64</v>
      </c>
      <c r="B85" s="23" t="s">
        <v>60</v>
      </c>
      <c r="C85" s="27" t="str">
        <f>"3조" &amp; " - " &amp; B$79 &amp; " - " &amp; $A85</f>
        <v>3조 - Multi-tier - Modifiability</v>
      </c>
      <c r="D85" s="23" t="s">
        <v>60</v>
      </c>
      <c r="E85" s="27" t="str">
        <f>"3조" &amp; " - " &amp; D$79 &amp; " - " &amp; $A85</f>
        <v>3조 - Client-Server - Modifiability</v>
      </c>
    </row>
    <row r="86" spans="1:7" ht="16.5" customHeight="1">
      <c r="A86" s="4" t="s">
        <v>65</v>
      </c>
      <c r="B86" s="24" t="s">
        <v>60</v>
      </c>
      <c r="C86" s="26" t="str">
        <f>"3조" &amp; " - " &amp; B$79 &amp; " - " &amp; $A86</f>
        <v>3조 - Multi-tier - Performance</v>
      </c>
      <c r="D86" s="23" t="s">
        <v>60</v>
      </c>
      <c r="E86" s="27" t="str">
        <f>"3조" &amp; " - " &amp; D$79 &amp; " - " &amp; $A86</f>
        <v>3조 - Client-Server - Performance</v>
      </c>
    </row>
    <row r="87" spans="1:7" ht="16.5" customHeight="1">
      <c r="A87" s="4" t="s">
        <v>66</v>
      </c>
      <c r="B87" s="23" t="s">
        <v>60</v>
      </c>
      <c r="C87" s="27" t="str">
        <f>"3조" &amp; " - " &amp; B$79 &amp; " - " &amp; $A87</f>
        <v>3조 - Multi-tier - Safety</v>
      </c>
      <c r="D87" s="23" t="s">
        <v>60</v>
      </c>
      <c r="E87" s="27" t="str">
        <f>"3조" &amp; " - " &amp; D$79 &amp; " - " &amp; $A87</f>
        <v>3조 - Client-Server - Safety</v>
      </c>
    </row>
    <row r="88" spans="1:7" ht="16.5" customHeight="1">
      <c r="A88" s="4" t="s">
        <v>67</v>
      </c>
      <c r="B88" s="24" t="s">
        <v>60</v>
      </c>
      <c r="C88" s="26" t="str">
        <f>"3조" &amp; " - " &amp; B$79 &amp; " - " &amp; $A88</f>
        <v>3조 - Multi-tier - Security</v>
      </c>
      <c r="D88" s="23" t="s">
        <v>60</v>
      </c>
      <c r="E88" s="27" t="str">
        <f>"3조" &amp; " - " &amp; D$79 &amp; " - " &amp; $A88</f>
        <v>3조 - Client-Server - Security</v>
      </c>
    </row>
    <row r="89" spans="1:7" ht="16.5" customHeight="1">
      <c r="A89" s="4" t="s">
        <v>68</v>
      </c>
      <c r="B89" s="23" t="s">
        <v>60</v>
      </c>
      <c r="C89" s="27" t="str">
        <f>"3조" &amp; " - " &amp; B$79 &amp; " - " &amp; $A89</f>
        <v>3조 - Multi-tier - Testability</v>
      </c>
      <c r="D89" s="23" t="s">
        <v>60</v>
      </c>
      <c r="E89" s="27" t="str">
        <f>"3조" &amp; " - " &amp; D$79 &amp; " - " &amp; $A89</f>
        <v>3조 - Client-Server - Testability</v>
      </c>
    </row>
    <row r="90" spans="1:7" ht="16.5" customHeight="1">
      <c r="A90" s="4" t="s">
        <v>69</v>
      </c>
      <c r="B90" s="23" t="s">
        <v>60</v>
      </c>
      <c r="C90" s="27" t="str">
        <f>"3조" &amp; " - " &amp; B$79 &amp; " - " &amp; $A90</f>
        <v>3조 - Multi-tier - Usability</v>
      </c>
      <c r="D90" s="23" t="s">
        <v>60</v>
      </c>
      <c r="E90" s="27" t="str">
        <f>"3조" &amp; " - " &amp; D$79 &amp; " - " &amp; $A90</f>
        <v>3조 - Client-Server - Usability</v>
      </c>
    </row>
    <row r="91" spans="1:7" ht="16.5" customHeight="1">
      <c r="A91" s="1"/>
      <c r="B91" s="16" t="s">
        <v>60</v>
      </c>
      <c r="C91" s="1"/>
      <c r="D91" s="16" t="s">
        <v>60</v>
      </c>
      <c r="E91" s="1"/>
      <c r="F91" s="16" t="s">
        <v>60</v>
      </c>
      <c r="G91" s="1"/>
    </row>
    <row r="92" spans="1:7" ht="16.5" customHeight="1">
      <c r="A92" s="31" t="s">
        <v>85</v>
      </c>
      <c r="B92" s="35" t="s">
        <v>88</v>
      </c>
      <c r="C92" s="34"/>
      <c r="D92" s="33" t="s">
        <v>89</v>
      </c>
      <c r="E92" s="34"/>
    </row>
    <row r="93" spans="1:7" ht="16.5" customHeight="1">
      <c r="A93" s="32"/>
      <c r="B93" s="3" t="s">
        <v>57</v>
      </c>
      <c r="C93" s="3" t="s">
        <v>58</v>
      </c>
      <c r="D93" s="3" t="s">
        <v>57</v>
      </c>
      <c r="E93" s="3" t="s">
        <v>58</v>
      </c>
    </row>
    <row r="94" spans="1:7" ht="16.5" customHeight="1">
      <c r="A94" s="4" t="s">
        <v>59</v>
      </c>
      <c r="B94" s="23" t="s">
        <v>60</v>
      </c>
      <c r="C94" s="27" t="str">
        <f>"3조" &amp; " - " &amp; B$92 &amp; " - " &amp; $A94</f>
        <v>3조 - Broker - Availability</v>
      </c>
      <c r="D94" s="23" t="s">
        <v>60</v>
      </c>
      <c r="E94" s="27" t="str">
        <f>"3조" &amp; " - " &amp; D$92 &amp; " - " &amp; $A94</f>
        <v>3조 - Dispatcher - Availability</v>
      </c>
    </row>
    <row r="95" spans="1:7" ht="16.5" customHeight="1">
      <c r="A95" s="4" t="s">
        <v>61</v>
      </c>
      <c r="B95" s="23" t="s">
        <v>60</v>
      </c>
      <c r="C95" s="27" t="str">
        <f>"3조" &amp; " - " &amp; B$92 &amp; " - " &amp; $A95</f>
        <v>3조 - Broker - Deployability</v>
      </c>
      <c r="D95" s="23" t="s">
        <v>60</v>
      </c>
      <c r="E95" s="27" t="str">
        <f>"3조" &amp; " - " &amp; D$92 &amp; " - " &amp; $A95</f>
        <v>3조 - Dispatcher - Deployability</v>
      </c>
    </row>
    <row r="96" spans="1:7" ht="16.5" customHeight="1">
      <c r="A96" s="4" t="s">
        <v>62</v>
      </c>
      <c r="B96" s="23" t="s">
        <v>60</v>
      </c>
      <c r="C96" s="27" t="str">
        <f>"3조" &amp; " - " &amp; B$92 &amp; " - " &amp; $A96</f>
        <v>3조 - Broker - Integrability</v>
      </c>
      <c r="D96" s="23" t="s">
        <v>60</v>
      </c>
      <c r="E96" s="27" t="str">
        <f>"3조" &amp; " - " &amp; D$92 &amp; " - " &amp; $A96</f>
        <v>3조 - Dispatcher - Integrability</v>
      </c>
    </row>
    <row r="97" spans="1:7" ht="16.5" customHeight="1">
      <c r="A97" s="4" t="s">
        <v>63</v>
      </c>
      <c r="B97" s="23" t="s">
        <v>60</v>
      </c>
      <c r="C97" s="27" t="str">
        <f>"3조" &amp; " - " &amp; B$92 &amp; " - " &amp; $A97</f>
        <v>3조 - Broker - Energy Efficiency</v>
      </c>
      <c r="D97" s="23" t="s">
        <v>60</v>
      </c>
      <c r="E97" s="27" t="str">
        <f>"3조" &amp; " - " &amp; D$92 &amp; " - " &amp; $A97</f>
        <v>3조 - Dispatcher - Energy Efficiency</v>
      </c>
    </row>
    <row r="98" spans="1:7" ht="16.5" customHeight="1">
      <c r="A98" s="4" t="s">
        <v>64</v>
      </c>
      <c r="B98" s="23" t="s">
        <v>60</v>
      </c>
      <c r="C98" s="27" t="str">
        <f>"3조" &amp; " - " &amp; B$92 &amp; " - " &amp; $A98</f>
        <v>3조 - Broker - Modifiability</v>
      </c>
      <c r="D98" s="23" t="s">
        <v>60</v>
      </c>
      <c r="E98" s="27" t="str">
        <f>"3조" &amp; " - " &amp; D$92 &amp; " - " &amp; $A98</f>
        <v>3조 - Dispatcher - Modifiability</v>
      </c>
    </row>
    <row r="99" spans="1:7" ht="16.5" customHeight="1">
      <c r="A99" s="4" t="s">
        <v>65</v>
      </c>
      <c r="B99" s="23" t="s">
        <v>60</v>
      </c>
      <c r="C99" s="27" t="str">
        <f>"3조" &amp; " - " &amp; B$92 &amp; " - " &amp; $A99</f>
        <v>3조 - Broker - Performance</v>
      </c>
      <c r="D99" s="23" t="s">
        <v>60</v>
      </c>
      <c r="E99" s="27" t="str">
        <f>"3조" &amp; " - " &amp; D$92 &amp; " - " &amp; $A99</f>
        <v>3조 - Dispatcher - Performance</v>
      </c>
    </row>
    <row r="100" spans="1:7" ht="16.5" customHeight="1">
      <c r="A100" s="4" t="s">
        <v>66</v>
      </c>
      <c r="B100" s="23" t="s">
        <v>60</v>
      </c>
      <c r="C100" s="27" t="str">
        <f>"3조" &amp; " - " &amp; B$92 &amp; " - " &amp; $A100</f>
        <v>3조 - Broker - Safety</v>
      </c>
      <c r="D100" s="23" t="s">
        <v>60</v>
      </c>
      <c r="E100" s="27" t="str">
        <f>"3조" &amp; " - " &amp; D$92 &amp; " - " &amp; $A100</f>
        <v>3조 - Dispatcher - Safety</v>
      </c>
    </row>
    <row r="101" spans="1:7" ht="16.5" customHeight="1">
      <c r="A101" s="4" t="s">
        <v>67</v>
      </c>
      <c r="B101" s="23" t="s">
        <v>60</v>
      </c>
      <c r="C101" s="27" t="str">
        <f>"3조" &amp; " - " &amp; B$92 &amp; " - " &amp; $A101</f>
        <v>3조 - Broker - Security</v>
      </c>
      <c r="D101" s="23" t="s">
        <v>60</v>
      </c>
      <c r="E101" s="27" t="str">
        <f>"3조" &amp; " - " &amp; D$92 &amp; " - " &amp; $A101</f>
        <v>3조 - Dispatcher - Security</v>
      </c>
    </row>
    <row r="102" spans="1:7" ht="16.5" customHeight="1">
      <c r="A102" s="4" t="s">
        <v>68</v>
      </c>
      <c r="B102" s="23" t="s">
        <v>60</v>
      </c>
      <c r="C102" s="27" t="str">
        <f>"3조" &amp; " - " &amp; B$92 &amp; " - " &amp; $A102</f>
        <v>3조 - Broker - Testability</v>
      </c>
      <c r="D102" s="23" t="s">
        <v>60</v>
      </c>
      <c r="E102" s="27" t="str">
        <f>"3조" &amp; " - " &amp; D$92 &amp; " - " &amp; $A102</f>
        <v>3조 - Dispatcher - Testability</v>
      </c>
    </row>
    <row r="103" spans="1:7" ht="16.5" customHeight="1">
      <c r="A103" s="4" t="s">
        <v>69</v>
      </c>
      <c r="B103" s="23" t="s">
        <v>60</v>
      </c>
      <c r="C103" s="27" t="str">
        <f>"3조" &amp; " - " &amp; B$92 &amp; " - " &amp; $A103</f>
        <v>3조 - Broker - Usability</v>
      </c>
      <c r="D103" s="23" t="s">
        <v>60</v>
      </c>
      <c r="E103" s="27" t="str">
        <f>"3조" &amp; " - " &amp; D$92 &amp; " - " &amp; $A103</f>
        <v>3조 - Dispatcher - Usability</v>
      </c>
    </row>
    <row r="104" spans="1:7" ht="16.5" customHeight="1">
      <c r="A104" s="1"/>
      <c r="B104" s="16" t="s">
        <v>60</v>
      </c>
      <c r="C104" s="1"/>
      <c r="D104" s="16" t="s">
        <v>60</v>
      </c>
      <c r="E104" s="1"/>
      <c r="F104" s="1"/>
      <c r="G104" s="1"/>
    </row>
    <row r="105" spans="1:7" ht="16.5" customHeight="1">
      <c r="A105" s="31" t="s">
        <v>85</v>
      </c>
      <c r="B105" s="35" t="s">
        <v>51</v>
      </c>
      <c r="C105" s="34"/>
      <c r="D105" s="33" t="s">
        <v>52</v>
      </c>
      <c r="E105" s="34"/>
    </row>
    <row r="106" spans="1:7" ht="16.5" customHeight="1">
      <c r="A106" s="32"/>
      <c r="B106" s="3" t="s">
        <v>57</v>
      </c>
      <c r="C106" s="3" t="s">
        <v>58</v>
      </c>
      <c r="D106" s="3" t="s">
        <v>57</v>
      </c>
      <c r="E106" s="3" t="s">
        <v>58</v>
      </c>
    </row>
    <row r="107" spans="1:7" ht="16.5" customHeight="1">
      <c r="A107" s="4" t="s">
        <v>59</v>
      </c>
      <c r="B107" s="23" t="s">
        <v>60</v>
      </c>
      <c r="C107" s="27" t="str">
        <f>"3조" &amp; " - " &amp; B$105 &amp; " - " &amp; $A107</f>
        <v>3조 - SOA - Availability</v>
      </c>
      <c r="D107" s="23" t="s">
        <v>60</v>
      </c>
      <c r="E107" s="27" t="str">
        <f>"3조" &amp; " - " &amp; D$105 &amp; " - " &amp; $A107</f>
        <v>3조 - Mico-Service - Availability</v>
      </c>
    </row>
    <row r="108" spans="1:7" ht="16.5" customHeight="1">
      <c r="A108" s="4" t="s">
        <v>61</v>
      </c>
      <c r="B108" s="23" t="s">
        <v>60</v>
      </c>
      <c r="C108" s="27" t="str">
        <f>"3조" &amp; " - " &amp; B$105 &amp; " - " &amp; $A108</f>
        <v>3조 - SOA - Deployability</v>
      </c>
      <c r="D108" s="23" t="s">
        <v>60</v>
      </c>
      <c r="E108" s="27" t="str">
        <f>"3조" &amp; " - " &amp; D$105 &amp; " - " &amp; $A108</f>
        <v>3조 - Mico-Service - Deployability</v>
      </c>
    </row>
    <row r="109" spans="1:7" ht="16.5" customHeight="1">
      <c r="A109" s="4" t="s">
        <v>62</v>
      </c>
      <c r="B109" s="23" t="s">
        <v>60</v>
      </c>
      <c r="C109" s="27" t="str">
        <f>"3조" &amp; " - " &amp; B$105 &amp; " - " &amp; $A109</f>
        <v>3조 - SOA - Integrability</v>
      </c>
      <c r="D109" s="23" t="s">
        <v>60</v>
      </c>
      <c r="E109" s="27" t="str">
        <f>"3조" &amp; " - " &amp; D$105 &amp; " - " &amp; $A109</f>
        <v>3조 - Mico-Service - Integrability</v>
      </c>
    </row>
    <row r="110" spans="1:7" ht="16.5" customHeight="1">
      <c r="A110" s="4" t="s">
        <v>63</v>
      </c>
      <c r="B110" s="23" t="s">
        <v>60</v>
      </c>
      <c r="C110" s="27" t="str">
        <f>"3조" &amp; " - " &amp; B$105 &amp; " - " &amp; $A110</f>
        <v>3조 - SOA - Energy Efficiency</v>
      </c>
      <c r="D110" s="23" t="s">
        <v>60</v>
      </c>
      <c r="E110" s="27" t="str">
        <f>"3조" &amp; " - " &amp; D$105 &amp; " - " &amp; $A110</f>
        <v>3조 - Mico-Service - Energy Efficiency</v>
      </c>
    </row>
    <row r="111" spans="1:7" ht="16.5" customHeight="1">
      <c r="A111" s="4" t="s">
        <v>64</v>
      </c>
      <c r="B111" s="23" t="s">
        <v>60</v>
      </c>
      <c r="C111" s="27" t="str">
        <f>"3조" &amp; " - " &amp; B$105 &amp; " - " &amp; $A111</f>
        <v>3조 - SOA - Modifiability</v>
      </c>
      <c r="D111" s="23" t="s">
        <v>60</v>
      </c>
      <c r="E111" s="27" t="str">
        <f>"3조" &amp; " - " &amp; D$105 &amp; " - " &amp; $A111</f>
        <v>3조 - Mico-Service - Modifiability</v>
      </c>
    </row>
    <row r="112" spans="1:7" ht="16.5" customHeight="1">
      <c r="A112" s="4" t="s">
        <v>65</v>
      </c>
      <c r="B112" s="23" t="s">
        <v>60</v>
      </c>
      <c r="C112" s="27" t="str">
        <f>"3조" &amp; " - " &amp; B$105 &amp; " - " &amp; $A112</f>
        <v>3조 - SOA - Performance</v>
      </c>
      <c r="D112" s="23" t="s">
        <v>60</v>
      </c>
      <c r="E112" s="27" t="str">
        <f>"3조" &amp; " - " &amp; D$105 &amp; " - " &amp; $A112</f>
        <v>3조 - Mico-Service - Performance</v>
      </c>
    </row>
    <row r="113" spans="1:7" ht="16.5" customHeight="1">
      <c r="A113" s="4" t="s">
        <v>66</v>
      </c>
      <c r="B113" s="23" t="s">
        <v>60</v>
      </c>
      <c r="C113" s="27" t="str">
        <f>"3조" &amp; " - " &amp; B$105 &amp; " - " &amp; $A113</f>
        <v>3조 - SOA - Safety</v>
      </c>
      <c r="D113" s="23" t="s">
        <v>60</v>
      </c>
      <c r="E113" s="27" t="str">
        <f>"3조" &amp; " - " &amp; D$105 &amp; " - " &amp; $A113</f>
        <v>3조 - Mico-Service - Safety</v>
      </c>
    </row>
    <row r="114" spans="1:7" ht="16.5" customHeight="1">
      <c r="A114" s="4" t="s">
        <v>67</v>
      </c>
      <c r="B114" s="23" t="s">
        <v>60</v>
      </c>
      <c r="C114" s="27" t="str">
        <f>"3조" &amp; " - " &amp; B$105 &amp; " - " &amp; $A114</f>
        <v>3조 - SOA - Security</v>
      </c>
      <c r="D114" s="23" t="s">
        <v>60</v>
      </c>
      <c r="E114" s="27" t="str">
        <f>"3조" &amp; " - " &amp; D$105 &amp; " - " &amp; $A114</f>
        <v>3조 - Mico-Service - Security</v>
      </c>
    </row>
    <row r="115" spans="1:7" ht="16.5" customHeight="1">
      <c r="A115" s="4" t="s">
        <v>68</v>
      </c>
      <c r="B115" s="23" t="s">
        <v>60</v>
      </c>
      <c r="C115" s="27" t="str">
        <f>"3조" &amp; " - " &amp; B$105 &amp; " - " &amp; $A115</f>
        <v>3조 - SOA - Testability</v>
      </c>
      <c r="D115" s="23" t="s">
        <v>60</v>
      </c>
      <c r="E115" s="27" t="str">
        <f>"3조" &amp; " - " &amp; D$105 &amp; " - " &amp; $A115</f>
        <v>3조 - Mico-Service - Testability</v>
      </c>
    </row>
    <row r="116" spans="1:7" ht="16.5" customHeight="1">
      <c r="A116" s="4" t="s">
        <v>69</v>
      </c>
      <c r="B116" s="23" t="s">
        <v>60</v>
      </c>
      <c r="C116" s="27" t="str">
        <f>"3조" &amp; " - " &amp; B$105 &amp; " - " &amp; $A116</f>
        <v>3조 - SOA - Usability</v>
      </c>
      <c r="D116" s="23" t="s">
        <v>60</v>
      </c>
      <c r="E116" s="27" t="str">
        <f>"3조" &amp; " - " &amp; D$105 &amp; " - " &amp; $A116</f>
        <v>3조 - Mico-Service - Usability</v>
      </c>
    </row>
    <row r="117" spans="1:7" ht="16.5" customHeight="1">
      <c r="A117" s="1"/>
      <c r="B117" s="16" t="s">
        <v>60</v>
      </c>
      <c r="C117" s="1"/>
      <c r="D117" s="16" t="s">
        <v>60</v>
      </c>
      <c r="E117" s="1"/>
      <c r="F117" s="1"/>
      <c r="G117" s="1"/>
    </row>
    <row r="118" spans="1:7" ht="16.5" customHeight="1">
      <c r="A118" s="31" t="s">
        <v>90</v>
      </c>
      <c r="B118" s="33" t="s">
        <v>91</v>
      </c>
      <c r="C118" s="34"/>
      <c r="D118" s="33" t="s">
        <v>92</v>
      </c>
      <c r="E118" s="34"/>
      <c r="F118" s="33" t="s">
        <v>93</v>
      </c>
      <c r="G118" s="34"/>
    </row>
    <row r="119" spans="1:7" ht="16.5" customHeight="1">
      <c r="A119" s="32"/>
      <c r="B119" s="3" t="s">
        <v>57</v>
      </c>
      <c r="C119" s="3" t="s">
        <v>58</v>
      </c>
      <c r="D119" s="3" t="s">
        <v>57</v>
      </c>
      <c r="E119" s="3" t="s">
        <v>58</v>
      </c>
      <c r="F119" s="3" t="s">
        <v>57</v>
      </c>
      <c r="G119" s="3" t="s">
        <v>58</v>
      </c>
    </row>
    <row r="120" spans="1:7" ht="16.5" customHeight="1">
      <c r="A120" s="4" t="s">
        <v>59</v>
      </c>
      <c r="B120" s="24" t="s">
        <v>60</v>
      </c>
      <c r="C120" s="26" t="str">
        <f>"3조" &amp; " - " &amp; B$118 &amp; " - " &amp; $A120</f>
        <v>3조 - Container-based - Availability</v>
      </c>
      <c r="D120" s="24" t="s">
        <v>60</v>
      </c>
      <c r="E120" s="26" t="str">
        <f>"3조" &amp; " - " &amp; D$118 &amp; " - " &amp; $A120</f>
        <v>3조 - Cloud-based - Availability</v>
      </c>
      <c r="F120" s="24" t="s">
        <v>60</v>
      </c>
      <c r="G120" s="26" t="str">
        <f>"3조" &amp; " - " &amp; F$118 &amp; " - " &amp; $A120</f>
        <v>3조 - Edge-based - Availability</v>
      </c>
    </row>
    <row r="121" spans="1:7" ht="16.5" customHeight="1">
      <c r="A121" s="4" t="s">
        <v>61</v>
      </c>
      <c r="B121" s="24" t="s">
        <v>60</v>
      </c>
      <c r="C121" s="26" t="str">
        <f>"3조" &amp; " - " &amp; B$118 &amp; " - " &amp; $A121</f>
        <v>3조 - Container-based - Deployability</v>
      </c>
      <c r="D121" s="24" t="s">
        <v>60</v>
      </c>
      <c r="E121" s="26" t="str">
        <f>"3조" &amp; " - " &amp; D$118 &amp; " - " &amp; $A121</f>
        <v>3조 - Cloud-based - Deployability</v>
      </c>
      <c r="F121" s="24" t="s">
        <v>60</v>
      </c>
      <c r="G121" s="26" t="str">
        <f>"3조" &amp; " - " &amp; F$118 &amp; " - " &amp; $A121</f>
        <v>3조 - Edge-based - Deployability</v>
      </c>
    </row>
    <row r="122" spans="1:7" ht="16.5" customHeight="1">
      <c r="A122" s="4" t="s">
        <v>62</v>
      </c>
      <c r="B122" s="24" t="s">
        <v>60</v>
      </c>
      <c r="C122" s="26" t="str">
        <f>"3조" &amp; " - " &amp; B$118 &amp; " - " &amp; $A122</f>
        <v>3조 - Container-based - Integrability</v>
      </c>
      <c r="D122" s="24" t="s">
        <v>60</v>
      </c>
      <c r="E122" s="26" t="str">
        <f>"3조" &amp; " - " &amp; D$118 &amp; " - " &amp; $A122</f>
        <v>3조 - Cloud-based - Integrability</v>
      </c>
      <c r="F122" s="24" t="s">
        <v>60</v>
      </c>
      <c r="G122" s="26" t="str">
        <f>"3조" &amp; " - " &amp; F$118 &amp; " - " &amp; $A122</f>
        <v>3조 - Edge-based - Integrability</v>
      </c>
    </row>
    <row r="123" spans="1:7" ht="16.5" customHeight="1">
      <c r="A123" s="4" t="s">
        <v>63</v>
      </c>
      <c r="B123" s="23" t="s">
        <v>60</v>
      </c>
      <c r="C123" s="27" t="str">
        <f>"3조" &amp; " - " &amp; B$118 &amp; " - " &amp; $A123</f>
        <v>3조 - Container-based - Energy Efficiency</v>
      </c>
      <c r="D123" s="23" t="s">
        <v>60</v>
      </c>
      <c r="E123" s="27" t="str">
        <f>"3조" &amp; " - " &amp; D$118 &amp; " - " &amp; $A123</f>
        <v>3조 - Cloud-based - Energy Efficiency</v>
      </c>
      <c r="F123" s="24" t="s">
        <v>60</v>
      </c>
      <c r="G123" s="26" t="str">
        <f>"3조" &amp; " - " &amp; F$118 &amp; " - " &amp; $A123</f>
        <v>3조 - Edge-based - Energy Efficiency</v>
      </c>
    </row>
    <row r="124" spans="1:7" ht="16.5" customHeight="1">
      <c r="A124" s="4" t="s">
        <v>64</v>
      </c>
      <c r="B124" s="24" t="s">
        <v>60</v>
      </c>
      <c r="C124" s="26" t="str">
        <f>"3조" &amp; " - " &amp; B$118 &amp; " - " &amp; $A124</f>
        <v>3조 - Container-based - Modifiability</v>
      </c>
      <c r="D124" s="23" t="s">
        <v>60</v>
      </c>
      <c r="E124" s="27" t="str">
        <f>"3조" &amp; " - " &amp; D$118 &amp; " - " &amp; $A124</f>
        <v>3조 - Cloud-based - Modifiability</v>
      </c>
      <c r="F124" s="24" t="s">
        <v>60</v>
      </c>
      <c r="G124" s="26" t="str">
        <f>"3조" &amp; " - " &amp; F$118 &amp; " - " &amp; $A124</f>
        <v>3조 - Edge-based - Modifiability</v>
      </c>
    </row>
    <row r="125" spans="1:7" ht="16.5" customHeight="1">
      <c r="A125" s="4" t="s">
        <v>65</v>
      </c>
      <c r="B125" s="24" t="s">
        <v>60</v>
      </c>
      <c r="C125" s="26" t="str">
        <f>"3조" &amp; " - " &amp; B$118 &amp; " - " &amp; $A125</f>
        <v>3조 - Container-based - Performance</v>
      </c>
      <c r="D125" s="24" t="s">
        <v>60</v>
      </c>
      <c r="E125" s="26" t="str">
        <f>"3조" &amp; " - " &amp; D$118 &amp; " - " &amp; $A125</f>
        <v>3조 - Cloud-based - Performance</v>
      </c>
      <c r="F125" s="24" t="s">
        <v>60</v>
      </c>
      <c r="G125" s="26" t="str">
        <f>"3조" &amp; " - " &amp; F$118 &amp; " - " &amp; $A125</f>
        <v>3조 - Edge-based - Performance</v>
      </c>
    </row>
    <row r="126" spans="1:7" ht="16.5" customHeight="1">
      <c r="A126" s="4" t="s">
        <v>66</v>
      </c>
      <c r="B126" s="23" t="s">
        <v>60</v>
      </c>
      <c r="C126" s="27" t="str">
        <f>"3조" &amp; " - " &amp; B$118 &amp; " - " &amp; $A126</f>
        <v>3조 - Container-based - Safety</v>
      </c>
      <c r="D126" s="23" t="s">
        <v>60</v>
      </c>
      <c r="E126" s="27" t="str">
        <f>"3조" &amp; " - " &amp; D$118 &amp; " - " &amp; $A126</f>
        <v>3조 - Cloud-based - Safety</v>
      </c>
      <c r="F126" s="23" t="s">
        <v>60</v>
      </c>
      <c r="G126" s="27" t="str">
        <f>"3조" &amp; " - " &amp; F$118 &amp; " - " &amp; $A126</f>
        <v>3조 - Edge-based - Safety</v>
      </c>
    </row>
    <row r="127" spans="1:7" ht="16.5" customHeight="1">
      <c r="A127" s="4" t="s">
        <v>67</v>
      </c>
      <c r="B127" s="23" t="s">
        <v>60</v>
      </c>
      <c r="C127" s="27" t="str">
        <f>"3조" &amp; " - " &amp; B$118 &amp; " - " &amp; $A127</f>
        <v>3조 - Container-based - Security</v>
      </c>
      <c r="D127" s="24" t="s">
        <v>60</v>
      </c>
      <c r="E127" s="26" t="str">
        <f>"3조" &amp; " - " &amp; D$118 &amp; " - " &amp; $A127</f>
        <v>3조 - Cloud-based - Security</v>
      </c>
      <c r="F127" s="24" t="s">
        <v>60</v>
      </c>
      <c r="G127" s="26" t="str">
        <f>"3조" &amp; " - " &amp; F$118 &amp; " - " &amp; $A127</f>
        <v>3조 - Edge-based - Security</v>
      </c>
    </row>
    <row r="128" spans="1:7" ht="16.5" customHeight="1">
      <c r="A128" s="4" t="s">
        <v>68</v>
      </c>
      <c r="B128" s="24" t="s">
        <v>60</v>
      </c>
      <c r="C128" s="26" t="str">
        <f>"3조" &amp; " - " &amp; B$118 &amp; " - " &amp; $A128</f>
        <v>3조 - Container-based - Testability</v>
      </c>
      <c r="D128" s="24" t="s">
        <v>60</v>
      </c>
      <c r="E128" s="26" t="str">
        <f>"3조" &amp; " - " &amp; D$118 &amp; " - " &amp; $A128</f>
        <v>3조 - Cloud-based - Testability</v>
      </c>
      <c r="F128" s="24" t="s">
        <v>60</v>
      </c>
      <c r="G128" s="26" t="str">
        <f>"3조" &amp; " - " &amp; F$118 &amp; " - " &amp; $A128</f>
        <v>3조 - Edge-based - Testability</v>
      </c>
    </row>
    <row r="129" spans="1:7" ht="16.5" customHeight="1">
      <c r="A129" s="4" t="s">
        <v>69</v>
      </c>
      <c r="B129" s="23" t="s">
        <v>60</v>
      </c>
      <c r="C129" s="27" t="str">
        <f>"3조" &amp; " - " &amp; B$118 &amp; " - " &amp; $A129</f>
        <v>3조 - Container-based - Usability</v>
      </c>
      <c r="D129" s="23" t="s">
        <v>60</v>
      </c>
      <c r="E129" s="27" t="str">
        <f>"3조" &amp; " - " &amp; D$118 &amp; " - " &amp; $A129</f>
        <v>3조 - Cloud-based - Usability</v>
      </c>
      <c r="F129" s="23" t="s">
        <v>60</v>
      </c>
      <c r="G129" s="27" t="str">
        <f>"3조" &amp; " - " &amp; F$118 &amp; " - " &amp; $A129</f>
        <v>3조 - Edge-based - Usability</v>
      </c>
    </row>
    <row r="130" spans="1:7" ht="16.5" customHeight="1"/>
    <row r="131" spans="1:7" ht="16.5" customHeight="1"/>
    <row r="132" spans="1:7" ht="16.5" customHeight="1"/>
    <row r="133" spans="1:7" ht="16.5" customHeight="1"/>
    <row r="134" spans="1:7" ht="16.5" customHeight="1"/>
    <row r="135" spans="1:7" ht="16.5" customHeight="1"/>
    <row r="136" spans="1:7" ht="16.5" customHeight="1"/>
    <row r="137" spans="1:7" ht="16.5" customHeight="1"/>
    <row r="138" spans="1:7" ht="16.5" customHeight="1"/>
    <row r="139" spans="1:7" ht="16.5" customHeight="1"/>
    <row r="140" spans="1:7" ht="16.5" customHeight="1"/>
    <row r="141" spans="1:7" ht="16.5" customHeight="1"/>
    <row r="142" spans="1:7" ht="16.5" customHeight="1"/>
    <row r="143" spans="1:7" ht="16.5" customHeight="1"/>
    <row r="144" spans="1:7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8">
    <mergeCell ref="A118:A119"/>
    <mergeCell ref="B118:C118"/>
    <mergeCell ref="D118:E118"/>
    <mergeCell ref="F118:G118"/>
    <mergeCell ref="D66:E66"/>
    <mergeCell ref="F66:G66"/>
    <mergeCell ref="D92:E92"/>
    <mergeCell ref="A105:A106"/>
    <mergeCell ref="B105:C105"/>
    <mergeCell ref="D105:E105"/>
    <mergeCell ref="B66:C66"/>
    <mergeCell ref="A79:A80"/>
    <mergeCell ref="B79:C79"/>
    <mergeCell ref="D79:E79"/>
    <mergeCell ref="A92:A93"/>
    <mergeCell ref="B92:C92"/>
    <mergeCell ref="D27:E27"/>
    <mergeCell ref="B27:C27"/>
    <mergeCell ref="B40:C40"/>
    <mergeCell ref="D40:E40"/>
    <mergeCell ref="B53:C53"/>
    <mergeCell ref="D53:E53"/>
    <mergeCell ref="A1:A2"/>
    <mergeCell ref="B1:C1"/>
    <mergeCell ref="D1:E1"/>
    <mergeCell ref="F1:G1"/>
    <mergeCell ref="B14:C14"/>
    <mergeCell ref="D14:E14"/>
  </mergeCells>
  <phoneticPr fontId="7" type="noConversion"/>
  <dataValidations count="1">
    <dataValidation type="list" allowBlank="1" showErrorMessage="1" sqref="B3:B12 D3:D12 F3:F12 B14 D14 B16:B25 D16:D25 B27 D27 B29:B38 D29:D38 B42:B51 D42:D51 B53 D53 B55:B64 D55:D64 B66 D66 F66 B68:B77 D68:D77 B79 D79 F68:F78 B81:B90 D81:D90 B92 B94:B103 F120:F129 B120:B129 D120:D129 D94:D103 D107:D116 B107:B116" xr:uid="{B6899524-6079-478E-AB96-07082746E048}">
      <formula1>"'++,'+,'0,'-,'--"</formula1>
    </dataValidation>
  </dataValidation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999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/>
  <cols>
    <col min="1" max="1" width="18" customWidth="1"/>
    <col min="2" max="2" width="14.7109375" customWidth="1"/>
    <col min="3" max="3" width="70.5703125" customWidth="1"/>
    <col min="4" max="4" width="9.85546875" customWidth="1"/>
    <col min="5" max="5" width="64.42578125" customWidth="1"/>
    <col min="6" max="6" width="11.42578125" customWidth="1"/>
    <col min="7" max="7" width="61.5703125" customWidth="1"/>
    <col min="8" max="8" width="8.85546875" customWidth="1"/>
    <col min="9" max="9" width="64.140625" customWidth="1"/>
    <col min="10" max="26" width="8.85546875" customWidth="1"/>
  </cols>
  <sheetData>
    <row r="1" spans="1:7" ht="16.5" customHeight="1">
      <c r="A1" s="31" t="s">
        <v>53</v>
      </c>
      <c r="B1" s="33" t="s">
        <v>54</v>
      </c>
      <c r="C1" s="34"/>
      <c r="D1" s="33" t="s">
        <v>55</v>
      </c>
      <c r="E1" s="34"/>
      <c r="F1" s="33" t="s">
        <v>56</v>
      </c>
      <c r="G1" s="34"/>
    </row>
    <row r="2" spans="1:7" ht="16.5" customHeight="1">
      <c r="A2" s="32"/>
      <c r="B2" s="3" t="s">
        <v>57</v>
      </c>
      <c r="C2" s="3" t="s">
        <v>58</v>
      </c>
      <c r="D2" s="3" t="s">
        <v>57</v>
      </c>
      <c r="E2" s="3" t="s">
        <v>58</v>
      </c>
      <c r="F2" s="3" t="s">
        <v>57</v>
      </c>
      <c r="G2" s="3" t="s">
        <v>58</v>
      </c>
    </row>
    <row r="3" spans="1:7" ht="16.5" customHeight="1">
      <c r="A3" s="4" t="s">
        <v>59</v>
      </c>
      <c r="B3" s="24" t="s">
        <v>60</v>
      </c>
      <c r="C3" s="26" t="str">
        <f>"4조" &amp; " - " &amp; B$1 &amp; " - " &amp; $A3</f>
        <v>4조 - Batch Sequential - Availability</v>
      </c>
      <c r="D3" s="24" t="s">
        <v>60</v>
      </c>
      <c r="E3" s="26" t="str">
        <f>"4조" &amp; " - " &amp; D$1 &amp; " - " &amp; $A3</f>
        <v>4조 - Pipe and Filter - Availability</v>
      </c>
      <c r="F3" s="23" t="s">
        <v>60</v>
      </c>
      <c r="G3" s="27" t="str">
        <f>"4조" &amp; " - " &amp; F$1 &amp; " - " &amp; $A3</f>
        <v>4조 - Process Control - Availability</v>
      </c>
    </row>
    <row r="4" spans="1:7" ht="16.5" customHeight="1">
      <c r="A4" s="4" t="s">
        <v>61</v>
      </c>
      <c r="B4" s="24" t="s">
        <v>60</v>
      </c>
      <c r="C4" s="26" t="str">
        <f>"4조" &amp; " - " &amp; B$1 &amp; " - " &amp; $A4</f>
        <v>4조 - Batch Sequential - Deployability</v>
      </c>
      <c r="D4" s="24" t="s">
        <v>60</v>
      </c>
      <c r="E4" s="26" t="str">
        <f>"4조" &amp; " - " &amp; D$1 &amp; " - " &amp; $A4</f>
        <v>4조 - Pipe and Filter - Deployability</v>
      </c>
      <c r="F4" s="23" t="s">
        <v>60</v>
      </c>
      <c r="G4" s="27" t="str">
        <f>"4조" &amp; " - " &amp; F$1 &amp; " - " &amp; $A4</f>
        <v>4조 - Process Control - Deployability</v>
      </c>
    </row>
    <row r="5" spans="1:7" ht="16.5" customHeight="1">
      <c r="A5" s="4" t="s">
        <v>62</v>
      </c>
      <c r="B5" s="23" t="s">
        <v>60</v>
      </c>
      <c r="C5" s="26" t="str">
        <f>"4조" &amp; " - " &amp; B$1 &amp; " - " &amp; $A5</f>
        <v>4조 - Batch Sequential - Integrability</v>
      </c>
      <c r="D5" s="24" t="s">
        <v>60</v>
      </c>
      <c r="E5" s="28" t="str">
        <f>"4조" &amp; " - " &amp; D$1 &amp; " - " &amp; $A5</f>
        <v>4조 - Pipe and Filter - Integrability</v>
      </c>
      <c r="F5" s="23" t="s">
        <v>60</v>
      </c>
      <c r="G5" s="27" t="str">
        <f>"4조" &amp; " - " &amp; F$1 &amp; " - " &amp; $A5</f>
        <v>4조 - Process Control - Integrability</v>
      </c>
    </row>
    <row r="6" spans="1:7" ht="16.5" customHeight="1">
      <c r="A6" s="4" t="s">
        <v>63</v>
      </c>
      <c r="B6" s="24" t="s">
        <v>60</v>
      </c>
      <c r="C6" s="26" t="str">
        <f>"4조" &amp; " - " &amp; B$1 &amp; " - " &amp; $A6</f>
        <v>4조 - Batch Sequential - Energy Efficiency</v>
      </c>
      <c r="D6" s="23" t="s">
        <v>60</v>
      </c>
      <c r="E6" s="27" t="str">
        <f>"4조" &amp; " - " &amp; D$1 &amp; " - " &amp; $A6</f>
        <v>4조 - Pipe and Filter - Energy Efficiency</v>
      </c>
      <c r="F6" s="23" t="s">
        <v>60</v>
      </c>
      <c r="G6" s="27" t="str">
        <f>"4조" &amp; " - " &amp; F$1 &amp; " - " &amp; $A6</f>
        <v>4조 - Process Control - Energy Efficiency</v>
      </c>
    </row>
    <row r="7" spans="1:7" ht="16.5" customHeight="1">
      <c r="A7" s="4" t="s">
        <v>64</v>
      </c>
      <c r="B7" s="24" t="s">
        <v>60</v>
      </c>
      <c r="C7" s="26" t="str">
        <f>"4조" &amp; " - " &amp; B$1 &amp; " - " &amp; $A7</f>
        <v>4조 - Batch Sequential - Modifiability</v>
      </c>
      <c r="D7" s="24" t="s">
        <v>60</v>
      </c>
      <c r="E7" s="26" t="str">
        <f>"4조" &amp; " - " &amp; D$1 &amp; " - " &amp; $A7</f>
        <v>4조 - Pipe and Filter - Modifiability</v>
      </c>
      <c r="F7" s="23" t="s">
        <v>60</v>
      </c>
      <c r="G7" s="27" t="str">
        <f>"4조" &amp; " - " &amp; F$1 &amp; " - " &amp; $A7</f>
        <v>4조 - Process Control - Modifiability</v>
      </c>
    </row>
    <row r="8" spans="1:7" ht="16.5" customHeight="1">
      <c r="A8" s="4" t="s">
        <v>65</v>
      </c>
      <c r="B8" s="24" t="s">
        <v>60</v>
      </c>
      <c r="C8" s="26" t="str">
        <f>"4조" &amp; " - " &amp; B$1 &amp; " - " &amp; $A8</f>
        <v>4조 - Batch Sequential - Performance</v>
      </c>
      <c r="D8" s="24" t="s">
        <v>60</v>
      </c>
      <c r="E8" s="26" t="str">
        <f>"4조" &amp; " - " &amp; D$1 &amp; " - " &amp; $A8</f>
        <v>4조 - Pipe and Filter - Performance</v>
      </c>
      <c r="F8" s="23" t="s">
        <v>60</v>
      </c>
      <c r="G8" s="27" t="str">
        <f>"4조" &amp; " - " &amp; F$1 &amp; " - " &amp; $A8</f>
        <v>4조 - Process Control - Performance</v>
      </c>
    </row>
    <row r="9" spans="1:7" ht="16.5" customHeight="1">
      <c r="A9" s="4" t="s">
        <v>66</v>
      </c>
      <c r="B9" s="23" t="s">
        <v>60</v>
      </c>
      <c r="C9" s="26" t="str">
        <f>"4조" &amp; " - " &amp; B$1 &amp; " - " &amp; $A9</f>
        <v>4조 - Batch Sequential - Safety</v>
      </c>
      <c r="D9" s="23" t="s">
        <v>60</v>
      </c>
      <c r="E9" s="27" t="str">
        <f>"4조" &amp; " - " &amp; D$1 &amp; " - " &amp; $A9</f>
        <v>4조 - Pipe and Filter - Safety</v>
      </c>
      <c r="F9" s="23" t="s">
        <v>60</v>
      </c>
      <c r="G9" s="27" t="str">
        <f>"4조" &amp; " - " &amp; F$1 &amp; " - " &amp; $A9</f>
        <v>4조 - Process Control - Safety</v>
      </c>
    </row>
    <row r="10" spans="1:7" ht="16.5" customHeight="1">
      <c r="A10" s="4" t="s">
        <v>67</v>
      </c>
      <c r="B10" s="24" t="s">
        <v>60</v>
      </c>
      <c r="C10" s="26" t="str">
        <f>"4조" &amp; " - " &amp; B$1 &amp; " - " &amp; $A10</f>
        <v>4조 - Batch Sequential - Security</v>
      </c>
      <c r="D10" s="24" t="s">
        <v>60</v>
      </c>
      <c r="E10" s="26" t="str">
        <f>"4조" &amp; " - " &amp; D$1 &amp; " - " &amp; $A10</f>
        <v>4조 - Pipe and Filter - Security</v>
      </c>
      <c r="F10" s="23" t="s">
        <v>60</v>
      </c>
      <c r="G10" s="27" t="str">
        <f>"4조" &amp; " - " &amp; F$1 &amp; " - " &amp; $A10</f>
        <v>4조 - Process Control - Security</v>
      </c>
    </row>
    <row r="11" spans="1:7" ht="16.5" customHeight="1">
      <c r="A11" s="4" t="s">
        <v>68</v>
      </c>
      <c r="B11" s="24" t="s">
        <v>60</v>
      </c>
      <c r="C11" s="26" t="str">
        <f>"4조" &amp; " - " &amp; B$1 &amp; " - " &amp; $A11</f>
        <v>4조 - Batch Sequential - Testability</v>
      </c>
      <c r="D11" s="24" t="s">
        <v>60</v>
      </c>
      <c r="E11" s="26" t="str">
        <f>"4조" &amp; " - " &amp; D$1 &amp; " - " &amp; $A11</f>
        <v>4조 - Pipe and Filter - Testability</v>
      </c>
      <c r="F11" s="23" t="s">
        <v>60</v>
      </c>
      <c r="G11" s="27" t="str">
        <f>"4조" &amp; " - " &amp; F$1 &amp; " - " &amp; $A11</f>
        <v>4조 - Process Control - Testability</v>
      </c>
    </row>
    <row r="12" spans="1:7" ht="16.5" customHeight="1">
      <c r="A12" s="4" t="s">
        <v>69</v>
      </c>
      <c r="B12" s="23" t="s">
        <v>60</v>
      </c>
      <c r="C12" s="26" t="str">
        <f>"4조" &amp; " - " &amp; B$1 &amp; " - " &amp; $A12</f>
        <v>4조 - Batch Sequential - Usability</v>
      </c>
      <c r="D12" s="23" t="s">
        <v>60</v>
      </c>
      <c r="E12" s="27" t="str">
        <f>"4조" &amp; " - " &amp; D$1 &amp; " - " &amp; $A12</f>
        <v>4조 - Pipe and Filter - Usability</v>
      </c>
      <c r="F12" s="23" t="s">
        <v>60</v>
      </c>
      <c r="G12" s="27" t="str">
        <f>"4조" &amp; " - " &amp; F$1 &amp; " - " &amp; $A12</f>
        <v>4조 - Process Control - Usability</v>
      </c>
    </row>
    <row r="13" spans="1:7" ht="16.5" customHeight="1">
      <c r="A13" s="1"/>
      <c r="B13" s="16" t="s">
        <v>60</v>
      </c>
      <c r="C13" s="16" t="s">
        <v>60</v>
      </c>
      <c r="D13" s="16" t="s">
        <v>60</v>
      </c>
      <c r="E13" s="16" t="s">
        <v>60</v>
      </c>
      <c r="F13" s="16" t="s">
        <v>60</v>
      </c>
      <c r="G13" s="1"/>
    </row>
    <row r="14" spans="1:7" ht="16.5" customHeight="1">
      <c r="A14" s="2" t="s">
        <v>70</v>
      </c>
      <c r="B14" s="35" t="s">
        <v>71</v>
      </c>
      <c r="C14" s="34"/>
      <c r="D14" s="35" t="s">
        <v>72</v>
      </c>
      <c r="E14" s="34"/>
      <c r="F14" s="1"/>
      <c r="G14" s="1"/>
    </row>
    <row r="15" spans="1:7" ht="16.5" customHeight="1">
      <c r="A15" s="19"/>
      <c r="B15" s="20" t="s">
        <v>57</v>
      </c>
      <c r="C15" s="21" t="s">
        <v>58</v>
      </c>
      <c r="D15" s="20" t="s">
        <v>57</v>
      </c>
      <c r="E15" s="21" t="s">
        <v>58</v>
      </c>
      <c r="F15" s="1"/>
      <c r="G15" s="1"/>
    </row>
    <row r="16" spans="1:7" ht="16.5" customHeight="1">
      <c r="A16" s="4" t="s">
        <v>59</v>
      </c>
      <c r="B16" s="24" t="s">
        <v>60</v>
      </c>
      <c r="C16" s="26" t="str">
        <f>"4조" &amp; " - " &amp; B$14 &amp; " - " &amp; $A16</f>
        <v>4조 - Shared Respository - Availability</v>
      </c>
      <c r="D16" s="23" t="s">
        <v>60</v>
      </c>
      <c r="E16" s="27" t="str">
        <f>"4조" &amp; " - " &amp; D$14 &amp; " - " &amp; $A16</f>
        <v>4조 - Blackboard - Availability</v>
      </c>
      <c r="F16" s="1"/>
      <c r="G16" s="1"/>
    </row>
    <row r="17" spans="1:7" ht="16.5" customHeight="1">
      <c r="A17" s="4" t="s">
        <v>61</v>
      </c>
      <c r="B17" s="24" t="s">
        <v>60</v>
      </c>
      <c r="C17" s="26" t="str">
        <f>"4조" &amp; " - " &amp; B$14 &amp; " - " &amp; $A17</f>
        <v>4조 - Shared Respository - Deployability</v>
      </c>
      <c r="D17" s="23" t="s">
        <v>60</v>
      </c>
      <c r="E17" s="27" t="str">
        <f>"4조" &amp; " - " &amp; D$14 &amp; " - " &amp; $A17</f>
        <v>4조 - Blackboard - Deployability</v>
      </c>
      <c r="F17" s="1"/>
      <c r="G17" s="1"/>
    </row>
    <row r="18" spans="1:7" ht="16.5" customHeight="1">
      <c r="A18" s="4" t="s">
        <v>62</v>
      </c>
      <c r="B18" s="24" t="s">
        <v>60</v>
      </c>
      <c r="C18" s="26" t="str">
        <f>"4조" &amp; " - " &amp; B$14 &amp; " - " &amp; $A18</f>
        <v>4조 - Shared Respository - Integrability</v>
      </c>
      <c r="D18" s="23" t="s">
        <v>60</v>
      </c>
      <c r="E18" s="27" t="str">
        <f>"4조" &amp; " - " &amp; D$14 &amp; " - " &amp; $A18</f>
        <v>4조 - Blackboard - Integrability</v>
      </c>
      <c r="F18" s="1"/>
      <c r="G18" s="1"/>
    </row>
    <row r="19" spans="1:7" ht="16.5" customHeight="1">
      <c r="A19" s="4" t="s">
        <v>63</v>
      </c>
      <c r="B19" s="23" t="s">
        <v>60</v>
      </c>
      <c r="C19" s="27" t="str">
        <f>"4조" &amp; " - " &amp; B$14 &amp; " - " &amp; $A19</f>
        <v>4조 - Shared Respository - Energy Efficiency</v>
      </c>
      <c r="D19" s="23" t="s">
        <v>60</v>
      </c>
      <c r="E19" s="27" t="str">
        <f>"4조" &amp; " - " &amp; D$14 &amp; " - " &amp; $A19</f>
        <v>4조 - Blackboard - Energy Efficiency</v>
      </c>
      <c r="F19" s="1"/>
      <c r="G19" s="1"/>
    </row>
    <row r="20" spans="1:7" ht="16.5" customHeight="1">
      <c r="A20" s="4" t="s">
        <v>64</v>
      </c>
      <c r="B20" s="24" t="s">
        <v>60</v>
      </c>
      <c r="C20" s="26" t="str">
        <f>"4조" &amp; " - " &amp; B$14 &amp; " - " &amp; $A20</f>
        <v>4조 - Shared Respository - Modifiability</v>
      </c>
      <c r="D20" s="23" t="s">
        <v>60</v>
      </c>
      <c r="E20" s="27" t="str">
        <f>"4조" &amp; " - " &amp; D$14 &amp; " - " &amp; $A20</f>
        <v>4조 - Blackboard - Modifiability</v>
      </c>
      <c r="F20" s="1"/>
      <c r="G20" s="1"/>
    </row>
    <row r="21" spans="1:7" ht="16.5" customHeight="1">
      <c r="A21" s="4" t="s">
        <v>65</v>
      </c>
      <c r="B21" s="24" t="s">
        <v>60</v>
      </c>
      <c r="C21" s="26" t="str">
        <f>"4조" &amp; " - " &amp; B$14 &amp; " - " &amp; $A21</f>
        <v>4조 - Shared Respository - Performance</v>
      </c>
      <c r="D21" s="23" t="s">
        <v>60</v>
      </c>
      <c r="E21" s="27" t="str">
        <f>"4조" &amp; " - " &amp; D$14 &amp; " - " &amp; $A21</f>
        <v>4조 - Blackboard - Performance</v>
      </c>
      <c r="F21" s="1"/>
      <c r="G21" s="1"/>
    </row>
    <row r="22" spans="1:7" ht="16.5" customHeight="1">
      <c r="A22" s="4" t="s">
        <v>66</v>
      </c>
      <c r="B22" s="23" t="s">
        <v>60</v>
      </c>
      <c r="C22" s="27" t="str">
        <f>"4조" &amp; " - " &amp; B$14 &amp; " - " &amp; $A22</f>
        <v>4조 - Shared Respository - Safety</v>
      </c>
      <c r="D22" s="23" t="s">
        <v>60</v>
      </c>
      <c r="E22" s="27" t="str">
        <f>"4조" &amp; " - " &amp; D$14 &amp; " - " &amp; $A22</f>
        <v>4조 - Blackboard - Safety</v>
      </c>
      <c r="F22" s="1"/>
      <c r="G22" s="1"/>
    </row>
    <row r="23" spans="1:7" ht="16.5" customHeight="1">
      <c r="A23" s="4" t="s">
        <v>67</v>
      </c>
      <c r="B23" s="24" t="s">
        <v>60</v>
      </c>
      <c r="C23" s="26" t="str">
        <f>"4조" &amp; " - " &amp; B$14 &amp; " - " &amp; $A23</f>
        <v>4조 - Shared Respository - Security</v>
      </c>
      <c r="D23" s="23" t="s">
        <v>60</v>
      </c>
      <c r="E23" s="27" t="str">
        <f>"4조" &amp; " - " &amp; D$14 &amp; " - " &amp; $A23</f>
        <v>4조 - Blackboard - Security</v>
      </c>
      <c r="F23" s="1"/>
      <c r="G23" s="1"/>
    </row>
    <row r="24" spans="1:7" ht="16.5" customHeight="1">
      <c r="A24" s="4" t="s">
        <v>68</v>
      </c>
      <c r="B24" s="24" t="s">
        <v>60</v>
      </c>
      <c r="C24" s="26" t="str">
        <f>"4조" &amp; " - " &amp; B$14 &amp; " - " &amp; $A24</f>
        <v>4조 - Shared Respository - Testability</v>
      </c>
      <c r="D24" s="23" t="s">
        <v>60</v>
      </c>
      <c r="E24" s="27" t="str">
        <f>"4조" &amp; " - " &amp; D$14 &amp; " - " &amp; $A24</f>
        <v>4조 - Blackboard - Testability</v>
      </c>
      <c r="F24" s="1"/>
      <c r="G24" s="1"/>
    </row>
    <row r="25" spans="1:7" ht="16.5" customHeight="1">
      <c r="A25" s="4" t="s">
        <v>69</v>
      </c>
      <c r="B25" s="23" t="s">
        <v>60</v>
      </c>
      <c r="C25" s="27" t="str">
        <f>"4조" &amp; " - " &amp; B$14 &amp; " - " &amp; $A25</f>
        <v>4조 - Shared Respository - Usability</v>
      </c>
      <c r="D25" s="23" t="s">
        <v>60</v>
      </c>
      <c r="E25" s="27" t="str">
        <f>"4조" &amp; " - " &amp; D$14 &amp; " - " &amp; $A25</f>
        <v>4조 - Blackboard - Usability</v>
      </c>
      <c r="F25" s="1"/>
      <c r="G25" s="1"/>
    </row>
    <row r="26" spans="1:7" ht="16.5" customHeight="1">
      <c r="A26" s="1"/>
      <c r="B26" s="16" t="s">
        <v>60</v>
      </c>
      <c r="C26" s="16" t="s">
        <v>60</v>
      </c>
      <c r="D26" s="16" t="s">
        <v>60</v>
      </c>
      <c r="E26" s="16" t="s">
        <v>60</v>
      </c>
      <c r="F26" s="1"/>
      <c r="G26" s="1"/>
    </row>
    <row r="27" spans="1:7" ht="16.5" customHeight="1">
      <c r="A27" s="2" t="s">
        <v>73</v>
      </c>
      <c r="B27" s="35" t="s">
        <v>74</v>
      </c>
      <c r="C27" s="34"/>
      <c r="D27" s="35" t="s">
        <v>75</v>
      </c>
      <c r="E27" s="34"/>
      <c r="F27" s="1"/>
      <c r="G27" s="1"/>
    </row>
    <row r="28" spans="1:7" ht="16.5" customHeight="1">
      <c r="A28" s="22"/>
      <c r="B28" s="3" t="s">
        <v>57</v>
      </c>
      <c r="C28" s="17" t="s">
        <v>58</v>
      </c>
      <c r="D28" s="3" t="s">
        <v>57</v>
      </c>
      <c r="E28" s="17" t="s">
        <v>58</v>
      </c>
      <c r="F28" s="1"/>
      <c r="G28" s="1"/>
    </row>
    <row r="29" spans="1:7" ht="16.5" customHeight="1">
      <c r="A29" s="4" t="s">
        <v>59</v>
      </c>
      <c r="B29" s="24" t="s">
        <v>60</v>
      </c>
      <c r="C29" s="26" t="str">
        <f>"4조" &amp; " - " &amp; B$27 &amp; " - " &amp; $A29</f>
        <v>4조 - Non-Buffered Event Based - Availability</v>
      </c>
      <c r="D29" s="24" t="s">
        <v>60</v>
      </c>
      <c r="E29" s="26" t="str">
        <f>"4조" &amp; " - " &amp; D$27 &amp; " - " &amp; $A29</f>
        <v>4조 - Buffered Message Based - Availability</v>
      </c>
      <c r="F29" s="1"/>
      <c r="G29" s="1"/>
    </row>
    <row r="30" spans="1:7" ht="16.5" customHeight="1">
      <c r="A30" s="4" t="s">
        <v>61</v>
      </c>
      <c r="B30" s="23" t="s">
        <v>60</v>
      </c>
      <c r="C30" s="27" t="str">
        <f>"4조" &amp; " - " &amp; B$27 &amp; " - " &amp; $A30</f>
        <v>4조 - Non-Buffered Event Based - Deployability</v>
      </c>
      <c r="D30" s="23" t="s">
        <v>60</v>
      </c>
      <c r="E30" s="27" t="str">
        <f>"4조" &amp; " - " &amp; D$27 &amp; " - " &amp; $A30</f>
        <v>4조 - Buffered Message Based - Deployability</v>
      </c>
      <c r="F30" s="1"/>
      <c r="G30" s="1"/>
    </row>
    <row r="31" spans="1:7" ht="16.5" customHeight="1">
      <c r="A31" s="4" t="s">
        <v>62</v>
      </c>
      <c r="B31" s="24" t="s">
        <v>60</v>
      </c>
      <c r="C31" s="26" t="str">
        <f>"4조" &amp; " - " &amp; B$27 &amp; " - " &amp; $A31</f>
        <v>4조 - Non-Buffered Event Based - Integrability</v>
      </c>
      <c r="D31" s="24" t="s">
        <v>60</v>
      </c>
      <c r="E31" s="26" t="str">
        <f>"4조" &amp; " - " &amp; D$27 &amp; " - " &amp; $A31</f>
        <v>4조 - Buffered Message Based - Integrability</v>
      </c>
      <c r="F31" s="1"/>
      <c r="G31" s="1"/>
    </row>
    <row r="32" spans="1:7" ht="16.5" customHeight="1">
      <c r="A32" s="4" t="s">
        <v>63</v>
      </c>
      <c r="B32" s="23" t="s">
        <v>60</v>
      </c>
      <c r="C32" s="27" t="str">
        <f>"4조" &amp; " - " &amp; B$27 &amp; " - " &amp; $A32</f>
        <v>4조 - Non-Buffered Event Based - Energy Efficiency</v>
      </c>
      <c r="D32" s="23" t="s">
        <v>60</v>
      </c>
      <c r="E32" s="27" t="str">
        <f>"4조" &amp; " - " &amp; D$27 &amp; " - " &amp; $A32</f>
        <v>4조 - Buffered Message Based - Energy Efficiency</v>
      </c>
      <c r="F32" s="1"/>
      <c r="G32" s="1"/>
    </row>
    <row r="33" spans="1:9" ht="16.5" customHeight="1">
      <c r="A33" s="4" t="s">
        <v>64</v>
      </c>
      <c r="B33" s="24" t="s">
        <v>60</v>
      </c>
      <c r="C33" s="26" t="str">
        <f>"4조" &amp; " - " &amp; B$27 &amp; " - " &amp; $A33</f>
        <v>4조 - Non-Buffered Event Based - Modifiability</v>
      </c>
      <c r="D33" s="24" t="s">
        <v>60</v>
      </c>
      <c r="E33" s="26" t="str">
        <f>"4조" &amp; " - " &amp; D$27 &amp; " - " &amp; $A33</f>
        <v>4조 - Buffered Message Based - Modifiability</v>
      </c>
      <c r="F33" s="1"/>
      <c r="G33" s="1"/>
    </row>
    <row r="34" spans="1:9" ht="16.5" customHeight="1">
      <c r="A34" s="4" t="s">
        <v>65</v>
      </c>
      <c r="B34" s="24" t="s">
        <v>60</v>
      </c>
      <c r="C34" s="26" t="str">
        <f>"4조" &amp; " - " &amp; B$27 &amp; " - " &amp; $A34</f>
        <v>4조 - Non-Buffered Event Based - Performance</v>
      </c>
      <c r="D34" s="24" t="s">
        <v>60</v>
      </c>
      <c r="E34" s="26" t="str">
        <f>"4조" &amp; " - " &amp; D$27 &amp; " - " &amp; $A34</f>
        <v>4조 - Buffered Message Based - Performance</v>
      </c>
      <c r="F34" s="1"/>
      <c r="G34" s="1"/>
    </row>
    <row r="35" spans="1:9" ht="16.5" customHeight="1">
      <c r="A35" s="4" t="s">
        <v>66</v>
      </c>
      <c r="B35" s="25" t="s">
        <v>60</v>
      </c>
      <c r="C35" s="29" t="str">
        <f>"4조" &amp; " - " &amp; B$27 &amp; " - " &amp; $A35</f>
        <v>4조 - Non-Buffered Event Based - Safety</v>
      </c>
      <c r="D35" s="25" t="s">
        <v>60</v>
      </c>
      <c r="E35" s="29" t="str">
        <f>"4조" &amp; " - " &amp; D$27 &amp; " - " &amp; $A35</f>
        <v>4조 - Buffered Message Based - Safety</v>
      </c>
      <c r="F35" s="1"/>
      <c r="G35" s="1"/>
    </row>
    <row r="36" spans="1:9" ht="16.5" customHeight="1">
      <c r="A36" s="4" t="s">
        <v>67</v>
      </c>
      <c r="B36" s="23" t="s">
        <v>60</v>
      </c>
      <c r="C36" s="27" t="str">
        <f>"4조" &amp; " - " &amp; B$27 &amp; " - " &amp; $A36</f>
        <v>4조 - Non-Buffered Event Based - Security</v>
      </c>
      <c r="D36" s="23" t="s">
        <v>60</v>
      </c>
      <c r="E36" s="27" t="str">
        <f>"4조" &amp; " - " &amp; D$27 &amp; " - " &amp; $A36</f>
        <v>4조 - Buffered Message Based - Security</v>
      </c>
      <c r="F36" s="1"/>
      <c r="G36" s="1"/>
    </row>
    <row r="37" spans="1:9" ht="16.5" customHeight="1">
      <c r="A37" s="4" t="s">
        <v>68</v>
      </c>
      <c r="B37" s="24" t="s">
        <v>60</v>
      </c>
      <c r="C37" s="26" t="str">
        <f>"4조" &amp; " - " &amp; B$27 &amp; " - " &amp; $A37</f>
        <v>4조 - Non-Buffered Event Based - Testability</v>
      </c>
      <c r="D37" s="24" t="s">
        <v>60</v>
      </c>
      <c r="E37" s="26" t="str">
        <f>"4조" &amp; " - " &amp; D$27 &amp; " - " &amp; $A37</f>
        <v>4조 - Buffered Message Based - Testability</v>
      </c>
      <c r="F37" s="1"/>
      <c r="G37" s="1"/>
    </row>
    <row r="38" spans="1:9" ht="16.5" customHeight="1">
      <c r="A38" s="4" t="s">
        <v>69</v>
      </c>
      <c r="B38" s="23" t="s">
        <v>60</v>
      </c>
      <c r="C38" s="27" t="str">
        <f>"4조" &amp; " - " &amp; B$27 &amp; " - " &amp; $A38</f>
        <v>4조 - Non-Buffered Event Based - Usability</v>
      </c>
      <c r="D38" s="23" t="s">
        <v>60</v>
      </c>
      <c r="E38" s="27" t="str">
        <f>"4조" &amp; " - " &amp; D$27 &amp; " - " &amp; $A38</f>
        <v>4조 - Buffered Message Based - Usability</v>
      </c>
      <c r="F38" s="1"/>
      <c r="G38" s="1"/>
    </row>
    <row r="39" spans="1:9" ht="16.5" customHeight="1">
      <c r="A39" s="1"/>
      <c r="B39" s="16" t="s">
        <v>60</v>
      </c>
      <c r="C39" s="16" t="s">
        <v>60</v>
      </c>
      <c r="D39" s="16" t="s">
        <v>60</v>
      </c>
      <c r="E39" s="16" t="s">
        <v>60</v>
      </c>
      <c r="F39" s="1"/>
      <c r="G39" s="1"/>
    </row>
    <row r="40" spans="1:9" ht="16.5" customHeight="1">
      <c r="A40" s="2" t="s">
        <v>76</v>
      </c>
      <c r="B40" s="33" t="s">
        <v>77</v>
      </c>
      <c r="C40" s="34"/>
      <c r="D40" s="33" t="s">
        <v>78</v>
      </c>
      <c r="E40" s="34"/>
      <c r="F40" s="1"/>
      <c r="G40" s="1"/>
      <c r="H40" s="1"/>
    </row>
    <row r="41" spans="1:9" ht="16.5">
      <c r="A41" s="22"/>
      <c r="B41" s="3" t="s">
        <v>57</v>
      </c>
      <c r="C41" s="3" t="s">
        <v>58</v>
      </c>
      <c r="D41" s="3" t="s">
        <v>57</v>
      </c>
      <c r="E41" s="3" t="s">
        <v>58</v>
      </c>
      <c r="F41" s="1"/>
      <c r="G41" s="1"/>
      <c r="H41" s="1"/>
      <c r="I41" s="13"/>
    </row>
    <row r="42" spans="1:9" ht="16.5" customHeight="1">
      <c r="A42" s="4" t="s">
        <v>59</v>
      </c>
      <c r="B42" s="23" t="s">
        <v>60</v>
      </c>
      <c r="C42" s="27" t="str">
        <f>"4조" &amp; " - " &amp; B$40 &amp; " - " &amp; $A42</f>
        <v>4조 - MVC - Availability</v>
      </c>
      <c r="D42" s="23" t="s">
        <v>60</v>
      </c>
      <c r="E42" s="27" t="str">
        <f>"4조" &amp; " - " &amp; D$40 &amp; " - " &amp; $A42</f>
        <v>4조 - PAC - Availability</v>
      </c>
      <c r="F42" s="1"/>
      <c r="G42" s="1"/>
      <c r="H42" s="1"/>
    </row>
    <row r="43" spans="1:9" ht="16.5" customHeight="1">
      <c r="A43" s="4" t="s">
        <v>61</v>
      </c>
      <c r="B43" s="23" t="s">
        <v>60</v>
      </c>
      <c r="C43" s="27" t="str">
        <f>"4조" &amp; " - " &amp; B$40 &amp; " - " &amp; $A43</f>
        <v>4조 - MVC - Deployability</v>
      </c>
      <c r="D43" s="23" t="s">
        <v>60</v>
      </c>
      <c r="E43" s="27" t="str">
        <f>"4조" &amp; " - " &amp; D$40 &amp; " - " &amp; $A43</f>
        <v>4조 - PAC - Deployability</v>
      </c>
      <c r="F43" s="1"/>
      <c r="G43" s="1"/>
      <c r="H43" s="1"/>
    </row>
    <row r="44" spans="1:9" ht="16.5" customHeight="1">
      <c r="A44" s="4" t="s">
        <v>62</v>
      </c>
      <c r="B44" s="24" t="s">
        <v>60</v>
      </c>
      <c r="C44" s="26" t="str">
        <f>"4조" &amp; " - " &amp; B$40 &amp; " - " &amp; $A44</f>
        <v>4조 - MVC - Integrability</v>
      </c>
      <c r="D44" s="23" t="s">
        <v>60</v>
      </c>
      <c r="E44" s="27" t="str">
        <f>"4조" &amp; " - " &amp; D$40 &amp; " - " &amp; $A44</f>
        <v>4조 - PAC - Integrability</v>
      </c>
      <c r="F44" s="1"/>
      <c r="G44" s="1"/>
      <c r="H44" s="1"/>
    </row>
    <row r="45" spans="1:9" ht="16.5" customHeight="1">
      <c r="A45" s="4" t="s">
        <v>63</v>
      </c>
      <c r="B45" s="23" t="s">
        <v>60</v>
      </c>
      <c r="C45" s="27" t="str">
        <f>"4조" &amp; " - " &amp; B$40 &amp; " - " &amp; $A45</f>
        <v>4조 - MVC - Energy Efficiency</v>
      </c>
      <c r="D45" s="23" t="s">
        <v>60</v>
      </c>
      <c r="E45" s="27" t="str">
        <f>"4조" &amp; " - " &amp; D$40 &amp; " - " &amp; $A45</f>
        <v>4조 - PAC - Energy Efficiency</v>
      </c>
      <c r="F45" s="1"/>
      <c r="G45" s="1"/>
      <c r="H45" s="1"/>
    </row>
    <row r="46" spans="1:9" ht="16.5" customHeight="1">
      <c r="A46" s="4" t="s">
        <v>64</v>
      </c>
      <c r="B46" s="24" t="s">
        <v>60</v>
      </c>
      <c r="C46" s="26" t="str">
        <f>"4조" &amp; " - " &amp; B$40 &amp; " - " &amp; $A46</f>
        <v>4조 - MVC - Modifiability</v>
      </c>
      <c r="D46" s="23" t="s">
        <v>60</v>
      </c>
      <c r="E46" s="27" t="str">
        <f>"4조" &amp; " - " &amp; D$40 &amp; " - " &amp; $A46</f>
        <v>4조 - PAC - Modifiability</v>
      </c>
      <c r="F46" s="1"/>
      <c r="G46" s="1"/>
      <c r="H46" s="1"/>
    </row>
    <row r="47" spans="1:9" ht="16.5" customHeight="1">
      <c r="A47" s="4" t="s">
        <v>65</v>
      </c>
      <c r="B47" s="24" t="s">
        <v>60</v>
      </c>
      <c r="C47" s="26" t="str">
        <f>"4조" &amp; " - " &amp; B$40 &amp; " - " &amp; $A47</f>
        <v>4조 - MVC - Performance</v>
      </c>
      <c r="D47" s="23" t="s">
        <v>60</v>
      </c>
      <c r="E47" s="27" t="str">
        <f>"4조" &amp; " - " &amp; D$40 &amp; " - " &amp; $A47</f>
        <v>4조 - PAC - Performance</v>
      </c>
      <c r="F47" s="1"/>
      <c r="G47" s="1"/>
      <c r="H47" s="1"/>
    </row>
    <row r="48" spans="1:9" ht="16.5" customHeight="1">
      <c r="A48" s="4" t="s">
        <v>66</v>
      </c>
      <c r="B48" s="23" t="s">
        <v>60</v>
      </c>
      <c r="C48" s="27" t="str">
        <f>"4조" &amp; " - " &amp; B$40 &amp; " - " &amp; $A48</f>
        <v>4조 - MVC - Safety</v>
      </c>
      <c r="D48" s="23" t="s">
        <v>60</v>
      </c>
      <c r="E48" s="27" t="str">
        <f>"4조" &amp; " - " &amp; D$40 &amp; " - " &amp; $A48</f>
        <v>4조 - PAC - Safety</v>
      </c>
      <c r="F48" s="1"/>
      <c r="G48" s="1"/>
      <c r="H48" s="1"/>
    </row>
    <row r="49" spans="1:9" ht="16.5" customHeight="1">
      <c r="A49" s="4" t="s">
        <v>67</v>
      </c>
      <c r="B49" s="24" t="s">
        <v>60</v>
      </c>
      <c r="C49" s="26" t="str">
        <f>"4조" &amp; " - " &amp; B$40 &amp; " - " &amp; $A49</f>
        <v>4조 - MVC - Security</v>
      </c>
      <c r="D49" s="23" t="s">
        <v>60</v>
      </c>
      <c r="E49" s="27" t="str">
        <f>"4조" &amp; " - " &amp; D$40 &amp; " - " &amp; $A49</f>
        <v>4조 - PAC - Security</v>
      </c>
      <c r="F49" s="1"/>
      <c r="G49" s="1"/>
      <c r="H49" s="1"/>
    </row>
    <row r="50" spans="1:9" ht="16.5">
      <c r="A50" s="4" t="s">
        <v>68</v>
      </c>
      <c r="B50" s="23" t="s">
        <v>60</v>
      </c>
      <c r="C50" s="27" t="str">
        <f>"4조" &amp; " - " &amp; B$40 &amp; " - " &amp; $A50</f>
        <v>4조 - MVC - Testability</v>
      </c>
      <c r="D50" s="23" t="s">
        <v>60</v>
      </c>
      <c r="E50" s="27" t="str">
        <f>"4조" &amp; " - " &amp; D$40 &amp; " - " &amp; $A50</f>
        <v>4조 - PAC - Testability</v>
      </c>
      <c r="F50" s="1"/>
      <c r="G50" s="16" t="s">
        <v>60</v>
      </c>
      <c r="H50" s="1"/>
      <c r="I50" s="15"/>
    </row>
    <row r="51" spans="1:9" ht="16.5">
      <c r="A51" s="4" t="s">
        <v>69</v>
      </c>
      <c r="B51" s="24" t="s">
        <v>60</v>
      </c>
      <c r="C51" s="26" t="str">
        <f>"4조" &amp; " - " &amp; B$40 &amp; " - " &amp; $A51</f>
        <v>4조 - MVC - Usability</v>
      </c>
      <c r="D51" s="23" t="s">
        <v>60</v>
      </c>
      <c r="E51" s="27" t="str">
        <f>"4조" &amp; " - " &amp; D$40 &amp; " - " &amp; $A51</f>
        <v>4조 - PAC - Usability</v>
      </c>
      <c r="F51" s="1"/>
      <c r="G51" s="16" t="s">
        <v>60</v>
      </c>
      <c r="H51" s="1"/>
      <c r="I51" s="13"/>
    </row>
    <row r="52" spans="1:9" ht="16.5" customHeight="1">
      <c r="A52" s="1"/>
      <c r="B52" s="16" t="s">
        <v>60</v>
      </c>
      <c r="C52" s="1"/>
      <c r="D52" s="16" t="s">
        <v>60</v>
      </c>
      <c r="E52" s="1"/>
      <c r="F52" s="1"/>
      <c r="G52" s="1"/>
    </row>
    <row r="53" spans="1:9" ht="16.5" customHeight="1">
      <c r="A53" s="2" t="s">
        <v>79</v>
      </c>
      <c r="B53" s="35" t="s">
        <v>80</v>
      </c>
      <c r="C53" s="34"/>
      <c r="D53" s="35" t="s">
        <v>81</v>
      </c>
      <c r="E53" s="34"/>
      <c r="F53" s="1"/>
      <c r="G53" s="16" t="s">
        <v>60</v>
      </c>
      <c r="H53" s="1"/>
    </row>
    <row r="54" spans="1:9" ht="16.5" customHeight="1">
      <c r="A54" s="22"/>
      <c r="B54" s="3" t="s">
        <v>57</v>
      </c>
      <c r="C54" s="17" t="s">
        <v>58</v>
      </c>
      <c r="D54" s="3" t="s">
        <v>57</v>
      </c>
      <c r="E54" s="17" t="s">
        <v>58</v>
      </c>
      <c r="F54" s="1"/>
      <c r="G54" s="16" t="s">
        <v>60</v>
      </c>
      <c r="H54" s="1"/>
    </row>
    <row r="55" spans="1:9" ht="16.5" customHeight="1">
      <c r="A55" s="4" t="s">
        <v>59</v>
      </c>
      <c r="B55" s="23" t="s">
        <v>60</v>
      </c>
      <c r="C55" s="27" t="str">
        <f>"4조" &amp; " - " &amp; B$53 &amp; " - " &amp; $A55</f>
        <v>4조 - Main-subroutine - Availability</v>
      </c>
      <c r="D55" s="24" t="s">
        <v>60</v>
      </c>
      <c r="E55" s="26" t="str">
        <f>"4조" &amp; " - " &amp; D$53 &amp; " - " &amp; $A55</f>
        <v>4조 - Master-Slave - Availability</v>
      </c>
      <c r="F55" s="1"/>
      <c r="G55" s="16" t="s">
        <v>60</v>
      </c>
      <c r="H55" s="1"/>
    </row>
    <row r="56" spans="1:9" ht="16.5" customHeight="1">
      <c r="A56" s="4" t="s">
        <v>61</v>
      </c>
      <c r="B56" s="23" t="s">
        <v>60</v>
      </c>
      <c r="C56" s="30" t="str">
        <f>"4조" &amp; " - " &amp; B$53 &amp; " - " &amp; $A56</f>
        <v>4조 - Main-subroutine - Deployability</v>
      </c>
      <c r="D56" s="24" t="s">
        <v>60</v>
      </c>
      <c r="E56" s="26" t="str">
        <f>"4조" &amp; " - " &amp; D$53 &amp; " - " &amp; $A56</f>
        <v>4조 - Master-Slave - Deployability</v>
      </c>
      <c r="F56" s="1"/>
      <c r="G56" s="16" t="s">
        <v>60</v>
      </c>
      <c r="H56" s="1"/>
    </row>
    <row r="57" spans="1:9" ht="16.5" customHeight="1">
      <c r="A57" s="4" t="s">
        <v>62</v>
      </c>
      <c r="B57" s="23" t="s">
        <v>60</v>
      </c>
      <c r="C57" s="27" t="str">
        <f>"4조" &amp; " - " &amp; B$53 &amp; " - " &amp; $A57</f>
        <v>4조 - Main-subroutine - Integrability</v>
      </c>
      <c r="D57" s="24" t="s">
        <v>60</v>
      </c>
      <c r="E57" s="26" t="str">
        <f>"4조" &amp; " - " &amp; D$53 &amp; " - " &amp; $A57</f>
        <v>4조 - Master-Slave - Integrability</v>
      </c>
      <c r="F57" s="1"/>
      <c r="G57" s="16" t="s">
        <v>60</v>
      </c>
      <c r="H57" s="1"/>
    </row>
    <row r="58" spans="1:9" ht="16.5" customHeight="1">
      <c r="A58" s="4" t="s">
        <v>63</v>
      </c>
      <c r="B58" s="23" t="s">
        <v>60</v>
      </c>
      <c r="C58" s="27" t="str">
        <f>"4조" &amp; " - " &amp; B$53 &amp; " - " &amp; $A58</f>
        <v>4조 - Main-subroutine - Energy Efficiency</v>
      </c>
      <c r="D58" s="24" t="s">
        <v>60</v>
      </c>
      <c r="E58" s="26" t="str">
        <f>"4조" &amp; " - " &amp; D$53 &amp; " - " &amp; $A58</f>
        <v>4조 - Master-Slave - Energy Efficiency</v>
      </c>
      <c r="F58" s="1"/>
      <c r="G58" s="16" t="s">
        <v>60</v>
      </c>
      <c r="H58" s="1"/>
    </row>
    <row r="59" spans="1:9" ht="16.5" customHeight="1">
      <c r="A59" s="4" t="s">
        <v>64</v>
      </c>
      <c r="B59" s="23" t="s">
        <v>60</v>
      </c>
      <c r="C59" s="27" t="str">
        <f>"4조" &amp; " - " &amp; B$53 &amp; " - " &amp; $A59</f>
        <v>4조 - Main-subroutine - Modifiability</v>
      </c>
      <c r="D59" s="23" t="s">
        <v>60</v>
      </c>
      <c r="E59" s="27" t="str">
        <f>"4조" &amp; " - " &amp; D$53 &amp; " - " &amp; $A59</f>
        <v>4조 - Master-Slave - Modifiability</v>
      </c>
      <c r="F59" s="1"/>
      <c r="G59" s="16" t="s">
        <v>60</v>
      </c>
      <c r="H59" s="1"/>
    </row>
    <row r="60" spans="1:9" ht="16.5">
      <c r="A60" s="4" t="s">
        <v>65</v>
      </c>
      <c r="B60" s="23" t="s">
        <v>60</v>
      </c>
      <c r="C60" s="27" t="str">
        <f>"4조" &amp; " - " &amp; B$53 &amp; " - " &amp; $A60</f>
        <v>4조 - Main-subroutine - Performance</v>
      </c>
      <c r="D60" s="24" t="s">
        <v>60</v>
      </c>
      <c r="E60" s="26" t="str">
        <f>"4조" &amp; " - " &amp; D$53 &amp; " - " &amp; $A60</f>
        <v>4조 - Master-Slave - Performance</v>
      </c>
      <c r="F60" s="1"/>
      <c r="G60" s="16" t="s">
        <v>60</v>
      </c>
      <c r="H60" s="1"/>
      <c r="I60" s="15"/>
    </row>
    <row r="61" spans="1:9" ht="16.5">
      <c r="A61" s="4" t="s">
        <v>66</v>
      </c>
      <c r="B61" s="23" t="s">
        <v>60</v>
      </c>
      <c r="C61" s="27" t="str">
        <f>"4조" &amp; " - " &amp; B$53 &amp; " - " &amp; $A61</f>
        <v>4조 - Main-subroutine - Safety</v>
      </c>
      <c r="D61" s="23" t="s">
        <v>60</v>
      </c>
      <c r="E61" s="27" t="str">
        <f>"4조" &amp; " - " &amp; D$53 &amp; " - " &amp; $A61</f>
        <v>4조 - Master-Slave - Safety</v>
      </c>
      <c r="F61" s="1"/>
      <c r="G61" s="16" t="s">
        <v>60</v>
      </c>
      <c r="H61" s="1"/>
      <c r="I61" s="13"/>
    </row>
    <row r="62" spans="1:9" ht="16.5" customHeight="1">
      <c r="A62" s="4" t="s">
        <v>67</v>
      </c>
      <c r="B62" s="23" t="s">
        <v>60</v>
      </c>
      <c r="C62" s="27" t="str">
        <f>"4조" &amp; " - " &amp; B$53 &amp; " - " &amp; $A62</f>
        <v>4조 - Main-subroutine - Security</v>
      </c>
      <c r="D62" s="23" t="s">
        <v>60</v>
      </c>
      <c r="E62" s="27" t="str">
        <f>"4조" &amp; " - " &amp; D$53 &amp; " - " &amp; $A62</f>
        <v>4조 - Master-Slave - Security</v>
      </c>
      <c r="F62" s="1"/>
      <c r="G62" s="16" t="s">
        <v>60</v>
      </c>
      <c r="H62" s="1"/>
    </row>
    <row r="63" spans="1:9" ht="16.5" customHeight="1">
      <c r="A63" s="4" t="s">
        <v>68</v>
      </c>
      <c r="B63" s="23" t="s">
        <v>60</v>
      </c>
      <c r="C63" s="27" t="str">
        <f>"4조" &amp; " - " &amp; B$53 &amp; " - " &amp; $A63</f>
        <v>4조 - Main-subroutine - Testability</v>
      </c>
      <c r="D63" s="23" t="s">
        <v>60</v>
      </c>
      <c r="E63" s="27" t="str">
        <f>"4조" &amp; " - " &amp; D$53 &amp; " - " &amp; $A63</f>
        <v>4조 - Master-Slave - Testability</v>
      </c>
      <c r="F63" s="1"/>
      <c r="G63" s="16" t="s">
        <v>60</v>
      </c>
      <c r="H63" s="1"/>
    </row>
    <row r="64" spans="1:9" ht="16.5" customHeight="1">
      <c r="A64" s="4" t="s">
        <v>69</v>
      </c>
      <c r="B64" s="23" t="s">
        <v>60</v>
      </c>
      <c r="C64" s="27" t="str">
        <f>"4조" &amp; " - " &amp; B$53 &amp; " - " &amp; $A64</f>
        <v>4조 - Main-subroutine - Usability</v>
      </c>
      <c r="D64" s="23" t="s">
        <v>60</v>
      </c>
      <c r="E64" s="27" t="str">
        <f>"4조" &amp; " - " &amp; D$53 &amp; " - " &amp; $A64</f>
        <v>4조 - Master-Slave - Usability</v>
      </c>
      <c r="F64" s="1"/>
      <c r="G64" s="16" t="s">
        <v>60</v>
      </c>
      <c r="H64" s="1"/>
    </row>
    <row r="65" spans="1:8" ht="16.5" customHeight="1">
      <c r="A65" s="1"/>
      <c r="B65" s="16" t="s">
        <v>60</v>
      </c>
      <c r="C65" s="16" t="s">
        <v>60</v>
      </c>
      <c r="D65" s="16" t="s">
        <v>60</v>
      </c>
      <c r="E65" s="16" t="s">
        <v>60</v>
      </c>
      <c r="F65" s="1"/>
      <c r="G65" s="16" t="s">
        <v>60</v>
      </c>
      <c r="H65" s="1"/>
    </row>
    <row r="66" spans="1:8" ht="16.5" customHeight="1">
      <c r="A66" s="2" t="s">
        <v>79</v>
      </c>
      <c r="B66" s="35" t="s">
        <v>82</v>
      </c>
      <c r="C66" s="34"/>
      <c r="D66" s="35" t="s">
        <v>83</v>
      </c>
      <c r="E66" s="34"/>
      <c r="F66" s="35" t="s">
        <v>84</v>
      </c>
      <c r="G66" s="34"/>
      <c r="H66" s="1"/>
    </row>
    <row r="67" spans="1:8" ht="16.5" customHeight="1">
      <c r="A67" s="22"/>
      <c r="B67" s="3" t="s">
        <v>57</v>
      </c>
      <c r="C67" s="17" t="s">
        <v>58</v>
      </c>
      <c r="D67" s="3" t="s">
        <v>57</v>
      </c>
      <c r="E67" s="17" t="s">
        <v>58</v>
      </c>
      <c r="F67" s="3" t="s">
        <v>57</v>
      </c>
      <c r="G67" s="17" t="s">
        <v>58</v>
      </c>
      <c r="H67" s="1"/>
    </row>
    <row r="68" spans="1:8" ht="16.5" customHeight="1">
      <c r="A68" s="4" t="s">
        <v>59</v>
      </c>
      <c r="B68" s="24" t="s">
        <v>60</v>
      </c>
      <c r="C68" s="26" t="str">
        <f>"4조" &amp; " - " &amp; B$66 &amp; " - " &amp; $A68</f>
        <v>4조 - Layered - Availability</v>
      </c>
      <c r="D68" s="23" t="s">
        <v>60</v>
      </c>
      <c r="E68" s="27" t="str">
        <f>"4조" &amp; " - " &amp; D$66 &amp; " - " &amp; $A68</f>
        <v>4조 - Virtual Machine - Availability</v>
      </c>
      <c r="F68" s="23" t="s">
        <v>60</v>
      </c>
      <c r="G68" s="27" t="str">
        <f>"4조" &amp; " - " &amp; F$66 &amp; " - " &amp; $A68</f>
        <v>4조 - Microkernel - Availability</v>
      </c>
      <c r="H68" s="1"/>
    </row>
    <row r="69" spans="1:8" ht="16.5" customHeight="1">
      <c r="A69" s="4" t="s">
        <v>61</v>
      </c>
      <c r="B69" s="23" t="s">
        <v>60</v>
      </c>
      <c r="C69" s="27" t="str">
        <f>"4조" &amp; " - " &amp; B$66 &amp; " - " &amp; $A69</f>
        <v>4조 - Layered - Deployability</v>
      </c>
      <c r="D69" s="23" t="s">
        <v>60</v>
      </c>
      <c r="E69" s="30" t="str">
        <f>"4조" &amp; " - " &amp; D$66 &amp; " - " &amp; $A69</f>
        <v>4조 - Virtual Machine - Deployability</v>
      </c>
      <c r="F69" s="24" t="s">
        <v>60</v>
      </c>
      <c r="G69" s="26" t="str">
        <f>"4조" &amp; " - " &amp; F$66 &amp; " - " &amp; $A69</f>
        <v>4조 - Microkernel - Deployability</v>
      </c>
      <c r="H69" s="1"/>
    </row>
    <row r="70" spans="1:8" ht="16.5" customHeight="1">
      <c r="A70" s="4" t="s">
        <v>62</v>
      </c>
      <c r="B70" s="24" t="s">
        <v>60</v>
      </c>
      <c r="C70" s="26" t="str">
        <f>"4조" &amp; " - " &amp; B$66 &amp; " - " &amp; $A70</f>
        <v>4조 - Layered - Integrability</v>
      </c>
      <c r="D70" s="23" t="s">
        <v>60</v>
      </c>
      <c r="E70" s="27" t="str">
        <f>"4조" &amp; " - " &amp; D$66 &amp; " - " &amp; $A70</f>
        <v>4조 - Virtual Machine - Integrability</v>
      </c>
      <c r="F70" s="24" t="s">
        <v>60</v>
      </c>
      <c r="G70" s="26" t="str">
        <f>"4조" &amp; " - " &amp; F$66 &amp; " - " &amp; $A70</f>
        <v>4조 - Microkernel - Integrability</v>
      </c>
      <c r="H70" s="1"/>
    </row>
    <row r="71" spans="1:8" ht="16.5" customHeight="1">
      <c r="A71" s="4" t="s">
        <v>63</v>
      </c>
      <c r="B71" s="23" t="s">
        <v>60</v>
      </c>
      <c r="C71" s="27" t="str">
        <f>"4조" &amp; " - " &amp; B$66 &amp; " - " &amp; $A71</f>
        <v>4조 - Layered - Energy Efficiency</v>
      </c>
      <c r="D71" s="23" t="s">
        <v>60</v>
      </c>
      <c r="E71" s="27" t="str">
        <f>"4조" &amp; " - " &amp; D$66 &amp; " - " &amp; $A71</f>
        <v>4조 - Virtual Machine - Energy Efficiency</v>
      </c>
      <c r="F71" s="23" t="s">
        <v>60</v>
      </c>
      <c r="G71" s="27" t="str">
        <f>"4조" &amp; " - " &amp; F$66 &amp; " - " &amp; $A71</f>
        <v>4조 - Microkernel - Energy Efficiency</v>
      </c>
      <c r="H71" s="1"/>
    </row>
    <row r="72" spans="1:8" ht="16.5" customHeight="1">
      <c r="A72" s="4" t="s">
        <v>64</v>
      </c>
      <c r="B72" s="24" t="s">
        <v>60</v>
      </c>
      <c r="C72" s="26" t="str">
        <f>"4조" &amp; " - " &amp; B$66 &amp; " - " &amp; $A72</f>
        <v>4조 - Layered - Modifiability</v>
      </c>
      <c r="D72" s="23" t="s">
        <v>60</v>
      </c>
      <c r="E72" s="27" t="str">
        <f>"4조" &amp; " - " &amp; D$66 &amp; " - " &amp; $A72</f>
        <v>4조 - Virtual Machine - Modifiability</v>
      </c>
      <c r="F72" s="24" t="s">
        <v>60</v>
      </c>
      <c r="G72" s="26" t="str">
        <f>"4조" &amp; " - " &amp; F$66 &amp; " - " &amp; $A72</f>
        <v>4조 - Microkernel - Modifiability</v>
      </c>
      <c r="H72" s="1"/>
    </row>
    <row r="73" spans="1:8" ht="16.5" customHeight="1">
      <c r="A73" s="4" t="s">
        <v>65</v>
      </c>
      <c r="B73" s="24" t="s">
        <v>60</v>
      </c>
      <c r="C73" s="26" t="str">
        <f>"4조" &amp; " - " &amp; B$66 &amp; " - " &amp; $A73</f>
        <v>4조 - Layered - Performance</v>
      </c>
      <c r="D73" s="23" t="s">
        <v>60</v>
      </c>
      <c r="E73" s="27" t="str">
        <f>"4조" &amp; " - " &amp; D$66 &amp; " - " &amp; $A73</f>
        <v>4조 - Virtual Machine - Performance</v>
      </c>
      <c r="F73" s="24" t="s">
        <v>60</v>
      </c>
      <c r="G73" s="26" t="str">
        <f>"4조" &amp; " - " &amp; F$66 &amp; " - " &amp; $A73</f>
        <v>4조 - Microkernel - Performance</v>
      </c>
      <c r="H73" s="1"/>
    </row>
    <row r="74" spans="1:8" ht="16.5" customHeight="1">
      <c r="A74" s="4" t="s">
        <v>66</v>
      </c>
      <c r="B74" s="23" t="s">
        <v>60</v>
      </c>
      <c r="C74" s="27" t="str">
        <f>"4조" &amp; " - " &amp; B$66 &amp; " - " &amp; $A74</f>
        <v>4조 - Layered - Safety</v>
      </c>
      <c r="D74" s="23" t="s">
        <v>60</v>
      </c>
      <c r="E74" s="27" t="str">
        <f>"4조" &amp; " - " &amp; D$66 &amp; " - " &amp; $A74</f>
        <v>4조 - Virtual Machine - Safety</v>
      </c>
      <c r="F74" s="23" t="s">
        <v>60</v>
      </c>
      <c r="G74" s="27" t="str">
        <f>"4조" &amp; " - " &amp; F$66 &amp; " - " &amp; $A74</f>
        <v>4조 - Microkernel - Safety</v>
      </c>
    </row>
    <row r="75" spans="1:8" ht="16.5" customHeight="1">
      <c r="A75" s="4" t="s">
        <v>67</v>
      </c>
      <c r="B75" s="24" t="s">
        <v>60</v>
      </c>
      <c r="C75" s="26" t="str">
        <f>"4조" &amp; " - " &amp; B$66 &amp; " - " &amp; $A75</f>
        <v>4조 - Layered - Security</v>
      </c>
      <c r="D75" s="23" t="s">
        <v>60</v>
      </c>
      <c r="E75" s="27" t="str">
        <f>"4조" &amp; " - " &amp; D$66 &amp; " - " &amp; $A75</f>
        <v>4조 - Virtual Machine - Security</v>
      </c>
      <c r="F75" s="24" t="s">
        <v>60</v>
      </c>
      <c r="G75" s="26" t="str">
        <f>"4조" &amp; " - " &amp; F$66 &amp; " - " &amp; $A75</f>
        <v>4조 - Microkernel - Security</v>
      </c>
    </row>
    <row r="76" spans="1:8" ht="16.5" customHeight="1">
      <c r="A76" s="4" t="s">
        <v>68</v>
      </c>
      <c r="B76" s="24" t="s">
        <v>60</v>
      </c>
      <c r="C76" s="26" t="str">
        <f>"4조" &amp; " - " &amp; B$66 &amp; " - " &amp; $A76</f>
        <v>4조 - Layered - Testability</v>
      </c>
      <c r="D76" s="23" t="s">
        <v>60</v>
      </c>
      <c r="E76" s="27" t="str">
        <f>"4조" &amp; " - " &amp; D$66 &amp; " - " &amp; $A76</f>
        <v>4조 - Virtual Machine - Testability</v>
      </c>
      <c r="F76" s="24" t="s">
        <v>60</v>
      </c>
      <c r="G76" s="26" t="str">
        <f>"4조" &amp; " - " &amp; F$66 &amp; " - " &amp; $A76</f>
        <v>4조 - Microkernel - Testability</v>
      </c>
    </row>
    <row r="77" spans="1:8" ht="16.5" customHeight="1">
      <c r="A77" s="4" t="s">
        <v>69</v>
      </c>
      <c r="B77" s="23" t="s">
        <v>60</v>
      </c>
      <c r="C77" s="27" t="str">
        <f>"4조" &amp; " - " &amp; B$66 &amp; " - " &amp; $A77</f>
        <v>4조 - Layered - Usability</v>
      </c>
      <c r="D77" s="23" t="s">
        <v>60</v>
      </c>
      <c r="E77" s="27" t="str">
        <f>"4조" &amp; " - " &amp; D$66 &amp; " - " &amp; $A77</f>
        <v>4조 - Virtual Machine - Usability</v>
      </c>
      <c r="F77" s="23" t="s">
        <v>60</v>
      </c>
      <c r="G77" s="27" t="str">
        <f>"4조" &amp; " - " &amp; F$66 &amp; " - " &amp; $A77</f>
        <v>4조 - Microkernel - Usability</v>
      </c>
    </row>
    <row r="78" spans="1:8" ht="16.5" customHeight="1">
      <c r="A78" s="1"/>
      <c r="B78" s="16" t="s">
        <v>60</v>
      </c>
      <c r="C78" s="16" t="s">
        <v>60</v>
      </c>
      <c r="D78" s="16" t="s">
        <v>60</v>
      </c>
      <c r="E78" s="16" t="s">
        <v>60</v>
      </c>
      <c r="F78" s="16" t="s">
        <v>60</v>
      </c>
      <c r="G78" s="16" t="s">
        <v>60</v>
      </c>
    </row>
    <row r="79" spans="1:8" ht="16.5" customHeight="1">
      <c r="A79" s="31" t="s">
        <v>85</v>
      </c>
      <c r="B79" s="35" t="s">
        <v>86</v>
      </c>
      <c r="C79" s="34"/>
      <c r="D79" s="35" t="s">
        <v>87</v>
      </c>
      <c r="E79" s="34"/>
    </row>
    <row r="80" spans="1:8" ht="16.5" customHeight="1">
      <c r="A80" s="32"/>
      <c r="B80" s="3" t="s">
        <v>57</v>
      </c>
      <c r="C80" s="3" t="s">
        <v>58</v>
      </c>
      <c r="D80" s="3" t="s">
        <v>57</v>
      </c>
      <c r="E80" s="3" t="s">
        <v>58</v>
      </c>
    </row>
    <row r="81" spans="1:7" ht="16.5" customHeight="1">
      <c r="A81" s="4" t="s">
        <v>59</v>
      </c>
      <c r="B81" s="24" t="s">
        <v>60</v>
      </c>
      <c r="C81" s="26" t="str">
        <f>"4조" &amp; " - " &amp; B$79 &amp; " - " &amp; $A81</f>
        <v>4조 - Multi-tier - Availability</v>
      </c>
      <c r="D81" s="23" t="s">
        <v>60</v>
      </c>
      <c r="E81" s="27" t="str">
        <f>"4조" &amp; " - " &amp; D$79 &amp; " - " &amp; $A81</f>
        <v>4조 - Client-Server - Availability</v>
      </c>
    </row>
    <row r="82" spans="1:7" ht="16.5" customHeight="1">
      <c r="A82" s="4" t="s">
        <v>61</v>
      </c>
      <c r="B82" s="24" t="s">
        <v>60</v>
      </c>
      <c r="C82" s="26" t="str">
        <f>"4조" &amp; " - " &amp; B$79 &amp; " - " &amp; $A82</f>
        <v>4조 - Multi-tier - Deployability</v>
      </c>
      <c r="D82" s="23" t="s">
        <v>60</v>
      </c>
      <c r="E82" s="27" t="str">
        <f>"4조" &amp; " - " &amp; D$79 &amp; " - " &amp; $A82</f>
        <v>4조 - Client-Server - Deployability</v>
      </c>
    </row>
    <row r="83" spans="1:7" ht="16.5" customHeight="1">
      <c r="A83" s="4" t="s">
        <v>62</v>
      </c>
      <c r="B83" s="24" t="s">
        <v>60</v>
      </c>
      <c r="C83" s="26" t="str">
        <f>"4조" &amp; " - " &amp; B$79 &amp; " - " &amp; $A83</f>
        <v>4조 - Multi-tier - Integrability</v>
      </c>
      <c r="D83" s="23" t="s">
        <v>60</v>
      </c>
      <c r="E83" s="27" t="str">
        <f>"4조" &amp; " - " &amp; D$79 &amp; " - " &amp; $A83</f>
        <v>4조 - Client-Server - Integrability</v>
      </c>
    </row>
    <row r="84" spans="1:7" ht="16.5" customHeight="1">
      <c r="A84" s="4" t="s">
        <v>63</v>
      </c>
      <c r="B84" s="24" t="s">
        <v>60</v>
      </c>
      <c r="C84" s="26" t="str">
        <f>"4조" &amp; " - " &amp; B$79 &amp; " - " &amp; $A84</f>
        <v>4조 - Multi-tier - Energy Efficiency</v>
      </c>
      <c r="D84" s="23" t="s">
        <v>60</v>
      </c>
      <c r="E84" s="27" t="str">
        <f>"4조" &amp; " - " &amp; D$79 &amp; " - " &amp; $A84</f>
        <v>4조 - Client-Server - Energy Efficiency</v>
      </c>
    </row>
    <row r="85" spans="1:7" ht="16.5" customHeight="1">
      <c r="A85" s="4" t="s">
        <v>64</v>
      </c>
      <c r="B85" s="23" t="s">
        <v>60</v>
      </c>
      <c r="C85" s="27" t="str">
        <f>"4조" &amp; " - " &amp; B$79 &amp; " - " &amp; $A85</f>
        <v>4조 - Multi-tier - Modifiability</v>
      </c>
      <c r="D85" s="23" t="s">
        <v>60</v>
      </c>
      <c r="E85" s="27" t="str">
        <f>"4조" &amp; " - " &amp; D$79 &amp; " - " &amp; $A85</f>
        <v>4조 - Client-Server - Modifiability</v>
      </c>
    </row>
    <row r="86" spans="1:7" ht="16.5" customHeight="1">
      <c r="A86" s="4" t="s">
        <v>65</v>
      </c>
      <c r="B86" s="24" t="s">
        <v>60</v>
      </c>
      <c r="C86" s="26" t="str">
        <f>"4조" &amp; " - " &amp; B$79 &amp; " - " &amp; $A86</f>
        <v>4조 - Multi-tier - Performance</v>
      </c>
      <c r="D86" s="23" t="s">
        <v>60</v>
      </c>
      <c r="E86" s="27" t="str">
        <f>"4조" &amp; " - " &amp; D$79 &amp; " - " &amp; $A86</f>
        <v>4조 - Client-Server - Performance</v>
      </c>
    </row>
    <row r="87" spans="1:7" ht="16.5" customHeight="1">
      <c r="A87" s="4" t="s">
        <v>66</v>
      </c>
      <c r="B87" s="23" t="s">
        <v>60</v>
      </c>
      <c r="C87" s="27" t="str">
        <f>"4조" &amp; " - " &amp; B$79 &amp; " - " &amp; $A87</f>
        <v>4조 - Multi-tier - Safety</v>
      </c>
      <c r="D87" s="23" t="s">
        <v>60</v>
      </c>
      <c r="E87" s="27" t="str">
        <f>"4조" &amp; " - " &amp; D$79 &amp; " - " &amp; $A87</f>
        <v>4조 - Client-Server - Safety</v>
      </c>
    </row>
    <row r="88" spans="1:7" ht="16.5" customHeight="1">
      <c r="A88" s="4" t="s">
        <v>67</v>
      </c>
      <c r="B88" s="24" t="s">
        <v>60</v>
      </c>
      <c r="C88" s="26" t="str">
        <f>"4조" &amp; " - " &amp; B$79 &amp; " - " &amp; $A88</f>
        <v>4조 - Multi-tier - Security</v>
      </c>
      <c r="D88" s="23" t="s">
        <v>60</v>
      </c>
      <c r="E88" s="27" t="str">
        <f>"4조" &amp; " - " &amp; D$79 &amp; " - " &amp; $A88</f>
        <v>4조 - Client-Server - Security</v>
      </c>
    </row>
    <row r="89" spans="1:7" ht="16.5" customHeight="1">
      <c r="A89" s="4" t="s">
        <v>68</v>
      </c>
      <c r="B89" s="23" t="s">
        <v>60</v>
      </c>
      <c r="C89" s="27" t="str">
        <f>"4조" &amp; " - " &amp; B$79 &amp; " - " &amp; $A89</f>
        <v>4조 - Multi-tier - Testability</v>
      </c>
      <c r="D89" s="23" t="s">
        <v>60</v>
      </c>
      <c r="E89" s="27" t="str">
        <f>"4조" &amp; " - " &amp; D$79 &amp; " - " &amp; $A89</f>
        <v>4조 - Client-Server - Testability</v>
      </c>
    </row>
    <row r="90" spans="1:7" ht="16.5" customHeight="1">
      <c r="A90" s="4" t="s">
        <v>69</v>
      </c>
      <c r="B90" s="23" t="s">
        <v>60</v>
      </c>
      <c r="C90" s="27" t="str">
        <f>"4조" &amp; " - " &amp; B$79 &amp; " - " &amp; $A90</f>
        <v>4조 - Multi-tier - Usability</v>
      </c>
      <c r="D90" s="23" t="s">
        <v>60</v>
      </c>
      <c r="E90" s="27" t="str">
        <f>"4조" &amp; " - " &amp; D$79 &amp; " - " &amp; $A90</f>
        <v>4조 - Client-Server - Usability</v>
      </c>
    </row>
    <row r="91" spans="1:7" ht="16.5" customHeight="1">
      <c r="A91" s="1"/>
      <c r="B91" s="16" t="s">
        <v>60</v>
      </c>
      <c r="C91" s="1"/>
      <c r="D91" s="16" t="s">
        <v>60</v>
      </c>
      <c r="E91" s="1"/>
      <c r="F91" s="16" t="s">
        <v>60</v>
      </c>
      <c r="G91" s="1"/>
    </row>
    <row r="92" spans="1:7" ht="16.5" customHeight="1">
      <c r="A92" s="31" t="s">
        <v>85</v>
      </c>
      <c r="B92" s="35" t="s">
        <v>88</v>
      </c>
      <c r="C92" s="34"/>
      <c r="D92" s="33" t="s">
        <v>89</v>
      </c>
      <c r="E92" s="34"/>
    </row>
    <row r="93" spans="1:7" ht="16.5" customHeight="1">
      <c r="A93" s="32"/>
      <c r="B93" s="3" t="s">
        <v>57</v>
      </c>
      <c r="C93" s="3" t="s">
        <v>58</v>
      </c>
      <c r="D93" s="3" t="s">
        <v>57</v>
      </c>
      <c r="E93" s="3" t="s">
        <v>58</v>
      </c>
    </row>
    <row r="94" spans="1:7" ht="16.5" customHeight="1">
      <c r="A94" s="4" t="s">
        <v>59</v>
      </c>
      <c r="B94" s="23" t="s">
        <v>60</v>
      </c>
      <c r="C94" s="27" t="str">
        <f>"4조" &amp; " - " &amp; B$92 &amp; " - " &amp; $A94</f>
        <v>4조 - Broker - Availability</v>
      </c>
      <c r="D94" s="23" t="s">
        <v>60</v>
      </c>
      <c r="E94" s="27" t="str">
        <f>"4조" &amp; " - " &amp; D$92 &amp; " - " &amp; $A94</f>
        <v>4조 - Dispatcher - Availability</v>
      </c>
    </row>
    <row r="95" spans="1:7" ht="16.5" customHeight="1">
      <c r="A95" s="4" t="s">
        <v>61</v>
      </c>
      <c r="B95" s="23" t="s">
        <v>60</v>
      </c>
      <c r="C95" s="27" t="str">
        <f>"4조" &amp; " - " &amp; B$92 &amp; " - " &amp; $A95</f>
        <v>4조 - Broker - Deployability</v>
      </c>
      <c r="D95" s="23" t="s">
        <v>60</v>
      </c>
      <c r="E95" s="27" t="str">
        <f>"4조" &amp; " - " &amp; D$92 &amp; " - " &amp; $A95</f>
        <v>4조 - Dispatcher - Deployability</v>
      </c>
    </row>
    <row r="96" spans="1:7" ht="16.5" customHeight="1">
      <c r="A96" s="4" t="s">
        <v>62</v>
      </c>
      <c r="B96" s="23" t="s">
        <v>60</v>
      </c>
      <c r="C96" s="27" t="str">
        <f>"4조" &amp; " - " &amp; B$92 &amp; " - " &amp; $A96</f>
        <v>4조 - Broker - Integrability</v>
      </c>
      <c r="D96" s="23" t="s">
        <v>60</v>
      </c>
      <c r="E96" s="27" t="str">
        <f>"4조" &amp; " - " &amp; D$92 &amp; " - " &amp; $A96</f>
        <v>4조 - Dispatcher - Integrability</v>
      </c>
    </row>
    <row r="97" spans="1:7" ht="16.5" customHeight="1">
      <c r="A97" s="4" t="s">
        <v>63</v>
      </c>
      <c r="B97" s="23" t="s">
        <v>60</v>
      </c>
      <c r="C97" s="27" t="str">
        <f>"4조" &amp; " - " &amp; B$92 &amp; " - " &amp; $A97</f>
        <v>4조 - Broker - Energy Efficiency</v>
      </c>
      <c r="D97" s="23" t="s">
        <v>60</v>
      </c>
      <c r="E97" s="27" t="str">
        <f>"4조" &amp; " - " &amp; D$92 &amp; " - " &amp; $A97</f>
        <v>4조 - Dispatcher - Energy Efficiency</v>
      </c>
    </row>
    <row r="98" spans="1:7" ht="16.5" customHeight="1">
      <c r="A98" s="4" t="s">
        <v>64</v>
      </c>
      <c r="B98" s="23" t="s">
        <v>60</v>
      </c>
      <c r="C98" s="27" t="str">
        <f>"4조" &amp; " - " &amp; B$92 &amp; " - " &amp; $A98</f>
        <v>4조 - Broker - Modifiability</v>
      </c>
      <c r="D98" s="23" t="s">
        <v>60</v>
      </c>
      <c r="E98" s="27" t="str">
        <f>"4조" &amp; " - " &amp; D$92 &amp; " - " &amp; $A98</f>
        <v>4조 - Dispatcher - Modifiability</v>
      </c>
    </row>
    <row r="99" spans="1:7" ht="16.5" customHeight="1">
      <c r="A99" s="4" t="s">
        <v>65</v>
      </c>
      <c r="B99" s="23" t="s">
        <v>60</v>
      </c>
      <c r="C99" s="27" t="str">
        <f>"4조" &amp; " - " &amp; B$92 &amp; " - " &amp; $A99</f>
        <v>4조 - Broker - Performance</v>
      </c>
      <c r="D99" s="23" t="s">
        <v>60</v>
      </c>
      <c r="E99" s="27" t="str">
        <f>"4조" &amp; " - " &amp; D$92 &amp; " - " &amp; $A99</f>
        <v>4조 - Dispatcher - Performance</v>
      </c>
    </row>
    <row r="100" spans="1:7" ht="16.5" customHeight="1">
      <c r="A100" s="4" t="s">
        <v>66</v>
      </c>
      <c r="B100" s="23" t="s">
        <v>60</v>
      </c>
      <c r="C100" s="27" t="str">
        <f>"4조" &amp; " - " &amp; B$92 &amp; " - " &amp; $A100</f>
        <v>4조 - Broker - Safety</v>
      </c>
      <c r="D100" s="23" t="s">
        <v>60</v>
      </c>
      <c r="E100" s="27" t="str">
        <f>"4조" &amp; " - " &amp; D$92 &amp; " - " &amp; $A100</f>
        <v>4조 - Dispatcher - Safety</v>
      </c>
    </row>
    <row r="101" spans="1:7" ht="16.5" customHeight="1">
      <c r="A101" s="4" t="s">
        <v>67</v>
      </c>
      <c r="B101" s="23" t="s">
        <v>60</v>
      </c>
      <c r="C101" s="27" t="str">
        <f>"4조" &amp; " - " &amp; B$92 &amp; " - " &amp; $A101</f>
        <v>4조 - Broker - Security</v>
      </c>
      <c r="D101" s="23" t="s">
        <v>60</v>
      </c>
      <c r="E101" s="27" t="str">
        <f>"4조" &amp; " - " &amp; D$92 &amp; " - " &amp; $A101</f>
        <v>4조 - Dispatcher - Security</v>
      </c>
    </row>
    <row r="102" spans="1:7" ht="16.5" customHeight="1">
      <c r="A102" s="4" t="s">
        <v>68</v>
      </c>
      <c r="B102" s="23" t="s">
        <v>60</v>
      </c>
      <c r="C102" s="27" t="str">
        <f>"4조" &amp; " - " &amp; B$92 &amp; " - " &amp; $A102</f>
        <v>4조 - Broker - Testability</v>
      </c>
      <c r="D102" s="23" t="s">
        <v>60</v>
      </c>
      <c r="E102" s="27" t="str">
        <f>"4조" &amp; " - " &amp; D$92 &amp; " - " &amp; $A102</f>
        <v>4조 - Dispatcher - Testability</v>
      </c>
    </row>
    <row r="103" spans="1:7" ht="16.5" customHeight="1">
      <c r="A103" s="4" t="s">
        <v>69</v>
      </c>
      <c r="B103" s="23" t="s">
        <v>60</v>
      </c>
      <c r="C103" s="27" t="str">
        <f>"4조" &amp; " - " &amp; B$92 &amp; " - " &amp; $A103</f>
        <v>4조 - Broker - Usability</v>
      </c>
      <c r="D103" s="23" t="s">
        <v>60</v>
      </c>
      <c r="E103" s="27" t="str">
        <f>"4조" &amp; " - " &amp; D$92 &amp; " - " &amp; $A103</f>
        <v>4조 - Dispatcher - Usability</v>
      </c>
    </row>
    <row r="104" spans="1:7" ht="16.5" customHeight="1">
      <c r="A104" s="1"/>
      <c r="B104" s="16" t="s">
        <v>60</v>
      </c>
      <c r="C104" s="1"/>
      <c r="D104" s="16" t="s">
        <v>60</v>
      </c>
      <c r="E104" s="1"/>
      <c r="F104" s="1"/>
      <c r="G104" s="1"/>
    </row>
    <row r="105" spans="1:7" ht="16.5" customHeight="1">
      <c r="A105" s="31" t="s">
        <v>85</v>
      </c>
      <c r="B105" s="35" t="s">
        <v>51</v>
      </c>
      <c r="C105" s="34"/>
      <c r="D105" s="33" t="s">
        <v>52</v>
      </c>
      <c r="E105" s="34"/>
    </row>
    <row r="106" spans="1:7" ht="16.5" customHeight="1">
      <c r="A106" s="32"/>
      <c r="B106" s="3" t="s">
        <v>57</v>
      </c>
      <c r="C106" s="3" t="s">
        <v>58</v>
      </c>
      <c r="D106" s="3" t="s">
        <v>57</v>
      </c>
      <c r="E106" s="3" t="s">
        <v>58</v>
      </c>
    </row>
    <row r="107" spans="1:7" ht="16.5" customHeight="1">
      <c r="A107" s="4" t="s">
        <v>59</v>
      </c>
      <c r="B107" s="23" t="s">
        <v>60</v>
      </c>
      <c r="C107" s="27" t="str">
        <f>"4조" &amp; " - " &amp; B$105 &amp; " - " &amp; $A107</f>
        <v>4조 - SOA - Availability</v>
      </c>
      <c r="D107" s="23" t="s">
        <v>60</v>
      </c>
      <c r="E107" s="27" t="str">
        <f>"4조" &amp; " - " &amp; D$105 &amp; " - " &amp; $A107</f>
        <v>4조 - Mico-Service - Availability</v>
      </c>
    </row>
    <row r="108" spans="1:7" ht="16.5" customHeight="1">
      <c r="A108" s="4" t="s">
        <v>61</v>
      </c>
      <c r="B108" s="23" t="s">
        <v>60</v>
      </c>
      <c r="C108" s="27" t="str">
        <f>"4조" &amp; " - " &amp; B$105 &amp; " - " &amp; $A108</f>
        <v>4조 - SOA - Deployability</v>
      </c>
      <c r="D108" s="23" t="s">
        <v>60</v>
      </c>
      <c r="E108" s="27" t="str">
        <f>"4조" &amp; " - " &amp; D$105 &amp; " - " &amp; $A108</f>
        <v>4조 - Mico-Service - Deployability</v>
      </c>
    </row>
    <row r="109" spans="1:7" ht="16.5" customHeight="1">
      <c r="A109" s="4" t="s">
        <v>62</v>
      </c>
      <c r="B109" s="23" t="s">
        <v>60</v>
      </c>
      <c r="C109" s="27" t="str">
        <f>"4조" &amp; " - " &amp; B$105 &amp; " - " &amp; $A109</f>
        <v>4조 - SOA - Integrability</v>
      </c>
      <c r="D109" s="23" t="s">
        <v>60</v>
      </c>
      <c r="E109" s="27" t="str">
        <f>"4조" &amp; " - " &amp; D$105 &amp; " - " &amp; $A109</f>
        <v>4조 - Mico-Service - Integrability</v>
      </c>
    </row>
    <row r="110" spans="1:7" ht="16.5" customHeight="1">
      <c r="A110" s="4" t="s">
        <v>63</v>
      </c>
      <c r="B110" s="23" t="s">
        <v>60</v>
      </c>
      <c r="C110" s="27" t="str">
        <f>"4조" &amp; " - " &amp; B$105 &amp; " - " &amp; $A110</f>
        <v>4조 - SOA - Energy Efficiency</v>
      </c>
      <c r="D110" s="23" t="s">
        <v>60</v>
      </c>
      <c r="E110" s="27" t="str">
        <f>"4조" &amp; " - " &amp; D$105 &amp; " - " &amp; $A110</f>
        <v>4조 - Mico-Service - Energy Efficiency</v>
      </c>
    </row>
    <row r="111" spans="1:7" ht="16.5" customHeight="1">
      <c r="A111" s="4" t="s">
        <v>64</v>
      </c>
      <c r="B111" s="23" t="s">
        <v>60</v>
      </c>
      <c r="C111" s="27" t="str">
        <f>"4조" &amp; " - " &amp; B$105 &amp; " - " &amp; $A111</f>
        <v>4조 - SOA - Modifiability</v>
      </c>
      <c r="D111" s="23" t="s">
        <v>60</v>
      </c>
      <c r="E111" s="27" t="str">
        <f>"4조" &amp; " - " &amp; D$105 &amp; " - " &amp; $A111</f>
        <v>4조 - Mico-Service - Modifiability</v>
      </c>
    </row>
    <row r="112" spans="1:7" ht="16.5" customHeight="1">
      <c r="A112" s="4" t="s">
        <v>65</v>
      </c>
      <c r="B112" s="23" t="s">
        <v>60</v>
      </c>
      <c r="C112" s="27" t="str">
        <f>"4조" &amp; " - " &amp; B$105 &amp; " - " &amp; $A112</f>
        <v>4조 - SOA - Performance</v>
      </c>
      <c r="D112" s="23" t="s">
        <v>60</v>
      </c>
      <c r="E112" s="27" t="str">
        <f>"4조" &amp; " - " &amp; D$105 &amp; " - " &amp; $A112</f>
        <v>4조 - Mico-Service - Performance</v>
      </c>
    </row>
    <row r="113" spans="1:7" ht="16.5" customHeight="1">
      <c r="A113" s="4" t="s">
        <v>66</v>
      </c>
      <c r="B113" s="23" t="s">
        <v>60</v>
      </c>
      <c r="C113" s="27" t="str">
        <f>"4조" &amp; " - " &amp; B$105 &amp; " - " &amp; $A113</f>
        <v>4조 - SOA - Safety</v>
      </c>
      <c r="D113" s="23" t="s">
        <v>60</v>
      </c>
      <c r="E113" s="27" t="str">
        <f>"4조" &amp; " - " &amp; D$105 &amp; " - " &amp; $A113</f>
        <v>4조 - Mico-Service - Safety</v>
      </c>
    </row>
    <row r="114" spans="1:7" ht="16.5" customHeight="1">
      <c r="A114" s="4" t="s">
        <v>67</v>
      </c>
      <c r="B114" s="23" t="s">
        <v>60</v>
      </c>
      <c r="C114" s="27" t="str">
        <f>"4조" &amp; " - " &amp; B$105 &amp; " - " &amp; $A114</f>
        <v>4조 - SOA - Security</v>
      </c>
      <c r="D114" s="23" t="s">
        <v>60</v>
      </c>
      <c r="E114" s="27" t="str">
        <f>"4조" &amp; " - " &amp; D$105 &amp; " - " &amp; $A114</f>
        <v>4조 - Mico-Service - Security</v>
      </c>
    </row>
    <row r="115" spans="1:7" ht="16.5" customHeight="1">
      <c r="A115" s="4" t="s">
        <v>68</v>
      </c>
      <c r="B115" s="23" t="s">
        <v>60</v>
      </c>
      <c r="C115" s="27" t="str">
        <f>"4조" &amp; " - " &amp; B$105 &amp; " - " &amp; $A115</f>
        <v>4조 - SOA - Testability</v>
      </c>
      <c r="D115" s="23" t="s">
        <v>60</v>
      </c>
      <c r="E115" s="27" t="str">
        <f>"4조" &amp; " - " &amp; D$105 &amp; " - " &amp; $A115</f>
        <v>4조 - Mico-Service - Testability</v>
      </c>
    </row>
    <row r="116" spans="1:7" ht="16.5" customHeight="1">
      <c r="A116" s="4" t="s">
        <v>69</v>
      </c>
      <c r="B116" s="23" t="s">
        <v>60</v>
      </c>
      <c r="C116" s="27" t="str">
        <f>"4조" &amp; " - " &amp; B$105 &amp; " - " &amp; $A116</f>
        <v>4조 - SOA - Usability</v>
      </c>
      <c r="D116" s="23" t="s">
        <v>60</v>
      </c>
      <c r="E116" s="27" t="str">
        <f>"4조" &amp; " - " &amp; D$105 &amp; " - " &amp; $A116</f>
        <v>4조 - Mico-Service - Usability</v>
      </c>
    </row>
    <row r="117" spans="1:7" ht="16.5" customHeight="1">
      <c r="A117" s="1"/>
      <c r="B117" s="16" t="s">
        <v>60</v>
      </c>
      <c r="C117" s="1"/>
      <c r="D117" s="16" t="s">
        <v>60</v>
      </c>
      <c r="E117" s="1"/>
      <c r="F117" s="1"/>
      <c r="G117" s="1"/>
    </row>
    <row r="118" spans="1:7" ht="16.5" customHeight="1">
      <c r="A118" s="31" t="s">
        <v>90</v>
      </c>
      <c r="B118" s="33" t="s">
        <v>91</v>
      </c>
      <c r="C118" s="34"/>
      <c r="D118" s="33" t="s">
        <v>92</v>
      </c>
      <c r="E118" s="34"/>
      <c r="F118" s="33" t="s">
        <v>93</v>
      </c>
      <c r="G118" s="34"/>
    </row>
    <row r="119" spans="1:7" ht="16.5" customHeight="1">
      <c r="A119" s="32"/>
      <c r="B119" s="3" t="s">
        <v>57</v>
      </c>
      <c r="C119" s="3" t="s">
        <v>58</v>
      </c>
      <c r="D119" s="3" t="s">
        <v>57</v>
      </c>
      <c r="E119" s="3" t="s">
        <v>58</v>
      </c>
      <c r="F119" s="3" t="s">
        <v>57</v>
      </c>
      <c r="G119" s="3" t="s">
        <v>58</v>
      </c>
    </row>
    <row r="120" spans="1:7" ht="16.5" customHeight="1">
      <c r="A120" s="4" t="s">
        <v>59</v>
      </c>
      <c r="B120" s="24" t="s">
        <v>60</v>
      </c>
      <c r="C120" s="26" t="str">
        <f>"4조" &amp; " - " &amp; B$118 &amp; " - " &amp; $A120</f>
        <v>4조 - Container-based - Availability</v>
      </c>
      <c r="D120" s="24" t="s">
        <v>60</v>
      </c>
      <c r="E120" s="26" t="str">
        <f>"4조" &amp; " - " &amp; D$118 &amp; " - " &amp; $A120</f>
        <v>4조 - Cloud-based - Availability</v>
      </c>
      <c r="F120" s="24" t="s">
        <v>60</v>
      </c>
      <c r="G120" s="26" t="str">
        <f>"4조" &amp; " - " &amp; F$118 &amp; " - " &amp; $A120</f>
        <v>4조 - Edge-based - Availability</v>
      </c>
    </row>
    <row r="121" spans="1:7" ht="16.5" customHeight="1">
      <c r="A121" s="4" t="s">
        <v>61</v>
      </c>
      <c r="B121" s="24" t="s">
        <v>60</v>
      </c>
      <c r="C121" s="26" t="str">
        <f>"4조" &amp; " - " &amp; B$118 &amp; " - " &amp; $A121</f>
        <v>4조 - Container-based - Deployability</v>
      </c>
      <c r="D121" s="24" t="s">
        <v>60</v>
      </c>
      <c r="E121" s="26" t="str">
        <f>"4조" &amp; " - " &amp; D$118 &amp; " - " &amp; $A121</f>
        <v>4조 - Cloud-based - Deployability</v>
      </c>
      <c r="F121" s="24" t="s">
        <v>60</v>
      </c>
      <c r="G121" s="26" t="str">
        <f>"4조" &amp; " - " &amp; F$118 &amp; " - " &amp; $A121</f>
        <v>4조 - Edge-based - Deployability</v>
      </c>
    </row>
    <row r="122" spans="1:7" ht="16.5" customHeight="1">
      <c r="A122" s="4" t="s">
        <v>62</v>
      </c>
      <c r="B122" s="24" t="s">
        <v>60</v>
      </c>
      <c r="C122" s="26" t="str">
        <f>"4조" &amp; " - " &amp; B$118 &amp; " - " &amp; $A122</f>
        <v>4조 - Container-based - Integrability</v>
      </c>
      <c r="D122" s="24" t="s">
        <v>60</v>
      </c>
      <c r="E122" s="26" t="str">
        <f>"4조" &amp; " - " &amp; D$118 &amp; " - " &amp; $A122</f>
        <v>4조 - Cloud-based - Integrability</v>
      </c>
      <c r="F122" s="24" t="s">
        <v>60</v>
      </c>
      <c r="G122" s="26" t="str">
        <f>"4조" &amp; " - " &amp; F$118 &amp; " - " &amp; $A122</f>
        <v>4조 - Edge-based - Integrability</v>
      </c>
    </row>
    <row r="123" spans="1:7" ht="16.5" customHeight="1">
      <c r="A123" s="4" t="s">
        <v>63</v>
      </c>
      <c r="B123" s="23" t="s">
        <v>60</v>
      </c>
      <c r="C123" s="27" t="str">
        <f>"4조" &amp; " - " &amp; B$118 &amp; " - " &amp; $A123</f>
        <v>4조 - Container-based - Energy Efficiency</v>
      </c>
      <c r="D123" s="23" t="s">
        <v>60</v>
      </c>
      <c r="E123" s="27" t="str">
        <f>"4조" &amp; " - " &amp; D$118 &amp; " - " &amp; $A123</f>
        <v>4조 - Cloud-based - Energy Efficiency</v>
      </c>
      <c r="F123" s="24" t="s">
        <v>60</v>
      </c>
      <c r="G123" s="26" t="str">
        <f>"4조" &amp; " - " &amp; F$118 &amp; " - " &amp; $A123</f>
        <v>4조 - Edge-based - Energy Efficiency</v>
      </c>
    </row>
    <row r="124" spans="1:7" ht="16.5" customHeight="1">
      <c r="A124" s="4" t="s">
        <v>64</v>
      </c>
      <c r="B124" s="24" t="s">
        <v>60</v>
      </c>
      <c r="C124" s="26" t="str">
        <f>"4조" &amp; " - " &amp; B$118 &amp; " - " &amp; $A124</f>
        <v>4조 - Container-based - Modifiability</v>
      </c>
      <c r="D124" s="23" t="s">
        <v>60</v>
      </c>
      <c r="E124" s="27" t="str">
        <f>"4조" &amp; " - " &amp; D$118 &amp; " - " &amp; $A124</f>
        <v>4조 - Cloud-based - Modifiability</v>
      </c>
      <c r="F124" s="24" t="s">
        <v>60</v>
      </c>
      <c r="G124" s="26" t="str">
        <f>"4조" &amp; " - " &amp; F$118 &amp; " - " &amp; $A124</f>
        <v>4조 - Edge-based - Modifiability</v>
      </c>
    </row>
    <row r="125" spans="1:7" ht="16.5" customHeight="1">
      <c r="A125" s="4" t="s">
        <v>65</v>
      </c>
      <c r="B125" s="24" t="s">
        <v>60</v>
      </c>
      <c r="C125" s="26" t="str">
        <f>"4조" &amp; " - " &amp; B$118 &amp; " - " &amp; $A125</f>
        <v>4조 - Container-based - Performance</v>
      </c>
      <c r="D125" s="24" t="s">
        <v>60</v>
      </c>
      <c r="E125" s="26" t="str">
        <f>"4조" &amp; " - " &amp; D$118 &amp; " - " &amp; $A125</f>
        <v>4조 - Cloud-based - Performance</v>
      </c>
      <c r="F125" s="24" t="s">
        <v>60</v>
      </c>
      <c r="G125" s="26" t="str">
        <f>"4조" &amp; " - " &amp; F$118 &amp; " - " &amp; $A125</f>
        <v>4조 - Edge-based - Performance</v>
      </c>
    </row>
    <row r="126" spans="1:7" ht="16.5" customHeight="1">
      <c r="A126" s="4" t="s">
        <v>66</v>
      </c>
      <c r="B126" s="23" t="s">
        <v>60</v>
      </c>
      <c r="C126" s="27" t="str">
        <f>"4조" &amp; " - " &amp; B$118 &amp; " - " &amp; $A126</f>
        <v>4조 - Container-based - Safety</v>
      </c>
      <c r="D126" s="23" t="s">
        <v>60</v>
      </c>
      <c r="E126" s="27" t="str">
        <f>"4조" &amp; " - " &amp; D$118 &amp; " - " &amp; $A126</f>
        <v>4조 - Cloud-based - Safety</v>
      </c>
      <c r="F126" s="23" t="s">
        <v>60</v>
      </c>
      <c r="G126" s="27" t="str">
        <f>"4조" &amp; " - " &amp; F$118 &amp; " - " &amp; $A126</f>
        <v>4조 - Edge-based - Safety</v>
      </c>
    </row>
    <row r="127" spans="1:7" ht="16.5" customHeight="1">
      <c r="A127" s="4" t="s">
        <v>67</v>
      </c>
      <c r="B127" s="23" t="s">
        <v>60</v>
      </c>
      <c r="C127" s="27" t="str">
        <f>"4조" &amp; " - " &amp; B$118 &amp; " - " &amp; $A127</f>
        <v>4조 - Container-based - Security</v>
      </c>
      <c r="D127" s="24" t="s">
        <v>60</v>
      </c>
      <c r="E127" s="26" t="str">
        <f>"4조" &amp; " - " &amp; D$118 &amp; " - " &amp; $A127</f>
        <v>4조 - Cloud-based - Security</v>
      </c>
      <c r="F127" s="24" t="s">
        <v>60</v>
      </c>
      <c r="G127" s="26" t="str">
        <f>"4조" &amp; " - " &amp; F$118 &amp; " - " &amp; $A127</f>
        <v>4조 - Edge-based - Security</v>
      </c>
    </row>
    <row r="128" spans="1:7" ht="16.5" customHeight="1">
      <c r="A128" s="4" t="s">
        <v>68</v>
      </c>
      <c r="B128" s="24" t="s">
        <v>60</v>
      </c>
      <c r="C128" s="26" t="str">
        <f>"4조" &amp; " - " &amp; B$118 &amp; " - " &amp; $A128</f>
        <v>4조 - Container-based - Testability</v>
      </c>
      <c r="D128" s="24" t="s">
        <v>60</v>
      </c>
      <c r="E128" s="26" t="str">
        <f>"4조" &amp; " - " &amp; D$118 &amp; " - " &amp; $A128</f>
        <v>4조 - Cloud-based - Testability</v>
      </c>
      <c r="F128" s="24" t="s">
        <v>60</v>
      </c>
      <c r="G128" s="26" t="str">
        <f>"4조" &amp; " - " &amp; F$118 &amp; " - " &amp; $A128</f>
        <v>4조 - Edge-based - Testability</v>
      </c>
    </row>
    <row r="129" spans="1:7" ht="16.5" customHeight="1">
      <c r="A129" s="4" t="s">
        <v>69</v>
      </c>
      <c r="B129" s="23" t="s">
        <v>60</v>
      </c>
      <c r="C129" s="27" t="str">
        <f>"4조" &amp; " - " &amp; B$118 &amp; " - " &amp; $A129</f>
        <v>4조 - Container-based - Usability</v>
      </c>
      <c r="D129" s="23" t="s">
        <v>60</v>
      </c>
      <c r="E129" s="27" t="str">
        <f>"4조" &amp; " - " &amp; D$118 &amp; " - " &amp; $A129</f>
        <v>4조 - Cloud-based - Usability</v>
      </c>
      <c r="F129" s="23" t="s">
        <v>60</v>
      </c>
      <c r="G129" s="27" t="str">
        <f>"4조" &amp; " - " &amp; F$118 &amp; " - " &amp; $A129</f>
        <v>4조 - Edge-based - Usability</v>
      </c>
    </row>
    <row r="130" spans="1:7" ht="16.5" customHeight="1"/>
    <row r="131" spans="1:7" ht="16.5" customHeight="1"/>
    <row r="132" spans="1:7" ht="16.5" customHeight="1"/>
    <row r="133" spans="1:7" ht="16.5" customHeight="1"/>
    <row r="134" spans="1:7" ht="16.5" customHeight="1"/>
    <row r="135" spans="1:7" ht="16.5" customHeight="1"/>
    <row r="136" spans="1:7" ht="16.5" customHeight="1"/>
    <row r="137" spans="1:7" ht="16.5" customHeight="1"/>
    <row r="138" spans="1:7" ht="16.5" customHeight="1"/>
    <row r="139" spans="1:7" ht="16.5" customHeight="1"/>
    <row r="140" spans="1:7" ht="16.5" customHeight="1"/>
    <row r="141" spans="1:7" ht="16.5" customHeight="1"/>
    <row r="142" spans="1:7" ht="16.5" customHeight="1"/>
    <row r="143" spans="1:7" ht="16.5" customHeight="1"/>
    <row r="144" spans="1:7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8">
    <mergeCell ref="A118:A119"/>
    <mergeCell ref="B118:C118"/>
    <mergeCell ref="D118:E118"/>
    <mergeCell ref="F118:G118"/>
    <mergeCell ref="D66:E66"/>
    <mergeCell ref="F66:G66"/>
    <mergeCell ref="D92:E92"/>
    <mergeCell ref="A105:A106"/>
    <mergeCell ref="B105:C105"/>
    <mergeCell ref="D105:E105"/>
    <mergeCell ref="B66:C66"/>
    <mergeCell ref="A79:A80"/>
    <mergeCell ref="B79:C79"/>
    <mergeCell ref="D79:E79"/>
    <mergeCell ref="A92:A93"/>
    <mergeCell ref="B92:C92"/>
    <mergeCell ref="D27:E27"/>
    <mergeCell ref="B27:C27"/>
    <mergeCell ref="B40:C40"/>
    <mergeCell ref="D40:E40"/>
    <mergeCell ref="B53:C53"/>
    <mergeCell ref="D53:E53"/>
    <mergeCell ref="A1:A2"/>
    <mergeCell ref="B1:C1"/>
    <mergeCell ref="D1:E1"/>
    <mergeCell ref="F1:G1"/>
    <mergeCell ref="B14:C14"/>
    <mergeCell ref="D14:E14"/>
  </mergeCells>
  <phoneticPr fontId="7" type="noConversion"/>
  <dataValidations count="1">
    <dataValidation type="list" allowBlank="1" showErrorMessage="1" sqref="B3:B12 D3:D12 F3:F12 B14 D14 B16:B25 D16:D25 B27 D27 B29:B38 D29:D38 B42:B51 D42:D51 B53 D53 B55:B64 D55:D64 B66 D66 F66 B68:B77 D68:D77 B79 D79 F68:F78 B81:B90 D81:D90 B92 B94:B103 F120:F129 B120:B129 D120:D129 D94:D103 D107:D116 B107:B116" xr:uid="{63520FC4-7E88-485C-8159-F111657CBA52}">
      <formula1>"'++,'+,'0,'-,'--"</formula1>
    </dataValidation>
  </dataValidation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999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/>
  <cols>
    <col min="1" max="1" width="18" customWidth="1"/>
    <col min="2" max="2" width="14.7109375" customWidth="1"/>
    <col min="3" max="3" width="70.5703125" customWidth="1"/>
    <col min="4" max="4" width="9.85546875" customWidth="1"/>
    <col min="5" max="5" width="64.42578125" customWidth="1"/>
    <col min="6" max="6" width="11.42578125" customWidth="1"/>
    <col min="7" max="7" width="61.5703125" customWidth="1"/>
    <col min="8" max="8" width="8.85546875" customWidth="1"/>
    <col min="9" max="9" width="64.140625" customWidth="1"/>
    <col min="10" max="26" width="8.85546875" customWidth="1"/>
  </cols>
  <sheetData>
    <row r="1" spans="1:7" ht="16.5" customHeight="1">
      <c r="A1" s="31" t="s">
        <v>53</v>
      </c>
      <c r="B1" s="33" t="s">
        <v>54</v>
      </c>
      <c r="C1" s="34"/>
      <c r="D1" s="33" t="s">
        <v>55</v>
      </c>
      <c r="E1" s="34"/>
      <c r="F1" s="33" t="s">
        <v>56</v>
      </c>
      <c r="G1" s="34"/>
    </row>
    <row r="2" spans="1:7" ht="16.5" customHeight="1">
      <c r="A2" s="32"/>
      <c r="B2" s="3" t="s">
        <v>57</v>
      </c>
      <c r="C2" s="3" t="s">
        <v>58</v>
      </c>
      <c r="D2" s="3" t="s">
        <v>57</v>
      </c>
      <c r="E2" s="3" t="s">
        <v>58</v>
      </c>
      <c r="F2" s="3" t="s">
        <v>57</v>
      </c>
      <c r="G2" s="3" t="s">
        <v>58</v>
      </c>
    </row>
    <row r="3" spans="1:7" ht="16.5" customHeight="1">
      <c r="A3" s="4" t="s">
        <v>59</v>
      </c>
      <c r="B3" s="24" t="s">
        <v>60</v>
      </c>
      <c r="C3" s="26" t="str">
        <f>"5조" &amp; " - " &amp; B$1 &amp; " - " &amp; $A3</f>
        <v>5조 - Batch Sequential - Availability</v>
      </c>
      <c r="D3" s="24" t="s">
        <v>60</v>
      </c>
      <c r="E3" s="26" t="str">
        <f>"5조" &amp; " - " &amp; D$1 &amp; " - " &amp; $A3</f>
        <v>5조 - Pipe and Filter - Availability</v>
      </c>
      <c r="F3" s="23" t="s">
        <v>60</v>
      </c>
      <c r="G3" s="27" t="str">
        <f>"5조" &amp; " - " &amp; F$1 &amp; " - " &amp; $A3</f>
        <v>5조 - Process Control - Availability</v>
      </c>
    </row>
    <row r="4" spans="1:7" ht="16.5" customHeight="1">
      <c r="A4" s="4" t="s">
        <v>61</v>
      </c>
      <c r="B4" s="24" t="s">
        <v>60</v>
      </c>
      <c r="C4" s="26" t="str">
        <f>"5조" &amp; " - " &amp; B$1 &amp; " - " &amp; $A4</f>
        <v>5조 - Batch Sequential - Deployability</v>
      </c>
      <c r="D4" s="24" t="s">
        <v>60</v>
      </c>
      <c r="E4" s="26" t="str">
        <f>"5조" &amp; " - " &amp; D$1 &amp; " - " &amp; $A4</f>
        <v>5조 - Pipe and Filter - Deployability</v>
      </c>
      <c r="F4" s="23" t="s">
        <v>60</v>
      </c>
      <c r="G4" s="27" t="str">
        <f>"5조" &amp; " - " &amp; F$1 &amp; " - " &amp; $A4</f>
        <v>5조 - Process Control - Deployability</v>
      </c>
    </row>
    <row r="5" spans="1:7" ht="16.5" customHeight="1">
      <c r="A5" s="4" t="s">
        <v>62</v>
      </c>
      <c r="B5" s="23" t="s">
        <v>60</v>
      </c>
      <c r="C5" s="26" t="str">
        <f>"5조" &amp; " - " &amp; B$1 &amp; " - " &amp; $A5</f>
        <v>5조 - Batch Sequential - Integrability</v>
      </c>
      <c r="D5" s="24" t="s">
        <v>60</v>
      </c>
      <c r="E5" s="28" t="str">
        <f>"5조" &amp; " - " &amp; D$1 &amp; " - " &amp; $A5</f>
        <v>5조 - Pipe and Filter - Integrability</v>
      </c>
      <c r="F5" s="23" t="s">
        <v>60</v>
      </c>
      <c r="G5" s="27" t="str">
        <f>"5조" &amp; " - " &amp; F$1 &amp; " - " &amp; $A5</f>
        <v>5조 - Process Control - Integrability</v>
      </c>
    </row>
    <row r="6" spans="1:7" ht="16.5" customHeight="1">
      <c r="A6" s="4" t="s">
        <v>63</v>
      </c>
      <c r="B6" s="24" t="s">
        <v>60</v>
      </c>
      <c r="C6" s="26" t="str">
        <f>"5조" &amp; " - " &amp; B$1 &amp; " - " &amp; $A6</f>
        <v>5조 - Batch Sequential - Energy Efficiency</v>
      </c>
      <c r="D6" s="23" t="s">
        <v>60</v>
      </c>
      <c r="E6" s="27" t="str">
        <f>"5조" &amp; " - " &amp; D$1 &amp; " - " &amp; $A6</f>
        <v>5조 - Pipe and Filter - Energy Efficiency</v>
      </c>
      <c r="F6" s="23" t="s">
        <v>60</v>
      </c>
      <c r="G6" s="27" t="str">
        <f>"5조" &amp; " - " &amp; F$1 &amp; " - " &amp; $A6</f>
        <v>5조 - Process Control - Energy Efficiency</v>
      </c>
    </row>
    <row r="7" spans="1:7" ht="16.5" customHeight="1">
      <c r="A7" s="4" t="s">
        <v>64</v>
      </c>
      <c r="B7" s="24" t="s">
        <v>60</v>
      </c>
      <c r="C7" s="26" t="str">
        <f>"5조" &amp; " - " &amp; B$1 &amp; " - " &amp; $A7</f>
        <v>5조 - Batch Sequential - Modifiability</v>
      </c>
      <c r="D7" s="24" t="s">
        <v>60</v>
      </c>
      <c r="E7" s="26" t="str">
        <f>"5조" &amp; " - " &amp; D$1 &amp; " - " &amp; $A7</f>
        <v>5조 - Pipe and Filter - Modifiability</v>
      </c>
      <c r="F7" s="23" t="s">
        <v>60</v>
      </c>
      <c r="G7" s="27" t="str">
        <f>"5조" &amp; " - " &amp; F$1 &amp; " - " &amp; $A7</f>
        <v>5조 - Process Control - Modifiability</v>
      </c>
    </row>
    <row r="8" spans="1:7" ht="16.5" customHeight="1">
      <c r="A8" s="4" t="s">
        <v>65</v>
      </c>
      <c r="B8" s="24" t="s">
        <v>60</v>
      </c>
      <c r="C8" s="26" t="str">
        <f>"5조" &amp; " - " &amp; B$1 &amp; " - " &amp; $A8</f>
        <v>5조 - Batch Sequential - Performance</v>
      </c>
      <c r="D8" s="24" t="s">
        <v>60</v>
      </c>
      <c r="E8" s="26" t="str">
        <f>"5조" &amp; " - " &amp; D$1 &amp; " - " &amp; $A8</f>
        <v>5조 - Pipe and Filter - Performance</v>
      </c>
      <c r="F8" s="23" t="s">
        <v>60</v>
      </c>
      <c r="G8" s="27" t="str">
        <f>"5조" &amp; " - " &amp; F$1 &amp; " - " &amp; $A8</f>
        <v>5조 - Process Control - Performance</v>
      </c>
    </row>
    <row r="9" spans="1:7" ht="16.5" customHeight="1">
      <c r="A9" s="4" t="s">
        <v>66</v>
      </c>
      <c r="B9" s="23" t="s">
        <v>60</v>
      </c>
      <c r="C9" s="26" t="str">
        <f>"5조" &amp; " - " &amp; B$1 &amp; " - " &amp; $A9</f>
        <v>5조 - Batch Sequential - Safety</v>
      </c>
      <c r="D9" s="23" t="s">
        <v>60</v>
      </c>
      <c r="E9" s="27" t="str">
        <f>"5조" &amp; " - " &amp; D$1 &amp; " - " &amp; $A9</f>
        <v>5조 - Pipe and Filter - Safety</v>
      </c>
      <c r="F9" s="23" t="s">
        <v>60</v>
      </c>
      <c r="G9" s="27" t="str">
        <f>"5조" &amp; " - " &amp; F$1 &amp; " - " &amp; $A9</f>
        <v>5조 - Process Control - Safety</v>
      </c>
    </row>
    <row r="10" spans="1:7" ht="16.5" customHeight="1">
      <c r="A10" s="4" t="s">
        <v>67</v>
      </c>
      <c r="B10" s="24" t="s">
        <v>60</v>
      </c>
      <c r="C10" s="26" t="str">
        <f>"5조" &amp; " - " &amp; B$1 &amp; " - " &amp; $A10</f>
        <v>5조 - Batch Sequential - Security</v>
      </c>
      <c r="D10" s="24" t="s">
        <v>60</v>
      </c>
      <c r="E10" s="26" t="str">
        <f>"5조" &amp; " - " &amp; D$1 &amp; " - " &amp; $A10</f>
        <v>5조 - Pipe and Filter - Security</v>
      </c>
      <c r="F10" s="23" t="s">
        <v>60</v>
      </c>
      <c r="G10" s="27" t="str">
        <f>"5조" &amp; " - " &amp; F$1 &amp; " - " &amp; $A10</f>
        <v>5조 - Process Control - Security</v>
      </c>
    </row>
    <row r="11" spans="1:7" ht="16.5" customHeight="1">
      <c r="A11" s="4" t="s">
        <v>68</v>
      </c>
      <c r="B11" s="24" t="s">
        <v>60</v>
      </c>
      <c r="C11" s="26" t="str">
        <f>"5조" &amp; " - " &amp; B$1 &amp; " - " &amp; $A11</f>
        <v>5조 - Batch Sequential - Testability</v>
      </c>
      <c r="D11" s="24" t="s">
        <v>60</v>
      </c>
      <c r="E11" s="26" t="str">
        <f>"5조" &amp; " - " &amp; D$1 &amp; " - " &amp; $A11</f>
        <v>5조 - Pipe and Filter - Testability</v>
      </c>
      <c r="F11" s="23" t="s">
        <v>60</v>
      </c>
      <c r="G11" s="27" t="str">
        <f>"5조" &amp; " - " &amp; F$1 &amp; " - " &amp; $A11</f>
        <v>5조 - Process Control - Testability</v>
      </c>
    </row>
    <row r="12" spans="1:7" ht="16.5" customHeight="1">
      <c r="A12" s="4" t="s">
        <v>69</v>
      </c>
      <c r="B12" s="23" t="s">
        <v>60</v>
      </c>
      <c r="C12" s="26" t="str">
        <f>"5조" &amp; " - " &amp; B$1 &amp; " - " &amp; $A12</f>
        <v>5조 - Batch Sequential - Usability</v>
      </c>
      <c r="D12" s="23" t="s">
        <v>60</v>
      </c>
      <c r="E12" s="27" t="str">
        <f>"5조" &amp; " - " &amp; D$1 &amp; " - " &amp; $A12</f>
        <v>5조 - Pipe and Filter - Usability</v>
      </c>
      <c r="F12" s="23" t="s">
        <v>60</v>
      </c>
      <c r="G12" s="27" t="str">
        <f>"5조" &amp; " - " &amp; F$1 &amp; " - " &amp; $A12</f>
        <v>5조 - Process Control - Usability</v>
      </c>
    </row>
    <row r="13" spans="1:7" ht="16.5" customHeight="1">
      <c r="A13" s="1"/>
      <c r="B13" s="16" t="s">
        <v>60</v>
      </c>
      <c r="C13" s="16" t="s">
        <v>60</v>
      </c>
      <c r="D13" s="16" t="s">
        <v>60</v>
      </c>
      <c r="E13" s="16" t="s">
        <v>60</v>
      </c>
      <c r="F13" s="16" t="s">
        <v>60</v>
      </c>
      <c r="G13" s="1"/>
    </row>
    <row r="14" spans="1:7" ht="16.5" customHeight="1">
      <c r="A14" s="2" t="s">
        <v>70</v>
      </c>
      <c r="B14" s="35" t="s">
        <v>71</v>
      </c>
      <c r="C14" s="34"/>
      <c r="D14" s="35" t="s">
        <v>72</v>
      </c>
      <c r="E14" s="34"/>
      <c r="F14" s="1"/>
      <c r="G14" s="1"/>
    </row>
    <row r="15" spans="1:7" ht="16.5" customHeight="1">
      <c r="A15" s="19"/>
      <c r="B15" s="20" t="s">
        <v>57</v>
      </c>
      <c r="C15" s="21" t="s">
        <v>58</v>
      </c>
      <c r="D15" s="20" t="s">
        <v>57</v>
      </c>
      <c r="E15" s="21" t="s">
        <v>58</v>
      </c>
      <c r="F15" s="1"/>
      <c r="G15" s="1"/>
    </row>
    <row r="16" spans="1:7" ht="16.5" customHeight="1">
      <c r="A16" s="4" t="s">
        <v>59</v>
      </c>
      <c r="B16" s="24" t="s">
        <v>60</v>
      </c>
      <c r="C16" s="26" t="str">
        <f>"5조" &amp; " - " &amp; B$14 &amp; " - " &amp; $A16</f>
        <v>5조 - Shared Respository - Availability</v>
      </c>
      <c r="D16" s="23" t="s">
        <v>60</v>
      </c>
      <c r="E16" s="27" t="str">
        <f>"5조" &amp; " - " &amp; D$14 &amp; " - " &amp; $A16</f>
        <v>5조 - Blackboard - Availability</v>
      </c>
      <c r="F16" s="1"/>
      <c r="G16" s="1"/>
    </row>
    <row r="17" spans="1:7" ht="16.5" customHeight="1">
      <c r="A17" s="4" t="s">
        <v>61</v>
      </c>
      <c r="B17" s="24" t="s">
        <v>60</v>
      </c>
      <c r="C17" s="26" t="str">
        <f>"5조" &amp; " - " &amp; B$14 &amp; " - " &amp; $A17</f>
        <v>5조 - Shared Respository - Deployability</v>
      </c>
      <c r="D17" s="23" t="s">
        <v>60</v>
      </c>
      <c r="E17" s="27" t="str">
        <f>"5조" &amp; " - " &amp; D$14 &amp; " - " &amp; $A17</f>
        <v>5조 - Blackboard - Deployability</v>
      </c>
      <c r="F17" s="1"/>
      <c r="G17" s="1"/>
    </row>
    <row r="18" spans="1:7" ht="16.5" customHeight="1">
      <c r="A18" s="4" t="s">
        <v>62</v>
      </c>
      <c r="B18" s="24" t="s">
        <v>60</v>
      </c>
      <c r="C18" s="26" t="str">
        <f>"5조" &amp; " - " &amp; B$14 &amp; " - " &amp; $A18</f>
        <v>5조 - Shared Respository - Integrability</v>
      </c>
      <c r="D18" s="23" t="s">
        <v>60</v>
      </c>
      <c r="E18" s="27" t="str">
        <f>"5조" &amp; " - " &amp; D$14 &amp; " - " &amp; $A18</f>
        <v>5조 - Blackboard - Integrability</v>
      </c>
      <c r="F18" s="1"/>
      <c r="G18" s="1"/>
    </row>
    <row r="19" spans="1:7" ht="16.5" customHeight="1">
      <c r="A19" s="4" t="s">
        <v>63</v>
      </c>
      <c r="B19" s="23" t="s">
        <v>60</v>
      </c>
      <c r="C19" s="27" t="str">
        <f>"5조" &amp; " - " &amp; B$14 &amp; " - " &amp; $A19</f>
        <v>5조 - Shared Respository - Energy Efficiency</v>
      </c>
      <c r="D19" s="23" t="s">
        <v>60</v>
      </c>
      <c r="E19" s="27" t="str">
        <f>"5조" &amp; " - " &amp; D$14 &amp; " - " &amp; $A19</f>
        <v>5조 - Blackboard - Energy Efficiency</v>
      </c>
      <c r="F19" s="1"/>
      <c r="G19" s="1"/>
    </row>
    <row r="20" spans="1:7" ht="16.5" customHeight="1">
      <c r="A20" s="4" t="s">
        <v>64</v>
      </c>
      <c r="B20" s="24" t="s">
        <v>60</v>
      </c>
      <c r="C20" s="26" t="str">
        <f>"5조" &amp; " - " &amp; B$14 &amp; " - " &amp; $A20</f>
        <v>5조 - Shared Respository - Modifiability</v>
      </c>
      <c r="D20" s="23" t="s">
        <v>60</v>
      </c>
      <c r="E20" s="27" t="str">
        <f>"5조" &amp; " - " &amp; D$14 &amp; " - " &amp; $A20</f>
        <v>5조 - Blackboard - Modifiability</v>
      </c>
      <c r="F20" s="1"/>
      <c r="G20" s="1"/>
    </row>
    <row r="21" spans="1:7" ht="16.5" customHeight="1">
      <c r="A21" s="4" t="s">
        <v>65</v>
      </c>
      <c r="B21" s="24" t="s">
        <v>60</v>
      </c>
      <c r="C21" s="26" t="str">
        <f>"5조" &amp; " - " &amp; B$14 &amp; " - " &amp; $A21</f>
        <v>5조 - Shared Respository - Performance</v>
      </c>
      <c r="D21" s="23" t="s">
        <v>60</v>
      </c>
      <c r="E21" s="27" t="str">
        <f>"5조" &amp; " - " &amp; D$14 &amp; " - " &amp; $A21</f>
        <v>5조 - Blackboard - Performance</v>
      </c>
      <c r="F21" s="1"/>
      <c r="G21" s="1"/>
    </row>
    <row r="22" spans="1:7" ht="16.5" customHeight="1">
      <c r="A22" s="4" t="s">
        <v>66</v>
      </c>
      <c r="B22" s="23" t="s">
        <v>60</v>
      </c>
      <c r="C22" s="27" t="str">
        <f>"5조" &amp; " - " &amp; B$14 &amp; " - " &amp; $A22</f>
        <v>5조 - Shared Respository - Safety</v>
      </c>
      <c r="D22" s="23" t="s">
        <v>60</v>
      </c>
      <c r="E22" s="27" t="str">
        <f>"5조" &amp; " - " &amp; D$14 &amp; " - " &amp; $A22</f>
        <v>5조 - Blackboard - Safety</v>
      </c>
      <c r="F22" s="1"/>
      <c r="G22" s="1"/>
    </row>
    <row r="23" spans="1:7" ht="16.5" customHeight="1">
      <c r="A23" s="4" t="s">
        <v>67</v>
      </c>
      <c r="B23" s="24" t="s">
        <v>60</v>
      </c>
      <c r="C23" s="26" t="str">
        <f>"5조" &amp; " - " &amp; B$14 &amp; " - " &amp; $A23</f>
        <v>5조 - Shared Respository - Security</v>
      </c>
      <c r="D23" s="23" t="s">
        <v>60</v>
      </c>
      <c r="E23" s="27" t="str">
        <f>"5조" &amp; " - " &amp; D$14 &amp; " - " &amp; $A23</f>
        <v>5조 - Blackboard - Security</v>
      </c>
      <c r="F23" s="1"/>
      <c r="G23" s="1"/>
    </row>
    <row r="24" spans="1:7" ht="16.5" customHeight="1">
      <c r="A24" s="4" t="s">
        <v>68</v>
      </c>
      <c r="B24" s="24" t="s">
        <v>60</v>
      </c>
      <c r="C24" s="26" t="str">
        <f>"5조" &amp; " - " &amp; B$14 &amp; " - " &amp; $A24</f>
        <v>5조 - Shared Respository - Testability</v>
      </c>
      <c r="D24" s="23" t="s">
        <v>60</v>
      </c>
      <c r="E24" s="27" t="str">
        <f>"5조" &amp; " - " &amp; D$14 &amp; " - " &amp; $A24</f>
        <v>5조 - Blackboard - Testability</v>
      </c>
      <c r="F24" s="1"/>
      <c r="G24" s="1"/>
    </row>
    <row r="25" spans="1:7" ht="16.5" customHeight="1">
      <c r="A25" s="4" t="s">
        <v>69</v>
      </c>
      <c r="B25" s="23" t="s">
        <v>60</v>
      </c>
      <c r="C25" s="27" t="str">
        <f>"5조" &amp; " - " &amp; B$14 &amp; " - " &amp; $A25</f>
        <v>5조 - Shared Respository - Usability</v>
      </c>
      <c r="D25" s="23" t="s">
        <v>60</v>
      </c>
      <c r="E25" s="27" t="str">
        <f>"5조" &amp; " - " &amp; D$14 &amp; " - " &amp; $A25</f>
        <v>5조 - Blackboard - Usability</v>
      </c>
      <c r="F25" s="1"/>
      <c r="G25" s="1"/>
    </row>
    <row r="26" spans="1:7" ht="16.5" customHeight="1">
      <c r="A26" s="1"/>
      <c r="B26" s="16" t="s">
        <v>60</v>
      </c>
      <c r="C26" s="16" t="s">
        <v>60</v>
      </c>
      <c r="D26" s="16" t="s">
        <v>60</v>
      </c>
      <c r="E26" s="16" t="s">
        <v>60</v>
      </c>
      <c r="F26" s="1"/>
      <c r="G26" s="1"/>
    </row>
    <row r="27" spans="1:7" ht="16.5" customHeight="1">
      <c r="A27" s="2" t="s">
        <v>73</v>
      </c>
      <c r="B27" s="35" t="s">
        <v>74</v>
      </c>
      <c r="C27" s="34"/>
      <c r="D27" s="35" t="s">
        <v>75</v>
      </c>
      <c r="E27" s="34"/>
      <c r="F27" s="1"/>
      <c r="G27" s="1"/>
    </row>
    <row r="28" spans="1:7" ht="16.5" customHeight="1">
      <c r="A28" s="22"/>
      <c r="B28" s="3" t="s">
        <v>57</v>
      </c>
      <c r="C28" s="17" t="s">
        <v>58</v>
      </c>
      <c r="D28" s="3" t="s">
        <v>57</v>
      </c>
      <c r="E28" s="17" t="s">
        <v>58</v>
      </c>
      <c r="F28" s="1"/>
      <c r="G28" s="1"/>
    </row>
    <row r="29" spans="1:7" ht="16.5" customHeight="1">
      <c r="A29" s="4" t="s">
        <v>59</v>
      </c>
      <c r="B29" s="24" t="s">
        <v>60</v>
      </c>
      <c r="C29" s="26" t="str">
        <f>"5조" &amp; " - " &amp; B$27 &amp; " - " &amp; $A29</f>
        <v>5조 - Non-Buffered Event Based - Availability</v>
      </c>
      <c r="D29" s="24" t="s">
        <v>60</v>
      </c>
      <c r="E29" s="26" t="str">
        <f>"5조" &amp; " - " &amp; D$27 &amp; " - " &amp; $A29</f>
        <v>5조 - Buffered Message Based - Availability</v>
      </c>
      <c r="F29" s="1"/>
      <c r="G29" s="1"/>
    </row>
    <row r="30" spans="1:7" ht="16.5" customHeight="1">
      <c r="A30" s="4" t="s">
        <v>61</v>
      </c>
      <c r="B30" s="23" t="s">
        <v>60</v>
      </c>
      <c r="C30" s="27" t="str">
        <f>"5조" &amp; " - " &amp; B$27 &amp; " - " &amp; $A30</f>
        <v>5조 - Non-Buffered Event Based - Deployability</v>
      </c>
      <c r="D30" s="23" t="s">
        <v>60</v>
      </c>
      <c r="E30" s="27" t="str">
        <f>"5조" &amp; " - " &amp; D$27 &amp; " - " &amp; $A30</f>
        <v>5조 - Buffered Message Based - Deployability</v>
      </c>
      <c r="F30" s="1"/>
      <c r="G30" s="1"/>
    </row>
    <row r="31" spans="1:7" ht="16.5" customHeight="1">
      <c r="A31" s="4" t="s">
        <v>62</v>
      </c>
      <c r="B31" s="24" t="s">
        <v>60</v>
      </c>
      <c r="C31" s="26" t="str">
        <f>"5조" &amp; " - " &amp; B$27 &amp; " - " &amp; $A31</f>
        <v>5조 - Non-Buffered Event Based - Integrability</v>
      </c>
      <c r="D31" s="24" t="s">
        <v>60</v>
      </c>
      <c r="E31" s="26" t="str">
        <f>"5조" &amp; " - " &amp; D$27 &amp; " - " &amp; $A31</f>
        <v>5조 - Buffered Message Based - Integrability</v>
      </c>
      <c r="F31" s="1"/>
      <c r="G31" s="1"/>
    </row>
    <row r="32" spans="1:7" ht="16.5" customHeight="1">
      <c r="A32" s="4" t="s">
        <v>63</v>
      </c>
      <c r="B32" s="23" t="s">
        <v>60</v>
      </c>
      <c r="C32" s="27" t="str">
        <f>"5조" &amp; " - " &amp; B$27 &amp; " - " &amp; $A32</f>
        <v>5조 - Non-Buffered Event Based - Energy Efficiency</v>
      </c>
      <c r="D32" s="23" t="s">
        <v>60</v>
      </c>
      <c r="E32" s="27" t="str">
        <f>"5조" &amp; " - " &amp; D$27 &amp; " - " &amp; $A32</f>
        <v>5조 - Buffered Message Based - Energy Efficiency</v>
      </c>
      <c r="F32" s="1"/>
      <c r="G32" s="1"/>
    </row>
    <row r="33" spans="1:9" ht="16.5" customHeight="1">
      <c r="A33" s="4" t="s">
        <v>64</v>
      </c>
      <c r="B33" s="24" t="s">
        <v>60</v>
      </c>
      <c r="C33" s="26" t="str">
        <f>"5조" &amp; " - " &amp; B$27 &amp; " - " &amp; $A33</f>
        <v>5조 - Non-Buffered Event Based - Modifiability</v>
      </c>
      <c r="D33" s="24" t="s">
        <v>60</v>
      </c>
      <c r="E33" s="26" t="str">
        <f>"5조" &amp; " - " &amp; D$27 &amp; " - " &amp; $A33</f>
        <v>5조 - Buffered Message Based - Modifiability</v>
      </c>
      <c r="F33" s="1"/>
      <c r="G33" s="1"/>
    </row>
    <row r="34" spans="1:9" ht="16.5" customHeight="1">
      <c r="A34" s="4" t="s">
        <v>65</v>
      </c>
      <c r="B34" s="24" t="s">
        <v>60</v>
      </c>
      <c r="C34" s="26" t="str">
        <f>"5조" &amp; " - " &amp; B$27 &amp; " - " &amp; $A34</f>
        <v>5조 - Non-Buffered Event Based - Performance</v>
      </c>
      <c r="D34" s="24" t="s">
        <v>60</v>
      </c>
      <c r="E34" s="26" t="str">
        <f>"5조" &amp; " - " &amp; D$27 &amp; " - " &amp; $A34</f>
        <v>5조 - Buffered Message Based - Performance</v>
      </c>
      <c r="F34" s="1"/>
      <c r="G34" s="1"/>
    </row>
    <row r="35" spans="1:9" ht="16.5" customHeight="1">
      <c r="A35" s="4" t="s">
        <v>66</v>
      </c>
      <c r="B35" s="25" t="s">
        <v>60</v>
      </c>
      <c r="C35" s="29" t="str">
        <f>"5조" &amp; " - " &amp; B$27 &amp; " - " &amp; $A35</f>
        <v>5조 - Non-Buffered Event Based - Safety</v>
      </c>
      <c r="D35" s="25" t="s">
        <v>60</v>
      </c>
      <c r="E35" s="29" t="str">
        <f>"5조" &amp; " - " &amp; D$27 &amp; " - " &amp; $A35</f>
        <v>5조 - Buffered Message Based - Safety</v>
      </c>
      <c r="F35" s="1"/>
      <c r="G35" s="1"/>
    </row>
    <row r="36" spans="1:9" ht="16.5" customHeight="1">
      <c r="A36" s="4" t="s">
        <v>67</v>
      </c>
      <c r="B36" s="23" t="s">
        <v>60</v>
      </c>
      <c r="C36" s="27" t="str">
        <f>"5조" &amp; " - " &amp; B$27 &amp; " - " &amp; $A36</f>
        <v>5조 - Non-Buffered Event Based - Security</v>
      </c>
      <c r="D36" s="23" t="s">
        <v>60</v>
      </c>
      <c r="E36" s="27" t="str">
        <f>"5조" &amp; " - " &amp; D$27 &amp; " - " &amp; $A36</f>
        <v>5조 - Buffered Message Based - Security</v>
      </c>
      <c r="F36" s="1"/>
      <c r="G36" s="1"/>
    </row>
    <row r="37" spans="1:9" ht="16.5" customHeight="1">
      <c r="A37" s="4" t="s">
        <v>68</v>
      </c>
      <c r="B37" s="24" t="s">
        <v>60</v>
      </c>
      <c r="C37" s="26" t="str">
        <f>"5조" &amp; " - " &amp; B$27 &amp; " - " &amp; $A37</f>
        <v>5조 - Non-Buffered Event Based - Testability</v>
      </c>
      <c r="D37" s="24" t="s">
        <v>60</v>
      </c>
      <c r="E37" s="26" t="str">
        <f>"5조" &amp; " - " &amp; D$27 &amp; " - " &amp; $A37</f>
        <v>5조 - Buffered Message Based - Testability</v>
      </c>
      <c r="F37" s="1"/>
      <c r="G37" s="1"/>
    </row>
    <row r="38" spans="1:9" ht="16.5" customHeight="1">
      <c r="A38" s="4" t="s">
        <v>69</v>
      </c>
      <c r="B38" s="23" t="s">
        <v>60</v>
      </c>
      <c r="C38" s="27" t="str">
        <f>"5조" &amp; " - " &amp; B$27 &amp; " - " &amp; $A38</f>
        <v>5조 - Non-Buffered Event Based - Usability</v>
      </c>
      <c r="D38" s="23" t="s">
        <v>60</v>
      </c>
      <c r="E38" s="27" t="str">
        <f>"5조" &amp; " - " &amp; D$27 &amp; " - " &amp; $A38</f>
        <v>5조 - Buffered Message Based - Usability</v>
      </c>
      <c r="F38" s="1"/>
      <c r="G38" s="1"/>
    </row>
    <row r="39" spans="1:9" ht="16.5" customHeight="1">
      <c r="A39" s="1"/>
      <c r="B39" s="16" t="s">
        <v>60</v>
      </c>
      <c r="C39" s="16" t="s">
        <v>60</v>
      </c>
      <c r="D39" s="16" t="s">
        <v>60</v>
      </c>
      <c r="E39" s="16" t="s">
        <v>60</v>
      </c>
      <c r="F39" s="1"/>
      <c r="G39" s="1"/>
    </row>
    <row r="40" spans="1:9" ht="16.5" customHeight="1">
      <c r="A40" s="2" t="s">
        <v>76</v>
      </c>
      <c r="B40" s="33" t="s">
        <v>77</v>
      </c>
      <c r="C40" s="34"/>
      <c r="D40" s="33" t="s">
        <v>78</v>
      </c>
      <c r="E40" s="34"/>
      <c r="F40" s="1"/>
      <c r="G40" s="1"/>
      <c r="H40" s="1"/>
    </row>
    <row r="41" spans="1:9" ht="16.5">
      <c r="A41" s="22"/>
      <c r="B41" s="3" t="s">
        <v>57</v>
      </c>
      <c r="C41" s="3" t="s">
        <v>58</v>
      </c>
      <c r="D41" s="3" t="s">
        <v>57</v>
      </c>
      <c r="E41" s="3" t="s">
        <v>58</v>
      </c>
      <c r="F41" s="1"/>
      <c r="G41" s="1"/>
      <c r="H41" s="1"/>
      <c r="I41" s="13"/>
    </row>
    <row r="42" spans="1:9" ht="16.5" customHeight="1">
      <c r="A42" s="4" t="s">
        <v>59</v>
      </c>
      <c r="B42" s="23" t="s">
        <v>60</v>
      </c>
      <c r="C42" s="27" t="str">
        <f>"5조" &amp; " - " &amp; B$40 &amp; " - " &amp; $A42</f>
        <v>5조 - MVC - Availability</v>
      </c>
      <c r="D42" s="23" t="s">
        <v>60</v>
      </c>
      <c r="E42" s="27" t="str">
        <f>"5조" &amp; " - " &amp; D$40 &amp; " - " &amp; $A42</f>
        <v>5조 - PAC - Availability</v>
      </c>
      <c r="F42" s="1"/>
      <c r="G42" s="1"/>
      <c r="H42" s="1"/>
    </row>
    <row r="43" spans="1:9" ht="16.5" customHeight="1">
      <c r="A43" s="4" t="s">
        <v>61</v>
      </c>
      <c r="B43" s="23" t="s">
        <v>60</v>
      </c>
      <c r="C43" s="27" t="str">
        <f>"5조" &amp; " - " &amp; B$40 &amp; " - " &amp; $A43</f>
        <v>5조 - MVC - Deployability</v>
      </c>
      <c r="D43" s="23" t="s">
        <v>60</v>
      </c>
      <c r="E43" s="27" t="str">
        <f>"5조" &amp; " - " &amp; D$40 &amp; " - " &amp; $A43</f>
        <v>5조 - PAC - Deployability</v>
      </c>
      <c r="F43" s="1"/>
      <c r="G43" s="1"/>
      <c r="H43" s="1"/>
    </row>
    <row r="44" spans="1:9" ht="16.5" customHeight="1">
      <c r="A44" s="4" t="s">
        <v>62</v>
      </c>
      <c r="B44" s="24" t="s">
        <v>60</v>
      </c>
      <c r="C44" s="26" t="str">
        <f>"5조" &amp; " - " &amp; B$40 &amp; " - " &amp; $A44</f>
        <v>5조 - MVC - Integrability</v>
      </c>
      <c r="D44" s="23" t="s">
        <v>60</v>
      </c>
      <c r="E44" s="27" t="str">
        <f>"5조" &amp; " - " &amp; D$40 &amp; " - " &amp; $A44</f>
        <v>5조 - PAC - Integrability</v>
      </c>
      <c r="F44" s="1"/>
      <c r="G44" s="1"/>
      <c r="H44" s="1"/>
    </row>
    <row r="45" spans="1:9" ht="16.5" customHeight="1">
      <c r="A45" s="4" t="s">
        <v>63</v>
      </c>
      <c r="B45" s="23" t="s">
        <v>60</v>
      </c>
      <c r="C45" s="27" t="str">
        <f>"5조" &amp; " - " &amp; B$40 &amp; " - " &amp; $A45</f>
        <v>5조 - MVC - Energy Efficiency</v>
      </c>
      <c r="D45" s="23" t="s">
        <v>60</v>
      </c>
      <c r="E45" s="27" t="str">
        <f>"5조" &amp; " - " &amp; D$40 &amp; " - " &amp; $A45</f>
        <v>5조 - PAC - Energy Efficiency</v>
      </c>
      <c r="F45" s="1"/>
      <c r="G45" s="1"/>
      <c r="H45" s="1"/>
    </row>
    <row r="46" spans="1:9" ht="16.5" customHeight="1">
      <c r="A46" s="4" t="s">
        <v>64</v>
      </c>
      <c r="B46" s="24" t="s">
        <v>60</v>
      </c>
      <c r="C46" s="26" t="str">
        <f>"5조" &amp; " - " &amp; B$40 &amp; " - " &amp; $A46</f>
        <v>5조 - MVC - Modifiability</v>
      </c>
      <c r="D46" s="23" t="s">
        <v>60</v>
      </c>
      <c r="E46" s="27" t="str">
        <f>"5조" &amp; " - " &amp; D$40 &amp; " - " &amp; $A46</f>
        <v>5조 - PAC - Modifiability</v>
      </c>
      <c r="F46" s="1"/>
      <c r="G46" s="1"/>
      <c r="H46" s="1"/>
    </row>
    <row r="47" spans="1:9" ht="16.5" customHeight="1">
      <c r="A47" s="4" t="s">
        <v>65</v>
      </c>
      <c r="B47" s="24" t="s">
        <v>60</v>
      </c>
      <c r="C47" s="26" t="str">
        <f>"5조" &amp; " - " &amp; B$40 &amp; " - " &amp; $A47</f>
        <v>5조 - MVC - Performance</v>
      </c>
      <c r="D47" s="23" t="s">
        <v>60</v>
      </c>
      <c r="E47" s="27" t="str">
        <f>"5조" &amp; " - " &amp; D$40 &amp; " - " &amp; $A47</f>
        <v>5조 - PAC - Performance</v>
      </c>
      <c r="F47" s="1"/>
      <c r="G47" s="1"/>
      <c r="H47" s="1"/>
    </row>
    <row r="48" spans="1:9" ht="16.5" customHeight="1">
      <c r="A48" s="4" t="s">
        <v>66</v>
      </c>
      <c r="B48" s="23" t="s">
        <v>60</v>
      </c>
      <c r="C48" s="27" t="str">
        <f>"5조" &amp; " - " &amp; B$40 &amp; " - " &amp; $A48</f>
        <v>5조 - MVC - Safety</v>
      </c>
      <c r="D48" s="23" t="s">
        <v>60</v>
      </c>
      <c r="E48" s="27" t="str">
        <f>"5조" &amp; " - " &amp; D$40 &amp; " - " &amp; $A48</f>
        <v>5조 - PAC - Safety</v>
      </c>
      <c r="F48" s="1"/>
      <c r="G48" s="1"/>
      <c r="H48" s="1"/>
    </row>
    <row r="49" spans="1:9" ht="16.5" customHeight="1">
      <c r="A49" s="4" t="s">
        <v>67</v>
      </c>
      <c r="B49" s="24" t="s">
        <v>60</v>
      </c>
      <c r="C49" s="26" t="str">
        <f>"5조" &amp; " - " &amp; B$40 &amp; " - " &amp; $A49</f>
        <v>5조 - MVC - Security</v>
      </c>
      <c r="D49" s="23" t="s">
        <v>60</v>
      </c>
      <c r="E49" s="27" t="str">
        <f>"5조" &amp; " - " &amp; D$40 &amp; " - " &amp; $A49</f>
        <v>5조 - PAC - Security</v>
      </c>
      <c r="F49" s="1"/>
      <c r="G49" s="1"/>
      <c r="H49" s="1"/>
    </row>
    <row r="50" spans="1:9" ht="16.5">
      <c r="A50" s="4" t="s">
        <v>68</v>
      </c>
      <c r="B50" s="23" t="s">
        <v>60</v>
      </c>
      <c r="C50" s="27" t="str">
        <f>"5조" &amp; " - " &amp; B$40 &amp; " - " &amp; $A50</f>
        <v>5조 - MVC - Testability</v>
      </c>
      <c r="D50" s="23" t="s">
        <v>60</v>
      </c>
      <c r="E50" s="27" t="str">
        <f>"5조" &amp; " - " &amp; D$40 &amp; " - " &amp; $A50</f>
        <v>5조 - PAC - Testability</v>
      </c>
      <c r="F50" s="1"/>
      <c r="G50" s="16" t="s">
        <v>60</v>
      </c>
      <c r="H50" s="1"/>
      <c r="I50" s="15"/>
    </row>
    <row r="51" spans="1:9" ht="16.5">
      <c r="A51" s="4" t="s">
        <v>69</v>
      </c>
      <c r="B51" s="24" t="s">
        <v>60</v>
      </c>
      <c r="C51" s="26" t="str">
        <f>"5조" &amp; " - " &amp; B$40 &amp; " - " &amp; $A51</f>
        <v>5조 - MVC - Usability</v>
      </c>
      <c r="D51" s="23" t="s">
        <v>60</v>
      </c>
      <c r="E51" s="27" t="str">
        <f>"5조" &amp; " - " &amp; D$40 &amp; " - " &amp; $A51</f>
        <v>5조 - PAC - Usability</v>
      </c>
      <c r="F51" s="1"/>
      <c r="G51" s="16" t="s">
        <v>60</v>
      </c>
      <c r="H51" s="1"/>
      <c r="I51" s="13"/>
    </row>
    <row r="52" spans="1:9" ht="16.5" customHeight="1">
      <c r="A52" s="1"/>
      <c r="B52" s="16" t="s">
        <v>60</v>
      </c>
      <c r="C52" s="1"/>
      <c r="D52" s="16" t="s">
        <v>60</v>
      </c>
      <c r="E52" s="1"/>
      <c r="F52" s="1"/>
      <c r="G52" s="1"/>
    </row>
    <row r="53" spans="1:9" ht="16.5" customHeight="1">
      <c r="A53" s="2" t="s">
        <v>79</v>
      </c>
      <c r="B53" s="35" t="s">
        <v>80</v>
      </c>
      <c r="C53" s="34"/>
      <c r="D53" s="35" t="s">
        <v>81</v>
      </c>
      <c r="E53" s="34"/>
      <c r="F53" s="1"/>
      <c r="G53" s="16" t="s">
        <v>60</v>
      </c>
      <c r="H53" s="1"/>
    </row>
    <row r="54" spans="1:9" ht="16.5" customHeight="1">
      <c r="A54" s="22"/>
      <c r="B54" s="3" t="s">
        <v>57</v>
      </c>
      <c r="C54" s="17" t="s">
        <v>58</v>
      </c>
      <c r="D54" s="3" t="s">
        <v>57</v>
      </c>
      <c r="E54" s="17" t="s">
        <v>58</v>
      </c>
      <c r="F54" s="1"/>
      <c r="G54" s="16" t="s">
        <v>60</v>
      </c>
      <c r="H54" s="1"/>
    </row>
    <row r="55" spans="1:9" ht="16.5" customHeight="1">
      <c r="A55" s="4" t="s">
        <v>59</v>
      </c>
      <c r="B55" s="23" t="s">
        <v>60</v>
      </c>
      <c r="C55" s="27" t="str">
        <f>"5조" &amp; " - " &amp; B$53 &amp; " - " &amp; $A55</f>
        <v>5조 - Main-subroutine - Availability</v>
      </c>
      <c r="D55" s="24" t="s">
        <v>60</v>
      </c>
      <c r="E55" s="26" t="str">
        <f>"5조" &amp; " - " &amp; D$53 &amp; " - " &amp; $A55</f>
        <v>5조 - Master-Slave - Availability</v>
      </c>
      <c r="F55" s="1"/>
      <c r="G55" s="16" t="s">
        <v>60</v>
      </c>
      <c r="H55" s="1"/>
    </row>
    <row r="56" spans="1:9" ht="16.5" customHeight="1">
      <c r="A56" s="4" t="s">
        <v>61</v>
      </c>
      <c r="B56" s="23" t="s">
        <v>60</v>
      </c>
      <c r="C56" s="30" t="str">
        <f>"5조" &amp; " - " &amp; B$53 &amp; " - " &amp; $A56</f>
        <v>5조 - Main-subroutine - Deployability</v>
      </c>
      <c r="D56" s="24" t="s">
        <v>60</v>
      </c>
      <c r="E56" s="26" t="str">
        <f>"5조" &amp; " - " &amp; D$53 &amp; " - " &amp; $A56</f>
        <v>5조 - Master-Slave - Deployability</v>
      </c>
      <c r="F56" s="1"/>
      <c r="G56" s="16" t="s">
        <v>60</v>
      </c>
      <c r="H56" s="1"/>
    </row>
    <row r="57" spans="1:9" ht="16.5" customHeight="1">
      <c r="A57" s="4" t="s">
        <v>62</v>
      </c>
      <c r="B57" s="23" t="s">
        <v>60</v>
      </c>
      <c r="C57" s="27" t="str">
        <f>"5조" &amp; " - " &amp; B$53 &amp; " - " &amp; $A57</f>
        <v>5조 - Main-subroutine - Integrability</v>
      </c>
      <c r="D57" s="24" t="s">
        <v>60</v>
      </c>
      <c r="E57" s="26" t="str">
        <f>"5조" &amp; " - " &amp; D$53 &amp; " - " &amp; $A57</f>
        <v>5조 - Master-Slave - Integrability</v>
      </c>
      <c r="F57" s="1"/>
      <c r="G57" s="16" t="s">
        <v>60</v>
      </c>
      <c r="H57" s="1"/>
    </row>
    <row r="58" spans="1:9" ht="16.5" customHeight="1">
      <c r="A58" s="4" t="s">
        <v>63</v>
      </c>
      <c r="B58" s="23" t="s">
        <v>60</v>
      </c>
      <c r="C58" s="27" t="str">
        <f>"5조" &amp; " - " &amp; B$53 &amp; " - " &amp; $A58</f>
        <v>5조 - Main-subroutine - Energy Efficiency</v>
      </c>
      <c r="D58" s="24" t="s">
        <v>60</v>
      </c>
      <c r="E58" s="26" t="str">
        <f>"5조" &amp; " - " &amp; D$53 &amp; " - " &amp; $A58</f>
        <v>5조 - Master-Slave - Energy Efficiency</v>
      </c>
      <c r="F58" s="1"/>
      <c r="G58" s="16" t="s">
        <v>60</v>
      </c>
      <c r="H58" s="1"/>
    </row>
    <row r="59" spans="1:9" ht="16.5" customHeight="1">
      <c r="A59" s="4" t="s">
        <v>64</v>
      </c>
      <c r="B59" s="23" t="s">
        <v>60</v>
      </c>
      <c r="C59" s="27" t="str">
        <f>"5조" &amp; " - " &amp; B$53 &amp; " - " &amp; $A59</f>
        <v>5조 - Main-subroutine - Modifiability</v>
      </c>
      <c r="D59" s="23" t="s">
        <v>60</v>
      </c>
      <c r="E59" s="27" t="str">
        <f>"5조" &amp; " - " &amp; D$53 &amp; " - " &amp; $A59</f>
        <v>5조 - Master-Slave - Modifiability</v>
      </c>
      <c r="F59" s="1"/>
      <c r="G59" s="16" t="s">
        <v>60</v>
      </c>
      <c r="H59" s="1"/>
    </row>
    <row r="60" spans="1:9" ht="16.5">
      <c r="A60" s="4" t="s">
        <v>65</v>
      </c>
      <c r="B60" s="23" t="s">
        <v>60</v>
      </c>
      <c r="C60" s="27" t="str">
        <f>"5조" &amp; " - " &amp; B$53 &amp; " - " &amp; $A60</f>
        <v>5조 - Main-subroutine - Performance</v>
      </c>
      <c r="D60" s="24" t="s">
        <v>60</v>
      </c>
      <c r="E60" s="26" t="str">
        <f>"5조" &amp; " - " &amp; D$53 &amp; " - " &amp; $A60</f>
        <v>5조 - Master-Slave - Performance</v>
      </c>
      <c r="F60" s="1"/>
      <c r="G60" s="16" t="s">
        <v>60</v>
      </c>
      <c r="H60" s="1"/>
      <c r="I60" s="15"/>
    </row>
    <row r="61" spans="1:9" ht="16.5">
      <c r="A61" s="4" t="s">
        <v>66</v>
      </c>
      <c r="B61" s="23" t="s">
        <v>60</v>
      </c>
      <c r="C61" s="27" t="str">
        <f>"5조" &amp; " - " &amp; B$53 &amp; " - " &amp; $A61</f>
        <v>5조 - Main-subroutine - Safety</v>
      </c>
      <c r="D61" s="23" t="s">
        <v>60</v>
      </c>
      <c r="E61" s="27" t="str">
        <f>"5조" &amp; " - " &amp; D$53 &amp; " - " &amp; $A61</f>
        <v>5조 - Master-Slave - Safety</v>
      </c>
      <c r="F61" s="1"/>
      <c r="G61" s="16" t="s">
        <v>60</v>
      </c>
      <c r="H61" s="1"/>
      <c r="I61" s="13"/>
    </row>
    <row r="62" spans="1:9" ht="16.5" customHeight="1">
      <c r="A62" s="4" t="s">
        <v>67</v>
      </c>
      <c r="B62" s="23" t="s">
        <v>60</v>
      </c>
      <c r="C62" s="27" t="str">
        <f>"5조" &amp; " - " &amp; B$53 &amp; " - " &amp; $A62</f>
        <v>5조 - Main-subroutine - Security</v>
      </c>
      <c r="D62" s="23" t="s">
        <v>60</v>
      </c>
      <c r="E62" s="27" t="str">
        <f>"5조" &amp; " - " &amp; D$53 &amp; " - " &amp; $A62</f>
        <v>5조 - Master-Slave - Security</v>
      </c>
      <c r="F62" s="1"/>
      <c r="G62" s="16" t="s">
        <v>60</v>
      </c>
      <c r="H62" s="1"/>
    </row>
    <row r="63" spans="1:9" ht="16.5" customHeight="1">
      <c r="A63" s="4" t="s">
        <v>68</v>
      </c>
      <c r="B63" s="23" t="s">
        <v>60</v>
      </c>
      <c r="C63" s="27" t="str">
        <f>"5조" &amp; " - " &amp; B$53 &amp; " - " &amp; $A63</f>
        <v>5조 - Main-subroutine - Testability</v>
      </c>
      <c r="D63" s="23" t="s">
        <v>60</v>
      </c>
      <c r="E63" s="27" t="str">
        <f>"5조" &amp; " - " &amp; D$53 &amp; " - " &amp; $A63</f>
        <v>5조 - Master-Slave - Testability</v>
      </c>
      <c r="F63" s="1"/>
      <c r="G63" s="16" t="s">
        <v>60</v>
      </c>
      <c r="H63" s="1"/>
    </row>
    <row r="64" spans="1:9" ht="16.5" customHeight="1">
      <c r="A64" s="4" t="s">
        <v>69</v>
      </c>
      <c r="B64" s="23" t="s">
        <v>60</v>
      </c>
      <c r="C64" s="27" t="str">
        <f>"5조" &amp; " - " &amp; B$53 &amp; " - " &amp; $A64</f>
        <v>5조 - Main-subroutine - Usability</v>
      </c>
      <c r="D64" s="23" t="s">
        <v>60</v>
      </c>
      <c r="E64" s="27" t="str">
        <f>"5조" &amp; " - " &amp; D$53 &amp; " - " &amp; $A64</f>
        <v>5조 - Master-Slave - Usability</v>
      </c>
      <c r="F64" s="1"/>
      <c r="G64" s="16" t="s">
        <v>60</v>
      </c>
      <c r="H64" s="1"/>
    </row>
    <row r="65" spans="1:8" ht="16.5" customHeight="1">
      <c r="A65" s="1"/>
      <c r="B65" s="16" t="s">
        <v>60</v>
      </c>
      <c r="C65" s="16" t="s">
        <v>60</v>
      </c>
      <c r="D65" s="16" t="s">
        <v>60</v>
      </c>
      <c r="E65" s="16" t="s">
        <v>60</v>
      </c>
      <c r="F65" s="1"/>
      <c r="G65" s="16" t="s">
        <v>60</v>
      </c>
      <c r="H65" s="1"/>
    </row>
    <row r="66" spans="1:8" ht="16.5" customHeight="1">
      <c r="A66" s="2" t="s">
        <v>79</v>
      </c>
      <c r="B66" s="35" t="s">
        <v>82</v>
      </c>
      <c r="C66" s="34"/>
      <c r="D66" s="35" t="s">
        <v>83</v>
      </c>
      <c r="E66" s="34"/>
      <c r="F66" s="35" t="s">
        <v>84</v>
      </c>
      <c r="G66" s="34"/>
      <c r="H66" s="1"/>
    </row>
    <row r="67" spans="1:8" ht="16.5" customHeight="1">
      <c r="A67" s="22"/>
      <c r="B67" s="3" t="s">
        <v>57</v>
      </c>
      <c r="C67" s="17" t="s">
        <v>58</v>
      </c>
      <c r="D67" s="3" t="s">
        <v>57</v>
      </c>
      <c r="E67" s="17" t="s">
        <v>58</v>
      </c>
      <c r="F67" s="3" t="s">
        <v>57</v>
      </c>
      <c r="G67" s="17" t="s">
        <v>58</v>
      </c>
      <c r="H67" s="1"/>
    </row>
    <row r="68" spans="1:8" ht="16.5" customHeight="1">
      <c r="A68" s="4" t="s">
        <v>59</v>
      </c>
      <c r="B68" s="24" t="s">
        <v>60</v>
      </c>
      <c r="C68" s="26" t="str">
        <f>"5조" &amp; " - " &amp; B$66 &amp; " - " &amp; $A68</f>
        <v>5조 - Layered - Availability</v>
      </c>
      <c r="D68" s="23" t="s">
        <v>60</v>
      </c>
      <c r="E68" s="27" t="str">
        <f>"5조" &amp; " - " &amp; D$66 &amp; " - " &amp; $A68</f>
        <v>5조 - Virtual Machine - Availability</v>
      </c>
      <c r="F68" s="23" t="s">
        <v>60</v>
      </c>
      <c r="G68" s="27" t="str">
        <f>"5조" &amp; " - " &amp; F$66 &amp; " - " &amp; $A68</f>
        <v>5조 - Microkernel - Availability</v>
      </c>
      <c r="H68" s="1"/>
    </row>
    <row r="69" spans="1:8" ht="16.5" customHeight="1">
      <c r="A69" s="4" t="s">
        <v>61</v>
      </c>
      <c r="B69" s="23" t="s">
        <v>60</v>
      </c>
      <c r="C69" s="27" t="str">
        <f>"5조" &amp; " - " &amp; B$66 &amp; " - " &amp; $A69</f>
        <v>5조 - Layered - Deployability</v>
      </c>
      <c r="D69" s="23" t="s">
        <v>60</v>
      </c>
      <c r="E69" s="30" t="str">
        <f>"5조" &amp; " - " &amp; D$66 &amp; " - " &amp; $A69</f>
        <v>5조 - Virtual Machine - Deployability</v>
      </c>
      <c r="F69" s="24" t="s">
        <v>60</v>
      </c>
      <c r="G69" s="26" t="str">
        <f>"5조" &amp; " - " &amp; F$66 &amp; " - " &amp; $A69</f>
        <v>5조 - Microkernel - Deployability</v>
      </c>
      <c r="H69" s="1"/>
    </row>
    <row r="70" spans="1:8" ht="16.5" customHeight="1">
      <c r="A70" s="4" t="s">
        <v>62</v>
      </c>
      <c r="B70" s="24" t="s">
        <v>60</v>
      </c>
      <c r="C70" s="26" t="str">
        <f>"5조" &amp; " - " &amp; B$66 &amp; " - " &amp; $A70</f>
        <v>5조 - Layered - Integrability</v>
      </c>
      <c r="D70" s="23" t="s">
        <v>60</v>
      </c>
      <c r="E70" s="27" t="str">
        <f>"5조" &amp; " - " &amp; D$66 &amp; " - " &amp; $A70</f>
        <v>5조 - Virtual Machine - Integrability</v>
      </c>
      <c r="F70" s="24" t="s">
        <v>60</v>
      </c>
      <c r="G70" s="26" t="str">
        <f>"5조" &amp; " - " &amp; F$66 &amp; " - " &amp; $A70</f>
        <v>5조 - Microkernel - Integrability</v>
      </c>
      <c r="H70" s="1"/>
    </row>
    <row r="71" spans="1:8" ht="16.5" customHeight="1">
      <c r="A71" s="4" t="s">
        <v>63</v>
      </c>
      <c r="B71" s="23" t="s">
        <v>60</v>
      </c>
      <c r="C71" s="27" t="str">
        <f>"5조" &amp; " - " &amp; B$66 &amp; " - " &amp; $A71</f>
        <v>5조 - Layered - Energy Efficiency</v>
      </c>
      <c r="D71" s="23" t="s">
        <v>60</v>
      </c>
      <c r="E71" s="27" t="str">
        <f>"5조" &amp; " - " &amp; D$66 &amp; " - " &amp; $A71</f>
        <v>5조 - Virtual Machine - Energy Efficiency</v>
      </c>
      <c r="F71" s="23" t="s">
        <v>60</v>
      </c>
      <c r="G71" s="27" t="str">
        <f>"5조" &amp; " - " &amp; F$66 &amp; " - " &amp; $A71</f>
        <v>5조 - Microkernel - Energy Efficiency</v>
      </c>
      <c r="H71" s="1"/>
    </row>
    <row r="72" spans="1:8" ht="16.5" customHeight="1">
      <c r="A72" s="4" t="s">
        <v>64</v>
      </c>
      <c r="B72" s="24" t="s">
        <v>60</v>
      </c>
      <c r="C72" s="26" t="str">
        <f>"5조" &amp; " - " &amp; B$66 &amp; " - " &amp; $A72</f>
        <v>5조 - Layered - Modifiability</v>
      </c>
      <c r="D72" s="23" t="s">
        <v>60</v>
      </c>
      <c r="E72" s="27" t="str">
        <f>"5조" &amp; " - " &amp; D$66 &amp; " - " &amp; $A72</f>
        <v>5조 - Virtual Machine - Modifiability</v>
      </c>
      <c r="F72" s="24" t="s">
        <v>60</v>
      </c>
      <c r="G72" s="26" t="str">
        <f>"5조" &amp; " - " &amp; F$66 &amp; " - " &amp; $A72</f>
        <v>5조 - Microkernel - Modifiability</v>
      </c>
      <c r="H72" s="1"/>
    </row>
    <row r="73" spans="1:8" ht="16.5" customHeight="1">
      <c r="A73" s="4" t="s">
        <v>65</v>
      </c>
      <c r="B73" s="24" t="s">
        <v>60</v>
      </c>
      <c r="C73" s="26" t="str">
        <f>"5조" &amp; " - " &amp; B$66 &amp; " - " &amp; $A73</f>
        <v>5조 - Layered - Performance</v>
      </c>
      <c r="D73" s="23" t="s">
        <v>60</v>
      </c>
      <c r="E73" s="27" t="str">
        <f>"5조" &amp; " - " &amp; D$66 &amp; " - " &amp; $A73</f>
        <v>5조 - Virtual Machine - Performance</v>
      </c>
      <c r="F73" s="24" t="s">
        <v>60</v>
      </c>
      <c r="G73" s="26" t="str">
        <f>"5조" &amp; " - " &amp; F$66 &amp; " - " &amp; $A73</f>
        <v>5조 - Microkernel - Performance</v>
      </c>
      <c r="H73" s="1"/>
    </row>
    <row r="74" spans="1:8" ht="16.5" customHeight="1">
      <c r="A74" s="4" t="s">
        <v>66</v>
      </c>
      <c r="B74" s="23" t="s">
        <v>60</v>
      </c>
      <c r="C74" s="27" t="str">
        <f>"5조" &amp; " - " &amp; B$66 &amp; " - " &amp; $A74</f>
        <v>5조 - Layered - Safety</v>
      </c>
      <c r="D74" s="23" t="s">
        <v>60</v>
      </c>
      <c r="E74" s="27" t="str">
        <f>"5조" &amp; " - " &amp; D$66 &amp; " - " &amp; $A74</f>
        <v>5조 - Virtual Machine - Safety</v>
      </c>
      <c r="F74" s="23" t="s">
        <v>60</v>
      </c>
      <c r="G74" s="27" t="str">
        <f>"5조" &amp; " - " &amp; F$66 &amp; " - " &amp; $A74</f>
        <v>5조 - Microkernel - Safety</v>
      </c>
    </row>
    <row r="75" spans="1:8" ht="16.5" customHeight="1">
      <c r="A75" s="4" t="s">
        <v>67</v>
      </c>
      <c r="B75" s="24" t="s">
        <v>60</v>
      </c>
      <c r="C75" s="26" t="str">
        <f>"5조" &amp; " - " &amp; B$66 &amp; " - " &amp; $A75</f>
        <v>5조 - Layered - Security</v>
      </c>
      <c r="D75" s="23" t="s">
        <v>60</v>
      </c>
      <c r="E75" s="27" t="str">
        <f>"5조" &amp; " - " &amp; D$66 &amp; " - " &amp; $A75</f>
        <v>5조 - Virtual Machine - Security</v>
      </c>
      <c r="F75" s="24" t="s">
        <v>60</v>
      </c>
      <c r="G75" s="26" t="str">
        <f>"5조" &amp; " - " &amp; F$66 &amp; " - " &amp; $A75</f>
        <v>5조 - Microkernel - Security</v>
      </c>
    </row>
    <row r="76" spans="1:8" ht="16.5" customHeight="1">
      <c r="A76" s="4" t="s">
        <v>68</v>
      </c>
      <c r="B76" s="24" t="s">
        <v>60</v>
      </c>
      <c r="C76" s="26" t="str">
        <f>"5조" &amp; " - " &amp; B$66 &amp; " - " &amp; $A76</f>
        <v>5조 - Layered - Testability</v>
      </c>
      <c r="D76" s="23" t="s">
        <v>60</v>
      </c>
      <c r="E76" s="27" t="str">
        <f>"5조" &amp; " - " &amp; D$66 &amp; " - " &amp; $A76</f>
        <v>5조 - Virtual Machine - Testability</v>
      </c>
      <c r="F76" s="24" t="s">
        <v>60</v>
      </c>
      <c r="G76" s="26" t="str">
        <f>"5조" &amp; " - " &amp; F$66 &amp; " - " &amp; $A76</f>
        <v>5조 - Microkernel - Testability</v>
      </c>
    </row>
    <row r="77" spans="1:8" ht="16.5" customHeight="1">
      <c r="A77" s="4" t="s">
        <v>69</v>
      </c>
      <c r="B77" s="23" t="s">
        <v>60</v>
      </c>
      <c r="C77" s="27" t="str">
        <f>"5조" &amp; " - " &amp; B$66 &amp; " - " &amp; $A77</f>
        <v>5조 - Layered - Usability</v>
      </c>
      <c r="D77" s="23" t="s">
        <v>60</v>
      </c>
      <c r="E77" s="27" t="str">
        <f>"5조" &amp; " - " &amp; D$66 &amp; " - " &amp; $A77</f>
        <v>5조 - Virtual Machine - Usability</v>
      </c>
      <c r="F77" s="23" t="s">
        <v>60</v>
      </c>
      <c r="G77" s="27" t="str">
        <f>"5조" &amp; " - " &amp; F$66 &amp; " - " &amp; $A77</f>
        <v>5조 - Microkernel - Usability</v>
      </c>
    </row>
    <row r="78" spans="1:8" ht="16.5" customHeight="1">
      <c r="A78" s="1"/>
      <c r="B78" s="16" t="s">
        <v>60</v>
      </c>
      <c r="C78" s="16" t="s">
        <v>60</v>
      </c>
      <c r="D78" s="16" t="s">
        <v>60</v>
      </c>
      <c r="E78" s="16" t="s">
        <v>60</v>
      </c>
      <c r="F78" s="16" t="s">
        <v>60</v>
      </c>
      <c r="G78" s="16" t="s">
        <v>60</v>
      </c>
    </row>
    <row r="79" spans="1:8" ht="16.5" customHeight="1">
      <c r="A79" s="31" t="s">
        <v>85</v>
      </c>
      <c r="B79" s="35" t="s">
        <v>86</v>
      </c>
      <c r="C79" s="34"/>
      <c r="D79" s="35" t="s">
        <v>87</v>
      </c>
      <c r="E79" s="34"/>
    </row>
    <row r="80" spans="1:8" ht="16.5" customHeight="1">
      <c r="A80" s="32"/>
      <c r="B80" s="3" t="s">
        <v>57</v>
      </c>
      <c r="C80" s="3" t="s">
        <v>58</v>
      </c>
      <c r="D80" s="3" t="s">
        <v>57</v>
      </c>
      <c r="E80" s="3" t="s">
        <v>58</v>
      </c>
    </row>
    <row r="81" spans="1:7" ht="16.5" customHeight="1">
      <c r="A81" s="4" t="s">
        <v>59</v>
      </c>
      <c r="B81" s="24" t="s">
        <v>60</v>
      </c>
      <c r="C81" s="26" t="str">
        <f>"5조" &amp; " - " &amp; B$79 &amp; " - " &amp; $A81</f>
        <v>5조 - Multi-tier - Availability</v>
      </c>
      <c r="D81" s="23" t="s">
        <v>60</v>
      </c>
      <c r="E81" s="27" t="str">
        <f>"5조" &amp; " - " &amp; D$79 &amp; " - " &amp; $A81</f>
        <v>5조 - Client-Server - Availability</v>
      </c>
    </row>
    <row r="82" spans="1:7" ht="16.5" customHeight="1">
      <c r="A82" s="4" t="s">
        <v>61</v>
      </c>
      <c r="B82" s="24" t="s">
        <v>60</v>
      </c>
      <c r="C82" s="26" t="str">
        <f>"5조" &amp; " - " &amp; B$79 &amp; " - " &amp; $A82</f>
        <v>5조 - Multi-tier - Deployability</v>
      </c>
      <c r="D82" s="23" t="s">
        <v>60</v>
      </c>
      <c r="E82" s="27" t="str">
        <f>"5조" &amp; " - " &amp; D$79 &amp; " - " &amp; $A82</f>
        <v>5조 - Client-Server - Deployability</v>
      </c>
    </row>
    <row r="83" spans="1:7" ht="16.5" customHeight="1">
      <c r="A83" s="4" t="s">
        <v>62</v>
      </c>
      <c r="B83" s="24" t="s">
        <v>60</v>
      </c>
      <c r="C83" s="26" t="str">
        <f>"5조" &amp; " - " &amp; B$79 &amp; " - " &amp; $A83</f>
        <v>5조 - Multi-tier - Integrability</v>
      </c>
      <c r="D83" s="23" t="s">
        <v>60</v>
      </c>
      <c r="E83" s="27" t="str">
        <f>"5조" &amp; " - " &amp; D$79 &amp; " - " &amp; $A83</f>
        <v>5조 - Client-Server - Integrability</v>
      </c>
    </row>
    <row r="84" spans="1:7" ht="16.5" customHeight="1">
      <c r="A84" s="4" t="s">
        <v>63</v>
      </c>
      <c r="B84" s="24" t="s">
        <v>60</v>
      </c>
      <c r="C84" s="26" t="str">
        <f>"5조" &amp; " - " &amp; B$79 &amp; " - " &amp; $A84</f>
        <v>5조 - Multi-tier - Energy Efficiency</v>
      </c>
      <c r="D84" s="23" t="s">
        <v>60</v>
      </c>
      <c r="E84" s="27" t="str">
        <f>"5조" &amp; " - " &amp; D$79 &amp; " - " &amp; $A84</f>
        <v>5조 - Client-Server - Energy Efficiency</v>
      </c>
    </row>
    <row r="85" spans="1:7" ht="16.5" customHeight="1">
      <c r="A85" s="4" t="s">
        <v>64</v>
      </c>
      <c r="B85" s="23" t="s">
        <v>60</v>
      </c>
      <c r="C85" s="27" t="str">
        <f>"5조" &amp; " - " &amp; B$79 &amp; " - " &amp; $A85</f>
        <v>5조 - Multi-tier - Modifiability</v>
      </c>
      <c r="D85" s="23" t="s">
        <v>60</v>
      </c>
      <c r="E85" s="27" t="str">
        <f>"5조" &amp; " - " &amp; D$79 &amp; " - " &amp; $A85</f>
        <v>5조 - Client-Server - Modifiability</v>
      </c>
    </row>
    <row r="86" spans="1:7" ht="16.5" customHeight="1">
      <c r="A86" s="4" t="s">
        <v>65</v>
      </c>
      <c r="B86" s="24" t="s">
        <v>60</v>
      </c>
      <c r="C86" s="26" t="str">
        <f>"5조" &amp; " - " &amp; B$79 &amp; " - " &amp; $A86</f>
        <v>5조 - Multi-tier - Performance</v>
      </c>
      <c r="D86" s="23" t="s">
        <v>60</v>
      </c>
      <c r="E86" s="27" t="str">
        <f>"5조" &amp; " - " &amp; D$79 &amp; " - " &amp; $A86</f>
        <v>5조 - Client-Server - Performance</v>
      </c>
    </row>
    <row r="87" spans="1:7" ht="16.5" customHeight="1">
      <c r="A87" s="4" t="s">
        <v>66</v>
      </c>
      <c r="B87" s="23" t="s">
        <v>60</v>
      </c>
      <c r="C87" s="27" t="str">
        <f>"5조" &amp; " - " &amp; B$79 &amp; " - " &amp; $A87</f>
        <v>5조 - Multi-tier - Safety</v>
      </c>
      <c r="D87" s="23" t="s">
        <v>60</v>
      </c>
      <c r="E87" s="27" t="str">
        <f>"5조" &amp; " - " &amp; D$79 &amp; " - " &amp; $A87</f>
        <v>5조 - Client-Server - Safety</v>
      </c>
    </row>
    <row r="88" spans="1:7" ht="16.5" customHeight="1">
      <c r="A88" s="4" t="s">
        <v>67</v>
      </c>
      <c r="B88" s="24" t="s">
        <v>60</v>
      </c>
      <c r="C88" s="26" t="str">
        <f>"5조" &amp; " - " &amp; B$79 &amp; " - " &amp; $A88</f>
        <v>5조 - Multi-tier - Security</v>
      </c>
      <c r="D88" s="23" t="s">
        <v>60</v>
      </c>
      <c r="E88" s="27" t="str">
        <f>"5조" &amp; " - " &amp; D$79 &amp; " - " &amp; $A88</f>
        <v>5조 - Client-Server - Security</v>
      </c>
    </row>
    <row r="89" spans="1:7" ht="16.5" customHeight="1">
      <c r="A89" s="4" t="s">
        <v>68</v>
      </c>
      <c r="B89" s="23" t="s">
        <v>60</v>
      </c>
      <c r="C89" s="27" t="str">
        <f>"5조" &amp; " - " &amp; B$79 &amp; " - " &amp; $A89</f>
        <v>5조 - Multi-tier - Testability</v>
      </c>
      <c r="D89" s="23" t="s">
        <v>60</v>
      </c>
      <c r="E89" s="27" t="str">
        <f>"5조" &amp; " - " &amp; D$79 &amp; " - " &amp; $A89</f>
        <v>5조 - Client-Server - Testability</v>
      </c>
    </row>
    <row r="90" spans="1:7" ht="16.5" customHeight="1">
      <c r="A90" s="4" t="s">
        <v>69</v>
      </c>
      <c r="B90" s="23" t="s">
        <v>60</v>
      </c>
      <c r="C90" s="27" t="str">
        <f>"5조" &amp; " - " &amp; B$79 &amp; " - " &amp; $A90</f>
        <v>5조 - Multi-tier - Usability</v>
      </c>
      <c r="D90" s="23" t="s">
        <v>60</v>
      </c>
      <c r="E90" s="27" t="str">
        <f>"5조" &amp; " - " &amp; D$79 &amp; " - " &amp; $A90</f>
        <v>5조 - Client-Server - Usability</v>
      </c>
    </row>
    <row r="91" spans="1:7" ht="16.5" customHeight="1">
      <c r="A91" s="1"/>
      <c r="B91" s="16" t="s">
        <v>60</v>
      </c>
      <c r="C91" s="1"/>
      <c r="D91" s="16" t="s">
        <v>60</v>
      </c>
      <c r="E91" s="1"/>
      <c r="F91" s="16" t="s">
        <v>60</v>
      </c>
      <c r="G91" s="1"/>
    </row>
    <row r="92" spans="1:7" ht="16.5" customHeight="1">
      <c r="A92" s="31" t="s">
        <v>85</v>
      </c>
      <c r="B92" s="35" t="s">
        <v>88</v>
      </c>
      <c r="C92" s="34"/>
      <c r="D92" s="33" t="s">
        <v>89</v>
      </c>
      <c r="E92" s="34"/>
    </row>
    <row r="93" spans="1:7" ht="16.5" customHeight="1">
      <c r="A93" s="32"/>
      <c r="B93" s="3" t="s">
        <v>57</v>
      </c>
      <c r="C93" s="3" t="s">
        <v>58</v>
      </c>
      <c r="D93" s="3" t="s">
        <v>57</v>
      </c>
      <c r="E93" s="3" t="s">
        <v>58</v>
      </c>
    </row>
    <row r="94" spans="1:7" ht="16.5" customHeight="1">
      <c r="A94" s="4" t="s">
        <v>59</v>
      </c>
      <c r="B94" s="23" t="s">
        <v>60</v>
      </c>
      <c r="C94" s="27" t="str">
        <f>"5조" &amp; " - " &amp; B$92 &amp; " - " &amp; $A94</f>
        <v>5조 - Broker - Availability</v>
      </c>
      <c r="D94" s="23" t="s">
        <v>60</v>
      </c>
      <c r="E94" s="27" t="str">
        <f>"5조" &amp; " - " &amp; D$92 &amp; " - " &amp; $A94</f>
        <v>5조 - Dispatcher - Availability</v>
      </c>
    </row>
    <row r="95" spans="1:7" ht="16.5" customHeight="1">
      <c r="A95" s="4" t="s">
        <v>61</v>
      </c>
      <c r="B95" s="23" t="s">
        <v>60</v>
      </c>
      <c r="C95" s="27" t="str">
        <f>"5조" &amp; " - " &amp; B$92 &amp; " - " &amp; $A95</f>
        <v>5조 - Broker - Deployability</v>
      </c>
      <c r="D95" s="23" t="s">
        <v>60</v>
      </c>
      <c r="E95" s="27" t="str">
        <f>"5조" &amp; " - " &amp; D$92 &amp; " - " &amp; $A95</f>
        <v>5조 - Dispatcher - Deployability</v>
      </c>
    </row>
    <row r="96" spans="1:7" ht="16.5" customHeight="1">
      <c r="A96" s="4" t="s">
        <v>62</v>
      </c>
      <c r="B96" s="23" t="s">
        <v>60</v>
      </c>
      <c r="C96" s="27" t="str">
        <f>"5조" &amp; " - " &amp; B$92 &amp; " - " &amp; $A96</f>
        <v>5조 - Broker - Integrability</v>
      </c>
      <c r="D96" s="23" t="s">
        <v>60</v>
      </c>
      <c r="E96" s="27" t="str">
        <f>"5조" &amp; " - " &amp; D$92 &amp; " - " &amp; $A96</f>
        <v>5조 - Dispatcher - Integrability</v>
      </c>
    </row>
    <row r="97" spans="1:7" ht="16.5" customHeight="1">
      <c r="A97" s="4" t="s">
        <v>63</v>
      </c>
      <c r="B97" s="23" t="s">
        <v>60</v>
      </c>
      <c r="C97" s="27" t="str">
        <f>"5조" &amp; " - " &amp; B$92 &amp; " - " &amp; $A97</f>
        <v>5조 - Broker - Energy Efficiency</v>
      </c>
      <c r="D97" s="23" t="s">
        <v>60</v>
      </c>
      <c r="E97" s="27" t="str">
        <f>"5조" &amp; " - " &amp; D$92 &amp; " - " &amp; $A97</f>
        <v>5조 - Dispatcher - Energy Efficiency</v>
      </c>
    </row>
    <row r="98" spans="1:7" ht="16.5" customHeight="1">
      <c r="A98" s="4" t="s">
        <v>64</v>
      </c>
      <c r="B98" s="23" t="s">
        <v>60</v>
      </c>
      <c r="C98" s="27" t="str">
        <f>"5조" &amp; " - " &amp; B$92 &amp; " - " &amp; $A98</f>
        <v>5조 - Broker - Modifiability</v>
      </c>
      <c r="D98" s="23" t="s">
        <v>60</v>
      </c>
      <c r="E98" s="27" t="str">
        <f>"5조" &amp; " - " &amp; D$92 &amp; " - " &amp; $A98</f>
        <v>5조 - Dispatcher - Modifiability</v>
      </c>
    </row>
    <row r="99" spans="1:7" ht="16.5" customHeight="1">
      <c r="A99" s="4" t="s">
        <v>65</v>
      </c>
      <c r="B99" s="23" t="s">
        <v>60</v>
      </c>
      <c r="C99" s="27" t="str">
        <f>"5조" &amp; " - " &amp; B$92 &amp; " - " &amp; $A99</f>
        <v>5조 - Broker - Performance</v>
      </c>
      <c r="D99" s="23" t="s">
        <v>60</v>
      </c>
      <c r="E99" s="27" t="str">
        <f>"5조" &amp; " - " &amp; D$92 &amp; " - " &amp; $A99</f>
        <v>5조 - Dispatcher - Performance</v>
      </c>
    </row>
    <row r="100" spans="1:7" ht="16.5" customHeight="1">
      <c r="A100" s="4" t="s">
        <v>66</v>
      </c>
      <c r="B100" s="23" t="s">
        <v>60</v>
      </c>
      <c r="C100" s="27" t="str">
        <f>"5조" &amp; " - " &amp; B$92 &amp; " - " &amp; $A100</f>
        <v>5조 - Broker - Safety</v>
      </c>
      <c r="D100" s="23" t="s">
        <v>60</v>
      </c>
      <c r="E100" s="27" t="str">
        <f>"5조" &amp; " - " &amp; D$92 &amp; " - " &amp; $A100</f>
        <v>5조 - Dispatcher - Safety</v>
      </c>
    </row>
    <row r="101" spans="1:7" ht="16.5" customHeight="1">
      <c r="A101" s="4" t="s">
        <v>67</v>
      </c>
      <c r="B101" s="23" t="s">
        <v>60</v>
      </c>
      <c r="C101" s="27" t="str">
        <f>"5조" &amp; " - " &amp; B$92 &amp; " - " &amp; $A101</f>
        <v>5조 - Broker - Security</v>
      </c>
      <c r="D101" s="23" t="s">
        <v>60</v>
      </c>
      <c r="E101" s="27" t="str">
        <f>"5조" &amp; " - " &amp; D$92 &amp; " - " &amp; $A101</f>
        <v>5조 - Dispatcher - Security</v>
      </c>
    </row>
    <row r="102" spans="1:7" ht="16.5" customHeight="1">
      <c r="A102" s="4" t="s">
        <v>68</v>
      </c>
      <c r="B102" s="23" t="s">
        <v>60</v>
      </c>
      <c r="C102" s="27" t="str">
        <f>"5조" &amp; " - " &amp; B$92 &amp; " - " &amp; $A102</f>
        <v>5조 - Broker - Testability</v>
      </c>
      <c r="D102" s="23" t="s">
        <v>60</v>
      </c>
      <c r="E102" s="27" t="str">
        <f>"5조" &amp; " - " &amp; D$92 &amp; " - " &amp; $A102</f>
        <v>5조 - Dispatcher - Testability</v>
      </c>
    </row>
    <row r="103" spans="1:7" ht="16.5" customHeight="1">
      <c r="A103" s="4" t="s">
        <v>69</v>
      </c>
      <c r="B103" s="23" t="s">
        <v>60</v>
      </c>
      <c r="C103" s="27" t="str">
        <f>"5조" &amp; " - " &amp; B$92 &amp; " - " &amp; $A103</f>
        <v>5조 - Broker - Usability</v>
      </c>
      <c r="D103" s="23" t="s">
        <v>60</v>
      </c>
      <c r="E103" s="27" t="str">
        <f>"5조" &amp; " - " &amp; D$92 &amp; " - " &amp; $A103</f>
        <v>5조 - Dispatcher - Usability</v>
      </c>
    </row>
    <row r="104" spans="1:7" ht="16.5" customHeight="1">
      <c r="A104" s="1"/>
      <c r="B104" s="16" t="s">
        <v>60</v>
      </c>
      <c r="C104" s="1"/>
      <c r="D104" s="16" t="s">
        <v>60</v>
      </c>
      <c r="E104" s="1"/>
      <c r="F104" s="1"/>
      <c r="G104" s="1"/>
    </row>
    <row r="105" spans="1:7" ht="16.5" customHeight="1">
      <c r="A105" s="31" t="s">
        <v>85</v>
      </c>
      <c r="B105" s="35" t="s">
        <v>51</v>
      </c>
      <c r="C105" s="34"/>
      <c r="D105" s="33" t="s">
        <v>52</v>
      </c>
      <c r="E105" s="34"/>
    </row>
    <row r="106" spans="1:7" ht="16.5" customHeight="1">
      <c r="A106" s="32"/>
      <c r="B106" s="3" t="s">
        <v>57</v>
      </c>
      <c r="C106" s="3" t="s">
        <v>58</v>
      </c>
      <c r="D106" s="3" t="s">
        <v>57</v>
      </c>
      <c r="E106" s="3" t="s">
        <v>58</v>
      </c>
    </row>
    <row r="107" spans="1:7" ht="16.5" customHeight="1">
      <c r="A107" s="4" t="s">
        <v>59</v>
      </c>
      <c r="B107" s="23" t="s">
        <v>60</v>
      </c>
      <c r="C107" s="27" t="str">
        <f>"5조" &amp; " - " &amp; B$105 &amp; " - " &amp; $A107</f>
        <v>5조 - SOA - Availability</v>
      </c>
      <c r="D107" s="23" t="s">
        <v>60</v>
      </c>
      <c r="E107" s="27" t="str">
        <f>"5조" &amp; " - " &amp; D$105 &amp; " - " &amp; $A107</f>
        <v>5조 - Mico-Service - Availability</v>
      </c>
    </row>
    <row r="108" spans="1:7" ht="16.5" customHeight="1">
      <c r="A108" s="4" t="s">
        <v>61</v>
      </c>
      <c r="B108" s="23" t="s">
        <v>60</v>
      </c>
      <c r="C108" s="27" t="str">
        <f>"5조" &amp; " - " &amp; B$105 &amp; " - " &amp; $A108</f>
        <v>5조 - SOA - Deployability</v>
      </c>
      <c r="D108" s="23" t="s">
        <v>60</v>
      </c>
      <c r="E108" s="27" t="str">
        <f>"5조" &amp; " - " &amp; D$105 &amp; " - " &amp; $A108</f>
        <v>5조 - Mico-Service - Deployability</v>
      </c>
    </row>
    <row r="109" spans="1:7" ht="16.5" customHeight="1">
      <c r="A109" s="4" t="s">
        <v>62</v>
      </c>
      <c r="B109" s="23" t="s">
        <v>60</v>
      </c>
      <c r="C109" s="27" t="str">
        <f>"5조" &amp; " - " &amp; B$105 &amp; " - " &amp; $A109</f>
        <v>5조 - SOA - Integrability</v>
      </c>
      <c r="D109" s="23" t="s">
        <v>60</v>
      </c>
      <c r="E109" s="27" t="str">
        <f>"5조" &amp; " - " &amp; D$105 &amp; " - " &amp; $A109</f>
        <v>5조 - Mico-Service - Integrability</v>
      </c>
    </row>
    <row r="110" spans="1:7" ht="16.5" customHeight="1">
      <c r="A110" s="4" t="s">
        <v>63</v>
      </c>
      <c r="B110" s="23" t="s">
        <v>60</v>
      </c>
      <c r="C110" s="27" t="str">
        <f>"5조" &amp; " - " &amp; B$105 &amp; " - " &amp; $A110</f>
        <v>5조 - SOA - Energy Efficiency</v>
      </c>
      <c r="D110" s="23" t="s">
        <v>60</v>
      </c>
      <c r="E110" s="27" t="str">
        <f>"5조" &amp; " - " &amp; D$105 &amp; " - " &amp; $A110</f>
        <v>5조 - Mico-Service - Energy Efficiency</v>
      </c>
    </row>
    <row r="111" spans="1:7" ht="16.5" customHeight="1">
      <c r="A111" s="4" t="s">
        <v>64</v>
      </c>
      <c r="B111" s="23" t="s">
        <v>60</v>
      </c>
      <c r="C111" s="27" t="str">
        <f>"5조" &amp; " - " &amp; B$105 &amp; " - " &amp; $A111</f>
        <v>5조 - SOA - Modifiability</v>
      </c>
      <c r="D111" s="23" t="s">
        <v>60</v>
      </c>
      <c r="E111" s="27" t="str">
        <f>"5조" &amp; " - " &amp; D$105 &amp; " - " &amp; $A111</f>
        <v>5조 - Mico-Service - Modifiability</v>
      </c>
    </row>
    <row r="112" spans="1:7" ht="16.5" customHeight="1">
      <c r="A112" s="4" t="s">
        <v>65</v>
      </c>
      <c r="B112" s="23" t="s">
        <v>60</v>
      </c>
      <c r="C112" s="27" t="str">
        <f>"5조" &amp; " - " &amp; B$105 &amp; " - " &amp; $A112</f>
        <v>5조 - SOA - Performance</v>
      </c>
      <c r="D112" s="23" t="s">
        <v>60</v>
      </c>
      <c r="E112" s="27" t="str">
        <f>"5조" &amp; " - " &amp; D$105 &amp; " - " &amp; $A112</f>
        <v>5조 - Mico-Service - Performance</v>
      </c>
    </row>
    <row r="113" spans="1:7" ht="16.5" customHeight="1">
      <c r="A113" s="4" t="s">
        <v>66</v>
      </c>
      <c r="B113" s="23" t="s">
        <v>60</v>
      </c>
      <c r="C113" s="27" t="str">
        <f>"5조" &amp; " - " &amp; B$105 &amp; " - " &amp; $A113</f>
        <v>5조 - SOA - Safety</v>
      </c>
      <c r="D113" s="23" t="s">
        <v>60</v>
      </c>
      <c r="E113" s="27" t="str">
        <f>"5조" &amp; " - " &amp; D$105 &amp; " - " &amp; $A113</f>
        <v>5조 - Mico-Service - Safety</v>
      </c>
    </row>
    <row r="114" spans="1:7" ht="16.5" customHeight="1">
      <c r="A114" s="4" t="s">
        <v>67</v>
      </c>
      <c r="B114" s="23" t="s">
        <v>60</v>
      </c>
      <c r="C114" s="27" t="str">
        <f>"5조" &amp; " - " &amp; B$105 &amp; " - " &amp; $A114</f>
        <v>5조 - SOA - Security</v>
      </c>
      <c r="D114" s="23" t="s">
        <v>60</v>
      </c>
      <c r="E114" s="27" t="str">
        <f>"5조" &amp; " - " &amp; D$105 &amp; " - " &amp; $A114</f>
        <v>5조 - Mico-Service - Security</v>
      </c>
    </row>
    <row r="115" spans="1:7" ht="16.5" customHeight="1">
      <c r="A115" s="4" t="s">
        <v>68</v>
      </c>
      <c r="B115" s="23" t="s">
        <v>60</v>
      </c>
      <c r="C115" s="27" t="str">
        <f>"5조" &amp; " - " &amp; B$105 &amp; " - " &amp; $A115</f>
        <v>5조 - SOA - Testability</v>
      </c>
      <c r="D115" s="23" t="s">
        <v>60</v>
      </c>
      <c r="E115" s="27" t="str">
        <f>"5조" &amp; " - " &amp; D$105 &amp; " - " &amp; $A115</f>
        <v>5조 - Mico-Service - Testability</v>
      </c>
    </row>
    <row r="116" spans="1:7" ht="16.5" customHeight="1">
      <c r="A116" s="4" t="s">
        <v>69</v>
      </c>
      <c r="B116" s="23" t="s">
        <v>60</v>
      </c>
      <c r="C116" s="27" t="str">
        <f>"5조" &amp; " - " &amp; B$105 &amp; " - " &amp; $A116</f>
        <v>5조 - SOA - Usability</v>
      </c>
      <c r="D116" s="23" t="s">
        <v>60</v>
      </c>
      <c r="E116" s="27" t="str">
        <f>"5조" &amp; " - " &amp; D$105 &amp; " - " &amp; $A116</f>
        <v>5조 - Mico-Service - Usability</v>
      </c>
    </row>
    <row r="117" spans="1:7" ht="16.5" customHeight="1">
      <c r="A117" s="1"/>
      <c r="B117" s="16" t="s">
        <v>60</v>
      </c>
      <c r="C117" s="1"/>
      <c r="D117" s="16" t="s">
        <v>60</v>
      </c>
      <c r="E117" s="1"/>
      <c r="F117" s="1"/>
      <c r="G117" s="1"/>
    </row>
    <row r="118" spans="1:7" ht="16.5" customHeight="1">
      <c r="A118" s="31" t="s">
        <v>90</v>
      </c>
      <c r="B118" s="33" t="s">
        <v>91</v>
      </c>
      <c r="C118" s="34"/>
      <c r="D118" s="33" t="s">
        <v>92</v>
      </c>
      <c r="E118" s="34"/>
      <c r="F118" s="33" t="s">
        <v>93</v>
      </c>
      <c r="G118" s="34"/>
    </row>
    <row r="119" spans="1:7" ht="16.5" customHeight="1">
      <c r="A119" s="32"/>
      <c r="B119" s="3" t="s">
        <v>57</v>
      </c>
      <c r="C119" s="3" t="s">
        <v>58</v>
      </c>
      <c r="D119" s="3" t="s">
        <v>57</v>
      </c>
      <c r="E119" s="3" t="s">
        <v>58</v>
      </c>
      <c r="F119" s="3" t="s">
        <v>57</v>
      </c>
      <c r="G119" s="3" t="s">
        <v>58</v>
      </c>
    </row>
    <row r="120" spans="1:7" ht="16.5" customHeight="1">
      <c r="A120" s="4" t="s">
        <v>59</v>
      </c>
      <c r="B120" s="24" t="s">
        <v>60</v>
      </c>
      <c r="C120" s="26" t="str">
        <f>"5조" &amp; " - " &amp; B$118 &amp; " - " &amp; $A120</f>
        <v>5조 - Container-based - Availability</v>
      </c>
      <c r="D120" s="24" t="s">
        <v>60</v>
      </c>
      <c r="E120" s="26" t="str">
        <f>"5조" &amp; " - " &amp; D$118 &amp; " - " &amp; $A120</f>
        <v>5조 - Cloud-based - Availability</v>
      </c>
      <c r="F120" s="24" t="s">
        <v>60</v>
      </c>
      <c r="G120" s="26" t="str">
        <f>"5조" &amp; " - " &amp; F$118 &amp; " - " &amp; $A120</f>
        <v>5조 - Edge-based - Availability</v>
      </c>
    </row>
    <row r="121" spans="1:7" ht="16.5" customHeight="1">
      <c r="A121" s="4" t="s">
        <v>61</v>
      </c>
      <c r="B121" s="24" t="s">
        <v>60</v>
      </c>
      <c r="C121" s="26" t="str">
        <f>"5조" &amp; " - " &amp; B$118 &amp; " - " &amp; $A121</f>
        <v>5조 - Container-based - Deployability</v>
      </c>
      <c r="D121" s="24" t="s">
        <v>60</v>
      </c>
      <c r="E121" s="26" t="str">
        <f>"5조" &amp; " - " &amp; D$118 &amp; " - " &amp; $A121</f>
        <v>5조 - Cloud-based - Deployability</v>
      </c>
      <c r="F121" s="24" t="s">
        <v>60</v>
      </c>
      <c r="G121" s="26" t="str">
        <f>"5조" &amp; " - " &amp; F$118 &amp; " - " &amp; $A121</f>
        <v>5조 - Edge-based - Deployability</v>
      </c>
    </row>
    <row r="122" spans="1:7" ht="16.5" customHeight="1">
      <c r="A122" s="4" t="s">
        <v>62</v>
      </c>
      <c r="B122" s="24" t="s">
        <v>60</v>
      </c>
      <c r="C122" s="26" t="str">
        <f>"5조" &amp; " - " &amp; B$118 &amp; " - " &amp; $A122</f>
        <v>5조 - Container-based - Integrability</v>
      </c>
      <c r="D122" s="24" t="s">
        <v>60</v>
      </c>
      <c r="E122" s="26" t="str">
        <f>"5조" &amp; " - " &amp; D$118 &amp; " - " &amp; $A122</f>
        <v>5조 - Cloud-based - Integrability</v>
      </c>
      <c r="F122" s="24" t="s">
        <v>60</v>
      </c>
      <c r="G122" s="26" t="str">
        <f>"5조" &amp; " - " &amp; F$118 &amp; " - " &amp; $A122</f>
        <v>5조 - Edge-based - Integrability</v>
      </c>
    </row>
    <row r="123" spans="1:7" ht="16.5" customHeight="1">
      <c r="A123" s="4" t="s">
        <v>63</v>
      </c>
      <c r="B123" s="23" t="s">
        <v>60</v>
      </c>
      <c r="C123" s="27" t="str">
        <f>"5조" &amp; " - " &amp; B$118 &amp; " - " &amp; $A123</f>
        <v>5조 - Container-based - Energy Efficiency</v>
      </c>
      <c r="D123" s="23" t="s">
        <v>60</v>
      </c>
      <c r="E123" s="27" t="str">
        <f>"5조" &amp; " - " &amp; D$118 &amp; " - " &amp; $A123</f>
        <v>5조 - Cloud-based - Energy Efficiency</v>
      </c>
      <c r="F123" s="24" t="s">
        <v>60</v>
      </c>
      <c r="G123" s="26" t="str">
        <f>"5조" &amp; " - " &amp; F$118 &amp; " - " &amp; $A123</f>
        <v>5조 - Edge-based - Energy Efficiency</v>
      </c>
    </row>
    <row r="124" spans="1:7" ht="16.5" customHeight="1">
      <c r="A124" s="4" t="s">
        <v>64</v>
      </c>
      <c r="B124" s="24" t="s">
        <v>60</v>
      </c>
      <c r="C124" s="26" t="str">
        <f>"5조" &amp; " - " &amp; B$118 &amp; " - " &amp; $A124</f>
        <v>5조 - Container-based - Modifiability</v>
      </c>
      <c r="D124" s="23" t="s">
        <v>60</v>
      </c>
      <c r="E124" s="27" t="str">
        <f>"5조" &amp; " - " &amp; D$118 &amp; " - " &amp; $A124</f>
        <v>5조 - Cloud-based - Modifiability</v>
      </c>
      <c r="F124" s="24" t="s">
        <v>60</v>
      </c>
      <c r="G124" s="26" t="str">
        <f>"5조" &amp; " - " &amp; F$118 &amp; " - " &amp; $A124</f>
        <v>5조 - Edge-based - Modifiability</v>
      </c>
    </row>
    <row r="125" spans="1:7" ht="16.5" customHeight="1">
      <c r="A125" s="4" t="s">
        <v>65</v>
      </c>
      <c r="B125" s="24" t="s">
        <v>60</v>
      </c>
      <c r="C125" s="26" t="str">
        <f>"5조" &amp; " - " &amp; B$118 &amp; " - " &amp; $A125</f>
        <v>5조 - Container-based - Performance</v>
      </c>
      <c r="D125" s="24" t="s">
        <v>60</v>
      </c>
      <c r="E125" s="26" t="str">
        <f>"5조" &amp; " - " &amp; D$118 &amp; " - " &amp; $A125</f>
        <v>5조 - Cloud-based - Performance</v>
      </c>
      <c r="F125" s="24" t="s">
        <v>60</v>
      </c>
      <c r="G125" s="26" t="str">
        <f>"5조" &amp; " - " &amp; F$118 &amp; " - " &amp; $A125</f>
        <v>5조 - Edge-based - Performance</v>
      </c>
    </row>
    <row r="126" spans="1:7" ht="16.5" customHeight="1">
      <c r="A126" s="4" t="s">
        <v>66</v>
      </c>
      <c r="B126" s="23" t="s">
        <v>60</v>
      </c>
      <c r="C126" s="27" t="str">
        <f>"5조" &amp; " - " &amp; B$118 &amp; " - " &amp; $A126</f>
        <v>5조 - Container-based - Safety</v>
      </c>
      <c r="D126" s="23" t="s">
        <v>60</v>
      </c>
      <c r="E126" s="27" t="str">
        <f>"5조" &amp; " - " &amp; D$118 &amp; " - " &amp; $A126</f>
        <v>5조 - Cloud-based - Safety</v>
      </c>
      <c r="F126" s="23" t="s">
        <v>60</v>
      </c>
      <c r="G126" s="27" t="str">
        <f>"5조" &amp; " - " &amp; F$118 &amp; " - " &amp; $A126</f>
        <v>5조 - Edge-based - Safety</v>
      </c>
    </row>
    <row r="127" spans="1:7" ht="16.5" customHeight="1">
      <c r="A127" s="4" t="s">
        <v>67</v>
      </c>
      <c r="B127" s="23" t="s">
        <v>60</v>
      </c>
      <c r="C127" s="27" t="str">
        <f>"5조" &amp; " - " &amp; B$118 &amp; " - " &amp; $A127</f>
        <v>5조 - Container-based - Security</v>
      </c>
      <c r="D127" s="24" t="s">
        <v>60</v>
      </c>
      <c r="E127" s="26" t="str">
        <f>"5조" &amp; " - " &amp; D$118 &amp; " - " &amp; $A127</f>
        <v>5조 - Cloud-based - Security</v>
      </c>
      <c r="F127" s="24" t="s">
        <v>60</v>
      </c>
      <c r="G127" s="26" t="str">
        <f>"5조" &amp; " - " &amp; F$118 &amp; " - " &amp; $A127</f>
        <v>5조 - Edge-based - Security</v>
      </c>
    </row>
    <row r="128" spans="1:7" ht="16.5" customHeight="1">
      <c r="A128" s="4" t="s">
        <v>68</v>
      </c>
      <c r="B128" s="24" t="s">
        <v>60</v>
      </c>
      <c r="C128" s="26" t="str">
        <f>"5조" &amp; " - " &amp; B$118 &amp; " - " &amp; $A128</f>
        <v>5조 - Container-based - Testability</v>
      </c>
      <c r="D128" s="24" t="s">
        <v>60</v>
      </c>
      <c r="E128" s="26" t="str">
        <f>"5조" &amp; " - " &amp; D$118 &amp; " - " &amp; $A128</f>
        <v>5조 - Cloud-based - Testability</v>
      </c>
      <c r="F128" s="24" t="s">
        <v>60</v>
      </c>
      <c r="G128" s="26" t="str">
        <f>"5조" &amp; " - " &amp; F$118 &amp; " - " &amp; $A128</f>
        <v>5조 - Edge-based - Testability</v>
      </c>
    </row>
    <row r="129" spans="1:7" ht="16.5" customHeight="1">
      <c r="A129" s="4" t="s">
        <v>69</v>
      </c>
      <c r="B129" s="23" t="s">
        <v>60</v>
      </c>
      <c r="C129" s="27" t="str">
        <f>"5조" &amp; " - " &amp; B$118 &amp; " - " &amp; $A129</f>
        <v>5조 - Container-based - Usability</v>
      </c>
      <c r="D129" s="23" t="s">
        <v>60</v>
      </c>
      <c r="E129" s="27" t="str">
        <f>"5조" &amp; " - " &amp; D$118 &amp; " - " &amp; $A129</f>
        <v>5조 - Cloud-based - Usability</v>
      </c>
      <c r="F129" s="23" t="s">
        <v>60</v>
      </c>
      <c r="G129" s="27" t="str">
        <f>"5조" &amp; " - " &amp; F$118 &amp; " - " &amp; $A129</f>
        <v>5조 - Edge-based - Usability</v>
      </c>
    </row>
    <row r="130" spans="1:7" ht="16.5" customHeight="1"/>
    <row r="131" spans="1:7" ht="16.5" customHeight="1"/>
    <row r="132" spans="1:7" ht="16.5" customHeight="1"/>
    <row r="133" spans="1:7" ht="16.5" customHeight="1"/>
    <row r="134" spans="1:7" ht="16.5" customHeight="1"/>
    <row r="135" spans="1:7" ht="16.5" customHeight="1"/>
    <row r="136" spans="1:7" ht="16.5" customHeight="1"/>
    <row r="137" spans="1:7" ht="16.5" customHeight="1"/>
    <row r="138" spans="1:7" ht="16.5" customHeight="1"/>
    <row r="139" spans="1:7" ht="16.5" customHeight="1"/>
    <row r="140" spans="1:7" ht="16.5" customHeight="1"/>
    <row r="141" spans="1:7" ht="16.5" customHeight="1"/>
    <row r="142" spans="1:7" ht="16.5" customHeight="1"/>
    <row r="143" spans="1:7" ht="16.5" customHeight="1"/>
    <row r="144" spans="1:7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8">
    <mergeCell ref="A118:A119"/>
    <mergeCell ref="B118:C118"/>
    <mergeCell ref="D118:E118"/>
    <mergeCell ref="F118:G118"/>
    <mergeCell ref="D66:E66"/>
    <mergeCell ref="F66:G66"/>
    <mergeCell ref="D92:E92"/>
    <mergeCell ref="A105:A106"/>
    <mergeCell ref="B105:C105"/>
    <mergeCell ref="D105:E105"/>
    <mergeCell ref="B66:C66"/>
    <mergeCell ref="A79:A80"/>
    <mergeCell ref="B79:C79"/>
    <mergeCell ref="D79:E79"/>
    <mergeCell ref="A92:A93"/>
    <mergeCell ref="B92:C92"/>
    <mergeCell ref="D27:E27"/>
    <mergeCell ref="B27:C27"/>
    <mergeCell ref="B40:C40"/>
    <mergeCell ref="D40:E40"/>
    <mergeCell ref="B53:C53"/>
    <mergeCell ref="D53:E53"/>
    <mergeCell ref="A1:A2"/>
    <mergeCell ref="B1:C1"/>
    <mergeCell ref="D1:E1"/>
    <mergeCell ref="F1:G1"/>
    <mergeCell ref="B14:C14"/>
    <mergeCell ref="D14:E14"/>
  </mergeCells>
  <phoneticPr fontId="7" type="noConversion"/>
  <dataValidations count="1">
    <dataValidation type="list" allowBlank="1" showErrorMessage="1" sqref="B3:B12 D3:D12 F3:F12 B14 D14 B16:B25 D16:D25 B27 D27 B29:B38 D29:D38 B42:B51 D42:D51 B53 D53 B55:B64 D55:D64 B66 D66 F66 B68:B77 D68:D77 B79 D79 F68:F78 B81:B90 D81:D90 B92 B94:B103 F120:F129 B120:B129 D120:D129 D94:D103 D107:D116 B107:B116" xr:uid="{EE2A2CFE-E1C8-4683-A647-B9EE67EE665F}">
      <formula1>"'++,'+,'0,'-,'--"</formula1>
    </dataValidation>
  </dataValidation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999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/>
  <cols>
    <col min="1" max="1" width="18" customWidth="1"/>
    <col min="2" max="2" width="14.7109375" customWidth="1"/>
    <col min="3" max="3" width="70.5703125" customWidth="1"/>
    <col min="4" max="4" width="9.85546875" customWidth="1"/>
    <col min="5" max="5" width="64.42578125" customWidth="1"/>
    <col min="6" max="6" width="11.42578125" customWidth="1"/>
    <col min="7" max="7" width="61.5703125" customWidth="1"/>
    <col min="8" max="8" width="8.85546875" customWidth="1"/>
    <col min="9" max="9" width="64.140625" customWidth="1"/>
    <col min="10" max="26" width="8.85546875" customWidth="1"/>
  </cols>
  <sheetData>
    <row r="1" spans="1:7" ht="16.5" customHeight="1">
      <c r="A1" s="31" t="s">
        <v>53</v>
      </c>
      <c r="B1" s="33" t="s">
        <v>54</v>
      </c>
      <c r="C1" s="34"/>
      <c r="D1" s="33" t="s">
        <v>55</v>
      </c>
      <c r="E1" s="34"/>
      <c r="F1" s="33" t="s">
        <v>56</v>
      </c>
      <c r="G1" s="34"/>
    </row>
    <row r="2" spans="1:7" ht="16.5" customHeight="1">
      <c r="A2" s="32"/>
      <c r="B2" s="3" t="s">
        <v>57</v>
      </c>
      <c r="C2" s="3" t="s">
        <v>58</v>
      </c>
      <c r="D2" s="3" t="s">
        <v>57</v>
      </c>
      <c r="E2" s="3" t="s">
        <v>58</v>
      </c>
      <c r="F2" s="3" t="s">
        <v>57</v>
      </c>
      <c r="G2" s="3" t="s">
        <v>58</v>
      </c>
    </row>
    <row r="3" spans="1:7" ht="16.5" customHeight="1">
      <c r="A3" s="4" t="s">
        <v>59</v>
      </c>
      <c r="B3" s="24" t="s">
        <v>60</v>
      </c>
      <c r="C3" s="26" t="str">
        <f>"6조" &amp; " - " &amp; B$1 &amp; " - " &amp; $A3</f>
        <v>6조 - Batch Sequential - Availability</v>
      </c>
      <c r="D3" s="24" t="s">
        <v>60</v>
      </c>
      <c r="E3" s="26" t="str">
        <f>"6조" &amp; " - " &amp; D$1 &amp; " - " &amp; $A3</f>
        <v>6조 - Pipe and Filter - Availability</v>
      </c>
      <c r="F3" s="23" t="s">
        <v>60</v>
      </c>
      <c r="G3" s="27" t="str">
        <f>"6조" &amp; " - " &amp; F$1 &amp; " - " &amp; $A3</f>
        <v>6조 - Process Control - Availability</v>
      </c>
    </row>
    <row r="4" spans="1:7" ht="16.5" customHeight="1">
      <c r="A4" s="4" t="s">
        <v>61</v>
      </c>
      <c r="B4" s="24" t="s">
        <v>60</v>
      </c>
      <c r="C4" s="26" t="str">
        <f>"6조" &amp; " - " &amp; B$1 &amp; " - " &amp; $A4</f>
        <v>6조 - Batch Sequential - Deployability</v>
      </c>
      <c r="D4" s="24" t="s">
        <v>60</v>
      </c>
      <c r="E4" s="26" t="str">
        <f>"6조" &amp; " - " &amp; D$1 &amp; " - " &amp; $A4</f>
        <v>6조 - Pipe and Filter - Deployability</v>
      </c>
      <c r="F4" s="23" t="s">
        <v>60</v>
      </c>
      <c r="G4" s="27" t="str">
        <f>"6조" &amp; " - " &amp; F$1 &amp; " - " &amp; $A4</f>
        <v>6조 - Process Control - Deployability</v>
      </c>
    </row>
    <row r="5" spans="1:7" ht="16.5" customHeight="1">
      <c r="A5" s="4" t="s">
        <v>62</v>
      </c>
      <c r="B5" s="23" t="s">
        <v>60</v>
      </c>
      <c r="C5" s="26" t="str">
        <f>"6조" &amp; " - " &amp; B$1 &amp; " - " &amp; $A5</f>
        <v>6조 - Batch Sequential - Integrability</v>
      </c>
      <c r="D5" s="24" t="s">
        <v>60</v>
      </c>
      <c r="E5" s="28" t="str">
        <f>"6조" &amp; " - " &amp; D$1 &amp; " - " &amp; $A5</f>
        <v>6조 - Pipe and Filter - Integrability</v>
      </c>
      <c r="F5" s="23" t="s">
        <v>60</v>
      </c>
      <c r="G5" s="27" t="str">
        <f>"6조" &amp; " - " &amp; F$1 &amp; " - " &amp; $A5</f>
        <v>6조 - Process Control - Integrability</v>
      </c>
    </row>
    <row r="6" spans="1:7" ht="16.5" customHeight="1">
      <c r="A6" s="4" t="s">
        <v>63</v>
      </c>
      <c r="B6" s="24" t="s">
        <v>60</v>
      </c>
      <c r="C6" s="26" t="str">
        <f>"6조" &amp; " - " &amp; B$1 &amp; " - " &amp; $A6</f>
        <v>6조 - Batch Sequential - Energy Efficiency</v>
      </c>
      <c r="D6" s="23" t="s">
        <v>60</v>
      </c>
      <c r="E6" s="27" t="str">
        <f>"6조" &amp; " - " &amp; D$1 &amp; " - " &amp; $A6</f>
        <v>6조 - Pipe and Filter - Energy Efficiency</v>
      </c>
      <c r="F6" s="23" t="s">
        <v>60</v>
      </c>
      <c r="G6" s="27" t="str">
        <f>"6조" &amp; " - " &amp; F$1 &amp; " - " &amp; $A6</f>
        <v>6조 - Process Control - Energy Efficiency</v>
      </c>
    </row>
    <row r="7" spans="1:7" ht="16.5" customHeight="1">
      <c r="A7" s="4" t="s">
        <v>64</v>
      </c>
      <c r="B7" s="24" t="s">
        <v>60</v>
      </c>
      <c r="C7" s="26" t="str">
        <f>"6조" &amp; " - " &amp; B$1 &amp; " - " &amp; $A7</f>
        <v>6조 - Batch Sequential - Modifiability</v>
      </c>
      <c r="D7" s="24" t="s">
        <v>60</v>
      </c>
      <c r="E7" s="26" t="str">
        <f>"6조" &amp; " - " &amp; D$1 &amp; " - " &amp; $A7</f>
        <v>6조 - Pipe and Filter - Modifiability</v>
      </c>
      <c r="F7" s="23" t="s">
        <v>60</v>
      </c>
      <c r="G7" s="27" t="str">
        <f>"6조" &amp; " - " &amp; F$1 &amp; " - " &amp; $A7</f>
        <v>6조 - Process Control - Modifiability</v>
      </c>
    </row>
    <row r="8" spans="1:7" ht="16.5" customHeight="1">
      <c r="A8" s="4" t="s">
        <v>65</v>
      </c>
      <c r="B8" s="24" t="s">
        <v>60</v>
      </c>
      <c r="C8" s="26" t="str">
        <f>"6조" &amp; " - " &amp; B$1 &amp; " - " &amp; $A8</f>
        <v>6조 - Batch Sequential - Performance</v>
      </c>
      <c r="D8" s="24" t="s">
        <v>60</v>
      </c>
      <c r="E8" s="26" t="str">
        <f>"6조" &amp; " - " &amp; D$1 &amp; " - " &amp; $A8</f>
        <v>6조 - Pipe and Filter - Performance</v>
      </c>
      <c r="F8" s="23" t="s">
        <v>60</v>
      </c>
      <c r="G8" s="27" t="str">
        <f>"6조" &amp; " - " &amp; F$1 &amp; " - " &amp; $A8</f>
        <v>6조 - Process Control - Performance</v>
      </c>
    </row>
    <row r="9" spans="1:7" ht="16.5" customHeight="1">
      <c r="A9" s="4" t="s">
        <v>66</v>
      </c>
      <c r="B9" s="23" t="s">
        <v>60</v>
      </c>
      <c r="C9" s="26" t="str">
        <f>"6조" &amp; " - " &amp; B$1 &amp; " - " &amp; $A9</f>
        <v>6조 - Batch Sequential - Safety</v>
      </c>
      <c r="D9" s="23" t="s">
        <v>60</v>
      </c>
      <c r="E9" s="27" t="str">
        <f>"6조" &amp; " - " &amp; D$1 &amp; " - " &amp; $A9</f>
        <v>6조 - Pipe and Filter - Safety</v>
      </c>
      <c r="F9" s="23" t="s">
        <v>60</v>
      </c>
      <c r="G9" s="27" t="str">
        <f>"6조" &amp; " - " &amp; F$1 &amp; " - " &amp; $A9</f>
        <v>6조 - Process Control - Safety</v>
      </c>
    </row>
    <row r="10" spans="1:7" ht="16.5" customHeight="1">
      <c r="A10" s="4" t="s">
        <v>67</v>
      </c>
      <c r="B10" s="24" t="s">
        <v>60</v>
      </c>
      <c r="C10" s="26" t="str">
        <f>"6조" &amp; " - " &amp; B$1 &amp; " - " &amp; $A10</f>
        <v>6조 - Batch Sequential - Security</v>
      </c>
      <c r="D10" s="24" t="s">
        <v>60</v>
      </c>
      <c r="E10" s="26" t="str">
        <f>"6조" &amp; " - " &amp; D$1 &amp; " - " &amp; $A10</f>
        <v>6조 - Pipe and Filter - Security</v>
      </c>
      <c r="F10" s="23" t="s">
        <v>60</v>
      </c>
      <c r="G10" s="27" t="str">
        <f>"6조" &amp; " - " &amp; F$1 &amp; " - " &amp; $A10</f>
        <v>6조 - Process Control - Security</v>
      </c>
    </row>
    <row r="11" spans="1:7" ht="16.5" customHeight="1">
      <c r="A11" s="4" t="s">
        <v>68</v>
      </c>
      <c r="B11" s="24" t="s">
        <v>60</v>
      </c>
      <c r="C11" s="26" t="str">
        <f>"6조" &amp; " - " &amp; B$1 &amp; " - " &amp; $A11</f>
        <v>6조 - Batch Sequential - Testability</v>
      </c>
      <c r="D11" s="24" t="s">
        <v>60</v>
      </c>
      <c r="E11" s="26" t="str">
        <f>"6조" &amp; " - " &amp; D$1 &amp; " - " &amp; $A11</f>
        <v>6조 - Pipe and Filter - Testability</v>
      </c>
      <c r="F11" s="23" t="s">
        <v>60</v>
      </c>
      <c r="G11" s="27" t="str">
        <f>"6조" &amp; " - " &amp; F$1 &amp; " - " &amp; $A11</f>
        <v>6조 - Process Control - Testability</v>
      </c>
    </row>
    <row r="12" spans="1:7" ht="16.5" customHeight="1">
      <c r="A12" s="4" t="s">
        <v>69</v>
      </c>
      <c r="B12" s="23" t="s">
        <v>60</v>
      </c>
      <c r="C12" s="26" t="str">
        <f>"6조" &amp; " - " &amp; B$1 &amp; " - " &amp; $A12</f>
        <v>6조 - Batch Sequential - Usability</v>
      </c>
      <c r="D12" s="23" t="s">
        <v>60</v>
      </c>
      <c r="E12" s="27" t="str">
        <f>"6조" &amp; " - " &amp; D$1 &amp; " - " &amp; $A12</f>
        <v>6조 - Pipe and Filter - Usability</v>
      </c>
      <c r="F12" s="23" t="s">
        <v>60</v>
      </c>
      <c r="G12" s="27" t="str">
        <f>"6조" &amp; " - " &amp; F$1 &amp; " - " &amp; $A12</f>
        <v>6조 - Process Control - Usability</v>
      </c>
    </row>
    <row r="13" spans="1:7" ht="16.5" customHeight="1">
      <c r="A13" s="1"/>
      <c r="B13" s="16" t="s">
        <v>60</v>
      </c>
      <c r="C13" s="16" t="s">
        <v>60</v>
      </c>
      <c r="D13" s="16" t="s">
        <v>60</v>
      </c>
      <c r="E13" s="16" t="s">
        <v>60</v>
      </c>
      <c r="F13" s="16" t="s">
        <v>60</v>
      </c>
      <c r="G13" s="1"/>
    </row>
    <row r="14" spans="1:7" ht="16.5" customHeight="1">
      <c r="A14" s="2" t="s">
        <v>70</v>
      </c>
      <c r="B14" s="35" t="s">
        <v>71</v>
      </c>
      <c r="C14" s="34"/>
      <c r="D14" s="35" t="s">
        <v>72</v>
      </c>
      <c r="E14" s="34"/>
      <c r="F14" s="1"/>
      <c r="G14" s="1"/>
    </row>
    <row r="15" spans="1:7" ht="16.5" customHeight="1">
      <c r="A15" s="19"/>
      <c r="B15" s="20" t="s">
        <v>57</v>
      </c>
      <c r="C15" s="21" t="s">
        <v>58</v>
      </c>
      <c r="D15" s="20" t="s">
        <v>57</v>
      </c>
      <c r="E15" s="21" t="s">
        <v>58</v>
      </c>
      <c r="F15" s="1"/>
      <c r="G15" s="1"/>
    </row>
    <row r="16" spans="1:7" ht="16.5" customHeight="1">
      <c r="A16" s="4" t="s">
        <v>59</v>
      </c>
      <c r="B16" s="24" t="s">
        <v>60</v>
      </c>
      <c r="C16" s="26" t="str">
        <f>"6조" &amp; " - " &amp; B$14 &amp; " - " &amp; $A16</f>
        <v>6조 - Shared Respository - Availability</v>
      </c>
      <c r="D16" s="23" t="s">
        <v>60</v>
      </c>
      <c r="E16" s="27" t="str">
        <f>"6조" &amp; " - " &amp; D$14 &amp; " - " &amp; $A16</f>
        <v>6조 - Blackboard - Availability</v>
      </c>
      <c r="F16" s="1"/>
      <c r="G16" s="1"/>
    </row>
    <row r="17" spans="1:7" ht="16.5" customHeight="1">
      <c r="A17" s="4" t="s">
        <v>61</v>
      </c>
      <c r="B17" s="24" t="s">
        <v>60</v>
      </c>
      <c r="C17" s="26" t="str">
        <f>"6조" &amp; " - " &amp; B$14 &amp; " - " &amp; $A17</f>
        <v>6조 - Shared Respository - Deployability</v>
      </c>
      <c r="D17" s="23" t="s">
        <v>60</v>
      </c>
      <c r="E17" s="27" t="str">
        <f>"6조" &amp; " - " &amp; D$14 &amp; " - " &amp; $A17</f>
        <v>6조 - Blackboard - Deployability</v>
      </c>
      <c r="F17" s="1"/>
      <c r="G17" s="1"/>
    </row>
    <row r="18" spans="1:7" ht="16.5" customHeight="1">
      <c r="A18" s="4" t="s">
        <v>62</v>
      </c>
      <c r="B18" s="24" t="s">
        <v>60</v>
      </c>
      <c r="C18" s="26" t="str">
        <f>"6조" &amp; " - " &amp; B$14 &amp; " - " &amp; $A18</f>
        <v>6조 - Shared Respository - Integrability</v>
      </c>
      <c r="D18" s="23" t="s">
        <v>60</v>
      </c>
      <c r="E18" s="27" t="str">
        <f>"6조" &amp; " - " &amp; D$14 &amp; " - " &amp; $A18</f>
        <v>6조 - Blackboard - Integrability</v>
      </c>
      <c r="F18" s="1"/>
      <c r="G18" s="1"/>
    </row>
    <row r="19" spans="1:7" ht="16.5" customHeight="1">
      <c r="A19" s="4" t="s">
        <v>63</v>
      </c>
      <c r="B19" s="23" t="s">
        <v>60</v>
      </c>
      <c r="C19" s="27" t="str">
        <f>"6조" &amp; " - " &amp; B$14 &amp; " - " &amp; $A19</f>
        <v>6조 - Shared Respository - Energy Efficiency</v>
      </c>
      <c r="D19" s="23" t="s">
        <v>60</v>
      </c>
      <c r="E19" s="27" t="str">
        <f>"6조" &amp; " - " &amp; D$14 &amp; " - " &amp; $A19</f>
        <v>6조 - Blackboard - Energy Efficiency</v>
      </c>
      <c r="F19" s="1"/>
      <c r="G19" s="1"/>
    </row>
    <row r="20" spans="1:7" ht="16.5" customHeight="1">
      <c r="A20" s="4" t="s">
        <v>64</v>
      </c>
      <c r="B20" s="24" t="s">
        <v>60</v>
      </c>
      <c r="C20" s="26" t="str">
        <f>"6조" &amp; " - " &amp; B$14 &amp; " - " &amp; $A20</f>
        <v>6조 - Shared Respository - Modifiability</v>
      </c>
      <c r="D20" s="23" t="s">
        <v>60</v>
      </c>
      <c r="E20" s="27" t="str">
        <f>"6조" &amp; " - " &amp; D$14 &amp; " - " &amp; $A20</f>
        <v>6조 - Blackboard - Modifiability</v>
      </c>
      <c r="F20" s="1"/>
      <c r="G20" s="1"/>
    </row>
    <row r="21" spans="1:7" ht="16.5" customHeight="1">
      <c r="A21" s="4" t="s">
        <v>65</v>
      </c>
      <c r="B21" s="24" t="s">
        <v>60</v>
      </c>
      <c r="C21" s="26" t="str">
        <f>"6조" &amp; " - " &amp; B$14 &amp; " - " &amp; $A21</f>
        <v>6조 - Shared Respository - Performance</v>
      </c>
      <c r="D21" s="23" t="s">
        <v>60</v>
      </c>
      <c r="E21" s="27" t="str">
        <f>"6조" &amp; " - " &amp; D$14 &amp; " - " &amp; $A21</f>
        <v>6조 - Blackboard - Performance</v>
      </c>
      <c r="F21" s="1"/>
      <c r="G21" s="1"/>
    </row>
    <row r="22" spans="1:7" ht="16.5" customHeight="1">
      <c r="A22" s="4" t="s">
        <v>66</v>
      </c>
      <c r="B22" s="23" t="s">
        <v>60</v>
      </c>
      <c r="C22" s="27" t="str">
        <f>"6조" &amp; " - " &amp; B$14 &amp; " - " &amp; $A22</f>
        <v>6조 - Shared Respository - Safety</v>
      </c>
      <c r="D22" s="23" t="s">
        <v>60</v>
      </c>
      <c r="E22" s="27" t="str">
        <f>"6조" &amp; " - " &amp; D$14 &amp; " - " &amp; $A22</f>
        <v>6조 - Blackboard - Safety</v>
      </c>
      <c r="F22" s="1"/>
      <c r="G22" s="1"/>
    </row>
    <row r="23" spans="1:7" ht="16.5" customHeight="1">
      <c r="A23" s="4" t="s">
        <v>67</v>
      </c>
      <c r="B23" s="24" t="s">
        <v>60</v>
      </c>
      <c r="C23" s="26" t="str">
        <f>"6조" &amp; " - " &amp; B$14 &amp; " - " &amp; $A23</f>
        <v>6조 - Shared Respository - Security</v>
      </c>
      <c r="D23" s="23" t="s">
        <v>60</v>
      </c>
      <c r="E23" s="27" t="str">
        <f>"6조" &amp; " - " &amp; D$14 &amp; " - " &amp; $A23</f>
        <v>6조 - Blackboard - Security</v>
      </c>
      <c r="F23" s="1"/>
      <c r="G23" s="1"/>
    </row>
    <row r="24" spans="1:7" ht="16.5" customHeight="1">
      <c r="A24" s="4" t="s">
        <v>68</v>
      </c>
      <c r="B24" s="24" t="s">
        <v>60</v>
      </c>
      <c r="C24" s="26" t="str">
        <f>"6조" &amp; " - " &amp; B$14 &amp; " - " &amp; $A24</f>
        <v>6조 - Shared Respository - Testability</v>
      </c>
      <c r="D24" s="23" t="s">
        <v>60</v>
      </c>
      <c r="E24" s="27" t="str">
        <f>"6조" &amp; " - " &amp; D$14 &amp; " - " &amp; $A24</f>
        <v>6조 - Blackboard - Testability</v>
      </c>
      <c r="F24" s="1"/>
      <c r="G24" s="1"/>
    </row>
    <row r="25" spans="1:7" ht="16.5" customHeight="1">
      <c r="A25" s="4" t="s">
        <v>69</v>
      </c>
      <c r="B25" s="23" t="s">
        <v>60</v>
      </c>
      <c r="C25" s="27" t="str">
        <f>"6조" &amp; " - " &amp; B$14 &amp; " - " &amp; $A25</f>
        <v>6조 - Shared Respository - Usability</v>
      </c>
      <c r="D25" s="23" t="s">
        <v>60</v>
      </c>
      <c r="E25" s="27" t="str">
        <f>"6조" &amp; " - " &amp; D$14 &amp; " - " &amp; $A25</f>
        <v>6조 - Blackboard - Usability</v>
      </c>
      <c r="F25" s="1"/>
      <c r="G25" s="1"/>
    </row>
    <row r="26" spans="1:7" ht="16.5" customHeight="1">
      <c r="A26" s="1"/>
      <c r="B26" s="16" t="s">
        <v>60</v>
      </c>
      <c r="C26" s="16" t="s">
        <v>60</v>
      </c>
      <c r="D26" s="16" t="s">
        <v>60</v>
      </c>
      <c r="E26" s="16" t="s">
        <v>60</v>
      </c>
      <c r="F26" s="1"/>
      <c r="G26" s="1"/>
    </row>
    <row r="27" spans="1:7" ht="16.5" customHeight="1">
      <c r="A27" s="2" t="s">
        <v>73</v>
      </c>
      <c r="B27" s="35" t="s">
        <v>74</v>
      </c>
      <c r="C27" s="34"/>
      <c r="D27" s="35" t="s">
        <v>75</v>
      </c>
      <c r="E27" s="34"/>
      <c r="F27" s="1"/>
      <c r="G27" s="1"/>
    </row>
    <row r="28" spans="1:7" ht="16.5" customHeight="1">
      <c r="A28" s="22"/>
      <c r="B28" s="3" t="s">
        <v>57</v>
      </c>
      <c r="C28" s="17" t="s">
        <v>58</v>
      </c>
      <c r="D28" s="3" t="s">
        <v>57</v>
      </c>
      <c r="E28" s="17" t="s">
        <v>58</v>
      </c>
      <c r="F28" s="1"/>
      <c r="G28" s="1"/>
    </row>
    <row r="29" spans="1:7" ht="16.5" customHeight="1">
      <c r="A29" s="4" t="s">
        <v>59</v>
      </c>
      <c r="B29" s="24" t="s">
        <v>60</v>
      </c>
      <c r="C29" s="26" t="str">
        <f>"6조" &amp; " - " &amp; B$27 &amp; " - " &amp; $A29</f>
        <v>6조 - Non-Buffered Event Based - Availability</v>
      </c>
      <c r="D29" s="24" t="s">
        <v>60</v>
      </c>
      <c r="E29" s="26" t="str">
        <f>"6조" &amp; " - " &amp; D$27 &amp; " - " &amp; $A29</f>
        <v>6조 - Buffered Message Based - Availability</v>
      </c>
      <c r="F29" s="1"/>
      <c r="G29" s="1"/>
    </row>
    <row r="30" spans="1:7" ht="16.5" customHeight="1">
      <c r="A30" s="4" t="s">
        <v>61</v>
      </c>
      <c r="B30" s="23" t="s">
        <v>60</v>
      </c>
      <c r="C30" s="27" t="str">
        <f>"6조" &amp; " - " &amp; B$27 &amp; " - " &amp; $A30</f>
        <v>6조 - Non-Buffered Event Based - Deployability</v>
      </c>
      <c r="D30" s="23" t="s">
        <v>60</v>
      </c>
      <c r="E30" s="27" t="str">
        <f>"6조" &amp; " - " &amp; D$27 &amp; " - " &amp; $A30</f>
        <v>6조 - Buffered Message Based - Deployability</v>
      </c>
      <c r="F30" s="1"/>
      <c r="G30" s="1"/>
    </row>
    <row r="31" spans="1:7" ht="16.5" customHeight="1">
      <c r="A31" s="4" t="s">
        <v>62</v>
      </c>
      <c r="B31" s="24" t="s">
        <v>60</v>
      </c>
      <c r="C31" s="26" t="str">
        <f>"6조" &amp; " - " &amp; B$27 &amp; " - " &amp; $A31</f>
        <v>6조 - Non-Buffered Event Based - Integrability</v>
      </c>
      <c r="D31" s="24" t="s">
        <v>60</v>
      </c>
      <c r="E31" s="26" t="str">
        <f>"6조" &amp; " - " &amp; D$27 &amp; " - " &amp; $A31</f>
        <v>6조 - Buffered Message Based - Integrability</v>
      </c>
      <c r="F31" s="1"/>
      <c r="G31" s="1"/>
    </row>
    <row r="32" spans="1:7" ht="16.5" customHeight="1">
      <c r="A32" s="4" t="s">
        <v>63</v>
      </c>
      <c r="B32" s="23" t="s">
        <v>60</v>
      </c>
      <c r="C32" s="27" t="str">
        <f>"6조" &amp; " - " &amp; B$27 &amp; " - " &amp; $A32</f>
        <v>6조 - Non-Buffered Event Based - Energy Efficiency</v>
      </c>
      <c r="D32" s="23" t="s">
        <v>60</v>
      </c>
      <c r="E32" s="27" t="str">
        <f>"6조" &amp; " - " &amp; D$27 &amp; " - " &amp; $A32</f>
        <v>6조 - Buffered Message Based - Energy Efficiency</v>
      </c>
      <c r="F32" s="1"/>
      <c r="G32" s="1"/>
    </row>
    <row r="33" spans="1:9" ht="16.5" customHeight="1">
      <c r="A33" s="4" t="s">
        <v>64</v>
      </c>
      <c r="B33" s="24" t="s">
        <v>60</v>
      </c>
      <c r="C33" s="26" t="str">
        <f>"6조" &amp; " - " &amp; B$27 &amp; " - " &amp; $A33</f>
        <v>6조 - Non-Buffered Event Based - Modifiability</v>
      </c>
      <c r="D33" s="24" t="s">
        <v>60</v>
      </c>
      <c r="E33" s="26" t="str">
        <f>"6조" &amp; " - " &amp; D$27 &amp; " - " &amp; $A33</f>
        <v>6조 - Buffered Message Based - Modifiability</v>
      </c>
      <c r="F33" s="1"/>
      <c r="G33" s="1"/>
    </row>
    <row r="34" spans="1:9" ht="16.5" customHeight="1">
      <c r="A34" s="4" t="s">
        <v>65</v>
      </c>
      <c r="B34" s="24" t="s">
        <v>60</v>
      </c>
      <c r="C34" s="26" t="str">
        <f>"6조" &amp; " - " &amp; B$27 &amp; " - " &amp; $A34</f>
        <v>6조 - Non-Buffered Event Based - Performance</v>
      </c>
      <c r="D34" s="24" t="s">
        <v>60</v>
      </c>
      <c r="E34" s="26" t="str">
        <f>"6조" &amp; " - " &amp; D$27 &amp; " - " &amp; $A34</f>
        <v>6조 - Buffered Message Based - Performance</v>
      </c>
      <c r="F34" s="1"/>
      <c r="G34" s="1"/>
    </row>
    <row r="35" spans="1:9" ht="16.5" customHeight="1">
      <c r="A35" s="4" t="s">
        <v>66</v>
      </c>
      <c r="B35" s="25" t="s">
        <v>60</v>
      </c>
      <c r="C35" s="29" t="str">
        <f>"6조" &amp; " - " &amp; B$27 &amp; " - " &amp; $A35</f>
        <v>6조 - Non-Buffered Event Based - Safety</v>
      </c>
      <c r="D35" s="25" t="s">
        <v>60</v>
      </c>
      <c r="E35" s="29" t="str">
        <f>"6조" &amp; " - " &amp; D$27 &amp; " - " &amp; $A35</f>
        <v>6조 - Buffered Message Based - Safety</v>
      </c>
      <c r="F35" s="1"/>
      <c r="G35" s="1"/>
    </row>
    <row r="36" spans="1:9" ht="16.5" customHeight="1">
      <c r="A36" s="4" t="s">
        <v>67</v>
      </c>
      <c r="B36" s="23" t="s">
        <v>60</v>
      </c>
      <c r="C36" s="27" t="str">
        <f>"6조" &amp; " - " &amp; B$27 &amp; " - " &amp; $A36</f>
        <v>6조 - Non-Buffered Event Based - Security</v>
      </c>
      <c r="D36" s="23" t="s">
        <v>60</v>
      </c>
      <c r="E36" s="27" t="str">
        <f>"6조" &amp; " - " &amp; D$27 &amp; " - " &amp; $A36</f>
        <v>6조 - Buffered Message Based - Security</v>
      </c>
      <c r="F36" s="1"/>
      <c r="G36" s="1"/>
    </row>
    <row r="37" spans="1:9" ht="16.5" customHeight="1">
      <c r="A37" s="4" t="s">
        <v>68</v>
      </c>
      <c r="B37" s="24" t="s">
        <v>60</v>
      </c>
      <c r="C37" s="26" t="str">
        <f>"6조" &amp; " - " &amp; B$27 &amp; " - " &amp; $A37</f>
        <v>6조 - Non-Buffered Event Based - Testability</v>
      </c>
      <c r="D37" s="24" t="s">
        <v>60</v>
      </c>
      <c r="E37" s="26" t="str">
        <f>"6조" &amp; " - " &amp; D$27 &amp; " - " &amp; $A37</f>
        <v>6조 - Buffered Message Based - Testability</v>
      </c>
      <c r="F37" s="1"/>
      <c r="G37" s="1"/>
    </row>
    <row r="38" spans="1:9" ht="16.5" customHeight="1">
      <c r="A38" s="4" t="s">
        <v>69</v>
      </c>
      <c r="B38" s="23" t="s">
        <v>60</v>
      </c>
      <c r="C38" s="27" t="str">
        <f>"6조" &amp; " - " &amp; B$27 &amp; " - " &amp; $A38</f>
        <v>6조 - Non-Buffered Event Based - Usability</v>
      </c>
      <c r="D38" s="23" t="s">
        <v>60</v>
      </c>
      <c r="E38" s="27" t="str">
        <f>"6조" &amp; " - " &amp; D$27 &amp; " - " &amp; $A38</f>
        <v>6조 - Buffered Message Based - Usability</v>
      </c>
      <c r="F38" s="1"/>
      <c r="G38" s="1"/>
    </row>
    <row r="39" spans="1:9" ht="16.5" customHeight="1">
      <c r="A39" s="1"/>
      <c r="B39" s="16" t="s">
        <v>60</v>
      </c>
      <c r="C39" s="16" t="s">
        <v>60</v>
      </c>
      <c r="D39" s="16" t="s">
        <v>60</v>
      </c>
      <c r="E39" s="16" t="s">
        <v>60</v>
      </c>
      <c r="F39" s="1"/>
      <c r="G39" s="1"/>
    </row>
    <row r="40" spans="1:9" ht="16.5" customHeight="1">
      <c r="A40" s="2" t="s">
        <v>76</v>
      </c>
      <c r="B40" s="33" t="s">
        <v>77</v>
      </c>
      <c r="C40" s="34"/>
      <c r="D40" s="33" t="s">
        <v>78</v>
      </c>
      <c r="E40" s="34"/>
      <c r="F40" s="1"/>
      <c r="G40" s="1"/>
      <c r="H40" s="1"/>
    </row>
    <row r="41" spans="1:9" ht="16.5" customHeight="1">
      <c r="A41" s="22"/>
      <c r="B41" s="3" t="s">
        <v>57</v>
      </c>
      <c r="C41" s="3" t="s">
        <v>58</v>
      </c>
      <c r="D41" s="3" t="s">
        <v>57</v>
      </c>
      <c r="E41" s="3" t="s">
        <v>58</v>
      </c>
      <c r="F41" s="1"/>
      <c r="G41" s="1"/>
      <c r="H41" s="1"/>
      <c r="I41" s="13"/>
    </row>
    <row r="42" spans="1:9" ht="16.5" customHeight="1">
      <c r="A42" s="4" t="s">
        <v>59</v>
      </c>
      <c r="B42" s="23" t="s">
        <v>60</v>
      </c>
      <c r="C42" s="27" t="str">
        <f>"6조" &amp; " - " &amp; B$40 &amp; " - " &amp; $A42</f>
        <v>6조 - MVC - Availability</v>
      </c>
      <c r="D42" s="23" t="s">
        <v>60</v>
      </c>
      <c r="E42" s="27" t="str">
        <f>"6조" &amp; " - " &amp; D$40 &amp; " - " &amp; $A42</f>
        <v>6조 - PAC - Availability</v>
      </c>
      <c r="F42" s="1"/>
      <c r="G42" s="1"/>
      <c r="H42" s="1"/>
    </row>
    <row r="43" spans="1:9" ht="16.5" customHeight="1">
      <c r="A43" s="4" t="s">
        <v>61</v>
      </c>
      <c r="B43" s="23" t="s">
        <v>60</v>
      </c>
      <c r="C43" s="27" t="str">
        <f>"6조" &amp; " - " &amp; B$40 &amp; " - " &amp; $A43</f>
        <v>6조 - MVC - Deployability</v>
      </c>
      <c r="D43" s="23" t="s">
        <v>60</v>
      </c>
      <c r="E43" s="27" t="str">
        <f>"6조" &amp; " - " &amp; D$40 &amp; " - " &amp; $A43</f>
        <v>6조 - PAC - Deployability</v>
      </c>
      <c r="F43" s="1"/>
      <c r="G43" s="1"/>
      <c r="H43" s="1"/>
    </row>
    <row r="44" spans="1:9" ht="16.5" customHeight="1">
      <c r="A44" s="4" t="s">
        <v>62</v>
      </c>
      <c r="B44" s="24" t="s">
        <v>60</v>
      </c>
      <c r="C44" s="26" t="str">
        <f>"6조" &amp; " - " &amp; B$40 &amp; " - " &amp; $A44</f>
        <v>6조 - MVC - Integrability</v>
      </c>
      <c r="D44" s="23" t="s">
        <v>60</v>
      </c>
      <c r="E44" s="27" t="str">
        <f>"6조" &amp; " - " &amp; D$40 &amp; " - " &amp; $A44</f>
        <v>6조 - PAC - Integrability</v>
      </c>
      <c r="F44" s="1"/>
      <c r="G44" s="1"/>
      <c r="H44" s="1"/>
    </row>
    <row r="45" spans="1:9" ht="16.5" customHeight="1">
      <c r="A45" s="4" t="s">
        <v>63</v>
      </c>
      <c r="B45" s="23" t="s">
        <v>60</v>
      </c>
      <c r="C45" s="27" t="str">
        <f>"6조" &amp; " - " &amp; B$40 &amp; " - " &amp; $A45</f>
        <v>6조 - MVC - Energy Efficiency</v>
      </c>
      <c r="D45" s="23" t="s">
        <v>60</v>
      </c>
      <c r="E45" s="27" t="str">
        <f>"6조" &amp; " - " &amp; D$40 &amp; " - " &amp; $A45</f>
        <v>6조 - PAC - Energy Efficiency</v>
      </c>
      <c r="F45" s="1"/>
      <c r="G45" s="1"/>
      <c r="H45" s="1"/>
    </row>
    <row r="46" spans="1:9" ht="16.5" customHeight="1">
      <c r="A46" s="4" t="s">
        <v>64</v>
      </c>
      <c r="B46" s="24" t="s">
        <v>60</v>
      </c>
      <c r="C46" s="26" t="str">
        <f>"6조" &amp; " - " &amp; B$40 &amp; " - " &amp; $A46</f>
        <v>6조 - MVC - Modifiability</v>
      </c>
      <c r="D46" s="23" t="s">
        <v>60</v>
      </c>
      <c r="E46" s="27" t="str">
        <f>"6조" &amp; " - " &amp; D$40 &amp; " - " &amp; $A46</f>
        <v>6조 - PAC - Modifiability</v>
      </c>
      <c r="F46" s="1"/>
      <c r="G46" s="1"/>
      <c r="H46" s="1"/>
    </row>
    <row r="47" spans="1:9" ht="16.5" customHeight="1">
      <c r="A47" s="4" t="s">
        <v>65</v>
      </c>
      <c r="B47" s="24" t="s">
        <v>60</v>
      </c>
      <c r="C47" s="26" t="str">
        <f>"6조" &amp; " - " &amp; B$40 &amp; " - " &amp; $A47</f>
        <v>6조 - MVC - Performance</v>
      </c>
      <c r="D47" s="23" t="s">
        <v>60</v>
      </c>
      <c r="E47" s="27" t="str">
        <f>"6조" &amp; " - " &amp; D$40 &amp; " - " &amp; $A47</f>
        <v>6조 - PAC - Performance</v>
      </c>
      <c r="F47" s="1"/>
      <c r="G47" s="1"/>
      <c r="H47" s="1"/>
    </row>
    <row r="48" spans="1:9" ht="16.5" customHeight="1">
      <c r="A48" s="4" t="s">
        <v>66</v>
      </c>
      <c r="B48" s="23" t="s">
        <v>60</v>
      </c>
      <c r="C48" s="27" t="str">
        <f>"6조" &amp; " - " &amp; B$40 &amp; " - " &amp; $A48</f>
        <v>6조 - MVC - Safety</v>
      </c>
      <c r="D48" s="23" t="s">
        <v>60</v>
      </c>
      <c r="E48" s="27" t="str">
        <f>"6조" &amp; " - " &amp; D$40 &amp; " - " &amp; $A48</f>
        <v>6조 - PAC - Safety</v>
      </c>
      <c r="F48" s="1"/>
      <c r="G48" s="1"/>
      <c r="H48" s="1"/>
    </row>
    <row r="49" spans="1:9" ht="16.5" customHeight="1">
      <c r="A49" s="4" t="s">
        <v>67</v>
      </c>
      <c r="B49" s="24" t="s">
        <v>60</v>
      </c>
      <c r="C49" s="26" t="str">
        <f>"6조" &amp; " - " &amp; B$40 &amp; " - " &amp; $A49</f>
        <v>6조 - MVC - Security</v>
      </c>
      <c r="D49" s="23" t="s">
        <v>60</v>
      </c>
      <c r="E49" s="27" t="str">
        <f>"6조" &amp; " - " &amp; D$40 &amp; " - " &amp; $A49</f>
        <v>6조 - PAC - Security</v>
      </c>
      <c r="F49" s="1"/>
      <c r="G49" s="1"/>
      <c r="H49" s="1"/>
    </row>
    <row r="50" spans="1:9" ht="16.5" customHeight="1">
      <c r="A50" s="4" t="s">
        <v>68</v>
      </c>
      <c r="B50" s="23" t="s">
        <v>60</v>
      </c>
      <c r="C50" s="27" t="str">
        <f>"6조" &amp; " - " &amp; B$40 &amp; " - " &amp; $A50</f>
        <v>6조 - MVC - Testability</v>
      </c>
      <c r="D50" s="23" t="s">
        <v>60</v>
      </c>
      <c r="E50" s="27" t="str">
        <f>"6조" &amp; " - " &amp; D$40 &amp; " - " &amp; $A50</f>
        <v>6조 - PAC - Testability</v>
      </c>
      <c r="F50" s="1"/>
      <c r="G50" s="16" t="s">
        <v>60</v>
      </c>
      <c r="H50" s="1"/>
      <c r="I50" s="15"/>
    </row>
    <row r="51" spans="1:9" ht="16.5" customHeight="1">
      <c r="A51" s="4" t="s">
        <v>69</v>
      </c>
      <c r="B51" s="24" t="s">
        <v>60</v>
      </c>
      <c r="C51" s="26" t="str">
        <f>"6조" &amp; " - " &amp; B$40 &amp; " - " &amp; $A51</f>
        <v>6조 - MVC - Usability</v>
      </c>
      <c r="D51" s="23" t="s">
        <v>60</v>
      </c>
      <c r="E51" s="27" t="str">
        <f>"6조" &amp; " - " &amp; D$40 &amp; " - " &amp; $A51</f>
        <v>6조 - PAC - Usability</v>
      </c>
      <c r="F51" s="1"/>
      <c r="G51" s="16" t="s">
        <v>60</v>
      </c>
      <c r="H51" s="1"/>
      <c r="I51" s="13"/>
    </row>
    <row r="52" spans="1:9" ht="16.5" customHeight="1">
      <c r="A52" s="1"/>
      <c r="B52" s="16" t="s">
        <v>60</v>
      </c>
      <c r="C52" s="1"/>
      <c r="D52" s="16" t="s">
        <v>60</v>
      </c>
      <c r="E52" s="1"/>
      <c r="F52" s="1"/>
      <c r="G52" s="1"/>
    </row>
    <row r="53" spans="1:9" ht="16.5" customHeight="1">
      <c r="A53" s="2" t="s">
        <v>79</v>
      </c>
      <c r="B53" s="35" t="s">
        <v>80</v>
      </c>
      <c r="C53" s="34"/>
      <c r="D53" s="35" t="s">
        <v>81</v>
      </c>
      <c r="E53" s="34"/>
      <c r="F53" s="1"/>
      <c r="G53" s="16" t="s">
        <v>60</v>
      </c>
      <c r="H53" s="1"/>
    </row>
    <row r="54" spans="1:9" ht="16.5" customHeight="1">
      <c r="A54" s="22"/>
      <c r="B54" s="3" t="s">
        <v>57</v>
      </c>
      <c r="C54" s="17" t="s">
        <v>58</v>
      </c>
      <c r="D54" s="3" t="s">
        <v>57</v>
      </c>
      <c r="E54" s="17" t="s">
        <v>58</v>
      </c>
      <c r="F54" s="1"/>
      <c r="G54" s="16" t="s">
        <v>60</v>
      </c>
      <c r="H54" s="1"/>
    </row>
    <row r="55" spans="1:9" ht="16.5" customHeight="1">
      <c r="A55" s="4" t="s">
        <v>59</v>
      </c>
      <c r="B55" s="23" t="s">
        <v>60</v>
      </c>
      <c r="C55" s="27" t="str">
        <f>"6조" &amp; " - " &amp; B$53 &amp; " - " &amp; $A55</f>
        <v>6조 - Main-subroutine - Availability</v>
      </c>
      <c r="D55" s="24" t="s">
        <v>60</v>
      </c>
      <c r="E55" s="26" t="str">
        <f>"6조" &amp; " - " &amp; D$53 &amp; " - " &amp; $A55</f>
        <v>6조 - Master-Slave - Availability</v>
      </c>
      <c r="F55" s="1"/>
      <c r="G55" s="16" t="s">
        <v>60</v>
      </c>
      <c r="H55" s="1"/>
    </row>
    <row r="56" spans="1:9" ht="16.5" customHeight="1">
      <c r="A56" s="4" t="s">
        <v>61</v>
      </c>
      <c r="B56" s="23" t="s">
        <v>60</v>
      </c>
      <c r="C56" s="30" t="str">
        <f>"6조" &amp; " - " &amp; B$53 &amp; " - " &amp; $A56</f>
        <v>6조 - Main-subroutine - Deployability</v>
      </c>
      <c r="D56" s="24" t="s">
        <v>60</v>
      </c>
      <c r="E56" s="26" t="str">
        <f>"6조" &amp; " - " &amp; D$53 &amp; " - " &amp; $A56</f>
        <v>6조 - Master-Slave - Deployability</v>
      </c>
      <c r="F56" s="1"/>
      <c r="G56" s="16" t="s">
        <v>60</v>
      </c>
      <c r="H56" s="1"/>
    </row>
    <row r="57" spans="1:9" ht="16.5" customHeight="1">
      <c r="A57" s="4" t="s">
        <v>62</v>
      </c>
      <c r="B57" s="23" t="s">
        <v>60</v>
      </c>
      <c r="C57" s="27" t="str">
        <f>"6조" &amp; " - " &amp; B$53 &amp; " - " &amp; $A57</f>
        <v>6조 - Main-subroutine - Integrability</v>
      </c>
      <c r="D57" s="24" t="s">
        <v>60</v>
      </c>
      <c r="E57" s="26" t="str">
        <f>"6조" &amp; " - " &amp; D$53 &amp; " - " &amp; $A57</f>
        <v>6조 - Master-Slave - Integrability</v>
      </c>
      <c r="F57" s="1"/>
      <c r="G57" s="16" t="s">
        <v>60</v>
      </c>
      <c r="H57" s="1"/>
    </row>
    <row r="58" spans="1:9" ht="16.5" customHeight="1">
      <c r="A58" s="4" t="s">
        <v>63</v>
      </c>
      <c r="B58" s="23" t="s">
        <v>60</v>
      </c>
      <c r="C58" s="27" t="str">
        <f>"6조" &amp; " - " &amp; B$53 &amp; " - " &amp; $A58</f>
        <v>6조 - Main-subroutine - Energy Efficiency</v>
      </c>
      <c r="D58" s="24" t="s">
        <v>60</v>
      </c>
      <c r="E58" s="26" t="str">
        <f>"6조" &amp; " - " &amp; D$53 &amp; " - " &amp; $A58</f>
        <v>6조 - Master-Slave - Energy Efficiency</v>
      </c>
      <c r="F58" s="1"/>
      <c r="G58" s="16" t="s">
        <v>60</v>
      </c>
      <c r="H58" s="1"/>
    </row>
    <row r="59" spans="1:9" ht="16.5" customHeight="1">
      <c r="A59" s="4" t="s">
        <v>64</v>
      </c>
      <c r="B59" s="23" t="s">
        <v>60</v>
      </c>
      <c r="C59" s="27" t="str">
        <f>"6조" &amp; " - " &amp; B$53 &amp; " - " &amp; $A59</f>
        <v>6조 - Main-subroutine - Modifiability</v>
      </c>
      <c r="D59" s="23" t="s">
        <v>60</v>
      </c>
      <c r="E59" s="27" t="str">
        <f>"6조" &amp; " - " &amp; D$53 &amp; " - " &amp; $A59</f>
        <v>6조 - Master-Slave - Modifiability</v>
      </c>
      <c r="F59" s="1"/>
      <c r="G59" s="16" t="s">
        <v>60</v>
      </c>
      <c r="H59" s="1"/>
    </row>
    <row r="60" spans="1:9" ht="16.5" customHeight="1">
      <c r="A60" s="4" t="s">
        <v>65</v>
      </c>
      <c r="B60" s="23" t="s">
        <v>60</v>
      </c>
      <c r="C60" s="27" t="str">
        <f>"6조" &amp; " - " &amp; B$53 &amp; " - " &amp; $A60</f>
        <v>6조 - Main-subroutine - Performance</v>
      </c>
      <c r="D60" s="24" t="s">
        <v>60</v>
      </c>
      <c r="E60" s="26" t="str">
        <f>"6조" &amp; " - " &amp; D$53 &amp; " - " &amp; $A60</f>
        <v>6조 - Master-Slave - Performance</v>
      </c>
      <c r="F60" s="1"/>
      <c r="G60" s="16" t="s">
        <v>60</v>
      </c>
      <c r="H60" s="1"/>
      <c r="I60" s="15"/>
    </row>
    <row r="61" spans="1:9" ht="16.5" customHeight="1">
      <c r="A61" s="4" t="s">
        <v>66</v>
      </c>
      <c r="B61" s="23" t="s">
        <v>60</v>
      </c>
      <c r="C61" s="27" t="str">
        <f>"6조" &amp; " - " &amp; B$53 &amp; " - " &amp; $A61</f>
        <v>6조 - Main-subroutine - Safety</v>
      </c>
      <c r="D61" s="23" t="s">
        <v>60</v>
      </c>
      <c r="E61" s="27" t="str">
        <f>"6조" &amp; " - " &amp; D$53 &amp; " - " &amp; $A61</f>
        <v>6조 - Master-Slave - Safety</v>
      </c>
      <c r="F61" s="1"/>
      <c r="G61" s="16" t="s">
        <v>60</v>
      </c>
      <c r="H61" s="1"/>
      <c r="I61" s="13"/>
    </row>
    <row r="62" spans="1:9" ht="16.5" customHeight="1">
      <c r="A62" s="4" t="s">
        <v>67</v>
      </c>
      <c r="B62" s="23" t="s">
        <v>60</v>
      </c>
      <c r="C62" s="27" t="str">
        <f>"6조" &amp; " - " &amp; B$53 &amp; " - " &amp; $A62</f>
        <v>6조 - Main-subroutine - Security</v>
      </c>
      <c r="D62" s="23" t="s">
        <v>60</v>
      </c>
      <c r="E62" s="27" t="str">
        <f>"6조" &amp; " - " &amp; D$53 &amp; " - " &amp; $A62</f>
        <v>6조 - Master-Slave - Security</v>
      </c>
      <c r="F62" s="1"/>
      <c r="G62" s="16" t="s">
        <v>60</v>
      </c>
      <c r="H62" s="1"/>
    </row>
    <row r="63" spans="1:9" ht="16.5" customHeight="1">
      <c r="A63" s="4" t="s">
        <v>68</v>
      </c>
      <c r="B63" s="23" t="s">
        <v>60</v>
      </c>
      <c r="C63" s="27" t="str">
        <f>"6조" &amp; " - " &amp; B$53 &amp; " - " &amp; $A63</f>
        <v>6조 - Main-subroutine - Testability</v>
      </c>
      <c r="D63" s="23" t="s">
        <v>60</v>
      </c>
      <c r="E63" s="27" t="str">
        <f>"6조" &amp; " - " &amp; D$53 &amp; " - " &amp; $A63</f>
        <v>6조 - Master-Slave - Testability</v>
      </c>
      <c r="F63" s="1"/>
      <c r="G63" s="16" t="s">
        <v>60</v>
      </c>
      <c r="H63" s="1"/>
    </row>
    <row r="64" spans="1:9" ht="16.5" customHeight="1">
      <c r="A64" s="4" t="s">
        <v>69</v>
      </c>
      <c r="B64" s="23" t="s">
        <v>60</v>
      </c>
      <c r="C64" s="27" t="str">
        <f>"6조" &amp; " - " &amp; B$53 &amp; " - " &amp; $A64</f>
        <v>6조 - Main-subroutine - Usability</v>
      </c>
      <c r="D64" s="23" t="s">
        <v>60</v>
      </c>
      <c r="E64" s="27" t="str">
        <f>"6조" &amp; " - " &amp; D$53 &amp; " - " &amp; $A64</f>
        <v>6조 - Master-Slave - Usability</v>
      </c>
      <c r="F64" s="1"/>
      <c r="G64" s="16" t="s">
        <v>60</v>
      </c>
      <c r="H64" s="1"/>
    </row>
    <row r="65" spans="1:8" ht="16.5" customHeight="1">
      <c r="A65" s="1"/>
      <c r="B65" s="16" t="s">
        <v>60</v>
      </c>
      <c r="C65" s="16" t="s">
        <v>60</v>
      </c>
      <c r="D65" s="16" t="s">
        <v>60</v>
      </c>
      <c r="E65" s="16" t="s">
        <v>60</v>
      </c>
      <c r="F65" s="1"/>
      <c r="G65" s="16" t="s">
        <v>60</v>
      </c>
      <c r="H65" s="1"/>
    </row>
    <row r="66" spans="1:8" ht="16.5" customHeight="1">
      <c r="A66" s="2" t="s">
        <v>79</v>
      </c>
      <c r="B66" s="35" t="s">
        <v>82</v>
      </c>
      <c r="C66" s="34"/>
      <c r="D66" s="35" t="s">
        <v>83</v>
      </c>
      <c r="E66" s="34"/>
      <c r="F66" s="35" t="s">
        <v>84</v>
      </c>
      <c r="G66" s="34"/>
      <c r="H66" s="1"/>
    </row>
    <row r="67" spans="1:8" ht="16.5" customHeight="1">
      <c r="A67" s="22"/>
      <c r="B67" s="3" t="s">
        <v>57</v>
      </c>
      <c r="C67" s="17" t="s">
        <v>58</v>
      </c>
      <c r="D67" s="3" t="s">
        <v>57</v>
      </c>
      <c r="E67" s="17" t="s">
        <v>58</v>
      </c>
      <c r="F67" s="3" t="s">
        <v>57</v>
      </c>
      <c r="G67" s="17" t="s">
        <v>58</v>
      </c>
      <c r="H67" s="1"/>
    </row>
    <row r="68" spans="1:8" ht="16.5" customHeight="1">
      <c r="A68" s="4" t="s">
        <v>59</v>
      </c>
      <c r="B68" s="24" t="s">
        <v>60</v>
      </c>
      <c r="C68" s="26" t="str">
        <f>"6조" &amp; " - " &amp; B$66 &amp; " - " &amp; $A68</f>
        <v>6조 - Layered - Availability</v>
      </c>
      <c r="D68" s="23" t="s">
        <v>60</v>
      </c>
      <c r="E68" s="27" t="str">
        <f>"6조" &amp; " - " &amp; D$66 &amp; " - " &amp; $A68</f>
        <v>6조 - Virtual Machine - Availability</v>
      </c>
      <c r="F68" s="23" t="s">
        <v>60</v>
      </c>
      <c r="G68" s="27" t="str">
        <f>"6조" &amp; " - " &amp; F$66 &amp; " - " &amp; $A68</f>
        <v>6조 - Microkernel - Availability</v>
      </c>
      <c r="H68" s="1"/>
    </row>
    <row r="69" spans="1:8" ht="16.5" customHeight="1">
      <c r="A69" s="4" t="s">
        <v>61</v>
      </c>
      <c r="B69" s="23" t="s">
        <v>60</v>
      </c>
      <c r="C69" s="27" t="str">
        <f>"6조" &amp; " - " &amp; B$66 &amp; " - " &amp; $A69</f>
        <v>6조 - Layered - Deployability</v>
      </c>
      <c r="D69" s="23" t="s">
        <v>60</v>
      </c>
      <c r="E69" s="30" t="str">
        <f>"6조" &amp; " - " &amp; D$66 &amp; " - " &amp; $A69</f>
        <v>6조 - Virtual Machine - Deployability</v>
      </c>
      <c r="F69" s="24" t="s">
        <v>60</v>
      </c>
      <c r="G69" s="26" t="str">
        <f>"6조" &amp; " - " &amp; F$66 &amp; " - " &amp; $A69</f>
        <v>6조 - Microkernel - Deployability</v>
      </c>
      <c r="H69" s="1"/>
    </row>
    <row r="70" spans="1:8" ht="16.5" customHeight="1">
      <c r="A70" s="4" t="s">
        <v>62</v>
      </c>
      <c r="B70" s="24" t="s">
        <v>60</v>
      </c>
      <c r="C70" s="26" t="str">
        <f>"6조" &amp; " - " &amp; B$66 &amp; " - " &amp; $A70</f>
        <v>6조 - Layered - Integrability</v>
      </c>
      <c r="D70" s="23" t="s">
        <v>60</v>
      </c>
      <c r="E70" s="27" t="str">
        <f>"6조" &amp; " - " &amp; D$66 &amp; " - " &amp; $A70</f>
        <v>6조 - Virtual Machine - Integrability</v>
      </c>
      <c r="F70" s="24" t="s">
        <v>60</v>
      </c>
      <c r="G70" s="26" t="str">
        <f>"6조" &amp; " - " &amp; F$66 &amp; " - " &amp; $A70</f>
        <v>6조 - Microkernel - Integrability</v>
      </c>
      <c r="H70" s="1"/>
    </row>
    <row r="71" spans="1:8" ht="16.5" customHeight="1">
      <c r="A71" s="4" t="s">
        <v>63</v>
      </c>
      <c r="B71" s="23" t="s">
        <v>60</v>
      </c>
      <c r="C71" s="27" t="str">
        <f>"6조" &amp; " - " &amp; B$66 &amp; " - " &amp; $A71</f>
        <v>6조 - Layered - Energy Efficiency</v>
      </c>
      <c r="D71" s="23" t="s">
        <v>60</v>
      </c>
      <c r="E71" s="27" t="str">
        <f>"6조" &amp; " - " &amp; D$66 &amp; " - " &amp; $A71</f>
        <v>6조 - Virtual Machine - Energy Efficiency</v>
      </c>
      <c r="F71" s="23" t="s">
        <v>60</v>
      </c>
      <c r="G71" s="27" t="str">
        <f>"6조" &amp; " - " &amp; F$66 &amp; " - " &amp; $A71</f>
        <v>6조 - Microkernel - Energy Efficiency</v>
      </c>
      <c r="H71" s="1"/>
    </row>
    <row r="72" spans="1:8" ht="16.5" customHeight="1">
      <c r="A72" s="4" t="s">
        <v>64</v>
      </c>
      <c r="B72" s="24" t="s">
        <v>60</v>
      </c>
      <c r="C72" s="26" t="str">
        <f>"6조" &amp; " - " &amp; B$66 &amp; " - " &amp; $A72</f>
        <v>6조 - Layered - Modifiability</v>
      </c>
      <c r="D72" s="23" t="s">
        <v>60</v>
      </c>
      <c r="E72" s="27" t="str">
        <f>"6조" &amp; " - " &amp; D$66 &amp; " - " &amp; $A72</f>
        <v>6조 - Virtual Machine - Modifiability</v>
      </c>
      <c r="F72" s="24" t="s">
        <v>60</v>
      </c>
      <c r="G72" s="26" t="str">
        <f>"6조" &amp; " - " &amp; F$66 &amp; " - " &amp; $A72</f>
        <v>6조 - Microkernel - Modifiability</v>
      </c>
      <c r="H72" s="1"/>
    </row>
    <row r="73" spans="1:8" ht="16.5" customHeight="1">
      <c r="A73" s="4" t="s">
        <v>65</v>
      </c>
      <c r="B73" s="24" t="s">
        <v>60</v>
      </c>
      <c r="C73" s="26" t="str">
        <f>"6조" &amp; " - " &amp; B$66 &amp; " - " &amp; $A73</f>
        <v>6조 - Layered - Performance</v>
      </c>
      <c r="D73" s="23" t="s">
        <v>60</v>
      </c>
      <c r="E73" s="27" t="str">
        <f>"6조" &amp; " - " &amp; D$66 &amp; " - " &amp; $A73</f>
        <v>6조 - Virtual Machine - Performance</v>
      </c>
      <c r="F73" s="24" t="s">
        <v>60</v>
      </c>
      <c r="G73" s="26" t="str">
        <f>"6조" &amp; " - " &amp; F$66 &amp; " - " &amp; $A73</f>
        <v>6조 - Microkernel - Performance</v>
      </c>
      <c r="H73" s="1"/>
    </row>
    <row r="74" spans="1:8" ht="16.5" customHeight="1">
      <c r="A74" s="4" t="s">
        <v>66</v>
      </c>
      <c r="B74" s="23" t="s">
        <v>60</v>
      </c>
      <c r="C74" s="27" t="str">
        <f>"6조" &amp; " - " &amp; B$66 &amp; " - " &amp; $A74</f>
        <v>6조 - Layered - Safety</v>
      </c>
      <c r="D74" s="23" t="s">
        <v>60</v>
      </c>
      <c r="E74" s="27" t="str">
        <f>"6조" &amp; " - " &amp; D$66 &amp; " - " &amp; $A74</f>
        <v>6조 - Virtual Machine - Safety</v>
      </c>
      <c r="F74" s="23" t="s">
        <v>60</v>
      </c>
      <c r="G74" s="27" t="str">
        <f>"6조" &amp; " - " &amp; F$66 &amp; " - " &amp; $A74</f>
        <v>6조 - Microkernel - Safety</v>
      </c>
    </row>
    <row r="75" spans="1:8" ht="16.5" customHeight="1">
      <c r="A75" s="4" t="s">
        <v>67</v>
      </c>
      <c r="B75" s="24" t="s">
        <v>60</v>
      </c>
      <c r="C75" s="26" t="str">
        <f>"6조" &amp; " - " &amp; B$66 &amp; " - " &amp; $A75</f>
        <v>6조 - Layered - Security</v>
      </c>
      <c r="D75" s="23" t="s">
        <v>60</v>
      </c>
      <c r="E75" s="27" t="str">
        <f>"6조" &amp; " - " &amp; D$66 &amp; " - " &amp; $A75</f>
        <v>6조 - Virtual Machine - Security</v>
      </c>
      <c r="F75" s="24" t="s">
        <v>60</v>
      </c>
      <c r="G75" s="26" t="str">
        <f>"6조" &amp; " - " &amp; F$66 &amp; " - " &amp; $A75</f>
        <v>6조 - Microkernel - Security</v>
      </c>
    </row>
    <row r="76" spans="1:8" ht="16.5" customHeight="1">
      <c r="A76" s="4" t="s">
        <v>68</v>
      </c>
      <c r="B76" s="24" t="s">
        <v>60</v>
      </c>
      <c r="C76" s="26" t="str">
        <f>"6조" &amp; " - " &amp; B$66 &amp; " - " &amp; $A76</f>
        <v>6조 - Layered - Testability</v>
      </c>
      <c r="D76" s="23" t="s">
        <v>60</v>
      </c>
      <c r="E76" s="27" t="str">
        <f>"6조" &amp; " - " &amp; D$66 &amp; " - " &amp; $A76</f>
        <v>6조 - Virtual Machine - Testability</v>
      </c>
      <c r="F76" s="24" t="s">
        <v>60</v>
      </c>
      <c r="G76" s="26" t="str">
        <f>"6조" &amp; " - " &amp; F$66 &amp; " - " &amp; $A76</f>
        <v>6조 - Microkernel - Testability</v>
      </c>
    </row>
    <row r="77" spans="1:8" ht="16.5" customHeight="1">
      <c r="A77" s="4" t="s">
        <v>69</v>
      </c>
      <c r="B77" s="23" t="s">
        <v>60</v>
      </c>
      <c r="C77" s="27" t="str">
        <f>"6조" &amp; " - " &amp; B$66 &amp; " - " &amp; $A77</f>
        <v>6조 - Layered - Usability</v>
      </c>
      <c r="D77" s="23" t="s">
        <v>60</v>
      </c>
      <c r="E77" s="27" t="str">
        <f>"6조" &amp; " - " &amp; D$66 &amp; " - " &amp; $A77</f>
        <v>6조 - Virtual Machine - Usability</v>
      </c>
      <c r="F77" s="23" t="s">
        <v>60</v>
      </c>
      <c r="G77" s="27" t="str">
        <f>"6조" &amp; " - " &amp; F$66 &amp; " - " &amp; $A77</f>
        <v>6조 - Microkernel - Usability</v>
      </c>
    </row>
    <row r="78" spans="1:8" ht="16.5" customHeight="1">
      <c r="A78" s="1"/>
      <c r="B78" s="16" t="s">
        <v>60</v>
      </c>
      <c r="C78" s="16" t="s">
        <v>60</v>
      </c>
      <c r="D78" s="16" t="s">
        <v>60</v>
      </c>
      <c r="E78" s="16" t="s">
        <v>60</v>
      </c>
      <c r="F78" s="16" t="s">
        <v>60</v>
      </c>
      <c r="G78" s="16" t="s">
        <v>60</v>
      </c>
    </row>
    <row r="79" spans="1:8" ht="16.5" customHeight="1">
      <c r="A79" s="31" t="s">
        <v>85</v>
      </c>
      <c r="B79" s="35" t="s">
        <v>86</v>
      </c>
      <c r="C79" s="34"/>
      <c r="D79" s="35" t="s">
        <v>87</v>
      </c>
      <c r="E79" s="34"/>
    </row>
    <row r="80" spans="1:8" ht="16.5" customHeight="1">
      <c r="A80" s="32"/>
      <c r="B80" s="3" t="s">
        <v>57</v>
      </c>
      <c r="C80" s="3" t="s">
        <v>58</v>
      </c>
      <c r="D80" s="3" t="s">
        <v>57</v>
      </c>
      <c r="E80" s="3" t="s">
        <v>58</v>
      </c>
    </row>
    <row r="81" spans="1:7" ht="16.5" customHeight="1">
      <c r="A81" s="4" t="s">
        <v>59</v>
      </c>
      <c r="B81" s="24" t="s">
        <v>60</v>
      </c>
      <c r="C81" s="26" t="str">
        <f>"6조" &amp; " - " &amp; B$79 &amp; " - " &amp; $A81</f>
        <v>6조 - Multi-tier - Availability</v>
      </c>
      <c r="D81" s="23" t="s">
        <v>60</v>
      </c>
      <c r="E81" s="27" t="str">
        <f>"6조" &amp; " - " &amp; D$79 &amp; " - " &amp; $A81</f>
        <v>6조 - Client-Server - Availability</v>
      </c>
    </row>
    <row r="82" spans="1:7" ht="16.5" customHeight="1">
      <c r="A82" s="4" t="s">
        <v>61</v>
      </c>
      <c r="B82" s="24" t="s">
        <v>60</v>
      </c>
      <c r="C82" s="26" t="str">
        <f>"6조" &amp; " - " &amp; B$79 &amp; " - " &amp; $A82</f>
        <v>6조 - Multi-tier - Deployability</v>
      </c>
      <c r="D82" s="23" t="s">
        <v>60</v>
      </c>
      <c r="E82" s="27" t="str">
        <f>"6조" &amp; " - " &amp; D$79 &amp; " - " &amp; $A82</f>
        <v>6조 - Client-Server - Deployability</v>
      </c>
    </row>
    <row r="83" spans="1:7" ht="16.5" customHeight="1">
      <c r="A83" s="4" t="s">
        <v>62</v>
      </c>
      <c r="B83" s="24" t="s">
        <v>60</v>
      </c>
      <c r="C83" s="26" t="str">
        <f>"6조" &amp; " - " &amp; B$79 &amp; " - " &amp; $A83</f>
        <v>6조 - Multi-tier - Integrability</v>
      </c>
      <c r="D83" s="23" t="s">
        <v>60</v>
      </c>
      <c r="E83" s="27" t="str">
        <f>"6조" &amp; " - " &amp; D$79 &amp; " - " &amp; $A83</f>
        <v>6조 - Client-Server - Integrability</v>
      </c>
    </row>
    <row r="84" spans="1:7" ht="16.5" customHeight="1">
      <c r="A84" s="4" t="s">
        <v>63</v>
      </c>
      <c r="B84" s="24" t="s">
        <v>60</v>
      </c>
      <c r="C84" s="26" t="str">
        <f>"6조" &amp; " - " &amp; B$79 &amp; " - " &amp; $A84</f>
        <v>6조 - Multi-tier - Energy Efficiency</v>
      </c>
      <c r="D84" s="23" t="s">
        <v>60</v>
      </c>
      <c r="E84" s="27" t="str">
        <f>"6조" &amp; " - " &amp; D$79 &amp; " - " &amp; $A84</f>
        <v>6조 - Client-Server - Energy Efficiency</v>
      </c>
    </row>
    <row r="85" spans="1:7" ht="16.5" customHeight="1">
      <c r="A85" s="4" t="s">
        <v>64</v>
      </c>
      <c r="B85" s="23" t="s">
        <v>60</v>
      </c>
      <c r="C85" s="27" t="str">
        <f>"6조" &amp; " - " &amp; B$79 &amp; " - " &amp; $A85</f>
        <v>6조 - Multi-tier - Modifiability</v>
      </c>
      <c r="D85" s="23" t="s">
        <v>60</v>
      </c>
      <c r="E85" s="27" t="str">
        <f>"6조" &amp; " - " &amp; D$79 &amp; " - " &amp; $A85</f>
        <v>6조 - Client-Server - Modifiability</v>
      </c>
    </row>
    <row r="86" spans="1:7" ht="16.5" customHeight="1">
      <c r="A86" s="4" t="s">
        <v>65</v>
      </c>
      <c r="B86" s="24" t="s">
        <v>60</v>
      </c>
      <c r="C86" s="26" t="str">
        <f>"6조" &amp; " - " &amp; B$79 &amp; " - " &amp; $A86</f>
        <v>6조 - Multi-tier - Performance</v>
      </c>
      <c r="D86" s="23" t="s">
        <v>60</v>
      </c>
      <c r="E86" s="27" t="str">
        <f>"6조" &amp; " - " &amp; D$79 &amp; " - " &amp; $A86</f>
        <v>6조 - Client-Server - Performance</v>
      </c>
    </row>
    <row r="87" spans="1:7" ht="16.5" customHeight="1">
      <c r="A87" s="4" t="s">
        <v>66</v>
      </c>
      <c r="B87" s="23" t="s">
        <v>60</v>
      </c>
      <c r="C87" s="27" t="str">
        <f>"6조" &amp; " - " &amp; B$79 &amp; " - " &amp; $A87</f>
        <v>6조 - Multi-tier - Safety</v>
      </c>
      <c r="D87" s="23" t="s">
        <v>60</v>
      </c>
      <c r="E87" s="27" t="str">
        <f>"6조" &amp; " - " &amp; D$79 &amp; " - " &amp; $A87</f>
        <v>6조 - Client-Server - Safety</v>
      </c>
    </row>
    <row r="88" spans="1:7" ht="16.5" customHeight="1">
      <c r="A88" s="4" t="s">
        <v>67</v>
      </c>
      <c r="B88" s="24" t="s">
        <v>60</v>
      </c>
      <c r="C88" s="26" t="str">
        <f>"6조" &amp; " - " &amp; B$79 &amp; " - " &amp; $A88</f>
        <v>6조 - Multi-tier - Security</v>
      </c>
      <c r="D88" s="23" t="s">
        <v>60</v>
      </c>
      <c r="E88" s="27" t="str">
        <f>"6조" &amp; " - " &amp; D$79 &amp; " - " &amp; $A88</f>
        <v>6조 - Client-Server - Security</v>
      </c>
    </row>
    <row r="89" spans="1:7" ht="16.5" customHeight="1">
      <c r="A89" s="4" t="s">
        <v>68</v>
      </c>
      <c r="B89" s="23" t="s">
        <v>60</v>
      </c>
      <c r="C89" s="27" t="str">
        <f>"6조" &amp; " - " &amp; B$79 &amp; " - " &amp; $A89</f>
        <v>6조 - Multi-tier - Testability</v>
      </c>
      <c r="D89" s="23" t="s">
        <v>60</v>
      </c>
      <c r="E89" s="27" t="str">
        <f>"6조" &amp; " - " &amp; D$79 &amp; " - " &amp; $A89</f>
        <v>6조 - Client-Server - Testability</v>
      </c>
    </row>
    <row r="90" spans="1:7" ht="16.5" customHeight="1">
      <c r="A90" s="4" t="s">
        <v>69</v>
      </c>
      <c r="B90" s="23" t="s">
        <v>60</v>
      </c>
      <c r="C90" s="27" t="str">
        <f>"6조" &amp; " - " &amp; B$79 &amp; " - " &amp; $A90</f>
        <v>6조 - Multi-tier - Usability</v>
      </c>
      <c r="D90" s="23" t="s">
        <v>60</v>
      </c>
      <c r="E90" s="27" t="str">
        <f>"6조" &amp; " - " &amp; D$79 &amp; " - " &amp; $A90</f>
        <v>6조 - Client-Server - Usability</v>
      </c>
    </row>
    <row r="91" spans="1:7" ht="16.5" customHeight="1">
      <c r="A91" s="1"/>
      <c r="B91" s="16" t="s">
        <v>60</v>
      </c>
      <c r="C91" s="1"/>
      <c r="D91" s="16" t="s">
        <v>60</v>
      </c>
      <c r="E91" s="1"/>
      <c r="F91" s="16" t="s">
        <v>60</v>
      </c>
      <c r="G91" s="1"/>
    </row>
    <row r="92" spans="1:7" ht="16.5" customHeight="1">
      <c r="A92" s="31" t="s">
        <v>85</v>
      </c>
      <c r="B92" s="35" t="s">
        <v>88</v>
      </c>
      <c r="C92" s="34"/>
      <c r="D92" s="33" t="s">
        <v>89</v>
      </c>
      <c r="E92" s="34"/>
    </row>
    <row r="93" spans="1:7" ht="16.5" customHeight="1">
      <c r="A93" s="32"/>
      <c r="B93" s="3" t="s">
        <v>57</v>
      </c>
      <c r="C93" s="3" t="s">
        <v>58</v>
      </c>
      <c r="D93" s="3" t="s">
        <v>57</v>
      </c>
      <c r="E93" s="3" t="s">
        <v>58</v>
      </c>
    </row>
    <row r="94" spans="1:7" ht="16.5" customHeight="1">
      <c r="A94" s="4" t="s">
        <v>59</v>
      </c>
      <c r="B94" s="23" t="s">
        <v>60</v>
      </c>
      <c r="C94" s="27" t="str">
        <f>"6조" &amp; " - " &amp; B$92 &amp; " - " &amp; $A94</f>
        <v>6조 - Broker - Availability</v>
      </c>
      <c r="D94" s="23" t="s">
        <v>60</v>
      </c>
      <c r="E94" s="27" t="str">
        <f>"6조" &amp; " - " &amp; D$92 &amp; " - " &amp; $A94</f>
        <v>6조 - Dispatcher - Availability</v>
      </c>
    </row>
    <row r="95" spans="1:7" ht="16.5" customHeight="1">
      <c r="A95" s="4" t="s">
        <v>61</v>
      </c>
      <c r="B95" s="23" t="s">
        <v>60</v>
      </c>
      <c r="C95" s="27" t="str">
        <f>"6조" &amp; " - " &amp; B$92 &amp; " - " &amp; $A95</f>
        <v>6조 - Broker - Deployability</v>
      </c>
      <c r="D95" s="23" t="s">
        <v>60</v>
      </c>
      <c r="E95" s="27" t="str">
        <f>"6조" &amp; " - " &amp; D$92 &amp; " - " &amp; $A95</f>
        <v>6조 - Dispatcher - Deployability</v>
      </c>
    </row>
    <row r="96" spans="1:7" ht="16.5" customHeight="1">
      <c r="A96" s="4" t="s">
        <v>62</v>
      </c>
      <c r="B96" s="23" t="s">
        <v>60</v>
      </c>
      <c r="C96" s="27" t="str">
        <f>"6조" &amp; " - " &amp; B$92 &amp; " - " &amp; $A96</f>
        <v>6조 - Broker - Integrability</v>
      </c>
      <c r="D96" s="23" t="s">
        <v>60</v>
      </c>
      <c r="E96" s="27" t="str">
        <f>"6조" &amp; " - " &amp; D$92 &amp; " - " &amp; $A96</f>
        <v>6조 - Dispatcher - Integrability</v>
      </c>
    </row>
    <row r="97" spans="1:7" ht="16.5" customHeight="1">
      <c r="A97" s="4" t="s">
        <v>63</v>
      </c>
      <c r="B97" s="23" t="s">
        <v>60</v>
      </c>
      <c r="C97" s="27" t="str">
        <f>"6조" &amp; " - " &amp; B$92 &amp; " - " &amp; $A97</f>
        <v>6조 - Broker - Energy Efficiency</v>
      </c>
      <c r="D97" s="23" t="s">
        <v>60</v>
      </c>
      <c r="E97" s="27" t="str">
        <f>"6조" &amp; " - " &amp; D$92 &amp; " - " &amp; $A97</f>
        <v>6조 - Dispatcher - Energy Efficiency</v>
      </c>
    </row>
    <row r="98" spans="1:7" ht="16.5" customHeight="1">
      <c r="A98" s="4" t="s">
        <v>64</v>
      </c>
      <c r="B98" s="23" t="s">
        <v>60</v>
      </c>
      <c r="C98" s="27" t="str">
        <f>"6조" &amp; " - " &amp; B$92 &amp; " - " &amp; $A98</f>
        <v>6조 - Broker - Modifiability</v>
      </c>
      <c r="D98" s="23" t="s">
        <v>60</v>
      </c>
      <c r="E98" s="27" t="str">
        <f>"6조" &amp; " - " &amp; D$92 &amp; " - " &amp; $A98</f>
        <v>6조 - Dispatcher - Modifiability</v>
      </c>
    </row>
    <row r="99" spans="1:7" ht="16.5" customHeight="1">
      <c r="A99" s="4" t="s">
        <v>65</v>
      </c>
      <c r="B99" s="23" t="s">
        <v>60</v>
      </c>
      <c r="C99" s="27" t="str">
        <f>"6조" &amp; " - " &amp; B$92 &amp; " - " &amp; $A99</f>
        <v>6조 - Broker - Performance</v>
      </c>
      <c r="D99" s="23" t="s">
        <v>60</v>
      </c>
      <c r="E99" s="27" t="str">
        <f>"6조" &amp; " - " &amp; D$92 &amp; " - " &amp; $A99</f>
        <v>6조 - Dispatcher - Performance</v>
      </c>
    </row>
    <row r="100" spans="1:7" ht="16.5" customHeight="1">
      <c r="A100" s="4" t="s">
        <v>66</v>
      </c>
      <c r="B100" s="23" t="s">
        <v>60</v>
      </c>
      <c r="C100" s="27" t="str">
        <f>"6조" &amp; " - " &amp; B$92 &amp; " - " &amp; $A100</f>
        <v>6조 - Broker - Safety</v>
      </c>
      <c r="D100" s="23" t="s">
        <v>60</v>
      </c>
      <c r="E100" s="27" t="str">
        <f>"6조" &amp; " - " &amp; D$92 &amp; " - " &amp; $A100</f>
        <v>6조 - Dispatcher - Safety</v>
      </c>
    </row>
    <row r="101" spans="1:7" ht="16.5" customHeight="1">
      <c r="A101" s="4" t="s">
        <v>67</v>
      </c>
      <c r="B101" s="23" t="s">
        <v>60</v>
      </c>
      <c r="C101" s="27" t="str">
        <f>"6조" &amp; " - " &amp; B$92 &amp; " - " &amp; $A101</f>
        <v>6조 - Broker - Security</v>
      </c>
      <c r="D101" s="23" t="s">
        <v>60</v>
      </c>
      <c r="E101" s="27" t="str">
        <f>"6조" &amp; " - " &amp; D$92 &amp; " - " &amp; $A101</f>
        <v>6조 - Dispatcher - Security</v>
      </c>
    </row>
    <row r="102" spans="1:7" ht="16.5" customHeight="1">
      <c r="A102" s="4" t="s">
        <v>68</v>
      </c>
      <c r="B102" s="23" t="s">
        <v>60</v>
      </c>
      <c r="C102" s="27" t="str">
        <f>"6조" &amp; " - " &amp; B$92 &amp; " - " &amp; $A102</f>
        <v>6조 - Broker - Testability</v>
      </c>
      <c r="D102" s="23" t="s">
        <v>60</v>
      </c>
      <c r="E102" s="27" t="str">
        <f>"6조" &amp; " - " &amp; D$92 &amp; " - " &amp; $A102</f>
        <v>6조 - Dispatcher - Testability</v>
      </c>
    </row>
    <row r="103" spans="1:7" ht="16.5" customHeight="1">
      <c r="A103" s="4" t="s">
        <v>69</v>
      </c>
      <c r="B103" s="23" t="s">
        <v>60</v>
      </c>
      <c r="C103" s="27" t="str">
        <f>"6조" &amp; " - " &amp; B$92 &amp; " - " &amp; $A103</f>
        <v>6조 - Broker - Usability</v>
      </c>
      <c r="D103" s="23" t="s">
        <v>60</v>
      </c>
      <c r="E103" s="27" t="str">
        <f>"6조" &amp; " - " &amp; D$92 &amp; " - " &amp; $A103</f>
        <v>6조 - Dispatcher - Usability</v>
      </c>
    </row>
    <row r="104" spans="1:7" ht="16.5" customHeight="1">
      <c r="A104" s="1"/>
      <c r="B104" s="16" t="s">
        <v>60</v>
      </c>
      <c r="C104" s="1"/>
      <c r="D104" s="16" t="s">
        <v>60</v>
      </c>
      <c r="E104" s="1"/>
      <c r="F104" s="1"/>
      <c r="G104" s="1"/>
    </row>
    <row r="105" spans="1:7" ht="16.5" customHeight="1">
      <c r="A105" s="31" t="s">
        <v>85</v>
      </c>
      <c r="B105" s="35" t="s">
        <v>51</v>
      </c>
      <c r="C105" s="34"/>
      <c r="D105" s="33" t="s">
        <v>52</v>
      </c>
      <c r="E105" s="34"/>
    </row>
    <row r="106" spans="1:7" ht="16.5" customHeight="1">
      <c r="A106" s="32"/>
      <c r="B106" s="3" t="s">
        <v>57</v>
      </c>
      <c r="C106" s="3" t="s">
        <v>58</v>
      </c>
      <c r="D106" s="3" t="s">
        <v>57</v>
      </c>
      <c r="E106" s="3" t="s">
        <v>58</v>
      </c>
    </row>
    <row r="107" spans="1:7" ht="16.5" customHeight="1">
      <c r="A107" s="4" t="s">
        <v>59</v>
      </c>
      <c r="B107" s="23" t="s">
        <v>60</v>
      </c>
      <c r="C107" s="27" t="str">
        <f>"6조" &amp; " - " &amp; B$105 &amp; " - " &amp; $A107</f>
        <v>6조 - SOA - Availability</v>
      </c>
      <c r="D107" s="23" t="s">
        <v>60</v>
      </c>
      <c r="E107" s="27" t="str">
        <f>"6조" &amp; " - " &amp; D$105 &amp; " - " &amp; $A107</f>
        <v>6조 - Mico-Service - Availability</v>
      </c>
    </row>
    <row r="108" spans="1:7" ht="16.5" customHeight="1">
      <c r="A108" s="4" t="s">
        <v>61</v>
      </c>
      <c r="B108" s="23" t="s">
        <v>60</v>
      </c>
      <c r="C108" s="27" t="str">
        <f>"6조" &amp; " - " &amp; B$105 &amp; " - " &amp; $A108</f>
        <v>6조 - SOA - Deployability</v>
      </c>
      <c r="D108" s="23" t="s">
        <v>60</v>
      </c>
      <c r="E108" s="27" t="str">
        <f>"6조" &amp; " - " &amp; D$105 &amp; " - " &amp; $A108</f>
        <v>6조 - Mico-Service - Deployability</v>
      </c>
    </row>
    <row r="109" spans="1:7" ht="16.5" customHeight="1">
      <c r="A109" s="4" t="s">
        <v>62</v>
      </c>
      <c r="B109" s="23" t="s">
        <v>60</v>
      </c>
      <c r="C109" s="27" t="str">
        <f>"6조" &amp; " - " &amp; B$105 &amp; " - " &amp; $A109</f>
        <v>6조 - SOA - Integrability</v>
      </c>
      <c r="D109" s="23" t="s">
        <v>60</v>
      </c>
      <c r="E109" s="27" t="str">
        <f>"6조" &amp; " - " &amp; D$105 &amp; " - " &amp; $A109</f>
        <v>6조 - Mico-Service - Integrability</v>
      </c>
    </row>
    <row r="110" spans="1:7" ht="16.5" customHeight="1">
      <c r="A110" s="4" t="s">
        <v>63</v>
      </c>
      <c r="B110" s="23" t="s">
        <v>60</v>
      </c>
      <c r="C110" s="27" t="str">
        <f>"6조" &amp; " - " &amp; B$105 &amp; " - " &amp; $A110</f>
        <v>6조 - SOA - Energy Efficiency</v>
      </c>
      <c r="D110" s="23" t="s">
        <v>60</v>
      </c>
      <c r="E110" s="27" t="str">
        <f>"6조" &amp; " - " &amp; D$105 &amp; " - " &amp; $A110</f>
        <v>6조 - Mico-Service - Energy Efficiency</v>
      </c>
    </row>
    <row r="111" spans="1:7" ht="16.5" customHeight="1">
      <c r="A111" s="4" t="s">
        <v>64</v>
      </c>
      <c r="B111" s="23" t="s">
        <v>60</v>
      </c>
      <c r="C111" s="27" t="str">
        <f>"6조" &amp; " - " &amp; B$105 &amp; " - " &amp; $A111</f>
        <v>6조 - SOA - Modifiability</v>
      </c>
      <c r="D111" s="23" t="s">
        <v>60</v>
      </c>
      <c r="E111" s="27" t="str">
        <f>"6조" &amp; " - " &amp; D$105 &amp; " - " &amp; $A111</f>
        <v>6조 - Mico-Service - Modifiability</v>
      </c>
    </row>
    <row r="112" spans="1:7" ht="16.5" customHeight="1">
      <c r="A112" s="4" t="s">
        <v>65</v>
      </c>
      <c r="B112" s="23" t="s">
        <v>60</v>
      </c>
      <c r="C112" s="27" t="str">
        <f>"6조" &amp; " - " &amp; B$105 &amp; " - " &amp; $A112</f>
        <v>6조 - SOA - Performance</v>
      </c>
      <c r="D112" s="23" t="s">
        <v>60</v>
      </c>
      <c r="E112" s="27" t="str">
        <f>"6조" &amp; " - " &amp; D$105 &amp; " - " &amp; $A112</f>
        <v>6조 - Mico-Service - Performance</v>
      </c>
    </row>
    <row r="113" spans="1:7" ht="16.5" customHeight="1">
      <c r="A113" s="4" t="s">
        <v>66</v>
      </c>
      <c r="B113" s="23" t="s">
        <v>60</v>
      </c>
      <c r="C113" s="27" t="str">
        <f>"6조" &amp; " - " &amp; B$105 &amp; " - " &amp; $A113</f>
        <v>6조 - SOA - Safety</v>
      </c>
      <c r="D113" s="23" t="s">
        <v>60</v>
      </c>
      <c r="E113" s="27" t="str">
        <f>"6조" &amp; " - " &amp; D$105 &amp; " - " &amp; $A113</f>
        <v>6조 - Mico-Service - Safety</v>
      </c>
    </row>
    <row r="114" spans="1:7" ht="16.5" customHeight="1">
      <c r="A114" s="4" t="s">
        <v>67</v>
      </c>
      <c r="B114" s="23" t="s">
        <v>60</v>
      </c>
      <c r="C114" s="27" t="str">
        <f>"6조" &amp; " - " &amp; B$105 &amp; " - " &amp; $A114</f>
        <v>6조 - SOA - Security</v>
      </c>
      <c r="D114" s="23" t="s">
        <v>60</v>
      </c>
      <c r="E114" s="27" t="str">
        <f>"6조" &amp; " - " &amp; D$105 &amp; " - " &amp; $A114</f>
        <v>6조 - Mico-Service - Security</v>
      </c>
    </row>
    <row r="115" spans="1:7" ht="16.5" customHeight="1">
      <c r="A115" s="4" t="s">
        <v>68</v>
      </c>
      <c r="B115" s="23" t="s">
        <v>60</v>
      </c>
      <c r="C115" s="27" t="str">
        <f>"6조" &amp; " - " &amp; B$105 &amp; " - " &amp; $A115</f>
        <v>6조 - SOA - Testability</v>
      </c>
      <c r="D115" s="23" t="s">
        <v>60</v>
      </c>
      <c r="E115" s="27" t="str">
        <f>"6조" &amp; " - " &amp; D$105 &amp; " - " &amp; $A115</f>
        <v>6조 - Mico-Service - Testability</v>
      </c>
    </row>
    <row r="116" spans="1:7" ht="16.5" customHeight="1">
      <c r="A116" s="4" t="s">
        <v>69</v>
      </c>
      <c r="B116" s="23" t="s">
        <v>60</v>
      </c>
      <c r="C116" s="27" t="str">
        <f>"6조" &amp; " - " &amp; B$105 &amp; " - " &amp; $A116</f>
        <v>6조 - SOA - Usability</v>
      </c>
      <c r="D116" s="23" t="s">
        <v>60</v>
      </c>
      <c r="E116" s="27" t="str">
        <f>"6조" &amp; " - " &amp; D$105 &amp; " - " &amp; $A116</f>
        <v>6조 - Mico-Service - Usability</v>
      </c>
    </row>
    <row r="117" spans="1:7" ht="16.5" customHeight="1">
      <c r="A117" s="1"/>
      <c r="B117" s="16" t="s">
        <v>60</v>
      </c>
      <c r="C117" s="1"/>
      <c r="D117" s="16" t="s">
        <v>60</v>
      </c>
      <c r="E117" s="1"/>
      <c r="F117" s="1"/>
      <c r="G117" s="1"/>
    </row>
    <row r="118" spans="1:7" ht="16.5" customHeight="1">
      <c r="A118" s="31" t="s">
        <v>90</v>
      </c>
      <c r="B118" s="33" t="s">
        <v>91</v>
      </c>
      <c r="C118" s="34"/>
      <c r="D118" s="33" t="s">
        <v>92</v>
      </c>
      <c r="E118" s="34"/>
      <c r="F118" s="33" t="s">
        <v>93</v>
      </c>
      <c r="G118" s="34"/>
    </row>
    <row r="119" spans="1:7" ht="16.5" customHeight="1">
      <c r="A119" s="32"/>
      <c r="B119" s="3" t="s">
        <v>57</v>
      </c>
      <c r="C119" s="3" t="s">
        <v>58</v>
      </c>
      <c r="D119" s="3" t="s">
        <v>57</v>
      </c>
      <c r="E119" s="3" t="s">
        <v>58</v>
      </c>
      <c r="F119" s="3" t="s">
        <v>57</v>
      </c>
      <c r="G119" s="3" t="s">
        <v>58</v>
      </c>
    </row>
    <row r="120" spans="1:7" ht="16.5" customHeight="1">
      <c r="A120" s="4" t="s">
        <v>59</v>
      </c>
      <c r="B120" s="24" t="s">
        <v>60</v>
      </c>
      <c r="C120" s="26" t="str">
        <f>"6조" &amp; " - " &amp; B$118 &amp; " - " &amp; $A120</f>
        <v>6조 - Container-based - Availability</v>
      </c>
      <c r="D120" s="24" t="s">
        <v>60</v>
      </c>
      <c r="E120" s="26" t="str">
        <f>"6조" &amp; " - " &amp; D$118 &amp; " - " &amp; $A120</f>
        <v>6조 - Cloud-based - Availability</v>
      </c>
      <c r="F120" s="24" t="s">
        <v>60</v>
      </c>
      <c r="G120" s="26" t="str">
        <f>"6조" &amp; " - " &amp; F$118 &amp; " - " &amp; $A120</f>
        <v>6조 - Edge-based - Availability</v>
      </c>
    </row>
    <row r="121" spans="1:7" ht="16.5" customHeight="1">
      <c r="A121" s="4" t="s">
        <v>61</v>
      </c>
      <c r="B121" s="24" t="s">
        <v>60</v>
      </c>
      <c r="C121" s="26" t="str">
        <f>"6조" &amp; " - " &amp; B$118 &amp; " - " &amp; $A121</f>
        <v>6조 - Container-based - Deployability</v>
      </c>
      <c r="D121" s="24" t="s">
        <v>60</v>
      </c>
      <c r="E121" s="26" t="str">
        <f>"6조" &amp; " - " &amp; D$118 &amp; " - " &amp; $A121</f>
        <v>6조 - Cloud-based - Deployability</v>
      </c>
      <c r="F121" s="24" t="s">
        <v>60</v>
      </c>
      <c r="G121" s="26" t="str">
        <f>"6조" &amp; " - " &amp; F$118 &amp; " - " &amp; $A121</f>
        <v>6조 - Edge-based - Deployability</v>
      </c>
    </row>
    <row r="122" spans="1:7" ht="16.5" customHeight="1">
      <c r="A122" s="4" t="s">
        <v>62</v>
      </c>
      <c r="B122" s="24" t="s">
        <v>60</v>
      </c>
      <c r="C122" s="26" t="str">
        <f>"6조" &amp; " - " &amp; B$118 &amp; " - " &amp; $A122</f>
        <v>6조 - Container-based - Integrability</v>
      </c>
      <c r="D122" s="24" t="s">
        <v>60</v>
      </c>
      <c r="E122" s="26" t="str">
        <f>"6조" &amp; " - " &amp; D$118 &amp; " - " &amp; $A122</f>
        <v>6조 - Cloud-based - Integrability</v>
      </c>
      <c r="F122" s="24" t="s">
        <v>60</v>
      </c>
      <c r="G122" s="26" t="str">
        <f>"6조" &amp; " - " &amp; F$118 &amp; " - " &amp; $A122</f>
        <v>6조 - Edge-based - Integrability</v>
      </c>
    </row>
    <row r="123" spans="1:7" ht="16.5" customHeight="1">
      <c r="A123" s="4" t="s">
        <v>63</v>
      </c>
      <c r="B123" s="23" t="s">
        <v>60</v>
      </c>
      <c r="C123" s="27" t="str">
        <f>"6조" &amp; " - " &amp; B$118 &amp; " - " &amp; $A123</f>
        <v>6조 - Container-based - Energy Efficiency</v>
      </c>
      <c r="D123" s="23" t="s">
        <v>60</v>
      </c>
      <c r="E123" s="27" t="str">
        <f>"6조" &amp; " - " &amp; D$118 &amp; " - " &amp; $A123</f>
        <v>6조 - Cloud-based - Energy Efficiency</v>
      </c>
      <c r="F123" s="24" t="s">
        <v>60</v>
      </c>
      <c r="G123" s="26" t="str">
        <f>"6조" &amp; " - " &amp; F$118 &amp; " - " &amp; $A123</f>
        <v>6조 - Edge-based - Energy Efficiency</v>
      </c>
    </row>
    <row r="124" spans="1:7" ht="16.5" customHeight="1">
      <c r="A124" s="4" t="s">
        <v>64</v>
      </c>
      <c r="B124" s="24" t="s">
        <v>60</v>
      </c>
      <c r="C124" s="26" t="str">
        <f>"6조" &amp; " - " &amp; B$118 &amp; " - " &amp; $A124</f>
        <v>6조 - Container-based - Modifiability</v>
      </c>
      <c r="D124" s="23" t="s">
        <v>60</v>
      </c>
      <c r="E124" s="27" t="str">
        <f>"6조" &amp; " - " &amp; D$118 &amp; " - " &amp; $A124</f>
        <v>6조 - Cloud-based - Modifiability</v>
      </c>
      <c r="F124" s="24" t="s">
        <v>60</v>
      </c>
      <c r="G124" s="26" t="str">
        <f>"6조" &amp; " - " &amp; F$118 &amp; " - " &amp; $A124</f>
        <v>6조 - Edge-based - Modifiability</v>
      </c>
    </row>
    <row r="125" spans="1:7" ht="16.5" customHeight="1">
      <c r="A125" s="4" t="s">
        <v>65</v>
      </c>
      <c r="B125" s="24" t="s">
        <v>60</v>
      </c>
      <c r="C125" s="26" t="str">
        <f>"6조" &amp; " - " &amp; B$118 &amp; " - " &amp; $A125</f>
        <v>6조 - Container-based - Performance</v>
      </c>
      <c r="D125" s="24" t="s">
        <v>60</v>
      </c>
      <c r="E125" s="26" t="str">
        <f>"6조" &amp; " - " &amp; D$118 &amp; " - " &amp; $A125</f>
        <v>6조 - Cloud-based - Performance</v>
      </c>
      <c r="F125" s="24" t="s">
        <v>60</v>
      </c>
      <c r="G125" s="26" t="str">
        <f>"6조" &amp; " - " &amp; F$118 &amp; " - " &amp; $A125</f>
        <v>6조 - Edge-based - Performance</v>
      </c>
    </row>
    <row r="126" spans="1:7" ht="16.5" customHeight="1">
      <c r="A126" s="4" t="s">
        <v>66</v>
      </c>
      <c r="B126" s="23" t="s">
        <v>60</v>
      </c>
      <c r="C126" s="27" t="str">
        <f>"6조" &amp; " - " &amp; B$118 &amp; " - " &amp; $A126</f>
        <v>6조 - Container-based - Safety</v>
      </c>
      <c r="D126" s="23" t="s">
        <v>60</v>
      </c>
      <c r="E126" s="27" t="str">
        <f>"6조" &amp; " - " &amp; D$118 &amp; " - " &amp; $A126</f>
        <v>6조 - Cloud-based - Safety</v>
      </c>
      <c r="F126" s="23" t="s">
        <v>60</v>
      </c>
      <c r="G126" s="27" t="str">
        <f>"6조" &amp; " - " &amp; F$118 &amp; " - " &amp; $A126</f>
        <v>6조 - Edge-based - Safety</v>
      </c>
    </row>
    <row r="127" spans="1:7" ht="16.5" customHeight="1">
      <c r="A127" s="4" t="s">
        <v>67</v>
      </c>
      <c r="B127" s="23" t="s">
        <v>60</v>
      </c>
      <c r="C127" s="27" t="str">
        <f>"6조" &amp; " - " &amp; B$118 &amp; " - " &amp; $A127</f>
        <v>6조 - Container-based - Security</v>
      </c>
      <c r="D127" s="24" t="s">
        <v>60</v>
      </c>
      <c r="E127" s="26" t="str">
        <f>"6조" &amp; " - " &amp; D$118 &amp; " - " &amp; $A127</f>
        <v>6조 - Cloud-based - Security</v>
      </c>
      <c r="F127" s="24" t="s">
        <v>60</v>
      </c>
      <c r="G127" s="26" t="str">
        <f>"6조" &amp; " - " &amp; F$118 &amp; " - " &amp; $A127</f>
        <v>6조 - Edge-based - Security</v>
      </c>
    </row>
    <row r="128" spans="1:7" ht="16.5" customHeight="1">
      <c r="A128" s="4" t="s">
        <v>68</v>
      </c>
      <c r="B128" s="24" t="s">
        <v>60</v>
      </c>
      <c r="C128" s="26" t="str">
        <f>"6조" &amp; " - " &amp; B$118 &amp; " - " &amp; $A128</f>
        <v>6조 - Container-based - Testability</v>
      </c>
      <c r="D128" s="24" t="s">
        <v>60</v>
      </c>
      <c r="E128" s="26" t="str">
        <f>"6조" &amp; " - " &amp; D$118 &amp; " - " &amp; $A128</f>
        <v>6조 - Cloud-based - Testability</v>
      </c>
      <c r="F128" s="24" t="s">
        <v>60</v>
      </c>
      <c r="G128" s="26" t="str">
        <f>"6조" &amp; " - " &amp; F$118 &amp; " - " &amp; $A128</f>
        <v>6조 - Edge-based - Testability</v>
      </c>
    </row>
    <row r="129" spans="1:7" ht="16.5" customHeight="1">
      <c r="A129" s="4" t="s">
        <v>69</v>
      </c>
      <c r="B129" s="23" t="s">
        <v>60</v>
      </c>
      <c r="C129" s="27" t="str">
        <f>"6조" &amp; " - " &amp; B$118 &amp; " - " &amp; $A129</f>
        <v>6조 - Container-based - Usability</v>
      </c>
      <c r="D129" s="23" t="s">
        <v>60</v>
      </c>
      <c r="E129" s="27" t="str">
        <f>"6조" &amp; " - " &amp; D$118 &amp; " - " &amp; $A129</f>
        <v>6조 - Cloud-based - Usability</v>
      </c>
      <c r="F129" s="23" t="s">
        <v>60</v>
      </c>
      <c r="G129" s="27" t="str">
        <f>"6조" &amp; " - " &amp; F$118 &amp; " - " &amp; $A129</f>
        <v>6조 - Edge-based - Usability</v>
      </c>
    </row>
    <row r="130" spans="1:7" ht="16.5" customHeight="1"/>
    <row r="131" spans="1:7" ht="16.5" customHeight="1"/>
    <row r="132" spans="1:7" ht="16.5" customHeight="1"/>
    <row r="133" spans="1:7" ht="16.5" customHeight="1"/>
    <row r="134" spans="1:7" ht="16.5" customHeight="1"/>
    <row r="135" spans="1:7" ht="16.5" customHeight="1"/>
    <row r="136" spans="1:7" ht="16.5" customHeight="1"/>
    <row r="137" spans="1:7" ht="16.5" customHeight="1"/>
    <row r="138" spans="1:7" ht="16.5" customHeight="1"/>
    <row r="139" spans="1:7" ht="16.5" customHeight="1"/>
    <row r="140" spans="1:7" ht="16.5" customHeight="1"/>
    <row r="141" spans="1:7" ht="16.5" customHeight="1"/>
    <row r="142" spans="1:7" ht="16.5" customHeight="1"/>
    <row r="143" spans="1:7" ht="16.5" customHeight="1"/>
    <row r="144" spans="1:7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8">
    <mergeCell ref="A118:A119"/>
    <mergeCell ref="B118:C118"/>
    <mergeCell ref="D118:E118"/>
    <mergeCell ref="F118:G118"/>
    <mergeCell ref="D66:E66"/>
    <mergeCell ref="F66:G66"/>
    <mergeCell ref="D92:E92"/>
    <mergeCell ref="A105:A106"/>
    <mergeCell ref="B105:C105"/>
    <mergeCell ref="D105:E105"/>
    <mergeCell ref="B66:C66"/>
    <mergeCell ref="A79:A80"/>
    <mergeCell ref="B79:C79"/>
    <mergeCell ref="D79:E79"/>
    <mergeCell ref="A92:A93"/>
    <mergeCell ref="B92:C92"/>
    <mergeCell ref="D27:E27"/>
    <mergeCell ref="B27:C27"/>
    <mergeCell ref="B40:C40"/>
    <mergeCell ref="D40:E40"/>
    <mergeCell ref="B53:C53"/>
    <mergeCell ref="D53:E53"/>
    <mergeCell ref="A1:A2"/>
    <mergeCell ref="B1:C1"/>
    <mergeCell ref="D1:E1"/>
    <mergeCell ref="F1:G1"/>
    <mergeCell ref="B14:C14"/>
    <mergeCell ref="D14:E14"/>
  </mergeCells>
  <phoneticPr fontId="7" type="noConversion"/>
  <dataValidations count="1">
    <dataValidation type="list" allowBlank="1" showErrorMessage="1" sqref="B3:B12 D3:D12 F3:F12 B14 D14 B16:B25 D16:D25 B27 D27 B29:B38 D29:D38 B42:B51 D42:D51 B53 D53 B55:B64 D55:D64 B66 D66 F66 B68:B77 D68:D77 B79 D79 F68:F78 B81:B90 D81:D90 B92 B94:B103 F120:F129 B120:B129 D120:D129 D94:D103 D107:D116 B107:B116" xr:uid="{F5AE4A6D-AD8D-48DB-9F55-A32669DBC3E9}">
      <formula1>"'++,'+,'0,'-,'--"</formula1>
    </dataValidation>
  </dataValidations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999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/>
  <cols>
    <col min="1" max="1" width="18" customWidth="1"/>
    <col min="2" max="2" width="14.7109375" customWidth="1"/>
    <col min="3" max="3" width="70.5703125" customWidth="1"/>
    <col min="4" max="4" width="9.85546875" customWidth="1"/>
    <col min="5" max="5" width="64.42578125" customWidth="1"/>
    <col min="6" max="6" width="11.42578125" customWidth="1"/>
    <col min="7" max="7" width="61.5703125" customWidth="1"/>
    <col min="8" max="8" width="8.85546875" customWidth="1"/>
    <col min="9" max="9" width="64.140625" customWidth="1"/>
    <col min="10" max="26" width="8.85546875" customWidth="1"/>
  </cols>
  <sheetData>
    <row r="1" spans="1:7" ht="16.5" customHeight="1">
      <c r="A1" s="31" t="s">
        <v>53</v>
      </c>
      <c r="B1" s="33" t="s">
        <v>54</v>
      </c>
      <c r="C1" s="34"/>
      <c r="D1" s="33" t="s">
        <v>55</v>
      </c>
      <c r="E1" s="34"/>
      <c r="F1" s="33" t="s">
        <v>56</v>
      </c>
      <c r="G1" s="34"/>
    </row>
    <row r="2" spans="1:7" ht="16.5" customHeight="1">
      <c r="A2" s="32"/>
      <c r="B2" s="3" t="s">
        <v>57</v>
      </c>
      <c r="C2" s="3" t="s">
        <v>58</v>
      </c>
      <c r="D2" s="3" t="s">
        <v>57</v>
      </c>
      <c r="E2" s="3" t="s">
        <v>58</v>
      </c>
      <c r="F2" s="3" t="s">
        <v>57</v>
      </c>
      <c r="G2" s="3" t="s">
        <v>58</v>
      </c>
    </row>
    <row r="3" spans="1:7" ht="16.5" customHeight="1">
      <c r="A3" s="4" t="s">
        <v>59</v>
      </c>
      <c r="B3" s="24" t="s">
        <v>60</v>
      </c>
      <c r="C3" s="26" t="str">
        <f>"7조" &amp; " - " &amp; B$1 &amp; " - " &amp; $A3</f>
        <v>7조 - Batch Sequential - Availability</v>
      </c>
      <c r="D3" s="24" t="s">
        <v>60</v>
      </c>
      <c r="E3" s="26" t="str">
        <f>"7조" &amp; " - " &amp; D$1 &amp; " - " &amp; $A3</f>
        <v>7조 - Pipe and Filter - Availability</v>
      </c>
      <c r="F3" s="23" t="s">
        <v>60</v>
      </c>
      <c r="G3" s="27" t="str">
        <f>"7조" &amp; " - " &amp; F$1 &amp; " - " &amp; $A3</f>
        <v>7조 - Process Control - Availability</v>
      </c>
    </row>
    <row r="4" spans="1:7" ht="16.5" customHeight="1">
      <c r="A4" s="4" t="s">
        <v>61</v>
      </c>
      <c r="B4" s="24" t="s">
        <v>60</v>
      </c>
      <c r="C4" s="26" t="str">
        <f>"7조" &amp; " - " &amp; B$1 &amp; " - " &amp; $A4</f>
        <v>7조 - Batch Sequential - Deployability</v>
      </c>
      <c r="D4" s="24" t="s">
        <v>60</v>
      </c>
      <c r="E4" s="26" t="str">
        <f>"7조" &amp; " - " &amp; D$1 &amp; " - " &amp; $A4</f>
        <v>7조 - Pipe and Filter - Deployability</v>
      </c>
      <c r="F4" s="23" t="s">
        <v>60</v>
      </c>
      <c r="G4" s="27" t="str">
        <f>"7조" &amp; " - " &amp; F$1 &amp; " - " &amp; $A4</f>
        <v>7조 - Process Control - Deployability</v>
      </c>
    </row>
    <row r="5" spans="1:7" ht="16.5" customHeight="1">
      <c r="A5" s="4" t="s">
        <v>62</v>
      </c>
      <c r="B5" s="23" t="s">
        <v>60</v>
      </c>
      <c r="C5" s="26" t="str">
        <f>"7조" &amp; " - " &amp; B$1 &amp; " - " &amp; $A5</f>
        <v>7조 - Batch Sequential - Integrability</v>
      </c>
      <c r="D5" s="24" t="s">
        <v>60</v>
      </c>
      <c r="E5" s="28" t="str">
        <f>"7조" &amp; " - " &amp; D$1 &amp; " - " &amp; $A5</f>
        <v>7조 - Pipe and Filter - Integrability</v>
      </c>
      <c r="F5" s="23" t="s">
        <v>60</v>
      </c>
      <c r="G5" s="27" t="str">
        <f>"7조" &amp; " - " &amp; F$1 &amp; " - " &amp; $A5</f>
        <v>7조 - Process Control - Integrability</v>
      </c>
    </row>
    <row r="6" spans="1:7" ht="16.5" customHeight="1">
      <c r="A6" s="4" t="s">
        <v>63</v>
      </c>
      <c r="B6" s="24" t="s">
        <v>60</v>
      </c>
      <c r="C6" s="26" t="str">
        <f>"7조" &amp; " - " &amp; B$1 &amp; " - " &amp; $A6</f>
        <v>7조 - Batch Sequential - Energy Efficiency</v>
      </c>
      <c r="D6" s="23" t="s">
        <v>60</v>
      </c>
      <c r="E6" s="27" t="str">
        <f>"7조" &amp; " - " &amp; D$1 &amp; " - " &amp; $A6</f>
        <v>7조 - Pipe and Filter - Energy Efficiency</v>
      </c>
      <c r="F6" s="23" t="s">
        <v>60</v>
      </c>
      <c r="G6" s="27" t="str">
        <f>"7조" &amp; " - " &amp; F$1 &amp; " - " &amp; $A6</f>
        <v>7조 - Process Control - Energy Efficiency</v>
      </c>
    </row>
    <row r="7" spans="1:7" ht="16.5" customHeight="1">
      <c r="A7" s="4" t="s">
        <v>64</v>
      </c>
      <c r="B7" s="24" t="s">
        <v>60</v>
      </c>
      <c r="C7" s="26" t="str">
        <f>"7조" &amp; " - " &amp; B$1 &amp; " - " &amp; $A7</f>
        <v>7조 - Batch Sequential - Modifiability</v>
      </c>
      <c r="D7" s="24" t="s">
        <v>60</v>
      </c>
      <c r="E7" s="26" t="str">
        <f>"7조" &amp; " - " &amp; D$1 &amp; " - " &amp; $A7</f>
        <v>7조 - Pipe and Filter - Modifiability</v>
      </c>
      <c r="F7" s="23" t="s">
        <v>60</v>
      </c>
      <c r="G7" s="27" t="str">
        <f>"7조" &amp; " - " &amp; F$1 &amp; " - " &amp; $A7</f>
        <v>7조 - Process Control - Modifiability</v>
      </c>
    </row>
    <row r="8" spans="1:7" ht="16.5" customHeight="1">
      <c r="A8" s="4" t="s">
        <v>65</v>
      </c>
      <c r="B8" s="24" t="s">
        <v>60</v>
      </c>
      <c r="C8" s="26" t="str">
        <f>"7조" &amp; " - " &amp; B$1 &amp; " - " &amp; $A8</f>
        <v>7조 - Batch Sequential - Performance</v>
      </c>
      <c r="D8" s="24" t="s">
        <v>60</v>
      </c>
      <c r="E8" s="26" t="str">
        <f>"7조" &amp; " - " &amp; D$1 &amp; " - " &amp; $A8</f>
        <v>7조 - Pipe and Filter - Performance</v>
      </c>
      <c r="F8" s="23" t="s">
        <v>60</v>
      </c>
      <c r="G8" s="27" t="str">
        <f>"7조" &amp; " - " &amp; F$1 &amp; " - " &amp; $A8</f>
        <v>7조 - Process Control - Performance</v>
      </c>
    </row>
    <row r="9" spans="1:7" ht="16.5" customHeight="1">
      <c r="A9" s="4" t="s">
        <v>66</v>
      </c>
      <c r="B9" s="23" t="s">
        <v>60</v>
      </c>
      <c r="C9" s="26" t="str">
        <f>"7조" &amp; " - " &amp; B$1 &amp; " - " &amp; $A9</f>
        <v>7조 - Batch Sequential - Safety</v>
      </c>
      <c r="D9" s="23" t="s">
        <v>60</v>
      </c>
      <c r="E9" s="27" t="str">
        <f>"7조" &amp; " - " &amp; D$1 &amp; " - " &amp; $A9</f>
        <v>7조 - Pipe and Filter - Safety</v>
      </c>
      <c r="F9" s="23" t="s">
        <v>60</v>
      </c>
      <c r="G9" s="27" t="str">
        <f>"7조" &amp; " - " &amp; F$1 &amp; " - " &amp; $A9</f>
        <v>7조 - Process Control - Safety</v>
      </c>
    </row>
    <row r="10" spans="1:7" ht="16.5" customHeight="1">
      <c r="A10" s="4" t="s">
        <v>67</v>
      </c>
      <c r="B10" s="24" t="s">
        <v>60</v>
      </c>
      <c r="C10" s="26" t="str">
        <f>"7조" &amp; " - " &amp; B$1 &amp; " - " &amp; $A10</f>
        <v>7조 - Batch Sequential - Security</v>
      </c>
      <c r="D10" s="24" t="s">
        <v>60</v>
      </c>
      <c r="E10" s="26" t="str">
        <f>"7조" &amp; " - " &amp; D$1 &amp; " - " &amp; $A10</f>
        <v>7조 - Pipe and Filter - Security</v>
      </c>
      <c r="F10" s="23" t="s">
        <v>60</v>
      </c>
      <c r="G10" s="27" t="str">
        <f>"7조" &amp; " - " &amp; F$1 &amp; " - " &amp; $A10</f>
        <v>7조 - Process Control - Security</v>
      </c>
    </row>
    <row r="11" spans="1:7" ht="16.5" customHeight="1">
      <c r="A11" s="4" t="s">
        <v>68</v>
      </c>
      <c r="B11" s="24" t="s">
        <v>60</v>
      </c>
      <c r="C11" s="26" t="str">
        <f>"7조" &amp; " - " &amp; B$1 &amp; " - " &amp; $A11</f>
        <v>7조 - Batch Sequential - Testability</v>
      </c>
      <c r="D11" s="24" t="s">
        <v>60</v>
      </c>
      <c r="E11" s="26" t="str">
        <f>"7조" &amp; " - " &amp; D$1 &amp; " - " &amp; $A11</f>
        <v>7조 - Pipe and Filter - Testability</v>
      </c>
      <c r="F11" s="23" t="s">
        <v>60</v>
      </c>
      <c r="G11" s="27" t="str">
        <f>"7조" &amp; " - " &amp; F$1 &amp; " - " &amp; $A11</f>
        <v>7조 - Process Control - Testability</v>
      </c>
    </row>
    <row r="12" spans="1:7" ht="16.5" customHeight="1">
      <c r="A12" s="4" t="s">
        <v>69</v>
      </c>
      <c r="B12" s="23" t="s">
        <v>60</v>
      </c>
      <c r="C12" s="26" t="str">
        <f>"7조" &amp; " - " &amp; B$1 &amp; " - " &amp; $A12</f>
        <v>7조 - Batch Sequential - Usability</v>
      </c>
      <c r="D12" s="23" t="s">
        <v>60</v>
      </c>
      <c r="E12" s="27" t="str">
        <f>"7조" &amp; " - " &amp; D$1 &amp; " - " &amp; $A12</f>
        <v>7조 - Pipe and Filter - Usability</v>
      </c>
      <c r="F12" s="23" t="s">
        <v>60</v>
      </c>
      <c r="G12" s="27" t="str">
        <f>"7조" &amp; " - " &amp; F$1 &amp; " - " &amp; $A12</f>
        <v>7조 - Process Control - Usability</v>
      </c>
    </row>
    <row r="13" spans="1:7" ht="16.5" customHeight="1">
      <c r="A13" s="1"/>
      <c r="B13" s="16" t="s">
        <v>60</v>
      </c>
      <c r="C13" s="16" t="s">
        <v>60</v>
      </c>
      <c r="D13" s="16" t="s">
        <v>60</v>
      </c>
      <c r="E13" s="16" t="s">
        <v>60</v>
      </c>
      <c r="F13" s="16" t="s">
        <v>60</v>
      </c>
      <c r="G13" s="1"/>
    </row>
    <row r="14" spans="1:7" ht="16.5" customHeight="1">
      <c r="A14" s="2" t="s">
        <v>70</v>
      </c>
      <c r="B14" s="35" t="s">
        <v>71</v>
      </c>
      <c r="C14" s="34"/>
      <c r="D14" s="35" t="s">
        <v>72</v>
      </c>
      <c r="E14" s="34"/>
      <c r="F14" s="1"/>
      <c r="G14" s="1"/>
    </row>
    <row r="15" spans="1:7" ht="16.5" customHeight="1">
      <c r="A15" s="19"/>
      <c r="B15" s="20" t="s">
        <v>57</v>
      </c>
      <c r="C15" s="21" t="s">
        <v>58</v>
      </c>
      <c r="D15" s="20" t="s">
        <v>57</v>
      </c>
      <c r="E15" s="21" t="s">
        <v>58</v>
      </c>
      <c r="F15" s="1"/>
      <c r="G15" s="1"/>
    </row>
    <row r="16" spans="1:7" ht="16.5" customHeight="1">
      <c r="A16" s="4" t="s">
        <v>59</v>
      </c>
      <c r="B16" s="24" t="s">
        <v>60</v>
      </c>
      <c r="C16" s="26" t="str">
        <f>"7조" &amp; " - " &amp; B$14 &amp; " - " &amp; $A16</f>
        <v>7조 - Shared Respository - Availability</v>
      </c>
      <c r="D16" s="23" t="s">
        <v>60</v>
      </c>
      <c r="E16" s="27" t="str">
        <f>"7조" &amp; " - " &amp; D$14 &amp; " - " &amp; $A16</f>
        <v>7조 - Blackboard - Availability</v>
      </c>
      <c r="F16" s="1"/>
      <c r="G16" s="1"/>
    </row>
    <row r="17" spans="1:7" ht="16.5" customHeight="1">
      <c r="A17" s="4" t="s">
        <v>61</v>
      </c>
      <c r="B17" s="24" t="s">
        <v>60</v>
      </c>
      <c r="C17" s="26" t="str">
        <f>"7조" &amp; " - " &amp; B$14 &amp; " - " &amp; $A17</f>
        <v>7조 - Shared Respository - Deployability</v>
      </c>
      <c r="D17" s="23" t="s">
        <v>60</v>
      </c>
      <c r="E17" s="27" t="str">
        <f>"7조" &amp; " - " &amp; D$14 &amp; " - " &amp; $A17</f>
        <v>7조 - Blackboard - Deployability</v>
      </c>
      <c r="F17" s="1"/>
      <c r="G17" s="1"/>
    </row>
    <row r="18" spans="1:7" ht="16.5" customHeight="1">
      <c r="A18" s="4" t="s">
        <v>62</v>
      </c>
      <c r="B18" s="24" t="s">
        <v>60</v>
      </c>
      <c r="C18" s="26" t="str">
        <f>"7조" &amp; " - " &amp; B$14 &amp; " - " &amp; $A18</f>
        <v>7조 - Shared Respository - Integrability</v>
      </c>
      <c r="D18" s="23" t="s">
        <v>60</v>
      </c>
      <c r="E18" s="27" t="str">
        <f>"7조" &amp; " - " &amp; D$14 &amp; " - " &amp; $A18</f>
        <v>7조 - Blackboard - Integrability</v>
      </c>
      <c r="F18" s="1"/>
      <c r="G18" s="1"/>
    </row>
    <row r="19" spans="1:7" ht="16.5" customHeight="1">
      <c r="A19" s="4" t="s">
        <v>63</v>
      </c>
      <c r="B19" s="23" t="s">
        <v>60</v>
      </c>
      <c r="C19" s="27" t="str">
        <f>"7조" &amp; " - " &amp; B$14 &amp; " - " &amp; $A19</f>
        <v>7조 - Shared Respository - Energy Efficiency</v>
      </c>
      <c r="D19" s="23" t="s">
        <v>60</v>
      </c>
      <c r="E19" s="27" t="str">
        <f>"7조" &amp; " - " &amp; D$14 &amp; " - " &amp; $A19</f>
        <v>7조 - Blackboard - Energy Efficiency</v>
      </c>
      <c r="F19" s="1"/>
      <c r="G19" s="1"/>
    </row>
    <row r="20" spans="1:7" ht="16.5" customHeight="1">
      <c r="A20" s="4" t="s">
        <v>64</v>
      </c>
      <c r="B20" s="24" t="s">
        <v>60</v>
      </c>
      <c r="C20" s="26" t="str">
        <f>"7조" &amp; " - " &amp; B$14 &amp; " - " &amp; $A20</f>
        <v>7조 - Shared Respository - Modifiability</v>
      </c>
      <c r="D20" s="23" t="s">
        <v>60</v>
      </c>
      <c r="E20" s="27" t="str">
        <f>"7조" &amp; " - " &amp; D$14 &amp; " - " &amp; $A20</f>
        <v>7조 - Blackboard - Modifiability</v>
      </c>
      <c r="F20" s="1"/>
      <c r="G20" s="1"/>
    </row>
    <row r="21" spans="1:7" ht="16.5" customHeight="1">
      <c r="A21" s="4" t="s">
        <v>65</v>
      </c>
      <c r="B21" s="24" t="s">
        <v>60</v>
      </c>
      <c r="C21" s="26" t="str">
        <f>"7조" &amp; " - " &amp; B$14 &amp; " - " &amp; $A21</f>
        <v>7조 - Shared Respository - Performance</v>
      </c>
      <c r="D21" s="23" t="s">
        <v>60</v>
      </c>
      <c r="E21" s="27" t="str">
        <f>"7조" &amp; " - " &amp; D$14 &amp; " - " &amp; $A21</f>
        <v>7조 - Blackboard - Performance</v>
      </c>
      <c r="F21" s="1"/>
      <c r="G21" s="1"/>
    </row>
    <row r="22" spans="1:7" ht="16.5" customHeight="1">
      <c r="A22" s="4" t="s">
        <v>66</v>
      </c>
      <c r="B22" s="23" t="s">
        <v>60</v>
      </c>
      <c r="C22" s="27" t="str">
        <f>"7조" &amp; " - " &amp; B$14 &amp; " - " &amp; $A22</f>
        <v>7조 - Shared Respository - Safety</v>
      </c>
      <c r="D22" s="23" t="s">
        <v>60</v>
      </c>
      <c r="E22" s="27" t="str">
        <f>"7조" &amp; " - " &amp; D$14 &amp; " - " &amp; $A22</f>
        <v>7조 - Blackboard - Safety</v>
      </c>
      <c r="F22" s="1"/>
      <c r="G22" s="1"/>
    </row>
    <row r="23" spans="1:7" ht="16.5" customHeight="1">
      <c r="A23" s="4" t="s">
        <v>67</v>
      </c>
      <c r="B23" s="24" t="s">
        <v>60</v>
      </c>
      <c r="C23" s="26" t="str">
        <f>"7조" &amp; " - " &amp; B$14 &amp; " - " &amp; $A23</f>
        <v>7조 - Shared Respository - Security</v>
      </c>
      <c r="D23" s="23" t="s">
        <v>60</v>
      </c>
      <c r="E23" s="27" t="str">
        <f>"7조" &amp; " - " &amp; D$14 &amp; " - " &amp; $A23</f>
        <v>7조 - Blackboard - Security</v>
      </c>
      <c r="F23" s="1"/>
      <c r="G23" s="1"/>
    </row>
    <row r="24" spans="1:7" ht="16.5" customHeight="1">
      <c r="A24" s="4" t="s">
        <v>68</v>
      </c>
      <c r="B24" s="24" t="s">
        <v>60</v>
      </c>
      <c r="C24" s="26" t="str">
        <f>"7조" &amp; " - " &amp; B$14 &amp; " - " &amp; $A24</f>
        <v>7조 - Shared Respository - Testability</v>
      </c>
      <c r="D24" s="23" t="s">
        <v>60</v>
      </c>
      <c r="E24" s="27" t="str">
        <f>"7조" &amp; " - " &amp; D$14 &amp; " - " &amp; $A24</f>
        <v>7조 - Blackboard - Testability</v>
      </c>
      <c r="F24" s="1"/>
      <c r="G24" s="1"/>
    </row>
    <row r="25" spans="1:7" ht="16.5" customHeight="1">
      <c r="A25" s="4" t="s">
        <v>69</v>
      </c>
      <c r="B25" s="23" t="s">
        <v>60</v>
      </c>
      <c r="C25" s="27" t="str">
        <f>"7조" &amp; " - " &amp; B$14 &amp; " - " &amp; $A25</f>
        <v>7조 - Shared Respository - Usability</v>
      </c>
      <c r="D25" s="23" t="s">
        <v>60</v>
      </c>
      <c r="E25" s="27" t="str">
        <f>"7조" &amp; " - " &amp; D$14 &amp; " - " &amp; $A25</f>
        <v>7조 - Blackboard - Usability</v>
      </c>
      <c r="F25" s="1"/>
      <c r="G25" s="1"/>
    </row>
    <row r="26" spans="1:7" ht="16.5" customHeight="1">
      <c r="A26" s="1"/>
      <c r="B26" s="16" t="s">
        <v>60</v>
      </c>
      <c r="C26" s="16" t="s">
        <v>60</v>
      </c>
      <c r="D26" s="16" t="s">
        <v>60</v>
      </c>
      <c r="E26" s="16" t="s">
        <v>60</v>
      </c>
      <c r="F26" s="1"/>
      <c r="G26" s="1"/>
    </row>
    <row r="27" spans="1:7" ht="16.5" customHeight="1">
      <c r="A27" s="2" t="s">
        <v>73</v>
      </c>
      <c r="B27" s="35" t="s">
        <v>74</v>
      </c>
      <c r="C27" s="34"/>
      <c r="D27" s="35" t="s">
        <v>75</v>
      </c>
      <c r="E27" s="34"/>
      <c r="F27" s="1"/>
      <c r="G27" s="1"/>
    </row>
    <row r="28" spans="1:7" ht="16.5" customHeight="1">
      <c r="A28" s="22"/>
      <c r="B28" s="3" t="s">
        <v>57</v>
      </c>
      <c r="C28" s="17" t="s">
        <v>58</v>
      </c>
      <c r="D28" s="3" t="s">
        <v>57</v>
      </c>
      <c r="E28" s="17" t="s">
        <v>58</v>
      </c>
      <c r="F28" s="1"/>
      <c r="G28" s="1"/>
    </row>
    <row r="29" spans="1:7" ht="16.5" customHeight="1">
      <c r="A29" s="4" t="s">
        <v>59</v>
      </c>
      <c r="B29" s="24" t="s">
        <v>60</v>
      </c>
      <c r="C29" s="26" t="str">
        <f>"7조" &amp; " - " &amp; B$27 &amp; " - " &amp; $A29</f>
        <v>7조 - Non-Buffered Event Based - Availability</v>
      </c>
      <c r="D29" s="24" t="s">
        <v>60</v>
      </c>
      <c r="E29" s="26" t="str">
        <f>"7조" &amp; " - " &amp; D$27 &amp; " - " &amp; $A29</f>
        <v>7조 - Buffered Message Based - Availability</v>
      </c>
      <c r="F29" s="1"/>
      <c r="G29" s="1"/>
    </row>
    <row r="30" spans="1:7" ht="16.5" customHeight="1">
      <c r="A30" s="4" t="s">
        <v>61</v>
      </c>
      <c r="B30" s="23" t="s">
        <v>60</v>
      </c>
      <c r="C30" s="27" t="str">
        <f>"7조" &amp; " - " &amp; B$27 &amp; " - " &amp; $A30</f>
        <v>7조 - Non-Buffered Event Based - Deployability</v>
      </c>
      <c r="D30" s="23" t="s">
        <v>60</v>
      </c>
      <c r="E30" s="27" t="str">
        <f>"7조" &amp; " - " &amp; D$27 &amp; " - " &amp; $A30</f>
        <v>7조 - Buffered Message Based - Deployability</v>
      </c>
      <c r="F30" s="1"/>
      <c r="G30" s="1"/>
    </row>
    <row r="31" spans="1:7" ht="16.5" customHeight="1">
      <c r="A31" s="4" t="s">
        <v>62</v>
      </c>
      <c r="B31" s="24" t="s">
        <v>60</v>
      </c>
      <c r="C31" s="26" t="str">
        <f>"7조" &amp; " - " &amp; B$27 &amp; " - " &amp; $A31</f>
        <v>7조 - Non-Buffered Event Based - Integrability</v>
      </c>
      <c r="D31" s="24" t="s">
        <v>60</v>
      </c>
      <c r="E31" s="26" t="str">
        <f>"7조" &amp; " - " &amp; D$27 &amp; " - " &amp; $A31</f>
        <v>7조 - Buffered Message Based - Integrability</v>
      </c>
      <c r="F31" s="1"/>
      <c r="G31" s="1"/>
    </row>
    <row r="32" spans="1:7" ht="16.5" customHeight="1">
      <c r="A32" s="4" t="s">
        <v>63</v>
      </c>
      <c r="B32" s="23" t="s">
        <v>60</v>
      </c>
      <c r="C32" s="27" t="str">
        <f>"7조" &amp; " - " &amp; B$27 &amp; " - " &amp; $A32</f>
        <v>7조 - Non-Buffered Event Based - Energy Efficiency</v>
      </c>
      <c r="D32" s="23" t="s">
        <v>60</v>
      </c>
      <c r="E32" s="27" t="str">
        <f>"7조" &amp; " - " &amp; D$27 &amp; " - " &amp; $A32</f>
        <v>7조 - Buffered Message Based - Energy Efficiency</v>
      </c>
      <c r="F32" s="1"/>
      <c r="G32" s="1"/>
    </row>
    <row r="33" spans="1:9" ht="16.5" customHeight="1">
      <c r="A33" s="4" t="s">
        <v>64</v>
      </c>
      <c r="B33" s="24" t="s">
        <v>60</v>
      </c>
      <c r="C33" s="26" t="str">
        <f>"7조" &amp; " - " &amp; B$27 &amp; " - " &amp; $A33</f>
        <v>7조 - Non-Buffered Event Based - Modifiability</v>
      </c>
      <c r="D33" s="24" t="s">
        <v>60</v>
      </c>
      <c r="E33" s="26" t="str">
        <f>"7조" &amp; " - " &amp; D$27 &amp; " - " &amp; $A33</f>
        <v>7조 - Buffered Message Based - Modifiability</v>
      </c>
      <c r="F33" s="1"/>
      <c r="G33" s="1"/>
    </row>
    <row r="34" spans="1:9" ht="16.5" customHeight="1">
      <c r="A34" s="4" t="s">
        <v>65</v>
      </c>
      <c r="B34" s="24" t="s">
        <v>60</v>
      </c>
      <c r="C34" s="26" t="str">
        <f>"7조" &amp; " - " &amp; B$27 &amp; " - " &amp; $A34</f>
        <v>7조 - Non-Buffered Event Based - Performance</v>
      </c>
      <c r="D34" s="24" t="s">
        <v>60</v>
      </c>
      <c r="E34" s="26" t="str">
        <f>"7조" &amp; " - " &amp; D$27 &amp; " - " &amp; $A34</f>
        <v>7조 - Buffered Message Based - Performance</v>
      </c>
      <c r="F34" s="1"/>
      <c r="G34" s="1"/>
    </row>
    <row r="35" spans="1:9" ht="16.5" customHeight="1">
      <c r="A35" s="4" t="s">
        <v>66</v>
      </c>
      <c r="B35" s="25" t="s">
        <v>60</v>
      </c>
      <c r="C35" s="29" t="str">
        <f>"7조" &amp; " - " &amp; B$27 &amp; " - " &amp; $A35</f>
        <v>7조 - Non-Buffered Event Based - Safety</v>
      </c>
      <c r="D35" s="25" t="s">
        <v>60</v>
      </c>
      <c r="E35" s="29" t="str">
        <f>"7조" &amp; " - " &amp; D$27 &amp; " - " &amp; $A35</f>
        <v>7조 - Buffered Message Based - Safety</v>
      </c>
      <c r="F35" s="1"/>
      <c r="G35" s="1"/>
    </row>
    <row r="36" spans="1:9" ht="16.5" customHeight="1">
      <c r="A36" s="4" t="s">
        <v>67</v>
      </c>
      <c r="B36" s="23" t="s">
        <v>60</v>
      </c>
      <c r="C36" s="27" t="str">
        <f>"7조" &amp; " - " &amp; B$27 &amp; " - " &amp; $A36</f>
        <v>7조 - Non-Buffered Event Based - Security</v>
      </c>
      <c r="D36" s="23" t="s">
        <v>60</v>
      </c>
      <c r="E36" s="27" t="str">
        <f>"7조" &amp; " - " &amp; D$27 &amp; " - " &amp; $A36</f>
        <v>7조 - Buffered Message Based - Security</v>
      </c>
      <c r="F36" s="1"/>
      <c r="G36" s="1"/>
    </row>
    <row r="37" spans="1:9" ht="16.5" customHeight="1">
      <c r="A37" s="4" t="s">
        <v>68</v>
      </c>
      <c r="B37" s="24" t="s">
        <v>60</v>
      </c>
      <c r="C37" s="26" t="str">
        <f>"7조" &amp; " - " &amp; B$27 &amp; " - " &amp; $A37</f>
        <v>7조 - Non-Buffered Event Based - Testability</v>
      </c>
      <c r="D37" s="24" t="s">
        <v>60</v>
      </c>
      <c r="E37" s="26" t="str">
        <f>"7조" &amp; " - " &amp; D$27 &amp; " - " &amp; $A37</f>
        <v>7조 - Buffered Message Based - Testability</v>
      </c>
      <c r="F37" s="1"/>
      <c r="G37" s="1"/>
    </row>
    <row r="38" spans="1:9" ht="16.5" customHeight="1">
      <c r="A38" s="4" t="s">
        <v>69</v>
      </c>
      <c r="B38" s="23" t="s">
        <v>60</v>
      </c>
      <c r="C38" s="27" t="str">
        <f>"7조" &amp; " - " &amp; B$27 &amp; " - " &amp; $A38</f>
        <v>7조 - Non-Buffered Event Based - Usability</v>
      </c>
      <c r="D38" s="23" t="s">
        <v>60</v>
      </c>
      <c r="E38" s="27" t="str">
        <f>"7조" &amp; " - " &amp; D$27 &amp; " - " &amp; $A38</f>
        <v>7조 - Buffered Message Based - Usability</v>
      </c>
      <c r="F38" s="1"/>
      <c r="G38" s="1"/>
    </row>
    <row r="39" spans="1:9" ht="16.5" customHeight="1">
      <c r="A39" s="1"/>
      <c r="B39" s="16" t="s">
        <v>60</v>
      </c>
      <c r="C39" s="16" t="s">
        <v>60</v>
      </c>
      <c r="D39" s="16" t="s">
        <v>60</v>
      </c>
      <c r="E39" s="16" t="s">
        <v>60</v>
      </c>
      <c r="F39" s="1"/>
      <c r="G39" s="1"/>
    </row>
    <row r="40" spans="1:9" ht="16.5" customHeight="1">
      <c r="A40" s="2" t="s">
        <v>76</v>
      </c>
      <c r="B40" s="33" t="s">
        <v>77</v>
      </c>
      <c r="C40" s="34"/>
      <c r="D40" s="33" t="s">
        <v>78</v>
      </c>
      <c r="E40" s="34"/>
      <c r="F40" s="1"/>
      <c r="G40" s="1"/>
      <c r="H40" s="1"/>
    </row>
    <row r="41" spans="1:9" ht="16.5" customHeight="1">
      <c r="A41" s="22"/>
      <c r="B41" s="3" t="s">
        <v>57</v>
      </c>
      <c r="C41" s="3" t="s">
        <v>58</v>
      </c>
      <c r="D41" s="3" t="s">
        <v>57</v>
      </c>
      <c r="E41" s="3" t="s">
        <v>58</v>
      </c>
      <c r="F41" s="1"/>
      <c r="G41" s="1"/>
      <c r="H41" s="1"/>
      <c r="I41" s="13"/>
    </row>
    <row r="42" spans="1:9" ht="16.5" customHeight="1">
      <c r="A42" s="4" t="s">
        <v>59</v>
      </c>
      <c r="B42" s="23" t="s">
        <v>60</v>
      </c>
      <c r="C42" s="27" t="str">
        <f>"7조" &amp; " - " &amp; B$40 &amp; " - " &amp; $A42</f>
        <v>7조 - MVC - Availability</v>
      </c>
      <c r="D42" s="23" t="s">
        <v>60</v>
      </c>
      <c r="E42" s="27" t="str">
        <f>"7조" &amp; " - " &amp; D$40 &amp; " - " &amp; $A42</f>
        <v>7조 - PAC - Availability</v>
      </c>
      <c r="F42" s="1"/>
      <c r="G42" s="1"/>
      <c r="H42" s="1"/>
    </row>
    <row r="43" spans="1:9" ht="16.5" customHeight="1">
      <c r="A43" s="4" t="s">
        <v>61</v>
      </c>
      <c r="B43" s="23" t="s">
        <v>60</v>
      </c>
      <c r="C43" s="27" t="str">
        <f>"7조" &amp; " - " &amp; B$40 &amp; " - " &amp; $A43</f>
        <v>7조 - MVC - Deployability</v>
      </c>
      <c r="D43" s="23" t="s">
        <v>60</v>
      </c>
      <c r="E43" s="27" t="str">
        <f>"7조" &amp; " - " &amp; D$40 &amp; " - " &amp; $A43</f>
        <v>7조 - PAC - Deployability</v>
      </c>
      <c r="F43" s="1"/>
      <c r="G43" s="1"/>
      <c r="H43" s="1"/>
    </row>
    <row r="44" spans="1:9" ht="16.5" customHeight="1">
      <c r="A44" s="4" t="s">
        <v>62</v>
      </c>
      <c r="B44" s="24" t="s">
        <v>60</v>
      </c>
      <c r="C44" s="26" t="str">
        <f>"7조" &amp; " - " &amp; B$40 &amp; " - " &amp; $A44</f>
        <v>7조 - MVC - Integrability</v>
      </c>
      <c r="D44" s="23" t="s">
        <v>60</v>
      </c>
      <c r="E44" s="27" t="str">
        <f>"7조" &amp; " - " &amp; D$40 &amp; " - " &amp; $A44</f>
        <v>7조 - PAC - Integrability</v>
      </c>
      <c r="F44" s="1"/>
      <c r="G44" s="1"/>
      <c r="H44" s="1"/>
    </row>
    <row r="45" spans="1:9" ht="16.5" customHeight="1">
      <c r="A45" s="4" t="s">
        <v>63</v>
      </c>
      <c r="B45" s="23" t="s">
        <v>60</v>
      </c>
      <c r="C45" s="27" t="str">
        <f>"7조" &amp; " - " &amp; B$40 &amp; " - " &amp; $A45</f>
        <v>7조 - MVC - Energy Efficiency</v>
      </c>
      <c r="D45" s="23" t="s">
        <v>60</v>
      </c>
      <c r="E45" s="27" t="str">
        <f>"7조" &amp; " - " &amp; D$40 &amp; " - " &amp; $A45</f>
        <v>7조 - PAC - Energy Efficiency</v>
      </c>
      <c r="F45" s="1"/>
      <c r="G45" s="1"/>
      <c r="H45" s="1"/>
    </row>
    <row r="46" spans="1:9" ht="16.5" customHeight="1">
      <c r="A46" s="4" t="s">
        <v>64</v>
      </c>
      <c r="B46" s="24" t="s">
        <v>60</v>
      </c>
      <c r="C46" s="26" t="str">
        <f>"7조" &amp; " - " &amp; B$40 &amp; " - " &amp; $A46</f>
        <v>7조 - MVC - Modifiability</v>
      </c>
      <c r="D46" s="23" t="s">
        <v>60</v>
      </c>
      <c r="E46" s="27" t="str">
        <f>"7조" &amp; " - " &amp; D$40 &amp; " - " &amp; $A46</f>
        <v>7조 - PAC - Modifiability</v>
      </c>
      <c r="F46" s="1"/>
      <c r="G46" s="1"/>
      <c r="H46" s="1"/>
    </row>
    <row r="47" spans="1:9" ht="16.5" customHeight="1">
      <c r="A47" s="4" t="s">
        <v>65</v>
      </c>
      <c r="B47" s="24" t="s">
        <v>60</v>
      </c>
      <c r="C47" s="26" t="str">
        <f>"7조" &amp; " - " &amp; B$40 &amp; " - " &amp; $A47</f>
        <v>7조 - MVC - Performance</v>
      </c>
      <c r="D47" s="23" t="s">
        <v>60</v>
      </c>
      <c r="E47" s="27" t="str">
        <f>"7조" &amp; " - " &amp; D$40 &amp; " - " &amp; $A47</f>
        <v>7조 - PAC - Performance</v>
      </c>
      <c r="F47" s="1"/>
      <c r="G47" s="1"/>
      <c r="H47" s="1"/>
    </row>
    <row r="48" spans="1:9" ht="16.5" customHeight="1">
      <c r="A48" s="4" t="s">
        <v>66</v>
      </c>
      <c r="B48" s="23" t="s">
        <v>60</v>
      </c>
      <c r="C48" s="27" t="str">
        <f>"7조" &amp; " - " &amp; B$40 &amp; " - " &amp; $A48</f>
        <v>7조 - MVC - Safety</v>
      </c>
      <c r="D48" s="23" t="s">
        <v>60</v>
      </c>
      <c r="E48" s="27" t="str">
        <f>"7조" &amp; " - " &amp; D$40 &amp; " - " &amp; $A48</f>
        <v>7조 - PAC - Safety</v>
      </c>
      <c r="F48" s="1"/>
      <c r="G48" s="1"/>
      <c r="H48" s="1"/>
    </row>
    <row r="49" spans="1:9" ht="16.5" customHeight="1">
      <c r="A49" s="4" t="s">
        <v>67</v>
      </c>
      <c r="B49" s="24" t="s">
        <v>60</v>
      </c>
      <c r="C49" s="26" t="str">
        <f>"7조" &amp; " - " &amp; B$40 &amp; " - " &amp; $A49</f>
        <v>7조 - MVC - Security</v>
      </c>
      <c r="D49" s="23" t="s">
        <v>60</v>
      </c>
      <c r="E49" s="27" t="str">
        <f>"7조" &amp; " - " &amp; D$40 &amp; " - " &amp; $A49</f>
        <v>7조 - PAC - Security</v>
      </c>
      <c r="F49" s="1"/>
      <c r="G49" s="1"/>
      <c r="H49" s="1"/>
    </row>
    <row r="50" spans="1:9" ht="16.5" customHeight="1">
      <c r="A50" s="4" t="s">
        <v>68</v>
      </c>
      <c r="B50" s="23" t="s">
        <v>60</v>
      </c>
      <c r="C50" s="27" t="str">
        <f>"7조" &amp; " - " &amp; B$40 &amp; " - " &amp; $A50</f>
        <v>7조 - MVC - Testability</v>
      </c>
      <c r="D50" s="23" t="s">
        <v>60</v>
      </c>
      <c r="E50" s="27" t="str">
        <f>"7조" &amp; " - " &amp; D$40 &amp; " - " &amp; $A50</f>
        <v>7조 - PAC - Testability</v>
      </c>
      <c r="F50" s="1"/>
      <c r="G50" s="16" t="s">
        <v>60</v>
      </c>
      <c r="H50" s="1"/>
      <c r="I50" s="15"/>
    </row>
    <row r="51" spans="1:9" ht="16.5" customHeight="1">
      <c r="A51" s="4" t="s">
        <v>69</v>
      </c>
      <c r="B51" s="24" t="s">
        <v>60</v>
      </c>
      <c r="C51" s="26" t="str">
        <f>"7조" &amp; " - " &amp; B$40 &amp; " - " &amp; $A51</f>
        <v>7조 - MVC - Usability</v>
      </c>
      <c r="D51" s="23" t="s">
        <v>60</v>
      </c>
      <c r="E51" s="27" t="str">
        <f>"7조" &amp; " - " &amp; D$40 &amp; " - " &amp; $A51</f>
        <v>7조 - PAC - Usability</v>
      </c>
      <c r="F51" s="1"/>
      <c r="G51" s="16" t="s">
        <v>60</v>
      </c>
      <c r="H51" s="1"/>
      <c r="I51" s="13"/>
    </row>
    <row r="52" spans="1:9" ht="16.5" customHeight="1">
      <c r="A52" s="1"/>
      <c r="B52" s="16" t="s">
        <v>60</v>
      </c>
      <c r="C52" s="1"/>
      <c r="D52" s="16" t="s">
        <v>60</v>
      </c>
      <c r="E52" s="1"/>
      <c r="F52" s="1"/>
      <c r="G52" s="1"/>
    </row>
    <row r="53" spans="1:9" ht="16.5" customHeight="1">
      <c r="A53" s="2" t="s">
        <v>79</v>
      </c>
      <c r="B53" s="35" t="s">
        <v>80</v>
      </c>
      <c r="C53" s="34"/>
      <c r="D53" s="35" t="s">
        <v>81</v>
      </c>
      <c r="E53" s="34"/>
      <c r="F53" s="1"/>
      <c r="G53" s="16" t="s">
        <v>60</v>
      </c>
      <c r="H53" s="1"/>
    </row>
    <row r="54" spans="1:9" ht="16.5" customHeight="1">
      <c r="A54" s="22"/>
      <c r="B54" s="3" t="s">
        <v>57</v>
      </c>
      <c r="C54" s="17" t="s">
        <v>58</v>
      </c>
      <c r="D54" s="3" t="s">
        <v>57</v>
      </c>
      <c r="E54" s="17" t="s">
        <v>58</v>
      </c>
      <c r="F54" s="1"/>
      <c r="G54" s="16" t="s">
        <v>60</v>
      </c>
      <c r="H54" s="1"/>
    </row>
    <row r="55" spans="1:9" ht="16.5" customHeight="1">
      <c r="A55" s="4" t="s">
        <v>59</v>
      </c>
      <c r="B55" s="23" t="s">
        <v>60</v>
      </c>
      <c r="C55" s="27" t="str">
        <f>"7조" &amp; " - " &amp; B$53 &amp; " - " &amp; $A55</f>
        <v>7조 - Main-subroutine - Availability</v>
      </c>
      <c r="D55" s="24" t="s">
        <v>60</v>
      </c>
      <c r="E55" s="26" t="str">
        <f>"7조" &amp; " - " &amp; D$53 &amp; " - " &amp; $A55</f>
        <v>7조 - Master-Slave - Availability</v>
      </c>
      <c r="F55" s="1"/>
      <c r="G55" s="16" t="s">
        <v>60</v>
      </c>
      <c r="H55" s="1"/>
    </row>
    <row r="56" spans="1:9" ht="16.5" customHeight="1">
      <c r="A56" s="4" t="s">
        <v>61</v>
      </c>
      <c r="B56" s="23" t="s">
        <v>60</v>
      </c>
      <c r="C56" s="30" t="str">
        <f>"7조" &amp; " - " &amp; B$53 &amp; " - " &amp; $A56</f>
        <v>7조 - Main-subroutine - Deployability</v>
      </c>
      <c r="D56" s="24" t="s">
        <v>60</v>
      </c>
      <c r="E56" s="26" t="str">
        <f>"7조" &amp; " - " &amp; D$53 &amp; " - " &amp; $A56</f>
        <v>7조 - Master-Slave - Deployability</v>
      </c>
      <c r="F56" s="1"/>
      <c r="G56" s="16" t="s">
        <v>60</v>
      </c>
      <c r="H56" s="1"/>
    </row>
    <row r="57" spans="1:9" ht="16.5" customHeight="1">
      <c r="A57" s="4" t="s">
        <v>62</v>
      </c>
      <c r="B57" s="23" t="s">
        <v>60</v>
      </c>
      <c r="C57" s="27" t="str">
        <f>"7조" &amp; " - " &amp; B$53 &amp; " - " &amp; $A57</f>
        <v>7조 - Main-subroutine - Integrability</v>
      </c>
      <c r="D57" s="24" t="s">
        <v>60</v>
      </c>
      <c r="E57" s="26" t="str">
        <f>"7조" &amp; " - " &amp; D$53 &amp; " - " &amp; $A57</f>
        <v>7조 - Master-Slave - Integrability</v>
      </c>
      <c r="F57" s="1"/>
      <c r="G57" s="16" t="s">
        <v>60</v>
      </c>
      <c r="H57" s="1"/>
    </row>
    <row r="58" spans="1:9" ht="16.5" customHeight="1">
      <c r="A58" s="4" t="s">
        <v>63</v>
      </c>
      <c r="B58" s="23" t="s">
        <v>60</v>
      </c>
      <c r="C58" s="27" t="str">
        <f>"7조" &amp; " - " &amp; B$53 &amp; " - " &amp; $A58</f>
        <v>7조 - Main-subroutine - Energy Efficiency</v>
      </c>
      <c r="D58" s="24" t="s">
        <v>60</v>
      </c>
      <c r="E58" s="26" t="str">
        <f>"7조" &amp; " - " &amp; D$53 &amp; " - " &amp; $A58</f>
        <v>7조 - Master-Slave - Energy Efficiency</v>
      </c>
      <c r="F58" s="1"/>
      <c r="G58" s="16" t="s">
        <v>60</v>
      </c>
      <c r="H58" s="1"/>
    </row>
    <row r="59" spans="1:9" ht="16.5" customHeight="1">
      <c r="A59" s="4" t="s">
        <v>64</v>
      </c>
      <c r="B59" s="23" t="s">
        <v>60</v>
      </c>
      <c r="C59" s="27" t="str">
        <f>"7조" &amp; " - " &amp; B$53 &amp; " - " &amp; $A59</f>
        <v>7조 - Main-subroutine - Modifiability</v>
      </c>
      <c r="D59" s="23" t="s">
        <v>60</v>
      </c>
      <c r="E59" s="27" t="str">
        <f>"7조" &amp; " - " &amp; D$53 &amp; " - " &amp; $A59</f>
        <v>7조 - Master-Slave - Modifiability</v>
      </c>
      <c r="F59" s="1"/>
      <c r="G59" s="16" t="s">
        <v>60</v>
      </c>
      <c r="H59" s="1"/>
    </row>
    <row r="60" spans="1:9" ht="16.5" customHeight="1">
      <c r="A60" s="4" t="s">
        <v>65</v>
      </c>
      <c r="B60" s="23" t="s">
        <v>60</v>
      </c>
      <c r="C60" s="27" t="str">
        <f>"7조" &amp; " - " &amp; B$53 &amp; " - " &amp; $A60</f>
        <v>7조 - Main-subroutine - Performance</v>
      </c>
      <c r="D60" s="24" t="s">
        <v>60</v>
      </c>
      <c r="E60" s="26" t="str">
        <f>"7조" &amp; " - " &amp; D$53 &amp; " - " &amp; $A60</f>
        <v>7조 - Master-Slave - Performance</v>
      </c>
      <c r="F60" s="1"/>
      <c r="G60" s="16" t="s">
        <v>60</v>
      </c>
      <c r="H60" s="1"/>
      <c r="I60" s="15"/>
    </row>
    <row r="61" spans="1:9" ht="16.5" customHeight="1">
      <c r="A61" s="4" t="s">
        <v>66</v>
      </c>
      <c r="B61" s="23" t="s">
        <v>60</v>
      </c>
      <c r="C61" s="27" t="str">
        <f>"7조" &amp; " - " &amp; B$53 &amp; " - " &amp; $A61</f>
        <v>7조 - Main-subroutine - Safety</v>
      </c>
      <c r="D61" s="23" t="s">
        <v>60</v>
      </c>
      <c r="E61" s="27" t="str">
        <f>"7조" &amp; " - " &amp; D$53 &amp; " - " &amp; $A61</f>
        <v>7조 - Master-Slave - Safety</v>
      </c>
      <c r="F61" s="1"/>
      <c r="G61" s="16" t="s">
        <v>60</v>
      </c>
      <c r="H61" s="1"/>
      <c r="I61" s="13"/>
    </row>
    <row r="62" spans="1:9" ht="16.5" customHeight="1">
      <c r="A62" s="4" t="s">
        <v>67</v>
      </c>
      <c r="B62" s="23" t="s">
        <v>60</v>
      </c>
      <c r="C62" s="27" t="str">
        <f>"7조" &amp; " - " &amp; B$53 &amp; " - " &amp; $A62</f>
        <v>7조 - Main-subroutine - Security</v>
      </c>
      <c r="D62" s="23" t="s">
        <v>60</v>
      </c>
      <c r="E62" s="27" t="str">
        <f>"7조" &amp; " - " &amp; D$53 &amp; " - " &amp; $A62</f>
        <v>7조 - Master-Slave - Security</v>
      </c>
      <c r="F62" s="1"/>
      <c r="G62" s="16" t="s">
        <v>60</v>
      </c>
      <c r="H62" s="1"/>
    </row>
    <row r="63" spans="1:9" ht="16.5" customHeight="1">
      <c r="A63" s="4" t="s">
        <v>68</v>
      </c>
      <c r="B63" s="23" t="s">
        <v>60</v>
      </c>
      <c r="C63" s="27" t="str">
        <f>"7조" &amp; " - " &amp; B$53 &amp; " - " &amp; $A63</f>
        <v>7조 - Main-subroutine - Testability</v>
      </c>
      <c r="D63" s="23" t="s">
        <v>60</v>
      </c>
      <c r="E63" s="27" t="str">
        <f>"7조" &amp; " - " &amp; D$53 &amp; " - " &amp; $A63</f>
        <v>7조 - Master-Slave - Testability</v>
      </c>
      <c r="F63" s="1"/>
      <c r="G63" s="16" t="s">
        <v>60</v>
      </c>
      <c r="H63" s="1"/>
    </row>
    <row r="64" spans="1:9" ht="16.5" customHeight="1">
      <c r="A64" s="4" t="s">
        <v>69</v>
      </c>
      <c r="B64" s="23" t="s">
        <v>60</v>
      </c>
      <c r="C64" s="27" t="str">
        <f>"7조" &amp; " - " &amp; B$53 &amp; " - " &amp; $A64</f>
        <v>7조 - Main-subroutine - Usability</v>
      </c>
      <c r="D64" s="23" t="s">
        <v>60</v>
      </c>
      <c r="E64" s="27" t="str">
        <f>"7조" &amp; " - " &amp; D$53 &amp; " - " &amp; $A64</f>
        <v>7조 - Master-Slave - Usability</v>
      </c>
      <c r="F64" s="1"/>
      <c r="G64" s="16" t="s">
        <v>60</v>
      </c>
      <c r="H64" s="1"/>
    </row>
    <row r="65" spans="1:8" ht="16.5" customHeight="1">
      <c r="A65" s="1"/>
      <c r="B65" s="16" t="s">
        <v>60</v>
      </c>
      <c r="C65" s="16" t="s">
        <v>60</v>
      </c>
      <c r="D65" s="16" t="s">
        <v>60</v>
      </c>
      <c r="E65" s="16" t="s">
        <v>60</v>
      </c>
      <c r="F65" s="1"/>
      <c r="G65" s="16" t="s">
        <v>60</v>
      </c>
      <c r="H65" s="1"/>
    </row>
    <row r="66" spans="1:8" ht="16.5" customHeight="1">
      <c r="A66" s="2" t="s">
        <v>79</v>
      </c>
      <c r="B66" s="35" t="s">
        <v>82</v>
      </c>
      <c r="C66" s="34"/>
      <c r="D66" s="35" t="s">
        <v>83</v>
      </c>
      <c r="E66" s="34"/>
      <c r="F66" s="35" t="s">
        <v>84</v>
      </c>
      <c r="G66" s="34"/>
      <c r="H66" s="1"/>
    </row>
    <row r="67" spans="1:8" ht="16.5" customHeight="1">
      <c r="A67" s="22"/>
      <c r="B67" s="3" t="s">
        <v>57</v>
      </c>
      <c r="C67" s="17" t="s">
        <v>58</v>
      </c>
      <c r="D67" s="3" t="s">
        <v>57</v>
      </c>
      <c r="E67" s="17" t="s">
        <v>58</v>
      </c>
      <c r="F67" s="3" t="s">
        <v>57</v>
      </c>
      <c r="G67" s="17" t="s">
        <v>58</v>
      </c>
      <c r="H67" s="1"/>
    </row>
    <row r="68" spans="1:8" ht="16.5" customHeight="1">
      <c r="A68" s="4" t="s">
        <v>59</v>
      </c>
      <c r="B68" s="24" t="s">
        <v>60</v>
      </c>
      <c r="C68" s="26" t="str">
        <f>"7조" &amp; " - " &amp; B$66 &amp; " - " &amp; $A68</f>
        <v>7조 - Layered - Availability</v>
      </c>
      <c r="D68" s="23" t="s">
        <v>60</v>
      </c>
      <c r="E68" s="27" t="str">
        <f>"7조" &amp; " - " &amp; D$66 &amp; " - " &amp; $A68</f>
        <v>7조 - Virtual Machine - Availability</v>
      </c>
      <c r="F68" s="23" t="s">
        <v>60</v>
      </c>
      <c r="G68" s="27" t="str">
        <f>"7조" &amp; " - " &amp; F$66 &amp; " - " &amp; $A68</f>
        <v>7조 - Microkernel - Availability</v>
      </c>
      <c r="H68" s="1"/>
    </row>
    <row r="69" spans="1:8" ht="16.5" customHeight="1">
      <c r="A69" s="4" t="s">
        <v>61</v>
      </c>
      <c r="B69" s="23" t="s">
        <v>60</v>
      </c>
      <c r="C69" s="27" t="str">
        <f>"7조" &amp; " - " &amp; B$66 &amp; " - " &amp; $A69</f>
        <v>7조 - Layered - Deployability</v>
      </c>
      <c r="D69" s="23" t="s">
        <v>60</v>
      </c>
      <c r="E69" s="30" t="str">
        <f>"7조" &amp; " - " &amp; D$66 &amp; " - " &amp; $A69</f>
        <v>7조 - Virtual Machine - Deployability</v>
      </c>
      <c r="F69" s="24" t="s">
        <v>60</v>
      </c>
      <c r="G69" s="26" t="str">
        <f>"7조" &amp; " - " &amp; F$66 &amp; " - " &amp; $A69</f>
        <v>7조 - Microkernel - Deployability</v>
      </c>
      <c r="H69" s="1"/>
    </row>
    <row r="70" spans="1:8" ht="16.5" customHeight="1">
      <c r="A70" s="4" t="s">
        <v>62</v>
      </c>
      <c r="B70" s="24" t="s">
        <v>60</v>
      </c>
      <c r="C70" s="26" t="str">
        <f>"7조" &amp; " - " &amp; B$66 &amp; " - " &amp; $A70</f>
        <v>7조 - Layered - Integrability</v>
      </c>
      <c r="D70" s="23" t="s">
        <v>60</v>
      </c>
      <c r="E70" s="27" t="str">
        <f>"7조" &amp; " - " &amp; D$66 &amp; " - " &amp; $A70</f>
        <v>7조 - Virtual Machine - Integrability</v>
      </c>
      <c r="F70" s="24" t="s">
        <v>60</v>
      </c>
      <c r="G70" s="26" t="str">
        <f>"7조" &amp; " - " &amp; F$66 &amp; " - " &amp; $A70</f>
        <v>7조 - Microkernel - Integrability</v>
      </c>
      <c r="H70" s="1"/>
    </row>
    <row r="71" spans="1:8" ht="16.5" customHeight="1">
      <c r="A71" s="4" t="s">
        <v>63</v>
      </c>
      <c r="B71" s="23" t="s">
        <v>60</v>
      </c>
      <c r="C71" s="27" t="str">
        <f>"7조" &amp; " - " &amp; B$66 &amp; " - " &amp; $A71</f>
        <v>7조 - Layered - Energy Efficiency</v>
      </c>
      <c r="D71" s="23" t="s">
        <v>60</v>
      </c>
      <c r="E71" s="27" t="str">
        <f>"7조" &amp; " - " &amp; D$66 &amp; " - " &amp; $A71</f>
        <v>7조 - Virtual Machine - Energy Efficiency</v>
      </c>
      <c r="F71" s="23" t="s">
        <v>60</v>
      </c>
      <c r="G71" s="27" t="str">
        <f>"7조" &amp; " - " &amp; F$66 &amp; " - " &amp; $A71</f>
        <v>7조 - Microkernel - Energy Efficiency</v>
      </c>
      <c r="H71" s="1"/>
    </row>
    <row r="72" spans="1:8" ht="16.5" customHeight="1">
      <c r="A72" s="4" t="s">
        <v>64</v>
      </c>
      <c r="B72" s="24" t="s">
        <v>60</v>
      </c>
      <c r="C72" s="26" t="str">
        <f>"7조" &amp; " - " &amp; B$66 &amp; " - " &amp; $A72</f>
        <v>7조 - Layered - Modifiability</v>
      </c>
      <c r="D72" s="23" t="s">
        <v>60</v>
      </c>
      <c r="E72" s="27" t="str">
        <f>"7조" &amp; " - " &amp; D$66 &amp; " - " &amp; $A72</f>
        <v>7조 - Virtual Machine - Modifiability</v>
      </c>
      <c r="F72" s="24" t="s">
        <v>60</v>
      </c>
      <c r="G72" s="26" t="str">
        <f>"7조" &amp; " - " &amp; F$66 &amp; " - " &amp; $A72</f>
        <v>7조 - Microkernel - Modifiability</v>
      </c>
      <c r="H72" s="1"/>
    </row>
    <row r="73" spans="1:8" ht="16.5" customHeight="1">
      <c r="A73" s="4" t="s">
        <v>65</v>
      </c>
      <c r="B73" s="24" t="s">
        <v>60</v>
      </c>
      <c r="C73" s="26" t="str">
        <f>"7조" &amp; " - " &amp; B$66 &amp; " - " &amp; $A73</f>
        <v>7조 - Layered - Performance</v>
      </c>
      <c r="D73" s="23" t="s">
        <v>60</v>
      </c>
      <c r="E73" s="27" t="str">
        <f>"7조" &amp; " - " &amp; D$66 &amp; " - " &amp; $A73</f>
        <v>7조 - Virtual Machine - Performance</v>
      </c>
      <c r="F73" s="24" t="s">
        <v>60</v>
      </c>
      <c r="G73" s="26" t="str">
        <f>"7조" &amp; " - " &amp; F$66 &amp; " - " &amp; $A73</f>
        <v>7조 - Microkernel - Performance</v>
      </c>
      <c r="H73" s="1"/>
    </row>
    <row r="74" spans="1:8" ht="16.5" customHeight="1">
      <c r="A74" s="4" t="s">
        <v>66</v>
      </c>
      <c r="B74" s="23" t="s">
        <v>60</v>
      </c>
      <c r="C74" s="27" t="str">
        <f>"7조" &amp; " - " &amp; B$66 &amp; " - " &amp; $A74</f>
        <v>7조 - Layered - Safety</v>
      </c>
      <c r="D74" s="23" t="s">
        <v>60</v>
      </c>
      <c r="E74" s="27" t="str">
        <f>"7조" &amp; " - " &amp; D$66 &amp; " - " &amp; $A74</f>
        <v>7조 - Virtual Machine - Safety</v>
      </c>
      <c r="F74" s="23" t="s">
        <v>60</v>
      </c>
      <c r="G74" s="27" t="str">
        <f>"7조" &amp; " - " &amp; F$66 &amp; " - " &amp; $A74</f>
        <v>7조 - Microkernel - Safety</v>
      </c>
    </row>
    <row r="75" spans="1:8" ht="16.5" customHeight="1">
      <c r="A75" s="4" t="s">
        <v>67</v>
      </c>
      <c r="B75" s="24" t="s">
        <v>60</v>
      </c>
      <c r="C75" s="26" t="str">
        <f>"7조" &amp; " - " &amp; B$66 &amp; " - " &amp; $A75</f>
        <v>7조 - Layered - Security</v>
      </c>
      <c r="D75" s="23" t="s">
        <v>60</v>
      </c>
      <c r="E75" s="27" t="str">
        <f>"7조" &amp; " - " &amp; D$66 &amp; " - " &amp; $A75</f>
        <v>7조 - Virtual Machine - Security</v>
      </c>
      <c r="F75" s="24" t="s">
        <v>60</v>
      </c>
      <c r="G75" s="26" t="str">
        <f>"7조" &amp; " - " &amp; F$66 &amp; " - " &amp; $A75</f>
        <v>7조 - Microkernel - Security</v>
      </c>
    </row>
    <row r="76" spans="1:8" ht="16.5" customHeight="1">
      <c r="A76" s="4" t="s">
        <v>68</v>
      </c>
      <c r="B76" s="24" t="s">
        <v>60</v>
      </c>
      <c r="C76" s="26" t="str">
        <f>"7조" &amp; " - " &amp; B$66 &amp; " - " &amp; $A76</f>
        <v>7조 - Layered - Testability</v>
      </c>
      <c r="D76" s="23" t="s">
        <v>60</v>
      </c>
      <c r="E76" s="27" t="str">
        <f>"7조" &amp; " - " &amp; D$66 &amp; " - " &amp; $A76</f>
        <v>7조 - Virtual Machine - Testability</v>
      </c>
      <c r="F76" s="24" t="s">
        <v>60</v>
      </c>
      <c r="G76" s="26" t="str">
        <f>"7조" &amp; " - " &amp; F$66 &amp; " - " &amp; $A76</f>
        <v>7조 - Microkernel - Testability</v>
      </c>
    </row>
    <row r="77" spans="1:8" ht="16.5" customHeight="1">
      <c r="A77" s="4" t="s">
        <v>69</v>
      </c>
      <c r="B77" s="23" t="s">
        <v>60</v>
      </c>
      <c r="C77" s="27" t="str">
        <f>"7조" &amp; " - " &amp; B$66 &amp; " - " &amp; $A77</f>
        <v>7조 - Layered - Usability</v>
      </c>
      <c r="D77" s="23" t="s">
        <v>60</v>
      </c>
      <c r="E77" s="27" t="str">
        <f>"7조" &amp; " - " &amp; D$66 &amp; " - " &amp; $A77</f>
        <v>7조 - Virtual Machine - Usability</v>
      </c>
      <c r="F77" s="23" t="s">
        <v>60</v>
      </c>
      <c r="G77" s="27" t="str">
        <f>"7조" &amp; " - " &amp; F$66 &amp; " - " &amp; $A77</f>
        <v>7조 - Microkernel - Usability</v>
      </c>
    </row>
    <row r="78" spans="1:8" ht="16.5" customHeight="1">
      <c r="A78" s="1"/>
      <c r="B78" s="16" t="s">
        <v>60</v>
      </c>
      <c r="C78" s="16" t="s">
        <v>60</v>
      </c>
      <c r="D78" s="16" t="s">
        <v>60</v>
      </c>
      <c r="E78" s="16" t="s">
        <v>60</v>
      </c>
      <c r="F78" s="16" t="s">
        <v>60</v>
      </c>
      <c r="G78" s="16" t="s">
        <v>60</v>
      </c>
    </row>
    <row r="79" spans="1:8" ht="16.5" customHeight="1">
      <c r="A79" s="31" t="s">
        <v>85</v>
      </c>
      <c r="B79" s="35" t="s">
        <v>86</v>
      </c>
      <c r="C79" s="34"/>
      <c r="D79" s="35" t="s">
        <v>87</v>
      </c>
      <c r="E79" s="34"/>
    </row>
    <row r="80" spans="1:8" ht="16.5" customHeight="1">
      <c r="A80" s="32"/>
      <c r="B80" s="3" t="s">
        <v>57</v>
      </c>
      <c r="C80" s="3" t="s">
        <v>58</v>
      </c>
      <c r="D80" s="3" t="s">
        <v>57</v>
      </c>
      <c r="E80" s="3" t="s">
        <v>58</v>
      </c>
    </row>
    <row r="81" spans="1:7" ht="16.5" customHeight="1">
      <c r="A81" s="4" t="s">
        <v>59</v>
      </c>
      <c r="B81" s="24" t="s">
        <v>60</v>
      </c>
      <c r="C81" s="26" t="str">
        <f>"7조" &amp; " - " &amp; B$79 &amp; " - " &amp; $A81</f>
        <v>7조 - Multi-tier - Availability</v>
      </c>
      <c r="D81" s="23" t="s">
        <v>60</v>
      </c>
      <c r="E81" s="27" t="str">
        <f>"7조" &amp; " - " &amp; D$79 &amp; " - " &amp; $A81</f>
        <v>7조 - Client-Server - Availability</v>
      </c>
    </row>
    <row r="82" spans="1:7" ht="16.5" customHeight="1">
      <c r="A82" s="4" t="s">
        <v>61</v>
      </c>
      <c r="B82" s="24" t="s">
        <v>60</v>
      </c>
      <c r="C82" s="26" t="str">
        <f>"7조" &amp; " - " &amp; B$79 &amp; " - " &amp; $A82</f>
        <v>7조 - Multi-tier - Deployability</v>
      </c>
      <c r="D82" s="23" t="s">
        <v>60</v>
      </c>
      <c r="E82" s="27" t="str">
        <f>"7조" &amp; " - " &amp; D$79 &amp; " - " &amp; $A82</f>
        <v>7조 - Client-Server - Deployability</v>
      </c>
    </row>
    <row r="83" spans="1:7" ht="16.5" customHeight="1">
      <c r="A83" s="4" t="s">
        <v>62</v>
      </c>
      <c r="B83" s="24" t="s">
        <v>60</v>
      </c>
      <c r="C83" s="26" t="str">
        <f>"7조" &amp; " - " &amp; B$79 &amp; " - " &amp; $A83</f>
        <v>7조 - Multi-tier - Integrability</v>
      </c>
      <c r="D83" s="23" t="s">
        <v>60</v>
      </c>
      <c r="E83" s="27" t="str">
        <f>"7조" &amp; " - " &amp; D$79 &amp; " - " &amp; $A83</f>
        <v>7조 - Client-Server - Integrability</v>
      </c>
    </row>
    <row r="84" spans="1:7" ht="16.5" customHeight="1">
      <c r="A84" s="4" t="s">
        <v>63</v>
      </c>
      <c r="B84" s="24" t="s">
        <v>60</v>
      </c>
      <c r="C84" s="26" t="str">
        <f>"7조" &amp; " - " &amp; B$79 &amp; " - " &amp; $A84</f>
        <v>7조 - Multi-tier - Energy Efficiency</v>
      </c>
      <c r="D84" s="23" t="s">
        <v>60</v>
      </c>
      <c r="E84" s="27" t="str">
        <f>"7조" &amp; " - " &amp; D$79 &amp; " - " &amp; $A84</f>
        <v>7조 - Client-Server - Energy Efficiency</v>
      </c>
    </row>
    <row r="85" spans="1:7" ht="16.5" customHeight="1">
      <c r="A85" s="4" t="s">
        <v>64</v>
      </c>
      <c r="B85" s="23" t="s">
        <v>60</v>
      </c>
      <c r="C85" s="27" t="str">
        <f>"7조" &amp; " - " &amp; B$79 &amp; " - " &amp; $A85</f>
        <v>7조 - Multi-tier - Modifiability</v>
      </c>
      <c r="D85" s="23" t="s">
        <v>60</v>
      </c>
      <c r="E85" s="27" t="str">
        <f>"7조" &amp; " - " &amp; D$79 &amp; " - " &amp; $A85</f>
        <v>7조 - Client-Server - Modifiability</v>
      </c>
    </row>
    <row r="86" spans="1:7" ht="16.5" customHeight="1">
      <c r="A86" s="4" t="s">
        <v>65</v>
      </c>
      <c r="B86" s="24" t="s">
        <v>60</v>
      </c>
      <c r="C86" s="26" t="str">
        <f>"7조" &amp; " - " &amp; B$79 &amp; " - " &amp; $A86</f>
        <v>7조 - Multi-tier - Performance</v>
      </c>
      <c r="D86" s="23" t="s">
        <v>60</v>
      </c>
      <c r="E86" s="27" t="str">
        <f>"7조" &amp; " - " &amp; D$79 &amp; " - " &amp; $A86</f>
        <v>7조 - Client-Server - Performance</v>
      </c>
    </row>
    <row r="87" spans="1:7" ht="16.5" customHeight="1">
      <c r="A87" s="4" t="s">
        <v>66</v>
      </c>
      <c r="B87" s="23" t="s">
        <v>60</v>
      </c>
      <c r="C87" s="27" t="str">
        <f>"7조" &amp; " - " &amp; B$79 &amp; " - " &amp; $A87</f>
        <v>7조 - Multi-tier - Safety</v>
      </c>
      <c r="D87" s="23" t="s">
        <v>60</v>
      </c>
      <c r="E87" s="27" t="str">
        <f>"7조" &amp; " - " &amp; D$79 &amp; " - " &amp; $A87</f>
        <v>7조 - Client-Server - Safety</v>
      </c>
    </row>
    <row r="88" spans="1:7" ht="16.5" customHeight="1">
      <c r="A88" s="4" t="s">
        <v>67</v>
      </c>
      <c r="B88" s="24" t="s">
        <v>60</v>
      </c>
      <c r="C88" s="26" t="str">
        <f>"7조" &amp; " - " &amp; B$79 &amp; " - " &amp; $A88</f>
        <v>7조 - Multi-tier - Security</v>
      </c>
      <c r="D88" s="23" t="s">
        <v>60</v>
      </c>
      <c r="E88" s="27" t="str">
        <f>"7조" &amp; " - " &amp; D$79 &amp; " - " &amp; $A88</f>
        <v>7조 - Client-Server - Security</v>
      </c>
    </row>
    <row r="89" spans="1:7" ht="16.5" customHeight="1">
      <c r="A89" s="4" t="s">
        <v>68</v>
      </c>
      <c r="B89" s="23" t="s">
        <v>60</v>
      </c>
      <c r="C89" s="27" t="str">
        <f>"7조" &amp; " - " &amp; B$79 &amp; " - " &amp; $A89</f>
        <v>7조 - Multi-tier - Testability</v>
      </c>
      <c r="D89" s="23" t="s">
        <v>60</v>
      </c>
      <c r="E89" s="27" t="str">
        <f>"7조" &amp; " - " &amp; D$79 &amp; " - " &amp; $A89</f>
        <v>7조 - Client-Server - Testability</v>
      </c>
    </row>
    <row r="90" spans="1:7" ht="16.5" customHeight="1">
      <c r="A90" s="4" t="s">
        <v>69</v>
      </c>
      <c r="B90" s="23" t="s">
        <v>60</v>
      </c>
      <c r="C90" s="27" t="str">
        <f>"7조" &amp; " - " &amp; B$79 &amp; " - " &amp; $A90</f>
        <v>7조 - Multi-tier - Usability</v>
      </c>
      <c r="D90" s="23" t="s">
        <v>60</v>
      </c>
      <c r="E90" s="27" t="str">
        <f>"7조" &amp; " - " &amp; D$79 &amp; " - " &amp; $A90</f>
        <v>7조 - Client-Server - Usability</v>
      </c>
    </row>
    <row r="91" spans="1:7" ht="16.5" customHeight="1">
      <c r="A91" s="1"/>
      <c r="B91" s="16" t="s">
        <v>60</v>
      </c>
      <c r="C91" s="1"/>
      <c r="D91" s="16" t="s">
        <v>60</v>
      </c>
      <c r="E91" s="1"/>
      <c r="F91" s="16" t="s">
        <v>60</v>
      </c>
      <c r="G91" s="1"/>
    </row>
    <row r="92" spans="1:7" ht="16.5" customHeight="1">
      <c r="A92" s="31" t="s">
        <v>85</v>
      </c>
      <c r="B92" s="35" t="s">
        <v>88</v>
      </c>
      <c r="C92" s="34"/>
      <c r="D92" s="33" t="s">
        <v>89</v>
      </c>
      <c r="E92" s="34"/>
    </row>
    <row r="93" spans="1:7" ht="16.5" customHeight="1">
      <c r="A93" s="32"/>
      <c r="B93" s="3" t="s">
        <v>57</v>
      </c>
      <c r="C93" s="3" t="s">
        <v>58</v>
      </c>
      <c r="D93" s="3" t="s">
        <v>57</v>
      </c>
      <c r="E93" s="3" t="s">
        <v>58</v>
      </c>
    </row>
    <row r="94" spans="1:7" ht="16.5" customHeight="1">
      <c r="A94" s="4" t="s">
        <v>59</v>
      </c>
      <c r="B94" s="23" t="s">
        <v>60</v>
      </c>
      <c r="C94" s="27" t="str">
        <f>"7조" &amp; " - " &amp; B$92 &amp; " - " &amp; $A94</f>
        <v>7조 - Broker - Availability</v>
      </c>
      <c r="D94" s="23" t="s">
        <v>60</v>
      </c>
      <c r="E94" s="27" t="str">
        <f>"7조" &amp; " - " &amp; D$92 &amp; " - " &amp; $A94</f>
        <v>7조 - Dispatcher - Availability</v>
      </c>
    </row>
    <row r="95" spans="1:7" ht="16.5" customHeight="1">
      <c r="A95" s="4" t="s">
        <v>61</v>
      </c>
      <c r="B95" s="23" t="s">
        <v>60</v>
      </c>
      <c r="C95" s="27" t="str">
        <f>"7조" &amp; " - " &amp; B$92 &amp; " - " &amp; $A95</f>
        <v>7조 - Broker - Deployability</v>
      </c>
      <c r="D95" s="23" t="s">
        <v>60</v>
      </c>
      <c r="E95" s="27" t="str">
        <f>"7조" &amp; " - " &amp; D$92 &amp; " - " &amp; $A95</f>
        <v>7조 - Dispatcher - Deployability</v>
      </c>
    </row>
    <row r="96" spans="1:7" ht="16.5" customHeight="1">
      <c r="A96" s="4" t="s">
        <v>62</v>
      </c>
      <c r="B96" s="23" t="s">
        <v>60</v>
      </c>
      <c r="C96" s="27" t="str">
        <f>"7조" &amp; " - " &amp; B$92 &amp; " - " &amp; $A96</f>
        <v>7조 - Broker - Integrability</v>
      </c>
      <c r="D96" s="23" t="s">
        <v>60</v>
      </c>
      <c r="E96" s="27" t="str">
        <f>"7조" &amp; " - " &amp; D$92 &amp; " - " &amp; $A96</f>
        <v>7조 - Dispatcher - Integrability</v>
      </c>
    </row>
    <row r="97" spans="1:7" ht="16.5" customHeight="1">
      <c r="A97" s="4" t="s">
        <v>63</v>
      </c>
      <c r="B97" s="23" t="s">
        <v>60</v>
      </c>
      <c r="C97" s="27" t="str">
        <f>"7조" &amp; " - " &amp; B$92 &amp; " - " &amp; $A97</f>
        <v>7조 - Broker - Energy Efficiency</v>
      </c>
      <c r="D97" s="23" t="s">
        <v>60</v>
      </c>
      <c r="E97" s="27" t="str">
        <f>"7조" &amp; " - " &amp; D$92 &amp; " - " &amp; $A97</f>
        <v>7조 - Dispatcher - Energy Efficiency</v>
      </c>
    </row>
    <row r="98" spans="1:7" ht="16.5" customHeight="1">
      <c r="A98" s="4" t="s">
        <v>64</v>
      </c>
      <c r="B98" s="23" t="s">
        <v>60</v>
      </c>
      <c r="C98" s="27" t="str">
        <f>"7조" &amp; " - " &amp; B$92 &amp; " - " &amp; $A98</f>
        <v>7조 - Broker - Modifiability</v>
      </c>
      <c r="D98" s="23" t="s">
        <v>60</v>
      </c>
      <c r="E98" s="27" t="str">
        <f>"7조" &amp; " - " &amp; D$92 &amp; " - " &amp; $A98</f>
        <v>7조 - Dispatcher - Modifiability</v>
      </c>
    </row>
    <row r="99" spans="1:7" ht="16.5" customHeight="1">
      <c r="A99" s="4" t="s">
        <v>65</v>
      </c>
      <c r="B99" s="23" t="s">
        <v>60</v>
      </c>
      <c r="C99" s="27" t="str">
        <f>"7조" &amp; " - " &amp; B$92 &amp; " - " &amp; $A99</f>
        <v>7조 - Broker - Performance</v>
      </c>
      <c r="D99" s="23" t="s">
        <v>60</v>
      </c>
      <c r="E99" s="27" t="str">
        <f>"7조" &amp; " - " &amp; D$92 &amp; " - " &amp; $A99</f>
        <v>7조 - Dispatcher - Performance</v>
      </c>
    </row>
    <row r="100" spans="1:7" ht="16.5" customHeight="1">
      <c r="A100" s="4" t="s">
        <v>66</v>
      </c>
      <c r="B100" s="23" t="s">
        <v>60</v>
      </c>
      <c r="C100" s="27" t="str">
        <f>"7조" &amp; " - " &amp; B$92 &amp; " - " &amp; $A100</f>
        <v>7조 - Broker - Safety</v>
      </c>
      <c r="D100" s="23" t="s">
        <v>60</v>
      </c>
      <c r="E100" s="27" t="str">
        <f>"7조" &amp; " - " &amp; D$92 &amp; " - " &amp; $A100</f>
        <v>7조 - Dispatcher - Safety</v>
      </c>
    </row>
    <row r="101" spans="1:7" ht="16.5" customHeight="1">
      <c r="A101" s="4" t="s">
        <v>67</v>
      </c>
      <c r="B101" s="23" t="s">
        <v>60</v>
      </c>
      <c r="C101" s="27" t="str">
        <f>"7조" &amp; " - " &amp; B$92 &amp; " - " &amp; $A101</f>
        <v>7조 - Broker - Security</v>
      </c>
      <c r="D101" s="23" t="s">
        <v>60</v>
      </c>
      <c r="E101" s="27" t="str">
        <f>"7조" &amp; " - " &amp; D$92 &amp; " - " &amp; $A101</f>
        <v>7조 - Dispatcher - Security</v>
      </c>
    </row>
    <row r="102" spans="1:7" ht="16.5" customHeight="1">
      <c r="A102" s="4" t="s">
        <v>68</v>
      </c>
      <c r="B102" s="23" t="s">
        <v>60</v>
      </c>
      <c r="C102" s="27" t="str">
        <f>"7조" &amp; " - " &amp; B$92 &amp; " - " &amp; $A102</f>
        <v>7조 - Broker - Testability</v>
      </c>
      <c r="D102" s="23" t="s">
        <v>60</v>
      </c>
      <c r="E102" s="27" t="str">
        <f>"7조" &amp; " - " &amp; D$92 &amp; " - " &amp; $A102</f>
        <v>7조 - Dispatcher - Testability</v>
      </c>
    </row>
    <row r="103" spans="1:7" ht="16.5" customHeight="1">
      <c r="A103" s="4" t="s">
        <v>69</v>
      </c>
      <c r="B103" s="23" t="s">
        <v>60</v>
      </c>
      <c r="C103" s="27" t="str">
        <f>"7조" &amp; " - " &amp; B$92 &amp; " - " &amp; $A103</f>
        <v>7조 - Broker - Usability</v>
      </c>
      <c r="D103" s="23" t="s">
        <v>60</v>
      </c>
      <c r="E103" s="27" t="str">
        <f>"7조" &amp; " - " &amp; D$92 &amp; " - " &amp; $A103</f>
        <v>7조 - Dispatcher - Usability</v>
      </c>
    </row>
    <row r="104" spans="1:7" ht="16.5" customHeight="1">
      <c r="A104" s="1"/>
      <c r="B104" s="16" t="s">
        <v>60</v>
      </c>
      <c r="C104" s="1"/>
      <c r="D104" s="16" t="s">
        <v>60</v>
      </c>
      <c r="E104" s="1"/>
      <c r="F104" s="1"/>
      <c r="G104" s="1"/>
    </row>
    <row r="105" spans="1:7" ht="16.5" customHeight="1">
      <c r="A105" s="31" t="s">
        <v>85</v>
      </c>
      <c r="B105" s="35" t="s">
        <v>51</v>
      </c>
      <c r="C105" s="34"/>
      <c r="D105" s="33" t="s">
        <v>52</v>
      </c>
      <c r="E105" s="34"/>
    </row>
    <row r="106" spans="1:7" ht="16.5" customHeight="1">
      <c r="A106" s="32"/>
      <c r="B106" s="3" t="s">
        <v>57</v>
      </c>
      <c r="C106" s="3" t="s">
        <v>58</v>
      </c>
      <c r="D106" s="3" t="s">
        <v>57</v>
      </c>
      <c r="E106" s="3" t="s">
        <v>58</v>
      </c>
    </row>
    <row r="107" spans="1:7" ht="16.5" customHeight="1">
      <c r="A107" s="4" t="s">
        <v>59</v>
      </c>
      <c r="B107" s="23" t="s">
        <v>60</v>
      </c>
      <c r="C107" s="27" t="str">
        <f>"7조" &amp; " - " &amp; B$105 &amp; " - " &amp; $A107</f>
        <v>7조 - SOA - Availability</v>
      </c>
      <c r="D107" s="23" t="s">
        <v>60</v>
      </c>
      <c r="E107" s="27" t="str">
        <f>"7조" &amp; " - " &amp; D$105 &amp; " - " &amp; $A107</f>
        <v>7조 - Mico-Service - Availability</v>
      </c>
    </row>
    <row r="108" spans="1:7" ht="16.5" customHeight="1">
      <c r="A108" s="4" t="s">
        <v>61</v>
      </c>
      <c r="B108" s="23" t="s">
        <v>60</v>
      </c>
      <c r="C108" s="27" t="str">
        <f>"7조" &amp; " - " &amp; B$105 &amp; " - " &amp; $A108</f>
        <v>7조 - SOA - Deployability</v>
      </c>
      <c r="D108" s="23" t="s">
        <v>60</v>
      </c>
      <c r="E108" s="27" t="str">
        <f>"7조" &amp; " - " &amp; D$105 &amp; " - " &amp; $A108</f>
        <v>7조 - Mico-Service - Deployability</v>
      </c>
    </row>
    <row r="109" spans="1:7" ht="16.5" customHeight="1">
      <c r="A109" s="4" t="s">
        <v>62</v>
      </c>
      <c r="B109" s="23" t="s">
        <v>60</v>
      </c>
      <c r="C109" s="27" t="str">
        <f>"7조" &amp; " - " &amp; B$105 &amp; " - " &amp; $A109</f>
        <v>7조 - SOA - Integrability</v>
      </c>
      <c r="D109" s="23" t="s">
        <v>60</v>
      </c>
      <c r="E109" s="27" t="str">
        <f>"7조" &amp; " - " &amp; D$105 &amp; " - " &amp; $A109</f>
        <v>7조 - Mico-Service - Integrability</v>
      </c>
    </row>
    <row r="110" spans="1:7" ht="16.5" customHeight="1">
      <c r="A110" s="4" t="s">
        <v>63</v>
      </c>
      <c r="B110" s="23" t="s">
        <v>60</v>
      </c>
      <c r="C110" s="27" t="str">
        <f>"7조" &amp; " - " &amp; B$105 &amp; " - " &amp; $A110</f>
        <v>7조 - SOA - Energy Efficiency</v>
      </c>
      <c r="D110" s="23" t="s">
        <v>60</v>
      </c>
      <c r="E110" s="27" t="str">
        <f>"7조" &amp; " - " &amp; D$105 &amp; " - " &amp; $A110</f>
        <v>7조 - Mico-Service - Energy Efficiency</v>
      </c>
    </row>
    <row r="111" spans="1:7" ht="16.5" customHeight="1">
      <c r="A111" s="4" t="s">
        <v>64</v>
      </c>
      <c r="B111" s="23" t="s">
        <v>60</v>
      </c>
      <c r="C111" s="27" t="str">
        <f>"7조" &amp; " - " &amp; B$105 &amp; " - " &amp; $A111</f>
        <v>7조 - SOA - Modifiability</v>
      </c>
      <c r="D111" s="23" t="s">
        <v>60</v>
      </c>
      <c r="E111" s="27" t="str">
        <f>"7조" &amp; " - " &amp; D$105 &amp; " - " &amp; $A111</f>
        <v>7조 - Mico-Service - Modifiability</v>
      </c>
    </row>
    <row r="112" spans="1:7" ht="16.5" customHeight="1">
      <c r="A112" s="4" t="s">
        <v>65</v>
      </c>
      <c r="B112" s="23" t="s">
        <v>60</v>
      </c>
      <c r="C112" s="27" t="str">
        <f>"7조" &amp; " - " &amp; B$105 &amp; " - " &amp; $A112</f>
        <v>7조 - SOA - Performance</v>
      </c>
      <c r="D112" s="23" t="s">
        <v>60</v>
      </c>
      <c r="E112" s="27" t="str">
        <f>"7조" &amp; " - " &amp; D$105 &amp; " - " &amp; $A112</f>
        <v>7조 - Mico-Service - Performance</v>
      </c>
    </row>
    <row r="113" spans="1:7" ht="16.5" customHeight="1">
      <c r="A113" s="4" t="s">
        <v>66</v>
      </c>
      <c r="B113" s="23" t="s">
        <v>60</v>
      </c>
      <c r="C113" s="27" t="str">
        <f>"7조" &amp; " - " &amp; B$105 &amp; " - " &amp; $A113</f>
        <v>7조 - SOA - Safety</v>
      </c>
      <c r="D113" s="23" t="s">
        <v>60</v>
      </c>
      <c r="E113" s="27" t="str">
        <f>"7조" &amp; " - " &amp; D$105 &amp; " - " &amp; $A113</f>
        <v>7조 - Mico-Service - Safety</v>
      </c>
    </row>
    <row r="114" spans="1:7" ht="16.5" customHeight="1">
      <c r="A114" s="4" t="s">
        <v>67</v>
      </c>
      <c r="B114" s="23" t="s">
        <v>60</v>
      </c>
      <c r="C114" s="27" t="str">
        <f>"7조" &amp; " - " &amp; B$105 &amp; " - " &amp; $A114</f>
        <v>7조 - SOA - Security</v>
      </c>
      <c r="D114" s="23" t="s">
        <v>60</v>
      </c>
      <c r="E114" s="27" t="str">
        <f>"7조" &amp; " - " &amp; D$105 &amp; " - " &amp; $A114</f>
        <v>7조 - Mico-Service - Security</v>
      </c>
    </row>
    <row r="115" spans="1:7" ht="16.5" customHeight="1">
      <c r="A115" s="4" t="s">
        <v>68</v>
      </c>
      <c r="B115" s="23" t="s">
        <v>60</v>
      </c>
      <c r="C115" s="27" t="str">
        <f>"7조" &amp; " - " &amp; B$105 &amp; " - " &amp; $A115</f>
        <v>7조 - SOA - Testability</v>
      </c>
      <c r="D115" s="23" t="s">
        <v>60</v>
      </c>
      <c r="E115" s="27" t="str">
        <f>"7조" &amp; " - " &amp; D$105 &amp; " - " &amp; $A115</f>
        <v>7조 - Mico-Service - Testability</v>
      </c>
    </row>
    <row r="116" spans="1:7" ht="16.5" customHeight="1">
      <c r="A116" s="4" t="s">
        <v>69</v>
      </c>
      <c r="B116" s="23" t="s">
        <v>60</v>
      </c>
      <c r="C116" s="27" t="str">
        <f>"7조" &amp; " - " &amp; B$105 &amp; " - " &amp; $A116</f>
        <v>7조 - SOA - Usability</v>
      </c>
      <c r="D116" s="23" t="s">
        <v>60</v>
      </c>
      <c r="E116" s="27" t="str">
        <f>"7조" &amp; " - " &amp; D$105 &amp; " - " &amp; $A116</f>
        <v>7조 - Mico-Service - Usability</v>
      </c>
    </row>
    <row r="117" spans="1:7" ht="16.5" customHeight="1">
      <c r="A117" s="1"/>
      <c r="B117" s="16" t="s">
        <v>60</v>
      </c>
      <c r="C117" s="1"/>
      <c r="D117" s="16" t="s">
        <v>60</v>
      </c>
      <c r="E117" s="1"/>
      <c r="F117" s="1"/>
      <c r="G117" s="1"/>
    </row>
    <row r="118" spans="1:7" ht="16.5" customHeight="1">
      <c r="A118" s="31" t="s">
        <v>90</v>
      </c>
      <c r="B118" s="33" t="s">
        <v>91</v>
      </c>
      <c r="C118" s="34"/>
      <c r="D118" s="33" t="s">
        <v>92</v>
      </c>
      <c r="E118" s="34"/>
      <c r="F118" s="33" t="s">
        <v>93</v>
      </c>
      <c r="G118" s="34"/>
    </row>
    <row r="119" spans="1:7" ht="16.5" customHeight="1">
      <c r="A119" s="32"/>
      <c r="B119" s="3" t="s">
        <v>57</v>
      </c>
      <c r="C119" s="3" t="s">
        <v>58</v>
      </c>
      <c r="D119" s="3" t="s">
        <v>57</v>
      </c>
      <c r="E119" s="3" t="s">
        <v>58</v>
      </c>
      <c r="F119" s="3" t="s">
        <v>57</v>
      </c>
      <c r="G119" s="3" t="s">
        <v>58</v>
      </c>
    </row>
    <row r="120" spans="1:7" ht="16.5" customHeight="1">
      <c r="A120" s="4" t="s">
        <v>59</v>
      </c>
      <c r="B120" s="24" t="s">
        <v>60</v>
      </c>
      <c r="C120" s="26" t="str">
        <f>"7조" &amp; " - " &amp; B$118 &amp; " - " &amp; $A120</f>
        <v>7조 - Container-based - Availability</v>
      </c>
      <c r="D120" s="24" t="s">
        <v>60</v>
      </c>
      <c r="E120" s="26" t="str">
        <f>"7조" &amp; " - " &amp; D$118 &amp; " - " &amp; $A120</f>
        <v>7조 - Cloud-based - Availability</v>
      </c>
      <c r="F120" s="24" t="s">
        <v>60</v>
      </c>
      <c r="G120" s="26" t="str">
        <f>"7조" &amp; " - " &amp; F$118 &amp; " - " &amp; $A120</f>
        <v>7조 - Edge-based - Availability</v>
      </c>
    </row>
    <row r="121" spans="1:7" ht="16.5" customHeight="1">
      <c r="A121" s="4" t="s">
        <v>61</v>
      </c>
      <c r="B121" s="24" t="s">
        <v>60</v>
      </c>
      <c r="C121" s="26" t="str">
        <f>"7조" &amp; " - " &amp; B$118 &amp; " - " &amp; $A121</f>
        <v>7조 - Container-based - Deployability</v>
      </c>
      <c r="D121" s="24" t="s">
        <v>60</v>
      </c>
      <c r="E121" s="26" t="str">
        <f>"7조" &amp; " - " &amp; D$118 &amp; " - " &amp; $A121</f>
        <v>7조 - Cloud-based - Deployability</v>
      </c>
      <c r="F121" s="24" t="s">
        <v>60</v>
      </c>
      <c r="G121" s="26" t="str">
        <f>"7조" &amp; " - " &amp; F$118 &amp; " - " &amp; $A121</f>
        <v>7조 - Edge-based - Deployability</v>
      </c>
    </row>
    <row r="122" spans="1:7" ht="16.5" customHeight="1">
      <c r="A122" s="4" t="s">
        <v>62</v>
      </c>
      <c r="B122" s="24" t="s">
        <v>60</v>
      </c>
      <c r="C122" s="26" t="str">
        <f>"7조" &amp; " - " &amp; B$118 &amp; " - " &amp; $A122</f>
        <v>7조 - Container-based - Integrability</v>
      </c>
      <c r="D122" s="24" t="s">
        <v>60</v>
      </c>
      <c r="E122" s="26" t="str">
        <f>"7조" &amp; " - " &amp; D$118 &amp; " - " &amp; $A122</f>
        <v>7조 - Cloud-based - Integrability</v>
      </c>
      <c r="F122" s="24" t="s">
        <v>60</v>
      </c>
      <c r="G122" s="26" t="str">
        <f>"7조" &amp; " - " &amp; F$118 &amp; " - " &amp; $A122</f>
        <v>7조 - Edge-based - Integrability</v>
      </c>
    </row>
    <row r="123" spans="1:7" ht="16.5" customHeight="1">
      <c r="A123" s="4" t="s">
        <v>63</v>
      </c>
      <c r="B123" s="23" t="s">
        <v>60</v>
      </c>
      <c r="C123" s="27" t="str">
        <f>"7조" &amp; " - " &amp; B$118 &amp; " - " &amp; $A123</f>
        <v>7조 - Container-based - Energy Efficiency</v>
      </c>
      <c r="D123" s="23" t="s">
        <v>60</v>
      </c>
      <c r="E123" s="27" t="str">
        <f>"7조" &amp; " - " &amp; D$118 &amp; " - " &amp; $A123</f>
        <v>7조 - Cloud-based - Energy Efficiency</v>
      </c>
      <c r="F123" s="24" t="s">
        <v>60</v>
      </c>
      <c r="G123" s="26" t="str">
        <f>"7조" &amp; " - " &amp; F$118 &amp; " - " &amp; $A123</f>
        <v>7조 - Edge-based - Energy Efficiency</v>
      </c>
    </row>
    <row r="124" spans="1:7" ht="16.5" customHeight="1">
      <c r="A124" s="4" t="s">
        <v>64</v>
      </c>
      <c r="B124" s="24" t="s">
        <v>60</v>
      </c>
      <c r="C124" s="26" t="str">
        <f>"7조" &amp; " - " &amp; B$118 &amp; " - " &amp; $A124</f>
        <v>7조 - Container-based - Modifiability</v>
      </c>
      <c r="D124" s="23" t="s">
        <v>60</v>
      </c>
      <c r="E124" s="27" t="str">
        <f>"7조" &amp; " - " &amp; D$118 &amp; " - " &amp; $A124</f>
        <v>7조 - Cloud-based - Modifiability</v>
      </c>
      <c r="F124" s="24" t="s">
        <v>60</v>
      </c>
      <c r="G124" s="26" t="str">
        <f>"7조" &amp; " - " &amp; F$118 &amp; " - " &amp; $A124</f>
        <v>7조 - Edge-based - Modifiability</v>
      </c>
    </row>
    <row r="125" spans="1:7" ht="16.5" customHeight="1">
      <c r="A125" s="4" t="s">
        <v>65</v>
      </c>
      <c r="B125" s="24" t="s">
        <v>60</v>
      </c>
      <c r="C125" s="26" t="str">
        <f>"7조" &amp; " - " &amp; B$118 &amp; " - " &amp; $A125</f>
        <v>7조 - Container-based - Performance</v>
      </c>
      <c r="D125" s="24" t="s">
        <v>60</v>
      </c>
      <c r="E125" s="26" t="str">
        <f>"7조" &amp; " - " &amp; D$118 &amp; " - " &amp; $A125</f>
        <v>7조 - Cloud-based - Performance</v>
      </c>
      <c r="F125" s="24" t="s">
        <v>60</v>
      </c>
      <c r="G125" s="26" t="str">
        <f>"7조" &amp; " - " &amp; F$118 &amp; " - " &amp; $A125</f>
        <v>7조 - Edge-based - Performance</v>
      </c>
    </row>
    <row r="126" spans="1:7" ht="16.5" customHeight="1">
      <c r="A126" s="4" t="s">
        <v>66</v>
      </c>
      <c r="B126" s="23" t="s">
        <v>60</v>
      </c>
      <c r="C126" s="27" t="str">
        <f>"7조" &amp; " - " &amp; B$118 &amp; " - " &amp; $A126</f>
        <v>7조 - Container-based - Safety</v>
      </c>
      <c r="D126" s="23" t="s">
        <v>60</v>
      </c>
      <c r="E126" s="27" t="str">
        <f>"7조" &amp; " - " &amp; D$118 &amp; " - " &amp; $A126</f>
        <v>7조 - Cloud-based - Safety</v>
      </c>
      <c r="F126" s="23" t="s">
        <v>60</v>
      </c>
      <c r="G126" s="27" t="str">
        <f>"7조" &amp; " - " &amp; F$118 &amp; " - " &amp; $A126</f>
        <v>7조 - Edge-based - Safety</v>
      </c>
    </row>
    <row r="127" spans="1:7" ht="16.5" customHeight="1">
      <c r="A127" s="4" t="s">
        <v>67</v>
      </c>
      <c r="B127" s="23" t="s">
        <v>60</v>
      </c>
      <c r="C127" s="27" t="str">
        <f>"7조" &amp; " - " &amp; B$118 &amp; " - " &amp; $A127</f>
        <v>7조 - Container-based - Security</v>
      </c>
      <c r="D127" s="24" t="s">
        <v>60</v>
      </c>
      <c r="E127" s="26" t="str">
        <f>"7조" &amp; " - " &amp; D$118 &amp; " - " &amp; $A127</f>
        <v>7조 - Cloud-based - Security</v>
      </c>
      <c r="F127" s="24" t="s">
        <v>60</v>
      </c>
      <c r="G127" s="26" t="str">
        <f>"7조" &amp; " - " &amp; F$118 &amp; " - " &amp; $A127</f>
        <v>7조 - Edge-based - Security</v>
      </c>
    </row>
    <row r="128" spans="1:7" ht="16.5" customHeight="1">
      <c r="A128" s="4" t="s">
        <v>68</v>
      </c>
      <c r="B128" s="24" t="s">
        <v>60</v>
      </c>
      <c r="C128" s="26" t="str">
        <f>"7조" &amp; " - " &amp; B$118 &amp; " - " &amp; $A128</f>
        <v>7조 - Container-based - Testability</v>
      </c>
      <c r="D128" s="24" t="s">
        <v>60</v>
      </c>
      <c r="E128" s="26" t="str">
        <f>"7조" &amp; " - " &amp; D$118 &amp; " - " &amp; $A128</f>
        <v>7조 - Cloud-based - Testability</v>
      </c>
      <c r="F128" s="24" t="s">
        <v>60</v>
      </c>
      <c r="G128" s="26" t="str">
        <f>"7조" &amp; " - " &amp; F$118 &amp; " - " &amp; $A128</f>
        <v>7조 - Edge-based - Testability</v>
      </c>
    </row>
    <row r="129" spans="1:7" ht="16.5" customHeight="1">
      <c r="A129" s="4" t="s">
        <v>69</v>
      </c>
      <c r="B129" s="23" t="s">
        <v>60</v>
      </c>
      <c r="C129" s="27" t="str">
        <f>"7조" &amp; " - " &amp; B$118 &amp; " - " &amp; $A129</f>
        <v>7조 - Container-based - Usability</v>
      </c>
      <c r="D129" s="23" t="s">
        <v>60</v>
      </c>
      <c r="E129" s="27" t="str">
        <f>"7조" &amp; " - " &amp; D$118 &amp; " - " &amp; $A129</f>
        <v>7조 - Cloud-based - Usability</v>
      </c>
      <c r="F129" s="23" t="s">
        <v>60</v>
      </c>
      <c r="G129" s="27" t="str">
        <f>"7조" &amp; " - " &amp; F$118 &amp; " - " &amp; $A129</f>
        <v>7조 - Edge-based - Usability</v>
      </c>
    </row>
    <row r="130" spans="1:7" ht="16.5" customHeight="1"/>
    <row r="131" spans="1:7" ht="16.5" customHeight="1"/>
    <row r="132" spans="1:7" ht="16.5" customHeight="1"/>
    <row r="133" spans="1:7" ht="16.5" customHeight="1"/>
    <row r="134" spans="1:7" ht="16.5" customHeight="1"/>
    <row r="135" spans="1:7" ht="16.5" customHeight="1"/>
    <row r="136" spans="1:7" ht="16.5" customHeight="1"/>
    <row r="137" spans="1:7" ht="16.5" customHeight="1"/>
    <row r="138" spans="1:7" ht="16.5" customHeight="1"/>
    <row r="139" spans="1:7" ht="16.5" customHeight="1"/>
    <row r="140" spans="1:7" ht="16.5" customHeight="1"/>
    <row r="141" spans="1:7" ht="16.5" customHeight="1"/>
    <row r="142" spans="1:7" ht="16.5" customHeight="1"/>
    <row r="143" spans="1:7" ht="16.5" customHeight="1"/>
    <row r="144" spans="1:7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8">
    <mergeCell ref="A118:A119"/>
    <mergeCell ref="B118:C118"/>
    <mergeCell ref="D118:E118"/>
    <mergeCell ref="F118:G118"/>
    <mergeCell ref="D66:E66"/>
    <mergeCell ref="F66:G66"/>
    <mergeCell ref="D92:E92"/>
    <mergeCell ref="A105:A106"/>
    <mergeCell ref="B105:C105"/>
    <mergeCell ref="D105:E105"/>
    <mergeCell ref="B66:C66"/>
    <mergeCell ref="A79:A80"/>
    <mergeCell ref="B79:C79"/>
    <mergeCell ref="D79:E79"/>
    <mergeCell ref="A92:A93"/>
    <mergeCell ref="B92:C92"/>
    <mergeCell ref="D27:E27"/>
    <mergeCell ref="B27:C27"/>
    <mergeCell ref="B40:C40"/>
    <mergeCell ref="D40:E40"/>
    <mergeCell ref="B53:C53"/>
    <mergeCell ref="D53:E53"/>
    <mergeCell ref="A1:A2"/>
    <mergeCell ref="B1:C1"/>
    <mergeCell ref="D1:E1"/>
    <mergeCell ref="F1:G1"/>
    <mergeCell ref="B14:C14"/>
    <mergeCell ref="D14:E14"/>
  </mergeCells>
  <phoneticPr fontId="7" type="noConversion"/>
  <dataValidations count="1">
    <dataValidation type="list" allowBlank="1" showErrorMessage="1" sqref="B3:B12 D3:D12 F3:F12 B14 D14 B16:B25 D16:D25 B27 D27 B29:B38 D29:D38 B42:B51 D42:D51 B53 D53 B55:B64 D55:D64 B66 D66 F66 B68:B77 D68:D77 B79 D79 F68:F78 B81:B90 D81:D90 B92 B94:B103 F120:F129 B120:B129 D120:D129 D94:D103 D107:D116 B107:B116" xr:uid="{3F56B600-BD0F-4CDC-B4EC-09BF512B6EF3}">
      <formula1>"'++,'+,'0,'-,'--"</formula1>
    </dataValidation>
  </dataValidation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99"/>
  <sheetViews>
    <sheetView workbookViewId="0">
      <pane xSplit="1" topLeftCell="B1" activePane="topRight" state="frozen"/>
      <selection pane="topRight" activeCell="E31" sqref="E31"/>
    </sheetView>
  </sheetViews>
  <sheetFormatPr defaultColWidth="14.42578125" defaultRowHeight="15" customHeight="1"/>
  <cols>
    <col min="1" max="1" width="18" customWidth="1"/>
    <col min="2" max="2" width="14.7109375" customWidth="1"/>
    <col min="3" max="3" width="70.5703125" customWidth="1"/>
    <col min="4" max="4" width="9.85546875" customWidth="1"/>
    <col min="5" max="5" width="64.42578125" customWidth="1"/>
    <col min="6" max="6" width="11.42578125" customWidth="1"/>
    <col min="7" max="7" width="61.5703125" customWidth="1"/>
    <col min="8" max="8" width="8.85546875" customWidth="1"/>
    <col min="9" max="9" width="64.140625" customWidth="1"/>
    <col min="10" max="26" width="8.85546875" customWidth="1"/>
  </cols>
  <sheetData>
    <row r="1" spans="1:7" ht="16.5" customHeight="1">
      <c r="A1" s="31" t="s">
        <v>53</v>
      </c>
      <c r="B1" s="33" t="s">
        <v>54</v>
      </c>
      <c r="C1" s="34"/>
      <c r="D1" s="33" t="s">
        <v>55</v>
      </c>
      <c r="E1" s="34"/>
      <c r="F1" s="33" t="s">
        <v>56</v>
      </c>
      <c r="G1" s="34"/>
    </row>
    <row r="2" spans="1:7" ht="16.5" customHeight="1">
      <c r="A2" s="32"/>
      <c r="B2" s="3" t="s">
        <v>57</v>
      </c>
      <c r="C2" s="3" t="s">
        <v>58</v>
      </c>
      <c r="D2" s="3" t="s">
        <v>57</v>
      </c>
      <c r="E2" s="3" t="s">
        <v>58</v>
      </c>
      <c r="F2" s="3" t="s">
        <v>57</v>
      </c>
      <c r="G2" s="3" t="s">
        <v>58</v>
      </c>
    </row>
    <row r="3" spans="1:7" ht="16.5" customHeight="1">
      <c r="A3" s="4" t="s">
        <v>59</v>
      </c>
      <c r="B3" s="24" t="s">
        <v>60</v>
      </c>
      <c r="C3" s="26" t="str">
        <f>"8조" &amp; " - " &amp; B$1 &amp; " - " &amp; $A3</f>
        <v>8조 - Batch Sequential - Availability</v>
      </c>
      <c r="D3" s="24" t="s">
        <v>60</v>
      </c>
      <c r="E3" s="26" t="str">
        <f>"8조" &amp; " - " &amp; D$1 &amp; " - " &amp; $A3</f>
        <v>8조 - Pipe and Filter - Availability</v>
      </c>
      <c r="F3" s="23" t="s">
        <v>60</v>
      </c>
      <c r="G3" s="27" t="str">
        <f>"8조" &amp; " - " &amp; F$1 &amp; " - " &amp; $A3</f>
        <v>8조 - Process Control - Availability</v>
      </c>
    </row>
    <row r="4" spans="1:7" ht="16.5" customHeight="1">
      <c r="A4" s="4" t="s">
        <v>61</v>
      </c>
      <c r="B4" s="24" t="s">
        <v>60</v>
      </c>
      <c r="C4" s="26" t="str">
        <f>"8조" &amp; " - " &amp; B$1 &amp; " - " &amp; $A4</f>
        <v>8조 - Batch Sequential - Deployability</v>
      </c>
      <c r="D4" s="24" t="s">
        <v>60</v>
      </c>
      <c r="E4" s="26" t="str">
        <f>"8조" &amp; " - " &amp; D$1 &amp; " - " &amp; $A4</f>
        <v>8조 - Pipe and Filter - Deployability</v>
      </c>
      <c r="F4" s="23" t="s">
        <v>60</v>
      </c>
      <c r="G4" s="27" t="str">
        <f>"8조" &amp; " - " &amp; F$1 &amp; " - " &amp; $A4</f>
        <v>8조 - Process Control - Deployability</v>
      </c>
    </row>
    <row r="5" spans="1:7" ht="16.5" customHeight="1">
      <c r="A5" s="4" t="s">
        <v>62</v>
      </c>
      <c r="B5" s="23" t="s">
        <v>60</v>
      </c>
      <c r="C5" s="26" t="str">
        <f>"8조" &amp; " - " &amp; B$1 &amp; " - " &amp; $A5</f>
        <v>8조 - Batch Sequential - Integrability</v>
      </c>
      <c r="D5" s="24" t="s">
        <v>60</v>
      </c>
      <c r="E5" s="28" t="str">
        <f>"8조" &amp; " - " &amp; D$1 &amp; " - " &amp; $A5</f>
        <v>8조 - Pipe and Filter - Integrability</v>
      </c>
      <c r="F5" s="23" t="s">
        <v>60</v>
      </c>
      <c r="G5" s="27" t="str">
        <f>"8조" &amp; " - " &amp; F$1 &amp; " - " &amp; $A5</f>
        <v>8조 - Process Control - Integrability</v>
      </c>
    </row>
    <row r="6" spans="1:7" ht="16.5" customHeight="1">
      <c r="A6" s="4" t="s">
        <v>63</v>
      </c>
      <c r="B6" s="24" t="s">
        <v>60</v>
      </c>
      <c r="C6" s="26" t="str">
        <f>"8조" &amp; " - " &amp; B$1 &amp; " - " &amp; $A6</f>
        <v>8조 - Batch Sequential - Energy Efficiency</v>
      </c>
      <c r="D6" s="23" t="s">
        <v>60</v>
      </c>
      <c r="E6" s="27" t="str">
        <f>"8조" &amp; " - " &amp; D$1 &amp; " - " &amp; $A6</f>
        <v>8조 - Pipe and Filter - Energy Efficiency</v>
      </c>
      <c r="F6" s="23" t="s">
        <v>60</v>
      </c>
      <c r="G6" s="27" t="str">
        <f>"8조" &amp; " - " &amp; F$1 &amp; " - " &amp; $A6</f>
        <v>8조 - Process Control - Energy Efficiency</v>
      </c>
    </row>
    <row r="7" spans="1:7" ht="16.5" customHeight="1">
      <c r="A7" s="4" t="s">
        <v>64</v>
      </c>
      <c r="B7" s="24" t="s">
        <v>60</v>
      </c>
      <c r="C7" s="26" t="str">
        <f>"8조" &amp; " - " &amp; B$1 &amp; " - " &amp; $A7</f>
        <v>8조 - Batch Sequential - Modifiability</v>
      </c>
      <c r="D7" s="24" t="s">
        <v>60</v>
      </c>
      <c r="E7" s="26" t="str">
        <f>"8조" &amp; " - " &amp; D$1 &amp; " - " &amp; $A7</f>
        <v>8조 - Pipe and Filter - Modifiability</v>
      </c>
      <c r="F7" s="23" t="s">
        <v>60</v>
      </c>
      <c r="G7" s="27" t="str">
        <f>"8조" &amp; " - " &amp; F$1 &amp; " - " &amp; $A7</f>
        <v>8조 - Process Control - Modifiability</v>
      </c>
    </row>
    <row r="8" spans="1:7" ht="16.5" customHeight="1">
      <c r="A8" s="4" t="s">
        <v>65</v>
      </c>
      <c r="B8" s="24" t="s">
        <v>60</v>
      </c>
      <c r="C8" s="26" t="str">
        <f>"8조" &amp; " - " &amp; B$1 &amp; " - " &amp; $A8</f>
        <v>8조 - Batch Sequential - Performance</v>
      </c>
      <c r="D8" s="24" t="s">
        <v>60</v>
      </c>
      <c r="E8" s="26" t="str">
        <f>"8조" &amp; " - " &amp; D$1 &amp; " - " &amp; $A8</f>
        <v>8조 - Pipe and Filter - Performance</v>
      </c>
      <c r="F8" s="23" t="s">
        <v>60</v>
      </c>
      <c r="G8" s="27" t="str">
        <f>"8조" &amp; " - " &amp; F$1 &amp; " - " &amp; $A8</f>
        <v>8조 - Process Control - Performance</v>
      </c>
    </row>
    <row r="9" spans="1:7" ht="16.5" customHeight="1">
      <c r="A9" s="4" t="s">
        <v>66</v>
      </c>
      <c r="B9" s="23" t="s">
        <v>60</v>
      </c>
      <c r="C9" s="26" t="str">
        <f>"8조" &amp; " - " &amp; B$1 &amp; " - " &amp; $A9</f>
        <v>8조 - Batch Sequential - Safety</v>
      </c>
      <c r="D9" s="23" t="s">
        <v>60</v>
      </c>
      <c r="E9" s="27" t="str">
        <f>"8조" &amp; " - " &amp; D$1 &amp; " - " &amp; $A9</f>
        <v>8조 - Pipe and Filter - Safety</v>
      </c>
      <c r="F9" s="23" t="s">
        <v>60</v>
      </c>
      <c r="G9" s="27" t="str">
        <f>"8조" &amp; " - " &amp; F$1 &amp; " - " &amp; $A9</f>
        <v>8조 - Process Control - Safety</v>
      </c>
    </row>
    <row r="10" spans="1:7" ht="16.5" customHeight="1">
      <c r="A10" s="4" t="s">
        <v>67</v>
      </c>
      <c r="B10" s="24" t="s">
        <v>60</v>
      </c>
      <c r="C10" s="26" t="str">
        <f>"8조" &amp; " - " &amp; B$1 &amp; " - " &amp; $A10</f>
        <v>8조 - Batch Sequential - Security</v>
      </c>
      <c r="D10" s="24" t="s">
        <v>60</v>
      </c>
      <c r="E10" s="26" t="str">
        <f>"8조" &amp; " - " &amp; D$1 &amp; " - " &amp; $A10</f>
        <v>8조 - Pipe and Filter - Security</v>
      </c>
      <c r="F10" s="23" t="s">
        <v>60</v>
      </c>
      <c r="G10" s="27" t="str">
        <f>"8조" &amp; " - " &amp; F$1 &amp; " - " &amp; $A10</f>
        <v>8조 - Process Control - Security</v>
      </c>
    </row>
    <row r="11" spans="1:7" ht="16.5" customHeight="1">
      <c r="A11" s="4" t="s">
        <v>68</v>
      </c>
      <c r="B11" s="24" t="s">
        <v>60</v>
      </c>
      <c r="C11" s="26" t="str">
        <f>"8조" &amp; " - " &amp; B$1 &amp; " - " &amp; $A11</f>
        <v>8조 - Batch Sequential - Testability</v>
      </c>
      <c r="D11" s="24" t="s">
        <v>60</v>
      </c>
      <c r="E11" s="26" t="str">
        <f>"8조" &amp; " - " &amp; D$1 &amp; " - " &amp; $A11</f>
        <v>8조 - Pipe and Filter - Testability</v>
      </c>
      <c r="F11" s="23" t="s">
        <v>60</v>
      </c>
      <c r="G11" s="27" t="str">
        <f>"8조" &amp; " - " &amp; F$1 &amp; " - " &amp; $A11</f>
        <v>8조 - Process Control - Testability</v>
      </c>
    </row>
    <row r="12" spans="1:7" ht="16.5" customHeight="1">
      <c r="A12" s="4" t="s">
        <v>69</v>
      </c>
      <c r="B12" s="23" t="s">
        <v>60</v>
      </c>
      <c r="C12" s="26" t="str">
        <f>"8조" &amp; " - " &amp; B$1 &amp; " - " &amp; $A12</f>
        <v>8조 - Batch Sequential - Usability</v>
      </c>
      <c r="D12" s="23" t="s">
        <v>60</v>
      </c>
      <c r="E12" s="27" t="str">
        <f>"8조" &amp; " - " &amp; D$1 &amp; " - " &amp; $A12</f>
        <v>8조 - Pipe and Filter - Usability</v>
      </c>
      <c r="F12" s="23" t="s">
        <v>60</v>
      </c>
      <c r="G12" s="27" t="str">
        <f>"8조" &amp; " - " &amp; F$1 &amp; " - " &amp; $A12</f>
        <v>8조 - Process Control - Usability</v>
      </c>
    </row>
    <row r="13" spans="1:7" ht="16.5" customHeight="1">
      <c r="A13" s="1"/>
      <c r="B13" s="16" t="s">
        <v>60</v>
      </c>
      <c r="C13" s="16" t="s">
        <v>60</v>
      </c>
      <c r="D13" s="16" t="s">
        <v>60</v>
      </c>
      <c r="E13" s="16" t="s">
        <v>60</v>
      </c>
      <c r="F13" s="16" t="s">
        <v>60</v>
      </c>
      <c r="G13" s="1"/>
    </row>
    <row r="14" spans="1:7" ht="16.5" customHeight="1">
      <c r="A14" s="2" t="s">
        <v>70</v>
      </c>
      <c r="B14" s="35" t="s">
        <v>71</v>
      </c>
      <c r="C14" s="34"/>
      <c r="D14" s="35" t="s">
        <v>72</v>
      </c>
      <c r="E14" s="34"/>
      <c r="F14" s="1"/>
      <c r="G14" s="1"/>
    </row>
    <row r="15" spans="1:7" ht="16.5" customHeight="1">
      <c r="A15" s="19"/>
      <c r="B15" s="20" t="s">
        <v>57</v>
      </c>
      <c r="C15" s="21" t="s">
        <v>58</v>
      </c>
      <c r="D15" s="20" t="s">
        <v>57</v>
      </c>
      <c r="E15" s="21" t="s">
        <v>58</v>
      </c>
      <c r="F15" s="1"/>
      <c r="G15" s="1"/>
    </row>
    <row r="16" spans="1:7" ht="16.5" customHeight="1">
      <c r="A16" s="4" t="s">
        <v>59</v>
      </c>
      <c r="B16" s="24" t="s">
        <v>60</v>
      </c>
      <c r="C16" s="26" t="str">
        <f>"8조" &amp; " - " &amp; B$14 &amp; " - " &amp; $A16</f>
        <v>8조 - Shared Respository - Availability</v>
      </c>
      <c r="D16" s="23" t="s">
        <v>60</v>
      </c>
      <c r="E16" s="27" t="str">
        <f>"8조" &amp; " - " &amp; D$14 &amp; " - " &amp; $A16</f>
        <v>8조 - Blackboard - Availability</v>
      </c>
      <c r="F16" s="1"/>
      <c r="G16" s="1"/>
    </row>
    <row r="17" spans="1:7" ht="16.5" customHeight="1">
      <c r="A17" s="4" t="s">
        <v>61</v>
      </c>
      <c r="B17" s="24" t="s">
        <v>60</v>
      </c>
      <c r="C17" s="26" t="str">
        <f>"8조" &amp; " - " &amp; B$14 &amp; " - " &amp; $A17</f>
        <v>8조 - Shared Respository - Deployability</v>
      </c>
      <c r="D17" s="23" t="s">
        <v>60</v>
      </c>
      <c r="E17" s="27" t="str">
        <f>"8조" &amp; " - " &amp; D$14 &amp; " - " &amp; $A17</f>
        <v>8조 - Blackboard - Deployability</v>
      </c>
      <c r="F17" s="1"/>
      <c r="G17" s="1"/>
    </row>
    <row r="18" spans="1:7" ht="16.5" customHeight="1">
      <c r="A18" s="4" t="s">
        <v>62</v>
      </c>
      <c r="B18" s="24" t="s">
        <v>60</v>
      </c>
      <c r="C18" s="26" t="str">
        <f>"8조" &amp; " - " &amp; B$14 &amp; " - " &amp; $A18</f>
        <v>8조 - Shared Respository - Integrability</v>
      </c>
      <c r="D18" s="23" t="s">
        <v>60</v>
      </c>
      <c r="E18" s="27" t="str">
        <f>"8조" &amp; " - " &amp; D$14 &amp; " - " &amp; $A18</f>
        <v>8조 - Blackboard - Integrability</v>
      </c>
      <c r="F18" s="1"/>
      <c r="G18" s="1"/>
    </row>
    <row r="19" spans="1:7" ht="16.5" customHeight="1">
      <c r="A19" s="4" t="s">
        <v>63</v>
      </c>
      <c r="B19" s="23" t="s">
        <v>60</v>
      </c>
      <c r="C19" s="27" t="str">
        <f>"8조" &amp; " - " &amp; B$14 &amp; " - " &amp; $A19</f>
        <v>8조 - Shared Respository - Energy Efficiency</v>
      </c>
      <c r="D19" s="23" t="s">
        <v>60</v>
      </c>
      <c r="E19" s="27" t="str">
        <f>"8조" &amp; " - " &amp; D$14 &amp; " - " &amp; $A19</f>
        <v>8조 - Blackboard - Energy Efficiency</v>
      </c>
      <c r="F19" s="1"/>
      <c r="G19" s="1"/>
    </row>
    <row r="20" spans="1:7" ht="16.5" customHeight="1">
      <c r="A20" s="4" t="s">
        <v>64</v>
      </c>
      <c r="B20" s="24" t="s">
        <v>60</v>
      </c>
      <c r="C20" s="26" t="str">
        <f>"8조" &amp; " - " &amp; B$14 &amp; " - " &amp; $A20</f>
        <v>8조 - Shared Respository - Modifiability</v>
      </c>
      <c r="D20" s="23" t="s">
        <v>60</v>
      </c>
      <c r="E20" s="27" t="str">
        <f>"8조" &amp; " - " &amp; D$14 &amp; " - " &amp; $A20</f>
        <v>8조 - Blackboard - Modifiability</v>
      </c>
      <c r="F20" s="1"/>
      <c r="G20" s="1"/>
    </row>
    <row r="21" spans="1:7" ht="16.5" customHeight="1">
      <c r="A21" s="4" t="s">
        <v>65</v>
      </c>
      <c r="B21" s="24" t="s">
        <v>60</v>
      </c>
      <c r="C21" s="26" t="str">
        <f>"8조" &amp; " - " &amp; B$14 &amp; " - " &amp; $A21</f>
        <v>8조 - Shared Respository - Performance</v>
      </c>
      <c r="D21" s="23" t="s">
        <v>60</v>
      </c>
      <c r="E21" s="27" t="str">
        <f>"8조" &amp; " - " &amp; D$14 &amp; " - " &amp; $A21</f>
        <v>8조 - Blackboard - Performance</v>
      </c>
      <c r="F21" s="1"/>
      <c r="G21" s="1"/>
    </row>
    <row r="22" spans="1:7" ht="16.5" customHeight="1">
      <c r="A22" s="4" t="s">
        <v>66</v>
      </c>
      <c r="B22" s="23" t="s">
        <v>60</v>
      </c>
      <c r="C22" s="27" t="str">
        <f>"8조" &amp; " - " &amp; B$14 &amp; " - " &amp; $A22</f>
        <v>8조 - Shared Respository - Safety</v>
      </c>
      <c r="D22" s="23" t="s">
        <v>60</v>
      </c>
      <c r="E22" s="27" t="str">
        <f>"8조" &amp; " - " &amp; D$14 &amp; " - " &amp; $A22</f>
        <v>8조 - Blackboard - Safety</v>
      </c>
      <c r="F22" s="1"/>
      <c r="G22" s="1"/>
    </row>
    <row r="23" spans="1:7" ht="16.5" customHeight="1">
      <c r="A23" s="4" t="s">
        <v>67</v>
      </c>
      <c r="B23" s="24" t="s">
        <v>60</v>
      </c>
      <c r="C23" s="26" t="str">
        <f>"8조" &amp; " - " &amp; B$14 &amp; " - " &amp; $A23</f>
        <v>8조 - Shared Respository - Security</v>
      </c>
      <c r="D23" s="23" t="s">
        <v>60</v>
      </c>
      <c r="E23" s="27" t="str">
        <f>"8조" &amp; " - " &amp; D$14 &amp; " - " &amp; $A23</f>
        <v>8조 - Blackboard - Security</v>
      </c>
      <c r="F23" s="1"/>
      <c r="G23" s="1"/>
    </row>
    <row r="24" spans="1:7" ht="16.5" customHeight="1">
      <c r="A24" s="4" t="s">
        <v>68</v>
      </c>
      <c r="B24" s="24" t="s">
        <v>60</v>
      </c>
      <c r="C24" s="26" t="str">
        <f>"8조" &amp; " - " &amp; B$14 &amp; " - " &amp; $A24</f>
        <v>8조 - Shared Respository - Testability</v>
      </c>
      <c r="D24" s="23" t="s">
        <v>60</v>
      </c>
      <c r="E24" s="27" t="str">
        <f>"8조" &amp; " - " &amp; D$14 &amp; " - " &amp; $A24</f>
        <v>8조 - Blackboard - Testability</v>
      </c>
      <c r="F24" s="1"/>
      <c r="G24" s="1"/>
    </row>
    <row r="25" spans="1:7" ht="16.5" customHeight="1">
      <c r="A25" s="4" t="s">
        <v>69</v>
      </c>
      <c r="B25" s="23" t="s">
        <v>60</v>
      </c>
      <c r="C25" s="27" t="str">
        <f>"8조" &amp; " - " &amp; B$14 &amp; " - " &amp; $A25</f>
        <v>8조 - Shared Respository - Usability</v>
      </c>
      <c r="D25" s="23" t="s">
        <v>60</v>
      </c>
      <c r="E25" s="27" t="str">
        <f>"8조" &amp; " - " &amp; D$14 &amp; " - " &amp; $A25</f>
        <v>8조 - Blackboard - Usability</v>
      </c>
      <c r="F25" s="1"/>
      <c r="G25" s="1"/>
    </row>
    <row r="26" spans="1:7" ht="16.5" customHeight="1">
      <c r="A26" s="1"/>
      <c r="B26" s="16" t="s">
        <v>60</v>
      </c>
      <c r="C26" s="16" t="s">
        <v>60</v>
      </c>
      <c r="D26" s="16" t="s">
        <v>60</v>
      </c>
      <c r="E26" s="16" t="s">
        <v>60</v>
      </c>
      <c r="F26" s="1"/>
      <c r="G26" s="1"/>
    </row>
    <row r="27" spans="1:7" ht="16.5" customHeight="1">
      <c r="A27" s="2" t="s">
        <v>73</v>
      </c>
      <c r="B27" s="35" t="s">
        <v>74</v>
      </c>
      <c r="C27" s="34"/>
      <c r="D27" s="35" t="s">
        <v>75</v>
      </c>
      <c r="E27" s="34"/>
      <c r="F27" s="1"/>
      <c r="G27" s="1"/>
    </row>
    <row r="28" spans="1:7" ht="16.5" customHeight="1">
      <c r="A28" s="22"/>
      <c r="B28" s="3" t="s">
        <v>57</v>
      </c>
      <c r="C28" s="17" t="s">
        <v>58</v>
      </c>
      <c r="D28" s="3" t="s">
        <v>57</v>
      </c>
      <c r="E28" s="17" t="s">
        <v>58</v>
      </c>
      <c r="F28" s="1"/>
      <c r="G28" s="1"/>
    </row>
    <row r="29" spans="1:7" ht="16.5" customHeight="1">
      <c r="A29" s="4" t="s">
        <v>59</v>
      </c>
      <c r="B29" s="24" t="s">
        <v>60</v>
      </c>
      <c r="C29" s="26" t="str">
        <f>"8조" &amp; " - " &amp; B$27 &amp; " - " &amp; $A29</f>
        <v>8조 - Non-Buffered Event Based - Availability</v>
      </c>
      <c r="D29" s="24" t="s">
        <v>60</v>
      </c>
      <c r="E29" s="26" t="str">
        <f>"8조" &amp; " - " &amp; D$27 &amp; " - " &amp; $A29</f>
        <v>8조 - Buffered Message Based - Availability</v>
      </c>
      <c r="F29" s="1"/>
      <c r="G29" s="1"/>
    </row>
    <row r="30" spans="1:7" ht="16.5" customHeight="1">
      <c r="A30" s="4" t="s">
        <v>61</v>
      </c>
      <c r="B30" s="23" t="s">
        <v>60</v>
      </c>
      <c r="C30" s="27" t="str">
        <f>"8조" &amp; " - " &amp; B$27 &amp; " - " &amp; $A30</f>
        <v>8조 - Non-Buffered Event Based - Deployability</v>
      </c>
      <c r="D30" s="23" t="s">
        <v>60</v>
      </c>
      <c r="E30" s="27" t="str">
        <f>"8조" &amp; " - " &amp; D$27 &amp; " - " &amp; $A30</f>
        <v>8조 - Buffered Message Based - Deployability</v>
      </c>
      <c r="F30" s="1"/>
      <c r="G30" s="1"/>
    </row>
    <row r="31" spans="1:7" ht="16.5" customHeight="1">
      <c r="A31" s="4" t="s">
        <v>62</v>
      </c>
      <c r="B31" s="24" t="s">
        <v>60</v>
      </c>
      <c r="C31" s="26" t="str">
        <f>"8조" &amp; " - " &amp; B$27 &amp; " - " &amp; $A31</f>
        <v>8조 - Non-Buffered Event Based - Integrability</v>
      </c>
      <c r="D31" s="24" t="s">
        <v>60</v>
      </c>
      <c r="E31" s="26" t="str">
        <f>"8조" &amp; " - " &amp; D$27 &amp; " - " &amp; $A31</f>
        <v>8조 - Buffered Message Based - Integrability</v>
      </c>
      <c r="F31" s="1"/>
      <c r="G31" s="1"/>
    </row>
    <row r="32" spans="1:7" ht="16.5" customHeight="1">
      <c r="A32" s="4" t="s">
        <v>63</v>
      </c>
      <c r="B32" s="23" t="s">
        <v>60</v>
      </c>
      <c r="C32" s="27" t="str">
        <f>"8조" &amp; " - " &amp; B$27 &amp; " - " &amp; $A32</f>
        <v>8조 - Non-Buffered Event Based - Energy Efficiency</v>
      </c>
      <c r="D32" s="23" t="s">
        <v>60</v>
      </c>
      <c r="E32" s="27" t="str">
        <f>"8조" &amp; " - " &amp; D$27 &amp; " - " &amp; $A32</f>
        <v>8조 - Buffered Message Based - Energy Efficiency</v>
      </c>
      <c r="F32" s="1"/>
      <c r="G32" s="1"/>
    </row>
    <row r="33" spans="1:9" ht="16.5" customHeight="1">
      <c r="A33" s="4" t="s">
        <v>64</v>
      </c>
      <c r="B33" s="24" t="s">
        <v>60</v>
      </c>
      <c r="C33" s="26" t="str">
        <f>"8조" &amp; " - " &amp; B$27 &amp; " - " &amp; $A33</f>
        <v>8조 - Non-Buffered Event Based - Modifiability</v>
      </c>
      <c r="D33" s="24" t="s">
        <v>60</v>
      </c>
      <c r="E33" s="26" t="str">
        <f>"8조" &amp; " - " &amp; D$27 &amp; " - " &amp; $A33</f>
        <v>8조 - Buffered Message Based - Modifiability</v>
      </c>
      <c r="F33" s="1"/>
      <c r="G33" s="1"/>
    </row>
    <row r="34" spans="1:9" ht="16.5" customHeight="1">
      <c r="A34" s="4" t="s">
        <v>65</v>
      </c>
      <c r="B34" s="24" t="s">
        <v>60</v>
      </c>
      <c r="C34" s="26" t="str">
        <f>"8조" &amp; " - " &amp; B$27 &amp; " - " &amp; $A34</f>
        <v>8조 - Non-Buffered Event Based - Performance</v>
      </c>
      <c r="D34" s="24" t="s">
        <v>60</v>
      </c>
      <c r="E34" s="26" t="str">
        <f>"8조" &amp; " - " &amp; D$27 &amp; " - " &amp; $A34</f>
        <v>8조 - Buffered Message Based - Performance</v>
      </c>
      <c r="F34" s="1"/>
      <c r="G34" s="1"/>
    </row>
    <row r="35" spans="1:9" ht="16.5" customHeight="1">
      <c r="A35" s="4" t="s">
        <v>66</v>
      </c>
      <c r="B35" s="25" t="s">
        <v>60</v>
      </c>
      <c r="C35" s="29" t="str">
        <f>"8조" &amp; " - " &amp; B$27 &amp; " - " &amp; $A35</f>
        <v>8조 - Non-Buffered Event Based - Safety</v>
      </c>
      <c r="D35" s="25" t="s">
        <v>60</v>
      </c>
      <c r="E35" s="29" t="str">
        <f>"8조" &amp; " - " &amp; D$27 &amp; " - " &amp; $A35</f>
        <v>8조 - Buffered Message Based - Safety</v>
      </c>
      <c r="F35" s="1"/>
      <c r="G35" s="1"/>
    </row>
    <row r="36" spans="1:9" ht="16.5" customHeight="1">
      <c r="A36" s="4" t="s">
        <v>67</v>
      </c>
      <c r="B36" s="23" t="s">
        <v>60</v>
      </c>
      <c r="C36" s="27" t="str">
        <f>"8조" &amp; " - " &amp; B$27 &amp; " - " &amp; $A36</f>
        <v>8조 - Non-Buffered Event Based - Security</v>
      </c>
      <c r="D36" s="23" t="s">
        <v>60</v>
      </c>
      <c r="E36" s="27" t="str">
        <f>"8조" &amp; " - " &amp; D$27 &amp; " - " &amp; $A36</f>
        <v>8조 - Buffered Message Based - Security</v>
      </c>
      <c r="F36" s="1"/>
      <c r="G36" s="1"/>
    </row>
    <row r="37" spans="1:9" ht="16.5" customHeight="1">
      <c r="A37" s="4" t="s">
        <v>68</v>
      </c>
      <c r="B37" s="24" t="s">
        <v>60</v>
      </c>
      <c r="C37" s="26" t="str">
        <f>"8조" &amp; " - " &amp; B$27 &amp; " - " &amp; $A37</f>
        <v>8조 - Non-Buffered Event Based - Testability</v>
      </c>
      <c r="D37" s="24" t="s">
        <v>60</v>
      </c>
      <c r="E37" s="26" t="str">
        <f>"8조" &amp; " - " &amp; D$27 &amp; " - " &amp; $A37</f>
        <v>8조 - Buffered Message Based - Testability</v>
      </c>
      <c r="F37" s="1"/>
      <c r="G37" s="1"/>
    </row>
    <row r="38" spans="1:9" ht="16.5" customHeight="1">
      <c r="A38" s="4" t="s">
        <v>69</v>
      </c>
      <c r="B38" s="23" t="s">
        <v>60</v>
      </c>
      <c r="C38" s="27" t="str">
        <f>"8조" &amp; " - " &amp; B$27 &amp; " - " &amp; $A38</f>
        <v>8조 - Non-Buffered Event Based - Usability</v>
      </c>
      <c r="D38" s="23" t="s">
        <v>60</v>
      </c>
      <c r="E38" s="27" t="str">
        <f>"8조" &amp; " - " &amp; D$27 &amp; " - " &amp; $A38</f>
        <v>8조 - Buffered Message Based - Usability</v>
      </c>
      <c r="F38" s="1"/>
      <c r="G38" s="1"/>
    </row>
    <row r="39" spans="1:9" ht="16.5" customHeight="1">
      <c r="A39" s="1"/>
      <c r="B39" s="16" t="s">
        <v>60</v>
      </c>
      <c r="C39" s="16" t="s">
        <v>60</v>
      </c>
      <c r="D39" s="16" t="s">
        <v>60</v>
      </c>
      <c r="E39" s="16" t="s">
        <v>60</v>
      </c>
      <c r="F39" s="1"/>
      <c r="G39" s="1"/>
    </row>
    <row r="40" spans="1:9" ht="16.5" customHeight="1">
      <c r="A40" s="2" t="s">
        <v>76</v>
      </c>
      <c r="B40" s="33" t="s">
        <v>77</v>
      </c>
      <c r="C40" s="34"/>
      <c r="D40" s="33" t="s">
        <v>78</v>
      </c>
      <c r="E40" s="34"/>
      <c r="F40" s="1"/>
      <c r="G40" s="1"/>
      <c r="H40" s="1"/>
    </row>
    <row r="41" spans="1:9" ht="16.5" customHeight="1">
      <c r="A41" s="22"/>
      <c r="B41" s="3" t="s">
        <v>57</v>
      </c>
      <c r="C41" s="3" t="s">
        <v>58</v>
      </c>
      <c r="D41" s="3" t="s">
        <v>57</v>
      </c>
      <c r="E41" s="3" t="s">
        <v>58</v>
      </c>
      <c r="F41" s="1"/>
      <c r="G41" s="1"/>
      <c r="H41" s="1"/>
      <c r="I41" s="13"/>
    </row>
    <row r="42" spans="1:9" ht="16.5" customHeight="1">
      <c r="A42" s="4" t="s">
        <v>59</v>
      </c>
      <c r="B42" s="23" t="s">
        <v>60</v>
      </c>
      <c r="C42" s="27" t="str">
        <f>"8조" &amp; " - " &amp; B$40 &amp; " - " &amp; $A42</f>
        <v>8조 - MVC - Availability</v>
      </c>
      <c r="D42" s="23" t="s">
        <v>60</v>
      </c>
      <c r="E42" s="27" t="str">
        <f>"8조" &amp; " - " &amp; D$40 &amp; " - " &amp; $A42</f>
        <v>8조 - PAC - Availability</v>
      </c>
      <c r="F42" s="1"/>
      <c r="G42" s="1"/>
      <c r="H42" s="1"/>
    </row>
    <row r="43" spans="1:9" ht="16.5" customHeight="1">
      <c r="A43" s="4" t="s">
        <v>61</v>
      </c>
      <c r="B43" s="23" t="s">
        <v>60</v>
      </c>
      <c r="C43" s="27" t="str">
        <f>"8조" &amp; " - " &amp; B$40 &amp; " - " &amp; $A43</f>
        <v>8조 - MVC - Deployability</v>
      </c>
      <c r="D43" s="23" t="s">
        <v>60</v>
      </c>
      <c r="E43" s="27" t="str">
        <f>"8조" &amp; " - " &amp; D$40 &amp; " - " &amp; $A43</f>
        <v>8조 - PAC - Deployability</v>
      </c>
      <c r="F43" s="1"/>
      <c r="G43" s="1"/>
      <c r="H43" s="1"/>
    </row>
    <row r="44" spans="1:9" ht="16.5" customHeight="1">
      <c r="A44" s="4" t="s">
        <v>62</v>
      </c>
      <c r="B44" s="24" t="s">
        <v>60</v>
      </c>
      <c r="C44" s="26" t="str">
        <f>"8조" &amp; " - " &amp; B$40 &amp; " - " &amp; $A44</f>
        <v>8조 - MVC - Integrability</v>
      </c>
      <c r="D44" s="23" t="s">
        <v>60</v>
      </c>
      <c r="E44" s="27" t="str">
        <f>"8조" &amp; " - " &amp; D$40 &amp; " - " &amp; $A44</f>
        <v>8조 - PAC - Integrability</v>
      </c>
      <c r="F44" s="1"/>
      <c r="G44" s="1"/>
      <c r="H44" s="1"/>
    </row>
    <row r="45" spans="1:9" ht="16.5" customHeight="1">
      <c r="A45" s="4" t="s">
        <v>63</v>
      </c>
      <c r="B45" s="23" t="s">
        <v>60</v>
      </c>
      <c r="C45" s="27" t="str">
        <f>"8조" &amp; " - " &amp; B$40 &amp; " - " &amp; $A45</f>
        <v>8조 - MVC - Energy Efficiency</v>
      </c>
      <c r="D45" s="23" t="s">
        <v>60</v>
      </c>
      <c r="E45" s="27" t="str">
        <f>"8조" &amp; " - " &amp; D$40 &amp; " - " &amp; $A45</f>
        <v>8조 - PAC - Energy Efficiency</v>
      </c>
      <c r="F45" s="1"/>
      <c r="G45" s="1"/>
      <c r="H45" s="1"/>
    </row>
    <row r="46" spans="1:9" ht="16.5" customHeight="1">
      <c r="A46" s="4" t="s">
        <v>64</v>
      </c>
      <c r="B46" s="24" t="s">
        <v>60</v>
      </c>
      <c r="C46" s="26" t="str">
        <f>"8조" &amp; " - " &amp; B$40 &amp; " - " &amp; $A46</f>
        <v>8조 - MVC - Modifiability</v>
      </c>
      <c r="D46" s="23" t="s">
        <v>60</v>
      </c>
      <c r="E46" s="27" t="str">
        <f>"8조" &amp; " - " &amp; D$40 &amp; " - " &amp; $A46</f>
        <v>8조 - PAC - Modifiability</v>
      </c>
      <c r="F46" s="1"/>
      <c r="G46" s="1"/>
      <c r="H46" s="1"/>
    </row>
    <row r="47" spans="1:9" ht="16.5" customHeight="1">
      <c r="A47" s="4" t="s">
        <v>65</v>
      </c>
      <c r="B47" s="24" t="s">
        <v>60</v>
      </c>
      <c r="C47" s="26" t="str">
        <f>"8조" &amp; " - " &amp; B$40 &amp; " - " &amp; $A47</f>
        <v>8조 - MVC - Performance</v>
      </c>
      <c r="D47" s="23" t="s">
        <v>60</v>
      </c>
      <c r="E47" s="27" t="str">
        <f>"8조" &amp; " - " &amp; D$40 &amp; " - " &amp; $A47</f>
        <v>8조 - PAC - Performance</v>
      </c>
      <c r="F47" s="1"/>
      <c r="G47" s="1"/>
      <c r="H47" s="1"/>
    </row>
    <row r="48" spans="1:9" ht="16.5" customHeight="1">
      <c r="A48" s="4" t="s">
        <v>66</v>
      </c>
      <c r="B48" s="23" t="s">
        <v>60</v>
      </c>
      <c r="C48" s="27" t="str">
        <f>"8조" &amp; " - " &amp; B$40 &amp; " - " &amp; $A48</f>
        <v>8조 - MVC - Safety</v>
      </c>
      <c r="D48" s="23" t="s">
        <v>60</v>
      </c>
      <c r="E48" s="27" t="str">
        <f>"8조" &amp; " - " &amp; D$40 &amp; " - " &amp; $A48</f>
        <v>8조 - PAC - Safety</v>
      </c>
      <c r="F48" s="1"/>
      <c r="G48" s="1"/>
      <c r="H48" s="1"/>
    </row>
    <row r="49" spans="1:9" ht="16.5" customHeight="1">
      <c r="A49" s="4" t="s">
        <v>67</v>
      </c>
      <c r="B49" s="24" t="s">
        <v>60</v>
      </c>
      <c r="C49" s="26" t="str">
        <f>"8조" &amp; " - " &amp; B$40 &amp; " - " &amp; $A49</f>
        <v>8조 - MVC - Security</v>
      </c>
      <c r="D49" s="23" t="s">
        <v>60</v>
      </c>
      <c r="E49" s="27" t="str">
        <f>"8조" &amp; " - " &amp; D$40 &amp; " - " &amp; $A49</f>
        <v>8조 - PAC - Security</v>
      </c>
      <c r="F49" s="1"/>
      <c r="G49" s="1"/>
      <c r="H49" s="1"/>
    </row>
    <row r="50" spans="1:9" ht="16.5" customHeight="1">
      <c r="A50" s="4" t="s">
        <v>68</v>
      </c>
      <c r="B50" s="23" t="s">
        <v>60</v>
      </c>
      <c r="C50" s="27" t="str">
        <f>"8조" &amp; " - " &amp; B$40 &amp; " - " &amp; $A50</f>
        <v>8조 - MVC - Testability</v>
      </c>
      <c r="D50" s="23" t="s">
        <v>60</v>
      </c>
      <c r="E50" s="27" t="str">
        <f>"8조" &amp; " - " &amp; D$40 &amp; " - " &amp; $A50</f>
        <v>8조 - PAC - Testability</v>
      </c>
      <c r="F50" s="1"/>
      <c r="G50" s="16" t="s">
        <v>60</v>
      </c>
      <c r="H50" s="1"/>
      <c r="I50" s="15"/>
    </row>
    <row r="51" spans="1:9" ht="16.5" customHeight="1">
      <c r="A51" s="4" t="s">
        <v>69</v>
      </c>
      <c r="B51" s="24" t="s">
        <v>60</v>
      </c>
      <c r="C51" s="26" t="str">
        <f>"8조" &amp; " - " &amp; B$40 &amp; " - " &amp; $A51</f>
        <v>8조 - MVC - Usability</v>
      </c>
      <c r="D51" s="23" t="s">
        <v>60</v>
      </c>
      <c r="E51" s="27" t="str">
        <f>"8조" &amp; " - " &amp; D$40 &amp; " - " &amp; $A51</f>
        <v>8조 - PAC - Usability</v>
      </c>
      <c r="F51" s="1"/>
      <c r="G51" s="16" t="s">
        <v>60</v>
      </c>
      <c r="H51" s="1"/>
      <c r="I51" s="13"/>
    </row>
    <row r="52" spans="1:9" ht="16.5" customHeight="1">
      <c r="A52" s="1"/>
      <c r="B52" s="16" t="s">
        <v>60</v>
      </c>
      <c r="C52" s="1"/>
      <c r="D52" s="16" t="s">
        <v>60</v>
      </c>
      <c r="E52" s="1"/>
      <c r="F52" s="1"/>
      <c r="G52" s="1"/>
    </row>
    <row r="53" spans="1:9" ht="16.5" customHeight="1">
      <c r="A53" s="2" t="s">
        <v>79</v>
      </c>
      <c r="B53" s="35" t="s">
        <v>80</v>
      </c>
      <c r="C53" s="34"/>
      <c r="D53" s="35" t="s">
        <v>81</v>
      </c>
      <c r="E53" s="34"/>
      <c r="F53" s="1"/>
      <c r="G53" s="16" t="s">
        <v>60</v>
      </c>
      <c r="H53" s="1"/>
    </row>
    <row r="54" spans="1:9" ht="16.5" customHeight="1">
      <c r="A54" s="22"/>
      <c r="B54" s="3" t="s">
        <v>57</v>
      </c>
      <c r="C54" s="17" t="s">
        <v>58</v>
      </c>
      <c r="D54" s="3" t="s">
        <v>57</v>
      </c>
      <c r="E54" s="17" t="s">
        <v>58</v>
      </c>
      <c r="F54" s="1"/>
      <c r="G54" s="16" t="s">
        <v>60</v>
      </c>
      <c r="H54" s="1"/>
    </row>
    <row r="55" spans="1:9" ht="16.5" customHeight="1">
      <c r="A55" s="4" t="s">
        <v>59</v>
      </c>
      <c r="B55" s="23" t="s">
        <v>60</v>
      </c>
      <c r="C55" s="27" t="str">
        <f>"8조" &amp; " - " &amp; B$53 &amp; " - " &amp; $A55</f>
        <v>8조 - Main-subroutine - Availability</v>
      </c>
      <c r="D55" s="24" t="s">
        <v>60</v>
      </c>
      <c r="E55" s="26" t="str">
        <f>"8조" &amp; " - " &amp; D$53 &amp; " - " &amp; $A55</f>
        <v>8조 - Master-Slave - Availability</v>
      </c>
      <c r="F55" s="1"/>
      <c r="G55" s="16" t="s">
        <v>60</v>
      </c>
      <c r="H55" s="1"/>
    </row>
    <row r="56" spans="1:9" ht="16.5" customHeight="1">
      <c r="A56" s="4" t="s">
        <v>61</v>
      </c>
      <c r="B56" s="23" t="s">
        <v>60</v>
      </c>
      <c r="C56" s="30" t="str">
        <f>"8조" &amp; " - " &amp; B$53 &amp; " - " &amp; $A56</f>
        <v>8조 - Main-subroutine - Deployability</v>
      </c>
      <c r="D56" s="24" t="s">
        <v>60</v>
      </c>
      <c r="E56" s="26" t="str">
        <f>"8조" &amp; " - " &amp; D$53 &amp; " - " &amp; $A56</f>
        <v>8조 - Master-Slave - Deployability</v>
      </c>
      <c r="F56" s="1"/>
      <c r="G56" s="16" t="s">
        <v>60</v>
      </c>
      <c r="H56" s="1"/>
    </row>
    <row r="57" spans="1:9" ht="16.5" customHeight="1">
      <c r="A57" s="4" t="s">
        <v>62</v>
      </c>
      <c r="B57" s="23" t="s">
        <v>60</v>
      </c>
      <c r="C57" s="27" t="str">
        <f>"8조" &amp; " - " &amp; B$53 &amp; " - " &amp; $A57</f>
        <v>8조 - Main-subroutine - Integrability</v>
      </c>
      <c r="D57" s="24" t="s">
        <v>60</v>
      </c>
      <c r="E57" s="26" t="str">
        <f>"8조" &amp; " - " &amp; D$53 &amp; " - " &amp; $A57</f>
        <v>8조 - Master-Slave - Integrability</v>
      </c>
      <c r="F57" s="1"/>
      <c r="G57" s="16" t="s">
        <v>60</v>
      </c>
      <c r="H57" s="1"/>
    </row>
    <row r="58" spans="1:9" ht="16.5" customHeight="1">
      <c r="A58" s="4" t="s">
        <v>63</v>
      </c>
      <c r="B58" s="23" t="s">
        <v>60</v>
      </c>
      <c r="C58" s="27" t="str">
        <f>"8조" &amp; " - " &amp; B$53 &amp; " - " &amp; $A58</f>
        <v>8조 - Main-subroutine - Energy Efficiency</v>
      </c>
      <c r="D58" s="24" t="s">
        <v>60</v>
      </c>
      <c r="E58" s="26" t="str">
        <f>"8조" &amp; " - " &amp; D$53 &amp; " - " &amp; $A58</f>
        <v>8조 - Master-Slave - Energy Efficiency</v>
      </c>
      <c r="F58" s="1"/>
      <c r="G58" s="16" t="s">
        <v>60</v>
      </c>
      <c r="H58" s="1"/>
    </row>
    <row r="59" spans="1:9" ht="16.5" customHeight="1">
      <c r="A59" s="4" t="s">
        <v>64</v>
      </c>
      <c r="B59" s="23" t="s">
        <v>60</v>
      </c>
      <c r="C59" s="27" t="str">
        <f>"8조" &amp; " - " &amp; B$53 &amp; " - " &amp; $A59</f>
        <v>8조 - Main-subroutine - Modifiability</v>
      </c>
      <c r="D59" s="23" t="s">
        <v>60</v>
      </c>
      <c r="E59" s="27" t="str">
        <f>"8조" &amp; " - " &amp; D$53 &amp; " - " &amp; $A59</f>
        <v>8조 - Master-Slave - Modifiability</v>
      </c>
      <c r="F59" s="1"/>
      <c r="G59" s="16" t="s">
        <v>60</v>
      </c>
      <c r="H59" s="1"/>
    </row>
    <row r="60" spans="1:9" ht="16.5" customHeight="1">
      <c r="A60" s="4" t="s">
        <v>65</v>
      </c>
      <c r="B60" s="23" t="s">
        <v>60</v>
      </c>
      <c r="C60" s="27" t="str">
        <f>"8조" &amp; " - " &amp; B$53 &amp; " - " &amp; $A60</f>
        <v>8조 - Main-subroutine - Performance</v>
      </c>
      <c r="D60" s="24" t="s">
        <v>60</v>
      </c>
      <c r="E60" s="26" t="str">
        <f>"8조" &amp; " - " &amp; D$53 &amp; " - " &amp; $A60</f>
        <v>8조 - Master-Slave - Performance</v>
      </c>
      <c r="F60" s="1"/>
      <c r="G60" s="16" t="s">
        <v>60</v>
      </c>
      <c r="H60" s="1"/>
      <c r="I60" s="15"/>
    </row>
    <row r="61" spans="1:9" ht="16.5" customHeight="1">
      <c r="A61" s="4" t="s">
        <v>66</v>
      </c>
      <c r="B61" s="23" t="s">
        <v>60</v>
      </c>
      <c r="C61" s="27" t="str">
        <f>"8조" &amp; " - " &amp; B$53 &amp; " - " &amp; $A61</f>
        <v>8조 - Main-subroutine - Safety</v>
      </c>
      <c r="D61" s="23" t="s">
        <v>60</v>
      </c>
      <c r="E61" s="27" t="str">
        <f>"8조" &amp; " - " &amp; D$53 &amp; " - " &amp; $A61</f>
        <v>8조 - Master-Slave - Safety</v>
      </c>
      <c r="F61" s="1"/>
      <c r="G61" s="16" t="s">
        <v>60</v>
      </c>
      <c r="H61" s="1"/>
      <c r="I61" s="13"/>
    </row>
    <row r="62" spans="1:9" ht="16.5" customHeight="1">
      <c r="A62" s="4" t="s">
        <v>67</v>
      </c>
      <c r="B62" s="23" t="s">
        <v>60</v>
      </c>
      <c r="C62" s="27" t="str">
        <f>"8조" &amp; " - " &amp; B$53 &amp; " - " &amp; $A62</f>
        <v>8조 - Main-subroutine - Security</v>
      </c>
      <c r="D62" s="23" t="s">
        <v>60</v>
      </c>
      <c r="E62" s="27" t="str">
        <f>"8조" &amp; " - " &amp; D$53 &amp; " - " &amp; $A62</f>
        <v>8조 - Master-Slave - Security</v>
      </c>
      <c r="F62" s="1"/>
      <c r="G62" s="16" t="s">
        <v>60</v>
      </c>
      <c r="H62" s="1"/>
    </row>
    <row r="63" spans="1:9" ht="16.5" customHeight="1">
      <c r="A63" s="4" t="s">
        <v>68</v>
      </c>
      <c r="B63" s="23" t="s">
        <v>60</v>
      </c>
      <c r="C63" s="27" t="str">
        <f>"8조" &amp; " - " &amp; B$53 &amp; " - " &amp; $A63</f>
        <v>8조 - Main-subroutine - Testability</v>
      </c>
      <c r="D63" s="23" t="s">
        <v>60</v>
      </c>
      <c r="E63" s="27" t="str">
        <f>"8조" &amp; " - " &amp; D$53 &amp; " - " &amp; $A63</f>
        <v>8조 - Master-Slave - Testability</v>
      </c>
      <c r="F63" s="1"/>
      <c r="G63" s="16" t="s">
        <v>60</v>
      </c>
      <c r="H63" s="1"/>
    </row>
    <row r="64" spans="1:9" ht="16.5" customHeight="1">
      <c r="A64" s="4" t="s">
        <v>69</v>
      </c>
      <c r="B64" s="23" t="s">
        <v>60</v>
      </c>
      <c r="C64" s="27" t="str">
        <f>"8조" &amp; " - " &amp; B$53 &amp; " - " &amp; $A64</f>
        <v>8조 - Main-subroutine - Usability</v>
      </c>
      <c r="D64" s="23" t="s">
        <v>60</v>
      </c>
      <c r="E64" s="27" t="str">
        <f>"8조" &amp; " - " &amp; D$53 &amp; " - " &amp; $A64</f>
        <v>8조 - Master-Slave - Usability</v>
      </c>
      <c r="F64" s="1"/>
      <c r="G64" s="16" t="s">
        <v>60</v>
      </c>
      <c r="H64" s="1"/>
    </row>
    <row r="65" spans="1:8" ht="16.5" customHeight="1">
      <c r="A65" s="1"/>
      <c r="B65" s="16" t="s">
        <v>60</v>
      </c>
      <c r="C65" s="16" t="s">
        <v>60</v>
      </c>
      <c r="D65" s="16" t="s">
        <v>60</v>
      </c>
      <c r="E65" s="16" t="s">
        <v>60</v>
      </c>
      <c r="F65" s="1"/>
      <c r="G65" s="16" t="s">
        <v>60</v>
      </c>
      <c r="H65" s="1"/>
    </row>
    <row r="66" spans="1:8" ht="16.5" customHeight="1">
      <c r="A66" s="2" t="s">
        <v>79</v>
      </c>
      <c r="B66" s="35" t="s">
        <v>82</v>
      </c>
      <c r="C66" s="34"/>
      <c r="D66" s="35" t="s">
        <v>83</v>
      </c>
      <c r="E66" s="34"/>
      <c r="F66" s="35" t="s">
        <v>84</v>
      </c>
      <c r="G66" s="34"/>
      <c r="H66" s="1"/>
    </row>
    <row r="67" spans="1:8" ht="16.5" customHeight="1">
      <c r="A67" s="22"/>
      <c r="B67" s="3" t="s">
        <v>57</v>
      </c>
      <c r="C67" s="17" t="s">
        <v>58</v>
      </c>
      <c r="D67" s="3" t="s">
        <v>57</v>
      </c>
      <c r="E67" s="17" t="s">
        <v>58</v>
      </c>
      <c r="F67" s="3" t="s">
        <v>57</v>
      </c>
      <c r="G67" s="17" t="s">
        <v>58</v>
      </c>
      <c r="H67" s="1"/>
    </row>
    <row r="68" spans="1:8" ht="16.5" customHeight="1">
      <c r="A68" s="4" t="s">
        <v>59</v>
      </c>
      <c r="B68" s="24" t="s">
        <v>60</v>
      </c>
      <c r="C68" s="26" t="str">
        <f>"8조" &amp; " - " &amp; B$66 &amp; " - " &amp; $A68</f>
        <v>8조 - Layered - Availability</v>
      </c>
      <c r="D68" s="23" t="s">
        <v>60</v>
      </c>
      <c r="E68" s="27" t="str">
        <f>"8조" &amp; " - " &amp; D$66 &amp; " - " &amp; $A68</f>
        <v>8조 - Virtual Machine - Availability</v>
      </c>
      <c r="F68" s="23" t="s">
        <v>60</v>
      </c>
      <c r="G68" s="27" t="str">
        <f>"8조" &amp; " - " &amp; F$66 &amp; " - " &amp; $A68</f>
        <v>8조 - Microkernel - Availability</v>
      </c>
      <c r="H68" s="1"/>
    </row>
    <row r="69" spans="1:8" ht="16.5" customHeight="1">
      <c r="A69" s="4" t="s">
        <v>61</v>
      </c>
      <c r="B69" s="23" t="s">
        <v>60</v>
      </c>
      <c r="C69" s="27" t="str">
        <f>"8조" &amp; " - " &amp; B$66 &amp; " - " &amp; $A69</f>
        <v>8조 - Layered - Deployability</v>
      </c>
      <c r="D69" s="23" t="s">
        <v>60</v>
      </c>
      <c r="E69" s="30" t="str">
        <f>"8조" &amp; " - " &amp; D$66 &amp; " - " &amp; $A69</f>
        <v>8조 - Virtual Machine - Deployability</v>
      </c>
      <c r="F69" s="24" t="s">
        <v>60</v>
      </c>
      <c r="G69" s="26" t="str">
        <f>"8조" &amp; " - " &amp; F$66 &amp; " - " &amp; $A69</f>
        <v>8조 - Microkernel - Deployability</v>
      </c>
      <c r="H69" s="1"/>
    </row>
    <row r="70" spans="1:8" ht="16.5" customHeight="1">
      <c r="A70" s="4" t="s">
        <v>62</v>
      </c>
      <c r="B70" s="24" t="s">
        <v>60</v>
      </c>
      <c r="C70" s="26" t="str">
        <f>"8조" &amp; " - " &amp; B$66 &amp; " - " &amp; $A70</f>
        <v>8조 - Layered - Integrability</v>
      </c>
      <c r="D70" s="23" t="s">
        <v>60</v>
      </c>
      <c r="E70" s="27" t="str">
        <f>"8조" &amp; " - " &amp; D$66 &amp; " - " &amp; $A70</f>
        <v>8조 - Virtual Machine - Integrability</v>
      </c>
      <c r="F70" s="24" t="s">
        <v>60</v>
      </c>
      <c r="G70" s="26" t="str">
        <f>"8조" &amp; " - " &amp; F$66 &amp; " - " &amp; $A70</f>
        <v>8조 - Microkernel - Integrability</v>
      </c>
      <c r="H70" s="1"/>
    </row>
    <row r="71" spans="1:8" ht="16.5" customHeight="1">
      <c r="A71" s="4" t="s">
        <v>63</v>
      </c>
      <c r="B71" s="23" t="s">
        <v>60</v>
      </c>
      <c r="C71" s="27" t="str">
        <f>"8조" &amp; " - " &amp; B$66 &amp; " - " &amp; $A71</f>
        <v>8조 - Layered - Energy Efficiency</v>
      </c>
      <c r="D71" s="23" t="s">
        <v>60</v>
      </c>
      <c r="E71" s="27" t="str">
        <f>"8조" &amp; " - " &amp; D$66 &amp; " - " &amp; $A71</f>
        <v>8조 - Virtual Machine - Energy Efficiency</v>
      </c>
      <c r="F71" s="23" t="s">
        <v>60</v>
      </c>
      <c r="G71" s="27" t="str">
        <f>"8조" &amp; " - " &amp; F$66 &amp; " - " &amp; $A71</f>
        <v>8조 - Microkernel - Energy Efficiency</v>
      </c>
      <c r="H71" s="1"/>
    </row>
    <row r="72" spans="1:8" ht="16.5" customHeight="1">
      <c r="A72" s="4" t="s">
        <v>64</v>
      </c>
      <c r="B72" s="24" t="s">
        <v>60</v>
      </c>
      <c r="C72" s="26" t="str">
        <f>"8조" &amp; " - " &amp; B$66 &amp; " - " &amp; $A72</f>
        <v>8조 - Layered - Modifiability</v>
      </c>
      <c r="D72" s="23" t="s">
        <v>60</v>
      </c>
      <c r="E72" s="27" t="str">
        <f>"8조" &amp; " - " &amp; D$66 &amp; " - " &amp; $A72</f>
        <v>8조 - Virtual Machine - Modifiability</v>
      </c>
      <c r="F72" s="24" t="s">
        <v>60</v>
      </c>
      <c r="G72" s="26" t="str">
        <f>"8조" &amp; " - " &amp; F$66 &amp; " - " &amp; $A72</f>
        <v>8조 - Microkernel - Modifiability</v>
      </c>
      <c r="H72" s="1"/>
    </row>
    <row r="73" spans="1:8" ht="16.5" customHeight="1">
      <c r="A73" s="4" t="s">
        <v>65</v>
      </c>
      <c r="B73" s="24" t="s">
        <v>60</v>
      </c>
      <c r="C73" s="26" t="str">
        <f>"8조" &amp; " - " &amp; B$66 &amp; " - " &amp; $A73</f>
        <v>8조 - Layered - Performance</v>
      </c>
      <c r="D73" s="23" t="s">
        <v>60</v>
      </c>
      <c r="E73" s="27" t="str">
        <f>"8조" &amp; " - " &amp; D$66 &amp; " - " &amp; $A73</f>
        <v>8조 - Virtual Machine - Performance</v>
      </c>
      <c r="F73" s="24" t="s">
        <v>60</v>
      </c>
      <c r="G73" s="26" t="str">
        <f>"8조" &amp; " - " &amp; F$66 &amp; " - " &amp; $A73</f>
        <v>8조 - Microkernel - Performance</v>
      </c>
      <c r="H73" s="1"/>
    </row>
    <row r="74" spans="1:8" ht="16.5" customHeight="1">
      <c r="A74" s="4" t="s">
        <v>66</v>
      </c>
      <c r="B74" s="23" t="s">
        <v>60</v>
      </c>
      <c r="C74" s="27" t="str">
        <f>"8조" &amp; " - " &amp; B$66 &amp; " - " &amp; $A74</f>
        <v>8조 - Layered - Safety</v>
      </c>
      <c r="D74" s="23" t="s">
        <v>60</v>
      </c>
      <c r="E74" s="27" t="str">
        <f>"8조" &amp; " - " &amp; D$66 &amp; " - " &amp; $A74</f>
        <v>8조 - Virtual Machine - Safety</v>
      </c>
      <c r="F74" s="23" t="s">
        <v>60</v>
      </c>
      <c r="G74" s="27" t="str">
        <f>"8조" &amp; " - " &amp; F$66 &amp; " - " &amp; $A74</f>
        <v>8조 - Microkernel - Safety</v>
      </c>
    </row>
    <row r="75" spans="1:8" ht="16.5" customHeight="1">
      <c r="A75" s="4" t="s">
        <v>67</v>
      </c>
      <c r="B75" s="24" t="s">
        <v>60</v>
      </c>
      <c r="C75" s="26" t="str">
        <f>"8조" &amp; " - " &amp; B$66 &amp; " - " &amp; $A75</f>
        <v>8조 - Layered - Security</v>
      </c>
      <c r="D75" s="23" t="s">
        <v>60</v>
      </c>
      <c r="E75" s="27" t="str">
        <f>"8조" &amp; " - " &amp; D$66 &amp; " - " &amp; $A75</f>
        <v>8조 - Virtual Machine - Security</v>
      </c>
      <c r="F75" s="24" t="s">
        <v>60</v>
      </c>
      <c r="G75" s="26" t="str">
        <f>"8조" &amp; " - " &amp; F$66 &amp; " - " &amp; $A75</f>
        <v>8조 - Microkernel - Security</v>
      </c>
    </row>
    <row r="76" spans="1:8" ht="16.5" customHeight="1">
      <c r="A76" s="4" t="s">
        <v>68</v>
      </c>
      <c r="B76" s="24" t="s">
        <v>60</v>
      </c>
      <c r="C76" s="26" t="str">
        <f>"8조" &amp; " - " &amp; B$66 &amp; " - " &amp; $A76</f>
        <v>8조 - Layered - Testability</v>
      </c>
      <c r="D76" s="23" t="s">
        <v>60</v>
      </c>
      <c r="E76" s="27" t="str">
        <f>"8조" &amp; " - " &amp; D$66 &amp; " - " &amp; $A76</f>
        <v>8조 - Virtual Machine - Testability</v>
      </c>
      <c r="F76" s="24" t="s">
        <v>60</v>
      </c>
      <c r="G76" s="26" t="str">
        <f>"8조" &amp; " - " &amp; F$66 &amp; " - " &amp; $A76</f>
        <v>8조 - Microkernel - Testability</v>
      </c>
    </row>
    <row r="77" spans="1:8" ht="16.5" customHeight="1">
      <c r="A77" s="4" t="s">
        <v>69</v>
      </c>
      <c r="B77" s="23" t="s">
        <v>60</v>
      </c>
      <c r="C77" s="27" t="str">
        <f>"8조" &amp; " - " &amp; B$66 &amp; " - " &amp; $A77</f>
        <v>8조 - Layered - Usability</v>
      </c>
      <c r="D77" s="23" t="s">
        <v>60</v>
      </c>
      <c r="E77" s="27" t="str">
        <f>"8조" &amp; " - " &amp; D$66 &amp; " - " &amp; $A77</f>
        <v>8조 - Virtual Machine - Usability</v>
      </c>
      <c r="F77" s="23" t="s">
        <v>60</v>
      </c>
      <c r="G77" s="27" t="str">
        <f>"8조" &amp; " - " &amp; F$66 &amp; " - " &amp; $A77</f>
        <v>8조 - Microkernel - Usability</v>
      </c>
    </row>
    <row r="78" spans="1:8" ht="16.5" customHeight="1">
      <c r="A78" s="1"/>
      <c r="B78" s="16" t="s">
        <v>60</v>
      </c>
      <c r="C78" s="16" t="s">
        <v>60</v>
      </c>
      <c r="D78" s="16" t="s">
        <v>60</v>
      </c>
      <c r="E78" s="16" t="s">
        <v>60</v>
      </c>
      <c r="F78" s="16" t="s">
        <v>60</v>
      </c>
      <c r="G78" s="16" t="s">
        <v>60</v>
      </c>
    </row>
    <row r="79" spans="1:8" ht="16.5" customHeight="1">
      <c r="A79" s="31" t="s">
        <v>85</v>
      </c>
      <c r="B79" s="35" t="s">
        <v>86</v>
      </c>
      <c r="C79" s="34"/>
      <c r="D79" s="35" t="s">
        <v>87</v>
      </c>
      <c r="E79" s="34"/>
    </row>
    <row r="80" spans="1:8" ht="16.5" customHeight="1">
      <c r="A80" s="32"/>
      <c r="B80" s="3" t="s">
        <v>57</v>
      </c>
      <c r="C80" s="3" t="s">
        <v>58</v>
      </c>
      <c r="D80" s="3" t="s">
        <v>57</v>
      </c>
      <c r="E80" s="3" t="s">
        <v>58</v>
      </c>
    </row>
    <row r="81" spans="1:7" ht="16.5" customHeight="1">
      <c r="A81" s="4" t="s">
        <v>59</v>
      </c>
      <c r="B81" s="24" t="s">
        <v>60</v>
      </c>
      <c r="C81" s="26" t="str">
        <f>"8조" &amp; " - " &amp; B$79 &amp; " - " &amp; $A81</f>
        <v>8조 - Multi-tier - Availability</v>
      </c>
      <c r="D81" s="23" t="s">
        <v>60</v>
      </c>
      <c r="E81" s="27" t="str">
        <f>"8조" &amp; " - " &amp; D$79 &amp; " - " &amp; $A81</f>
        <v>8조 - Client-Server - Availability</v>
      </c>
    </row>
    <row r="82" spans="1:7" ht="16.5" customHeight="1">
      <c r="A82" s="4" t="s">
        <v>61</v>
      </c>
      <c r="B82" s="24" t="s">
        <v>60</v>
      </c>
      <c r="C82" s="26" t="str">
        <f>"8조" &amp; " - " &amp; B$79 &amp; " - " &amp; $A82</f>
        <v>8조 - Multi-tier - Deployability</v>
      </c>
      <c r="D82" s="23" t="s">
        <v>60</v>
      </c>
      <c r="E82" s="27" t="str">
        <f>"8조" &amp; " - " &amp; D$79 &amp; " - " &amp; $A82</f>
        <v>8조 - Client-Server - Deployability</v>
      </c>
    </row>
    <row r="83" spans="1:7" ht="16.5" customHeight="1">
      <c r="A83" s="4" t="s">
        <v>62</v>
      </c>
      <c r="B83" s="24" t="s">
        <v>60</v>
      </c>
      <c r="C83" s="26" t="str">
        <f>"8조" &amp; " - " &amp; B$79 &amp; " - " &amp; $A83</f>
        <v>8조 - Multi-tier - Integrability</v>
      </c>
      <c r="D83" s="23" t="s">
        <v>60</v>
      </c>
      <c r="E83" s="27" t="str">
        <f>"8조" &amp; " - " &amp; D$79 &amp; " - " &amp; $A83</f>
        <v>8조 - Client-Server - Integrability</v>
      </c>
    </row>
    <row r="84" spans="1:7" ht="16.5" customHeight="1">
      <c r="A84" s="4" t="s">
        <v>63</v>
      </c>
      <c r="B84" s="24" t="s">
        <v>60</v>
      </c>
      <c r="C84" s="26" t="str">
        <f>"8조" &amp; " - " &amp; B$79 &amp; " - " &amp; $A84</f>
        <v>8조 - Multi-tier - Energy Efficiency</v>
      </c>
      <c r="D84" s="23" t="s">
        <v>60</v>
      </c>
      <c r="E84" s="27" t="str">
        <f>"8조" &amp; " - " &amp; D$79 &amp; " - " &amp; $A84</f>
        <v>8조 - Client-Server - Energy Efficiency</v>
      </c>
    </row>
    <row r="85" spans="1:7" ht="16.5" customHeight="1">
      <c r="A85" s="4" t="s">
        <v>64</v>
      </c>
      <c r="B85" s="23" t="s">
        <v>60</v>
      </c>
      <c r="C85" s="27" t="str">
        <f>"8조" &amp; " - " &amp; B$79 &amp; " - " &amp; $A85</f>
        <v>8조 - Multi-tier - Modifiability</v>
      </c>
      <c r="D85" s="23" t="s">
        <v>60</v>
      </c>
      <c r="E85" s="27" t="str">
        <f>"8조" &amp; " - " &amp; D$79 &amp; " - " &amp; $A85</f>
        <v>8조 - Client-Server - Modifiability</v>
      </c>
    </row>
    <row r="86" spans="1:7" ht="16.5" customHeight="1">
      <c r="A86" s="4" t="s">
        <v>65</v>
      </c>
      <c r="B86" s="24" t="s">
        <v>60</v>
      </c>
      <c r="C86" s="26" t="str">
        <f>"8조" &amp; " - " &amp; B$79 &amp; " - " &amp; $A86</f>
        <v>8조 - Multi-tier - Performance</v>
      </c>
      <c r="D86" s="23" t="s">
        <v>60</v>
      </c>
      <c r="E86" s="27" t="str">
        <f>"8조" &amp; " - " &amp; D$79 &amp; " - " &amp; $A86</f>
        <v>8조 - Client-Server - Performance</v>
      </c>
    </row>
    <row r="87" spans="1:7" ht="16.5" customHeight="1">
      <c r="A87" s="4" t="s">
        <v>66</v>
      </c>
      <c r="B87" s="23" t="s">
        <v>60</v>
      </c>
      <c r="C87" s="27" t="str">
        <f>"8조" &amp; " - " &amp; B$79 &amp; " - " &amp; $A87</f>
        <v>8조 - Multi-tier - Safety</v>
      </c>
      <c r="D87" s="23" t="s">
        <v>60</v>
      </c>
      <c r="E87" s="27" t="str">
        <f>"8조" &amp; " - " &amp; D$79 &amp; " - " &amp; $A87</f>
        <v>8조 - Client-Server - Safety</v>
      </c>
    </row>
    <row r="88" spans="1:7" ht="16.5" customHeight="1">
      <c r="A88" s="4" t="s">
        <v>67</v>
      </c>
      <c r="B88" s="24" t="s">
        <v>60</v>
      </c>
      <c r="C88" s="26" t="str">
        <f>"8조" &amp; " - " &amp; B$79 &amp; " - " &amp; $A88</f>
        <v>8조 - Multi-tier - Security</v>
      </c>
      <c r="D88" s="23" t="s">
        <v>60</v>
      </c>
      <c r="E88" s="27" t="str">
        <f>"8조" &amp; " - " &amp; D$79 &amp; " - " &amp; $A88</f>
        <v>8조 - Client-Server - Security</v>
      </c>
    </row>
    <row r="89" spans="1:7" ht="16.5" customHeight="1">
      <c r="A89" s="4" t="s">
        <v>68</v>
      </c>
      <c r="B89" s="23" t="s">
        <v>60</v>
      </c>
      <c r="C89" s="27" t="str">
        <f>"8조" &amp; " - " &amp; B$79 &amp; " - " &amp; $A89</f>
        <v>8조 - Multi-tier - Testability</v>
      </c>
      <c r="D89" s="23" t="s">
        <v>60</v>
      </c>
      <c r="E89" s="27" t="str">
        <f>"8조" &amp; " - " &amp; D$79 &amp; " - " &amp; $A89</f>
        <v>8조 - Client-Server - Testability</v>
      </c>
    </row>
    <row r="90" spans="1:7" ht="16.5" customHeight="1">
      <c r="A90" s="4" t="s">
        <v>69</v>
      </c>
      <c r="B90" s="23" t="s">
        <v>60</v>
      </c>
      <c r="C90" s="27" t="str">
        <f>"8조" &amp; " - " &amp; B$79 &amp; " - " &amp; $A90</f>
        <v>8조 - Multi-tier - Usability</v>
      </c>
      <c r="D90" s="23" t="s">
        <v>60</v>
      </c>
      <c r="E90" s="27" t="str">
        <f>"8조" &amp; " - " &amp; D$79 &amp; " - " &amp; $A90</f>
        <v>8조 - Client-Server - Usability</v>
      </c>
    </row>
    <row r="91" spans="1:7" ht="16.5" customHeight="1">
      <c r="A91" s="1"/>
      <c r="B91" s="16" t="s">
        <v>60</v>
      </c>
      <c r="C91" s="1"/>
      <c r="D91" s="16" t="s">
        <v>60</v>
      </c>
      <c r="E91" s="1"/>
      <c r="F91" s="16" t="s">
        <v>60</v>
      </c>
      <c r="G91" s="1"/>
    </row>
    <row r="92" spans="1:7" ht="16.5" customHeight="1">
      <c r="A92" s="31" t="s">
        <v>85</v>
      </c>
      <c r="B92" s="35" t="s">
        <v>88</v>
      </c>
      <c r="C92" s="34"/>
      <c r="D92" s="33" t="s">
        <v>89</v>
      </c>
      <c r="E92" s="34"/>
    </row>
    <row r="93" spans="1:7" ht="16.5" customHeight="1">
      <c r="A93" s="32"/>
      <c r="B93" s="3" t="s">
        <v>57</v>
      </c>
      <c r="C93" s="3" t="s">
        <v>58</v>
      </c>
      <c r="D93" s="3" t="s">
        <v>57</v>
      </c>
      <c r="E93" s="3" t="s">
        <v>58</v>
      </c>
    </row>
    <row r="94" spans="1:7" ht="16.5" customHeight="1">
      <c r="A94" s="4" t="s">
        <v>59</v>
      </c>
      <c r="B94" s="23" t="s">
        <v>60</v>
      </c>
      <c r="C94" s="27" t="str">
        <f>"8조" &amp; " - " &amp; B$92 &amp; " - " &amp; $A94</f>
        <v>8조 - Broker - Availability</v>
      </c>
      <c r="D94" s="23" t="s">
        <v>60</v>
      </c>
      <c r="E94" s="27" t="str">
        <f>"8조" &amp; " - " &amp; D$92 &amp; " - " &amp; $A94</f>
        <v>8조 - Dispatcher - Availability</v>
      </c>
    </row>
    <row r="95" spans="1:7" ht="16.5" customHeight="1">
      <c r="A95" s="4" t="s">
        <v>61</v>
      </c>
      <c r="B95" s="23" t="s">
        <v>60</v>
      </c>
      <c r="C95" s="27" t="str">
        <f>"8조" &amp; " - " &amp; B$92 &amp; " - " &amp; $A95</f>
        <v>8조 - Broker - Deployability</v>
      </c>
      <c r="D95" s="23" t="s">
        <v>60</v>
      </c>
      <c r="E95" s="27" t="str">
        <f>"8조" &amp; " - " &amp; D$92 &amp; " - " &amp; $A95</f>
        <v>8조 - Dispatcher - Deployability</v>
      </c>
    </row>
    <row r="96" spans="1:7" ht="16.5" customHeight="1">
      <c r="A96" s="4" t="s">
        <v>62</v>
      </c>
      <c r="B96" s="23" t="s">
        <v>60</v>
      </c>
      <c r="C96" s="27" t="str">
        <f>"8조" &amp; " - " &amp; B$92 &amp; " - " &amp; $A96</f>
        <v>8조 - Broker - Integrability</v>
      </c>
      <c r="D96" s="23" t="s">
        <v>60</v>
      </c>
      <c r="E96" s="27" t="str">
        <f>"8조" &amp; " - " &amp; D$92 &amp; " - " &amp; $A96</f>
        <v>8조 - Dispatcher - Integrability</v>
      </c>
    </row>
    <row r="97" spans="1:7" ht="16.5" customHeight="1">
      <c r="A97" s="4" t="s">
        <v>63</v>
      </c>
      <c r="B97" s="23" t="s">
        <v>60</v>
      </c>
      <c r="C97" s="27" t="str">
        <f>"8조" &amp; " - " &amp; B$92 &amp; " - " &amp; $A97</f>
        <v>8조 - Broker - Energy Efficiency</v>
      </c>
      <c r="D97" s="23" t="s">
        <v>60</v>
      </c>
      <c r="E97" s="27" t="str">
        <f>"8조" &amp; " - " &amp; D$92 &amp; " - " &amp; $A97</f>
        <v>8조 - Dispatcher - Energy Efficiency</v>
      </c>
    </row>
    <row r="98" spans="1:7" ht="16.5" customHeight="1">
      <c r="A98" s="4" t="s">
        <v>64</v>
      </c>
      <c r="B98" s="23" t="s">
        <v>60</v>
      </c>
      <c r="C98" s="27" t="str">
        <f>"8조" &amp; " - " &amp; B$92 &amp; " - " &amp; $A98</f>
        <v>8조 - Broker - Modifiability</v>
      </c>
      <c r="D98" s="23" t="s">
        <v>60</v>
      </c>
      <c r="E98" s="27" t="str">
        <f>"8조" &amp; " - " &amp; D$92 &amp; " - " &amp; $A98</f>
        <v>8조 - Dispatcher - Modifiability</v>
      </c>
    </row>
    <row r="99" spans="1:7" ht="16.5" customHeight="1">
      <c r="A99" s="4" t="s">
        <v>65</v>
      </c>
      <c r="B99" s="23" t="s">
        <v>60</v>
      </c>
      <c r="C99" s="27" t="str">
        <f>"8조" &amp; " - " &amp; B$92 &amp; " - " &amp; $A99</f>
        <v>8조 - Broker - Performance</v>
      </c>
      <c r="D99" s="23" t="s">
        <v>60</v>
      </c>
      <c r="E99" s="27" t="str">
        <f>"8조" &amp; " - " &amp; D$92 &amp; " - " &amp; $A99</f>
        <v>8조 - Dispatcher - Performance</v>
      </c>
    </row>
    <row r="100" spans="1:7" ht="16.5" customHeight="1">
      <c r="A100" s="4" t="s">
        <v>66</v>
      </c>
      <c r="B100" s="23" t="s">
        <v>60</v>
      </c>
      <c r="C100" s="27" t="str">
        <f>"8조" &amp; " - " &amp; B$92 &amp; " - " &amp; $A100</f>
        <v>8조 - Broker - Safety</v>
      </c>
      <c r="D100" s="23" t="s">
        <v>60</v>
      </c>
      <c r="E100" s="27" t="str">
        <f>"8조" &amp; " - " &amp; D$92 &amp; " - " &amp; $A100</f>
        <v>8조 - Dispatcher - Safety</v>
      </c>
    </row>
    <row r="101" spans="1:7" ht="16.5" customHeight="1">
      <c r="A101" s="4" t="s">
        <v>67</v>
      </c>
      <c r="B101" s="23" t="s">
        <v>60</v>
      </c>
      <c r="C101" s="27" t="str">
        <f>"8조" &amp; " - " &amp; B$92 &amp; " - " &amp; $A101</f>
        <v>8조 - Broker - Security</v>
      </c>
      <c r="D101" s="23" t="s">
        <v>60</v>
      </c>
      <c r="E101" s="27" t="str">
        <f>"8조" &amp; " - " &amp; D$92 &amp; " - " &amp; $A101</f>
        <v>8조 - Dispatcher - Security</v>
      </c>
    </row>
    <row r="102" spans="1:7" ht="16.5" customHeight="1">
      <c r="A102" s="4" t="s">
        <v>68</v>
      </c>
      <c r="B102" s="23" t="s">
        <v>60</v>
      </c>
      <c r="C102" s="27" t="str">
        <f>"8조" &amp; " - " &amp; B$92 &amp; " - " &amp; $A102</f>
        <v>8조 - Broker - Testability</v>
      </c>
      <c r="D102" s="23" t="s">
        <v>60</v>
      </c>
      <c r="E102" s="27" t="str">
        <f>"8조" &amp; " - " &amp; D$92 &amp; " - " &amp; $A102</f>
        <v>8조 - Dispatcher - Testability</v>
      </c>
    </row>
    <row r="103" spans="1:7" ht="16.5" customHeight="1">
      <c r="A103" s="4" t="s">
        <v>69</v>
      </c>
      <c r="B103" s="23" t="s">
        <v>60</v>
      </c>
      <c r="C103" s="27" t="str">
        <f>"8조" &amp; " - " &amp; B$92 &amp; " - " &amp; $A103</f>
        <v>8조 - Broker - Usability</v>
      </c>
      <c r="D103" s="23" t="s">
        <v>60</v>
      </c>
      <c r="E103" s="27" t="str">
        <f>"8조" &amp; " - " &amp; D$92 &amp; " - " &amp; $A103</f>
        <v>8조 - Dispatcher - Usability</v>
      </c>
    </row>
    <row r="104" spans="1:7" ht="16.5" customHeight="1">
      <c r="A104" s="1"/>
      <c r="B104" s="16" t="s">
        <v>60</v>
      </c>
      <c r="C104" s="1"/>
      <c r="D104" s="16" t="s">
        <v>60</v>
      </c>
      <c r="E104" s="1"/>
      <c r="F104" s="1"/>
      <c r="G104" s="1"/>
    </row>
    <row r="105" spans="1:7" ht="16.5" customHeight="1">
      <c r="A105" s="31" t="s">
        <v>85</v>
      </c>
      <c r="B105" s="35" t="s">
        <v>51</v>
      </c>
      <c r="C105" s="34"/>
      <c r="D105" s="33" t="s">
        <v>52</v>
      </c>
      <c r="E105" s="34"/>
    </row>
    <row r="106" spans="1:7" ht="16.5" customHeight="1">
      <c r="A106" s="32"/>
      <c r="B106" s="3" t="s">
        <v>57</v>
      </c>
      <c r="C106" s="3" t="s">
        <v>58</v>
      </c>
      <c r="D106" s="3" t="s">
        <v>57</v>
      </c>
      <c r="E106" s="3" t="s">
        <v>58</v>
      </c>
    </row>
    <row r="107" spans="1:7" ht="16.5" customHeight="1">
      <c r="A107" s="4" t="s">
        <v>59</v>
      </c>
      <c r="B107" s="23" t="s">
        <v>60</v>
      </c>
      <c r="C107" s="27" t="str">
        <f>"8조" &amp; " - " &amp; B$105 &amp; " - " &amp; $A107</f>
        <v>8조 - SOA - Availability</v>
      </c>
      <c r="D107" s="23" t="s">
        <v>60</v>
      </c>
      <c r="E107" s="27" t="str">
        <f>"8조" &amp; " - " &amp; D$105 &amp; " - " &amp; $A107</f>
        <v>8조 - Mico-Service - Availability</v>
      </c>
    </row>
    <row r="108" spans="1:7" ht="16.5" customHeight="1">
      <c r="A108" s="4" t="s">
        <v>61</v>
      </c>
      <c r="B108" s="23" t="s">
        <v>60</v>
      </c>
      <c r="C108" s="27" t="str">
        <f>"8조" &amp; " - " &amp; B$105 &amp; " - " &amp; $A108</f>
        <v>8조 - SOA - Deployability</v>
      </c>
      <c r="D108" s="23" t="s">
        <v>60</v>
      </c>
      <c r="E108" s="27" t="str">
        <f>"8조" &amp; " - " &amp; D$105 &amp; " - " &amp; $A108</f>
        <v>8조 - Mico-Service - Deployability</v>
      </c>
    </row>
    <row r="109" spans="1:7" ht="16.5" customHeight="1">
      <c r="A109" s="4" t="s">
        <v>62</v>
      </c>
      <c r="B109" s="23" t="s">
        <v>60</v>
      </c>
      <c r="C109" s="27" t="str">
        <f>"8조" &amp; " - " &amp; B$105 &amp; " - " &amp; $A109</f>
        <v>8조 - SOA - Integrability</v>
      </c>
      <c r="D109" s="23" t="s">
        <v>60</v>
      </c>
      <c r="E109" s="27" t="str">
        <f>"8조" &amp; " - " &amp; D$105 &amp; " - " &amp; $A109</f>
        <v>8조 - Mico-Service - Integrability</v>
      </c>
    </row>
    <row r="110" spans="1:7" ht="16.5" customHeight="1">
      <c r="A110" s="4" t="s">
        <v>63</v>
      </c>
      <c r="B110" s="23" t="s">
        <v>60</v>
      </c>
      <c r="C110" s="27" t="str">
        <f>"8조" &amp; " - " &amp; B$105 &amp; " - " &amp; $A110</f>
        <v>8조 - SOA - Energy Efficiency</v>
      </c>
      <c r="D110" s="23" t="s">
        <v>60</v>
      </c>
      <c r="E110" s="27" t="str">
        <f>"8조" &amp; " - " &amp; D$105 &amp; " - " &amp; $A110</f>
        <v>8조 - Mico-Service - Energy Efficiency</v>
      </c>
    </row>
    <row r="111" spans="1:7" ht="16.5" customHeight="1">
      <c r="A111" s="4" t="s">
        <v>64</v>
      </c>
      <c r="B111" s="23" t="s">
        <v>60</v>
      </c>
      <c r="C111" s="27" t="str">
        <f>"8조" &amp; " - " &amp; B$105 &amp; " - " &amp; $A111</f>
        <v>8조 - SOA - Modifiability</v>
      </c>
      <c r="D111" s="23" t="s">
        <v>60</v>
      </c>
      <c r="E111" s="27" t="str">
        <f>"8조" &amp; " - " &amp; D$105 &amp; " - " &amp; $A111</f>
        <v>8조 - Mico-Service - Modifiability</v>
      </c>
    </row>
    <row r="112" spans="1:7" ht="16.5" customHeight="1">
      <c r="A112" s="4" t="s">
        <v>65</v>
      </c>
      <c r="B112" s="23" t="s">
        <v>60</v>
      </c>
      <c r="C112" s="27" t="str">
        <f>"8조" &amp; " - " &amp; B$105 &amp; " - " &amp; $A112</f>
        <v>8조 - SOA - Performance</v>
      </c>
      <c r="D112" s="23" t="s">
        <v>60</v>
      </c>
      <c r="E112" s="27" t="str">
        <f>"8조" &amp; " - " &amp; D$105 &amp; " - " &amp; $A112</f>
        <v>8조 - Mico-Service - Performance</v>
      </c>
    </row>
    <row r="113" spans="1:7" ht="16.5" customHeight="1">
      <c r="A113" s="4" t="s">
        <v>66</v>
      </c>
      <c r="B113" s="23" t="s">
        <v>60</v>
      </c>
      <c r="C113" s="27" t="str">
        <f>"8조" &amp; " - " &amp; B$105 &amp; " - " &amp; $A113</f>
        <v>8조 - SOA - Safety</v>
      </c>
      <c r="D113" s="23" t="s">
        <v>60</v>
      </c>
      <c r="E113" s="27" t="str">
        <f>"8조" &amp; " - " &amp; D$105 &amp; " - " &amp; $A113</f>
        <v>8조 - Mico-Service - Safety</v>
      </c>
    </row>
    <row r="114" spans="1:7" ht="16.5" customHeight="1">
      <c r="A114" s="4" t="s">
        <v>67</v>
      </c>
      <c r="B114" s="23" t="s">
        <v>60</v>
      </c>
      <c r="C114" s="27" t="str">
        <f>"8조" &amp; " - " &amp; B$105 &amp; " - " &amp; $A114</f>
        <v>8조 - SOA - Security</v>
      </c>
      <c r="D114" s="23" t="s">
        <v>60</v>
      </c>
      <c r="E114" s="27" t="str">
        <f>"8조" &amp; " - " &amp; D$105 &amp; " - " &amp; $A114</f>
        <v>8조 - Mico-Service - Security</v>
      </c>
    </row>
    <row r="115" spans="1:7" ht="16.5" customHeight="1">
      <c r="A115" s="4" t="s">
        <v>68</v>
      </c>
      <c r="B115" s="23" t="s">
        <v>60</v>
      </c>
      <c r="C115" s="27" t="str">
        <f>"8조" &amp; " - " &amp; B$105 &amp; " - " &amp; $A115</f>
        <v>8조 - SOA - Testability</v>
      </c>
      <c r="D115" s="23" t="s">
        <v>60</v>
      </c>
      <c r="E115" s="27" t="str">
        <f>"8조" &amp; " - " &amp; D$105 &amp; " - " &amp; $A115</f>
        <v>8조 - Mico-Service - Testability</v>
      </c>
    </row>
    <row r="116" spans="1:7" ht="16.5" customHeight="1">
      <c r="A116" s="4" t="s">
        <v>69</v>
      </c>
      <c r="B116" s="23" t="s">
        <v>60</v>
      </c>
      <c r="C116" s="27" t="str">
        <f>"8조" &amp; " - " &amp; B$105 &amp; " - " &amp; $A116</f>
        <v>8조 - SOA - Usability</v>
      </c>
      <c r="D116" s="23" t="s">
        <v>60</v>
      </c>
      <c r="E116" s="27" t="str">
        <f>"8조" &amp; " - " &amp; D$105 &amp; " - " &amp; $A116</f>
        <v>8조 - Mico-Service - Usability</v>
      </c>
    </row>
    <row r="117" spans="1:7" ht="16.5" customHeight="1">
      <c r="A117" s="1"/>
      <c r="B117" s="16" t="s">
        <v>60</v>
      </c>
      <c r="C117" s="1"/>
      <c r="D117" s="16" t="s">
        <v>60</v>
      </c>
      <c r="E117" s="1"/>
      <c r="F117" s="1"/>
      <c r="G117" s="1"/>
    </row>
    <row r="118" spans="1:7" ht="16.5" customHeight="1">
      <c r="A118" s="31" t="s">
        <v>90</v>
      </c>
      <c r="B118" s="33" t="s">
        <v>91</v>
      </c>
      <c r="C118" s="34"/>
      <c r="D118" s="33" t="s">
        <v>92</v>
      </c>
      <c r="E118" s="34"/>
      <c r="F118" s="33" t="s">
        <v>93</v>
      </c>
      <c r="G118" s="34"/>
    </row>
    <row r="119" spans="1:7" ht="16.5" customHeight="1">
      <c r="A119" s="32"/>
      <c r="B119" s="3" t="s">
        <v>57</v>
      </c>
      <c r="C119" s="3" t="s">
        <v>58</v>
      </c>
      <c r="D119" s="3" t="s">
        <v>57</v>
      </c>
      <c r="E119" s="3" t="s">
        <v>58</v>
      </c>
      <c r="F119" s="3" t="s">
        <v>57</v>
      </c>
      <c r="G119" s="3" t="s">
        <v>58</v>
      </c>
    </row>
    <row r="120" spans="1:7" ht="16.5" customHeight="1">
      <c r="A120" s="4" t="s">
        <v>59</v>
      </c>
      <c r="B120" s="24" t="s">
        <v>60</v>
      </c>
      <c r="C120" s="26" t="str">
        <f>"8조" &amp; " - " &amp; B$118 &amp; " - " &amp; $A120</f>
        <v>8조 - Container-based - Availability</v>
      </c>
      <c r="D120" s="24" t="s">
        <v>60</v>
      </c>
      <c r="E120" s="26" t="str">
        <f>"8조" &amp; " - " &amp; D$118 &amp; " - " &amp; $A120</f>
        <v>8조 - Cloud-based - Availability</v>
      </c>
      <c r="F120" s="24" t="s">
        <v>60</v>
      </c>
      <c r="G120" s="26" t="str">
        <f>"8조" &amp; " - " &amp; F$118 &amp; " - " &amp; $A120</f>
        <v>8조 - Edge-based - Availability</v>
      </c>
    </row>
    <row r="121" spans="1:7" ht="16.5" customHeight="1">
      <c r="A121" s="4" t="s">
        <v>61</v>
      </c>
      <c r="B121" s="24" t="s">
        <v>60</v>
      </c>
      <c r="C121" s="26" t="str">
        <f>"8조" &amp; " - " &amp; B$118 &amp; " - " &amp; $A121</f>
        <v>8조 - Container-based - Deployability</v>
      </c>
      <c r="D121" s="24" t="s">
        <v>60</v>
      </c>
      <c r="E121" s="26" t="str">
        <f>"8조" &amp; " - " &amp; D$118 &amp; " - " &amp; $A121</f>
        <v>8조 - Cloud-based - Deployability</v>
      </c>
      <c r="F121" s="24" t="s">
        <v>60</v>
      </c>
      <c r="G121" s="26" t="str">
        <f>"8조" &amp; " - " &amp; F$118 &amp; " - " &amp; $A121</f>
        <v>8조 - Edge-based - Deployability</v>
      </c>
    </row>
    <row r="122" spans="1:7" ht="16.5" customHeight="1">
      <c r="A122" s="4" t="s">
        <v>62</v>
      </c>
      <c r="B122" s="24" t="s">
        <v>60</v>
      </c>
      <c r="C122" s="26" t="str">
        <f>"8조" &amp; " - " &amp; B$118 &amp; " - " &amp; $A122</f>
        <v>8조 - Container-based - Integrability</v>
      </c>
      <c r="D122" s="24" t="s">
        <v>60</v>
      </c>
      <c r="E122" s="26" t="str">
        <f>"8조" &amp; " - " &amp; D$118 &amp; " - " &amp; $A122</f>
        <v>8조 - Cloud-based - Integrability</v>
      </c>
      <c r="F122" s="24" t="s">
        <v>60</v>
      </c>
      <c r="G122" s="26" t="str">
        <f>"8조" &amp; " - " &amp; F$118 &amp; " - " &amp; $A122</f>
        <v>8조 - Edge-based - Integrability</v>
      </c>
    </row>
    <row r="123" spans="1:7" ht="16.5" customHeight="1">
      <c r="A123" s="4" t="s">
        <v>63</v>
      </c>
      <c r="B123" s="23" t="s">
        <v>60</v>
      </c>
      <c r="C123" s="27" t="str">
        <f>"8조" &amp; " - " &amp; B$118 &amp; " - " &amp; $A123</f>
        <v>8조 - Container-based - Energy Efficiency</v>
      </c>
      <c r="D123" s="23" t="s">
        <v>60</v>
      </c>
      <c r="E123" s="27" t="str">
        <f>"8조" &amp; " - " &amp; D$118 &amp; " - " &amp; $A123</f>
        <v>8조 - Cloud-based - Energy Efficiency</v>
      </c>
      <c r="F123" s="24" t="s">
        <v>60</v>
      </c>
      <c r="G123" s="26" t="str">
        <f>"8조" &amp; " - " &amp; F$118 &amp; " - " &amp; $A123</f>
        <v>8조 - Edge-based - Energy Efficiency</v>
      </c>
    </row>
    <row r="124" spans="1:7" ht="16.5" customHeight="1">
      <c r="A124" s="4" t="s">
        <v>64</v>
      </c>
      <c r="B124" s="24" t="s">
        <v>60</v>
      </c>
      <c r="C124" s="26" t="str">
        <f>"8조" &amp; " - " &amp; B$118 &amp; " - " &amp; $A124</f>
        <v>8조 - Container-based - Modifiability</v>
      </c>
      <c r="D124" s="23" t="s">
        <v>60</v>
      </c>
      <c r="E124" s="27" t="str">
        <f>"8조" &amp; " - " &amp; D$118 &amp; " - " &amp; $A124</f>
        <v>8조 - Cloud-based - Modifiability</v>
      </c>
      <c r="F124" s="24" t="s">
        <v>60</v>
      </c>
      <c r="G124" s="26" t="str">
        <f>"8조" &amp; " - " &amp; F$118 &amp; " - " &amp; $A124</f>
        <v>8조 - Edge-based - Modifiability</v>
      </c>
    </row>
    <row r="125" spans="1:7" ht="16.5" customHeight="1">
      <c r="A125" s="4" t="s">
        <v>65</v>
      </c>
      <c r="B125" s="24" t="s">
        <v>60</v>
      </c>
      <c r="C125" s="26" t="str">
        <f>"8조" &amp; " - " &amp; B$118 &amp; " - " &amp; $A125</f>
        <v>8조 - Container-based - Performance</v>
      </c>
      <c r="D125" s="24" t="s">
        <v>60</v>
      </c>
      <c r="E125" s="26" t="str">
        <f>"8조" &amp; " - " &amp; D$118 &amp; " - " &amp; $A125</f>
        <v>8조 - Cloud-based - Performance</v>
      </c>
      <c r="F125" s="24" t="s">
        <v>60</v>
      </c>
      <c r="G125" s="26" t="str">
        <f>"8조" &amp; " - " &amp; F$118 &amp; " - " &amp; $A125</f>
        <v>8조 - Edge-based - Performance</v>
      </c>
    </row>
    <row r="126" spans="1:7" ht="16.5" customHeight="1">
      <c r="A126" s="4" t="s">
        <v>66</v>
      </c>
      <c r="B126" s="23" t="s">
        <v>60</v>
      </c>
      <c r="C126" s="27" t="str">
        <f>"8조" &amp; " - " &amp; B$118 &amp; " - " &amp; $A126</f>
        <v>8조 - Container-based - Safety</v>
      </c>
      <c r="D126" s="23" t="s">
        <v>60</v>
      </c>
      <c r="E126" s="27" t="str">
        <f>"8조" &amp; " - " &amp; D$118 &amp; " - " &amp; $A126</f>
        <v>8조 - Cloud-based - Safety</v>
      </c>
      <c r="F126" s="23" t="s">
        <v>60</v>
      </c>
      <c r="G126" s="27" t="str">
        <f>"8조" &amp; " - " &amp; F$118 &amp; " - " &amp; $A126</f>
        <v>8조 - Edge-based - Safety</v>
      </c>
    </row>
    <row r="127" spans="1:7" ht="16.5" customHeight="1">
      <c r="A127" s="4" t="s">
        <v>67</v>
      </c>
      <c r="B127" s="23" t="s">
        <v>60</v>
      </c>
      <c r="C127" s="27" t="str">
        <f>"8조" &amp; " - " &amp; B$118 &amp; " - " &amp; $A127</f>
        <v>8조 - Container-based - Security</v>
      </c>
      <c r="D127" s="24" t="s">
        <v>60</v>
      </c>
      <c r="E127" s="26" t="str">
        <f>"8조" &amp; " - " &amp; D$118 &amp; " - " &amp; $A127</f>
        <v>8조 - Cloud-based - Security</v>
      </c>
      <c r="F127" s="24" t="s">
        <v>60</v>
      </c>
      <c r="G127" s="26" t="str">
        <f>"8조" &amp; " - " &amp; F$118 &amp; " - " &amp; $A127</f>
        <v>8조 - Edge-based - Security</v>
      </c>
    </row>
    <row r="128" spans="1:7" ht="16.5" customHeight="1">
      <c r="A128" s="4" t="s">
        <v>68</v>
      </c>
      <c r="B128" s="24" t="s">
        <v>60</v>
      </c>
      <c r="C128" s="26" t="str">
        <f>"8조" &amp; " - " &amp; B$118 &amp; " - " &amp; $A128</f>
        <v>8조 - Container-based - Testability</v>
      </c>
      <c r="D128" s="24" t="s">
        <v>60</v>
      </c>
      <c r="E128" s="26" t="str">
        <f>"8조" &amp; " - " &amp; D$118 &amp; " - " &amp; $A128</f>
        <v>8조 - Cloud-based - Testability</v>
      </c>
      <c r="F128" s="24" t="s">
        <v>60</v>
      </c>
      <c r="G128" s="26" t="str">
        <f>"8조" &amp; " - " &amp; F$118 &amp; " - " &amp; $A128</f>
        <v>8조 - Edge-based - Testability</v>
      </c>
    </row>
    <row r="129" spans="1:7" ht="16.5" customHeight="1">
      <c r="A129" s="4" t="s">
        <v>69</v>
      </c>
      <c r="B129" s="23" t="s">
        <v>60</v>
      </c>
      <c r="C129" s="27" t="str">
        <f>"8조" &amp; " - " &amp; B$118 &amp; " - " &amp; $A129</f>
        <v>8조 - Container-based - Usability</v>
      </c>
      <c r="D129" s="23" t="s">
        <v>60</v>
      </c>
      <c r="E129" s="27" t="str">
        <f>"8조" &amp; " - " &amp; D$118 &amp; " - " &amp; $A129</f>
        <v>8조 - Cloud-based - Usability</v>
      </c>
      <c r="F129" s="23" t="s">
        <v>60</v>
      </c>
      <c r="G129" s="27" t="str">
        <f>"8조" &amp; " - " &amp; F$118 &amp; " - " &amp; $A129</f>
        <v>8조 - Edge-based - Usability</v>
      </c>
    </row>
    <row r="130" spans="1:7" ht="16.5" customHeight="1"/>
    <row r="131" spans="1:7" ht="16.5" customHeight="1"/>
    <row r="132" spans="1:7" ht="16.5" customHeight="1"/>
    <row r="133" spans="1:7" ht="16.5" customHeight="1"/>
    <row r="134" spans="1:7" ht="16.5" customHeight="1"/>
    <row r="135" spans="1:7" ht="16.5" customHeight="1"/>
    <row r="136" spans="1:7" ht="16.5" customHeight="1"/>
    <row r="137" spans="1:7" ht="16.5" customHeight="1"/>
    <row r="138" spans="1:7" ht="16.5" customHeight="1"/>
    <row r="139" spans="1:7" ht="16.5" customHeight="1"/>
    <row r="140" spans="1:7" ht="16.5" customHeight="1"/>
    <row r="141" spans="1:7" ht="16.5" customHeight="1"/>
    <row r="142" spans="1:7" ht="16.5" customHeight="1"/>
    <row r="143" spans="1:7" ht="16.5" customHeight="1"/>
    <row r="144" spans="1:7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8">
    <mergeCell ref="A118:A119"/>
    <mergeCell ref="B118:C118"/>
    <mergeCell ref="D118:E118"/>
    <mergeCell ref="F118:G118"/>
    <mergeCell ref="D66:E66"/>
    <mergeCell ref="F66:G66"/>
    <mergeCell ref="D92:E92"/>
    <mergeCell ref="A105:A106"/>
    <mergeCell ref="B105:C105"/>
    <mergeCell ref="D105:E105"/>
    <mergeCell ref="B66:C66"/>
    <mergeCell ref="A79:A80"/>
    <mergeCell ref="B79:C79"/>
    <mergeCell ref="D79:E79"/>
    <mergeCell ref="A92:A93"/>
    <mergeCell ref="B92:C92"/>
    <mergeCell ref="D27:E27"/>
    <mergeCell ref="B27:C27"/>
    <mergeCell ref="B40:C40"/>
    <mergeCell ref="D40:E40"/>
    <mergeCell ref="B53:C53"/>
    <mergeCell ref="D53:E53"/>
    <mergeCell ref="A1:A2"/>
    <mergeCell ref="B1:C1"/>
    <mergeCell ref="D1:E1"/>
    <mergeCell ref="F1:G1"/>
    <mergeCell ref="B14:C14"/>
    <mergeCell ref="D14:E14"/>
  </mergeCells>
  <phoneticPr fontId="7" type="noConversion"/>
  <dataValidations count="1">
    <dataValidation type="list" allowBlank="1" showErrorMessage="1" sqref="B3:B12 D3:D12 F3:F12 B14 D14 B16:B25 D16:D25 B27 D27 B29:B38 D29:D38 B42:B51 D42:D51 B53 D53 B55:B64 D55:D64 B66 D66 F66 B68:B77 D68:D77 B79 D79 F68:F78 B81:B90 D81:D90 B92 B94:B103 F120:F129 B120:B129 D120:D129 D94:D103 D107:D116 B107:B116" xr:uid="{394BC317-BC26-4A0A-AF7C-C5490108C4F4}">
      <formula1>"'++,'+,'0,'-,'--"</formula1>
    </dataValidation>
  </dataValidations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999"/>
  <sheetViews>
    <sheetView topLeftCell="A94" workbookViewId="0">
      <pane xSplit="1" topLeftCell="B1" activePane="topRight" state="frozen"/>
      <selection pane="topRight" activeCell="E103" sqref="E103"/>
    </sheetView>
  </sheetViews>
  <sheetFormatPr defaultColWidth="14.42578125" defaultRowHeight="15" customHeight="1"/>
  <cols>
    <col min="1" max="1" width="18" customWidth="1"/>
    <col min="2" max="2" width="14.7109375" customWidth="1"/>
    <col min="3" max="3" width="70.5703125" customWidth="1"/>
    <col min="4" max="4" width="9.85546875" customWidth="1"/>
    <col min="5" max="5" width="64.42578125" customWidth="1"/>
    <col min="6" max="6" width="11.42578125" customWidth="1"/>
    <col min="7" max="7" width="61.5703125" customWidth="1"/>
    <col min="8" max="8" width="8.85546875" customWidth="1"/>
    <col min="9" max="9" width="64.140625" customWidth="1"/>
    <col min="10" max="26" width="8.85546875" customWidth="1"/>
  </cols>
  <sheetData>
    <row r="1" spans="1:7" ht="16.5" customHeight="1">
      <c r="A1" s="31" t="s">
        <v>53</v>
      </c>
      <c r="B1" s="33" t="s">
        <v>54</v>
      </c>
      <c r="C1" s="34"/>
      <c r="D1" s="33" t="s">
        <v>55</v>
      </c>
      <c r="E1" s="34"/>
      <c r="F1" s="33" t="s">
        <v>56</v>
      </c>
      <c r="G1" s="34"/>
    </row>
    <row r="2" spans="1:7" ht="16.5" customHeight="1">
      <c r="A2" s="32"/>
      <c r="B2" s="3" t="s">
        <v>57</v>
      </c>
      <c r="C2" s="3" t="s">
        <v>58</v>
      </c>
      <c r="D2" s="3" t="s">
        <v>57</v>
      </c>
      <c r="E2" s="3" t="s">
        <v>58</v>
      </c>
      <c r="F2" s="3" t="s">
        <v>57</v>
      </c>
      <c r="G2" s="3" t="s">
        <v>58</v>
      </c>
    </row>
    <row r="3" spans="1:7" ht="16.5" customHeight="1">
      <c r="A3" s="4" t="s">
        <v>59</v>
      </c>
      <c r="B3" s="24" t="s">
        <v>60</v>
      </c>
      <c r="C3" s="26" t="str">
        <f>"9조" &amp; " - " &amp; B$1 &amp; " - " &amp; $A3</f>
        <v>9조 - Batch Sequential - Availability</v>
      </c>
      <c r="D3" s="24" t="s">
        <v>60</v>
      </c>
      <c r="E3" s="26" t="str">
        <f>"9조" &amp; " - " &amp; D$1 &amp; " - " &amp; $A3</f>
        <v>9조 - Pipe and Filter - Availability</v>
      </c>
      <c r="F3" s="23" t="s">
        <v>60</v>
      </c>
      <c r="G3" s="27" t="str">
        <f>"9조" &amp; " - " &amp; F$1 &amp; " - " &amp; $A3</f>
        <v>9조 - Process Control - Availability</v>
      </c>
    </row>
    <row r="4" spans="1:7" ht="16.5" customHeight="1">
      <c r="A4" s="4" t="s">
        <v>61</v>
      </c>
      <c r="B4" s="24" t="s">
        <v>60</v>
      </c>
      <c r="C4" s="26" t="str">
        <f>"9조" &amp; " - " &amp; B$1 &amp; " - " &amp; $A4</f>
        <v>9조 - Batch Sequential - Deployability</v>
      </c>
      <c r="D4" s="24" t="s">
        <v>60</v>
      </c>
      <c r="E4" s="26" t="str">
        <f>"9조" &amp; " - " &amp; D$1 &amp; " - " &amp; $A4</f>
        <v>9조 - Pipe and Filter - Deployability</v>
      </c>
      <c r="F4" s="23" t="s">
        <v>60</v>
      </c>
      <c r="G4" s="27" t="str">
        <f>"9조" &amp; " - " &amp; F$1 &amp; " - " &amp; $A4</f>
        <v>9조 - Process Control - Deployability</v>
      </c>
    </row>
    <row r="5" spans="1:7" ht="16.5" customHeight="1">
      <c r="A5" s="4" t="s">
        <v>62</v>
      </c>
      <c r="B5" s="23" t="s">
        <v>60</v>
      </c>
      <c r="C5" s="26" t="str">
        <f>"9조" &amp; " - " &amp; B$1 &amp; " - " &amp; $A5</f>
        <v>9조 - Batch Sequential - Integrability</v>
      </c>
      <c r="D5" s="24" t="s">
        <v>60</v>
      </c>
      <c r="E5" s="28" t="str">
        <f>"9조" &amp; " - " &amp; D$1 &amp; " - " &amp; $A5</f>
        <v>9조 - Pipe and Filter - Integrability</v>
      </c>
      <c r="F5" s="23" t="s">
        <v>60</v>
      </c>
      <c r="G5" s="27" t="str">
        <f>"9조" &amp; " - " &amp; F$1 &amp; " - " &amp; $A5</f>
        <v>9조 - Process Control - Integrability</v>
      </c>
    </row>
    <row r="6" spans="1:7" ht="16.5" customHeight="1">
      <c r="A6" s="4" t="s">
        <v>63</v>
      </c>
      <c r="B6" s="24" t="s">
        <v>60</v>
      </c>
      <c r="C6" s="26" t="str">
        <f>"9조" &amp; " - " &amp; B$1 &amp; " - " &amp; $A6</f>
        <v>9조 - Batch Sequential - Energy Efficiency</v>
      </c>
      <c r="D6" s="23" t="s">
        <v>60</v>
      </c>
      <c r="E6" s="27" t="str">
        <f>"9조" &amp; " - " &amp; D$1 &amp; " - " &amp; $A6</f>
        <v>9조 - Pipe and Filter - Energy Efficiency</v>
      </c>
      <c r="F6" s="23" t="s">
        <v>60</v>
      </c>
      <c r="G6" s="27" t="str">
        <f>"9조" &amp; " - " &amp; F$1 &amp; " - " &amp; $A6</f>
        <v>9조 - Process Control - Energy Efficiency</v>
      </c>
    </row>
    <row r="7" spans="1:7" ht="16.5" customHeight="1">
      <c r="A7" s="4" t="s">
        <v>64</v>
      </c>
      <c r="B7" s="24" t="s">
        <v>60</v>
      </c>
      <c r="C7" s="26" t="str">
        <f>"9조" &amp; " - " &amp; B$1 &amp; " - " &amp; $A7</f>
        <v>9조 - Batch Sequential - Modifiability</v>
      </c>
      <c r="D7" s="24" t="s">
        <v>60</v>
      </c>
      <c r="E7" s="26" t="str">
        <f>"9조" &amp; " - " &amp; D$1 &amp; " - " &amp; $A7</f>
        <v>9조 - Pipe and Filter - Modifiability</v>
      </c>
      <c r="F7" s="23" t="s">
        <v>60</v>
      </c>
      <c r="G7" s="27" t="str">
        <f>"9조" &amp; " - " &amp; F$1 &amp; " - " &amp; $A7</f>
        <v>9조 - Process Control - Modifiability</v>
      </c>
    </row>
    <row r="8" spans="1:7" ht="16.5" customHeight="1">
      <c r="A8" s="4" t="s">
        <v>65</v>
      </c>
      <c r="B8" s="24" t="s">
        <v>60</v>
      </c>
      <c r="C8" s="26" t="str">
        <f>"9조" &amp; " - " &amp; B$1 &amp; " - " &amp; $A8</f>
        <v>9조 - Batch Sequential - Performance</v>
      </c>
      <c r="D8" s="24" t="s">
        <v>60</v>
      </c>
      <c r="E8" s="26" t="str">
        <f>"9조" &amp; " - " &amp; D$1 &amp; " - " &amp; $A8</f>
        <v>9조 - Pipe and Filter - Performance</v>
      </c>
      <c r="F8" s="23" t="s">
        <v>60</v>
      </c>
      <c r="G8" s="27" t="str">
        <f>"9조" &amp; " - " &amp; F$1 &amp; " - " &amp; $A8</f>
        <v>9조 - Process Control - Performance</v>
      </c>
    </row>
    <row r="9" spans="1:7" ht="16.5" customHeight="1">
      <c r="A9" s="4" t="s">
        <v>66</v>
      </c>
      <c r="B9" s="23" t="s">
        <v>60</v>
      </c>
      <c r="C9" s="26" t="str">
        <f>"9조" &amp; " - " &amp; B$1 &amp; " - " &amp; $A9</f>
        <v>9조 - Batch Sequential - Safety</v>
      </c>
      <c r="D9" s="23" t="s">
        <v>60</v>
      </c>
      <c r="E9" s="27" t="str">
        <f>"9조" &amp; " - " &amp; D$1 &amp; " - " &amp; $A9</f>
        <v>9조 - Pipe and Filter - Safety</v>
      </c>
      <c r="F9" s="23" t="s">
        <v>60</v>
      </c>
      <c r="G9" s="27" t="str">
        <f>"9조" &amp; " - " &amp; F$1 &amp; " - " &amp; $A9</f>
        <v>9조 - Process Control - Safety</v>
      </c>
    </row>
    <row r="10" spans="1:7" ht="16.5" customHeight="1">
      <c r="A10" s="4" t="s">
        <v>67</v>
      </c>
      <c r="B10" s="24" t="s">
        <v>60</v>
      </c>
      <c r="C10" s="26" t="str">
        <f>"9조" &amp; " - " &amp; B$1 &amp; " - " &amp; $A10</f>
        <v>9조 - Batch Sequential - Security</v>
      </c>
      <c r="D10" s="24" t="s">
        <v>60</v>
      </c>
      <c r="E10" s="26" t="str">
        <f>"9조" &amp; " - " &amp; D$1 &amp; " - " &amp; $A10</f>
        <v>9조 - Pipe and Filter - Security</v>
      </c>
      <c r="F10" s="23" t="s">
        <v>60</v>
      </c>
      <c r="G10" s="27" t="str">
        <f>"9조" &amp; " - " &amp; F$1 &amp; " - " &amp; $A10</f>
        <v>9조 - Process Control - Security</v>
      </c>
    </row>
    <row r="11" spans="1:7" ht="16.5" customHeight="1">
      <c r="A11" s="4" t="s">
        <v>68</v>
      </c>
      <c r="B11" s="24" t="s">
        <v>60</v>
      </c>
      <c r="C11" s="26" t="str">
        <f>"9조" &amp; " - " &amp; B$1 &amp; " - " &amp; $A11</f>
        <v>9조 - Batch Sequential - Testability</v>
      </c>
      <c r="D11" s="24" t="s">
        <v>60</v>
      </c>
      <c r="E11" s="26" t="str">
        <f>"9조" &amp; " - " &amp; D$1 &amp; " - " &amp; $A11</f>
        <v>9조 - Pipe and Filter - Testability</v>
      </c>
      <c r="F11" s="23" t="s">
        <v>60</v>
      </c>
      <c r="G11" s="27" t="str">
        <f>"9조" &amp; " - " &amp; F$1 &amp; " - " &amp; $A11</f>
        <v>9조 - Process Control - Testability</v>
      </c>
    </row>
    <row r="12" spans="1:7" ht="16.5" customHeight="1">
      <c r="A12" s="4" t="s">
        <v>69</v>
      </c>
      <c r="B12" s="23" t="s">
        <v>60</v>
      </c>
      <c r="C12" s="26" t="str">
        <f>"9조" &amp; " - " &amp; B$1 &amp; " - " &amp; $A12</f>
        <v>9조 - Batch Sequential - Usability</v>
      </c>
      <c r="D12" s="23" t="s">
        <v>60</v>
      </c>
      <c r="E12" s="27" t="str">
        <f>"9조" &amp; " - " &amp; D$1 &amp; " - " &amp; $A12</f>
        <v>9조 - Pipe and Filter - Usability</v>
      </c>
      <c r="F12" s="23" t="s">
        <v>60</v>
      </c>
      <c r="G12" s="27" t="str">
        <f>"9조" &amp; " - " &amp; F$1 &amp; " - " &amp; $A12</f>
        <v>9조 - Process Control - Usability</v>
      </c>
    </row>
    <row r="13" spans="1:7" ht="16.5" customHeight="1">
      <c r="A13" s="1"/>
      <c r="B13" s="16" t="s">
        <v>60</v>
      </c>
      <c r="C13" s="16" t="s">
        <v>60</v>
      </c>
      <c r="D13" s="16" t="s">
        <v>60</v>
      </c>
      <c r="E13" s="16" t="s">
        <v>60</v>
      </c>
      <c r="F13" s="16" t="s">
        <v>60</v>
      </c>
      <c r="G13" s="1"/>
    </row>
    <row r="14" spans="1:7" ht="16.5" customHeight="1">
      <c r="A14" s="2" t="s">
        <v>70</v>
      </c>
      <c r="B14" s="35" t="s">
        <v>71</v>
      </c>
      <c r="C14" s="34"/>
      <c r="D14" s="35" t="s">
        <v>72</v>
      </c>
      <c r="E14" s="34"/>
      <c r="F14" s="1"/>
      <c r="G14" s="1"/>
    </row>
    <row r="15" spans="1:7" ht="16.5" customHeight="1">
      <c r="A15" s="19"/>
      <c r="B15" s="20" t="s">
        <v>57</v>
      </c>
      <c r="C15" s="21" t="s">
        <v>58</v>
      </c>
      <c r="D15" s="20" t="s">
        <v>57</v>
      </c>
      <c r="E15" s="21" t="s">
        <v>58</v>
      </c>
      <c r="F15" s="1"/>
      <c r="G15" s="1"/>
    </row>
    <row r="16" spans="1:7" ht="16.5" customHeight="1">
      <c r="A16" s="4" t="s">
        <v>59</v>
      </c>
      <c r="B16" s="24" t="s">
        <v>60</v>
      </c>
      <c r="C16" s="26" t="str">
        <f>"9조" &amp; " - " &amp; B$14 &amp; " - " &amp; $A16</f>
        <v>9조 - Shared Respository - Availability</v>
      </c>
      <c r="D16" s="23" t="s">
        <v>60</v>
      </c>
      <c r="E16" s="27" t="str">
        <f>"9조" &amp; " - " &amp; D$14 &amp; " - " &amp; $A16</f>
        <v>9조 - Blackboard - Availability</v>
      </c>
      <c r="F16" s="1"/>
      <c r="G16" s="1"/>
    </row>
    <row r="17" spans="1:7" ht="16.5" customHeight="1">
      <c r="A17" s="4" t="s">
        <v>61</v>
      </c>
      <c r="B17" s="24" t="s">
        <v>60</v>
      </c>
      <c r="C17" s="26" t="str">
        <f>"9조" &amp; " - " &amp; B$14 &amp; " - " &amp; $A17</f>
        <v>9조 - Shared Respository - Deployability</v>
      </c>
      <c r="D17" s="23" t="s">
        <v>60</v>
      </c>
      <c r="E17" s="27" t="str">
        <f>"9조" &amp; " - " &amp; D$14 &amp; " - " &amp; $A17</f>
        <v>9조 - Blackboard - Deployability</v>
      </c>
      <c r="F17" s="1"/>
      <c r="G17" s="1"/>
    </row>
    <row r="18" spans="1:7" ht="16.5" customHeight="1">
      <c r="A18" s="4" t="s">
        <v>62</v>
      </c>
      <c r="B18" s="24" t="s">
        <v>60</v>
      </c>
      <c r="C18" s="26" t="str">
        <f>"9조" &amp; " - " &amp; B$14 &amp; " - " &amp; $A18</f>
        <v>9조 - Shared Respository - Integrability</v>
      </c>
      <c r="D18" s="23" t="s">
        <v>60</v>
      </c>
      <c r="E18" s="27" t="str">
        <f>"9조" &amp; " - " &amp; D$14 &amp; " - " &amp; $A18</f>
        <v>9조 - Blackboard - Integrability</v>
      </c>
      <c r="F18" s="1"/>
      <c r="G18" s="1"/>
    </row>
    <row r="19" spans="1:7" ht="16.5" customHeight="1">
      <c r="A19" s="4" t="s">
        <v>63</v>
      </c>
      <c r="B19" s="23" t="s">
        <v>60</v>
      </c>
      <c r="C19" s="27" t="str">
        <f>"9조" &amp; " - " &amp; B$14 &amp; " - " &amp; $A19</f>
        <v>9조 - Shared Respository - Energy Efficiency</v>
      </c>
      <c r="D19" s="23" t="s">
        <v>60</v>
      </c>
      <c r="E19" s="27" t="str">
        <f>"9조" &amp; " - " &amp; D$14 &amp; " - " &amp; $A19</f>
        <v>9조 - Blackboard - Energy Efficiency</v>
      </c>
      <c r="F19" s="1"/>
      <c r="G19" s="1"/>
    </row>
    <row r="20" spans="1:7" ht="16.5" customHeight="1">
      <c r="A20" s="4" t="s">
        <v>64</v>
      </c>
      <c r="B20" s="24" t="s">
        <v>60</v>
      </c>
      <c r="C20" s="26" t="str">
        <f>"9조" &amp; " - " &amp; B$14 &amp; " - " &amp; $A20</f>
        <v>9조 - Shared Respository - Modifiability</v>
      </c>
      <c r="D20" s="23" t="s">
        <v>60</v>
      </c>
      <c r="E20" s="27" t="str">
        <f>"9조" &amp; " - " &amp; D$14 &amp; " - " &amp; $A20</f>
        <v>9조 - Blackboard - Modifiability</v>
      </c>
      <c r="F20" s="1"/>
      <c r="G20" s="1"/>
    </row>
    <row r="21" spans="1:7" ht="16.5" customHeight="1">
      <c r="A21" s="4" t="s">
        <v>65</v>
      </c>
      <c r="B21" s="24" t="s">
        <v>60</v>
      </c>
      <c r="C21" s="26" t="str">
        <f>"9조" &amp; " - " &amp; B$14 &amp; " - " &amp; $A21</f>
        <v>9조 - Shared Respository - Performance</v>
      </c>
      <c r="D21" s="23" t="s">
        <v>60</v>
      </c>
      <c r="E21" s="27" t="str">
        <f>"9조" &amp; " - " &amp; D$14 &amp; " - " &amp; $A21</f>
        <v>9조 - Blackboard - Performance</v>
      </c>
      <c r="F21" s="1"/>
      <c r="G21" s="1"/>
    </row>
    <row r="22" spans="1:7" ht="16.5" customHeight="1">
      <c r="A22" s="4" t="s">
        <v>66</v>
      </c>
      <c r="B22" s="23" t="s">
        <v>60</v>
      </c>
      <c r="C22" s="27" t="str">
        <f>"9조" &amp; " - " &amp; B$14 &amp; " - " &amp; $A22</f>
        <v>9조 - Shared Respository - Safety</v>
      </c>
      <c r="D22" s="23" t="s">
        <v>60</v>
      </c>
      <c r="E22" s="27" t="str">
        <f>"9조" &amp; " - " &amp; D$14 &amp; " - " &amp; $A22</f>
        <v>9조 - Blackboard - Safety</v>
      </c>
      <c r="F22" s="1"/>
      <c r="G22" s="1"/>
    </row>
    <row r="23" spans="1:7" ht="16.5" customHeight="1">
      <c r="A23" s="4" t="s">
        <v>67</v>
      </c>
      <c r="B23" s="24" t="s">
        <v>60</v>
      </c>
      <c r="C23" s="26" t="str">
        <f>"9조" &amp; " - " &amp; B$14 &amp; " - " &amp; $A23</f>
        <v>9조 - Shared Respository - Security</v>
      </c>
      <c r="D23" s="23" t="s">
        <v>60</v>
      </c>
      <c r="E23" s="27" t="str">
        <f>"9조" &amp; " - " &amp; D$14 &amp; " - " &amp; $A23</f>
        <v>9조 - Blackboard - Security</v>
      </c>
      <c r="F23" s="1"/>
      <c r="G23" s="1"/>
    </row>
    <row r="24" spans="1:7" ht="16.5" customHeight="1">
      <c r="A24" s="4" t="s">
        <v>68</v>
      </c>
      <c r="B24" s="24" t="s">
        <v>60</v>
      </c>
      <c r="C24" s="26" t="str">
        <f>"9조" &amp; " - " &amp; B$14 &amp; " - " &amp; $A24</f>
        <v>9조 - Shared Respository - Testability</v>
      </c>
      <c r="D24" s="23" t="s">
        <v>60</v>
      </c>
      <c r="E24" s="27" t="str">
        <f>"9조" &amp; " - " &amp; D$14 &amp; " - " &amp; $A24</f>
        <v>9조 - Blackboard - Testability</v>
      </c>
      <c r="F24" s="1"/>
      <c r="G24" s="1"/>
    </row>
    <row r="25" spans="1:7" ht="16.5" customHeight="1">
      <c r="A25" s="4" t="s">
        <v>69</v>
      </c>
      <c r="B25" s="23" t="s">
        <v>60</v>
      </c>
      <c r="C25" s="27" t="str">
        <f>"9조" &amp; " - " &amp; B$14 &amp; " - " &amp; $A25</f>
        <v>9조 - Shared Respository - Usability</v>
      </c>
      <c r="D25" s="23" t="s">
        <v>60</v>
      </c>
      <c r="E25" s="27" t="str">
        <f>"9조" &amp; " - " &amp; D$14 &amp; " - " &amp; $A25</f>
        <v>9조 - Blackboard - Usability</v>
      </c>
      <c r="F25" s="1"/>
      <c r="G25" s="1"/>
    </row>
    <row r="26" spans="1:7" ht="16.5" customHeight="1">
      <c r="A26" s="1"/>
      <c r="B26" s="16" t="s">
        <v>60</v>
      </c>
      <c r="C26" s="16" t="s">
        <v>60</v>
      </c>
      <c r="D26" s="16" t="s">
        <v>60</v>
      </c>
      <c r="E26" s="16" t="s">
        <v>60</v>
      </c>
      <c r="F26" s="1"/>
      <c r="G26" s="1"/>
    </row>
    <row r="27" spans="1:7" ht="16.5" customHeight="1">
      <c r="A27" s="2" t="s">
        <v>73</v>
      </c>
      <c r="B27" s="35" t="s">
        <v>74</v>
      </c>
      <c r="C27" s="34"/>
      <c r="D27" s="35" t="s">
        <v>75</v>
      </c>
      <c r="E27" s="34"/>
      <c r="F27" s="1"/>
      <c r="G27" s="1"/>
    </row>
    <row r="28" spans="1:7" ht="16.5" customHeight="1">
      <c r="A28" s="22"/>
      <c r="B28" s="3" t="s">
        <v>57</v>
      </c>
      <c r="C28" s="17" t="s">
        <v>58</v>
      </c>
      <c r="D28" s="3" t="s">
        <v>57</v>
      </c>
      <c r="E28" s="17" t="s">
        <v>58</v>
      </c>
      <c r="F28" s="1"/>
      <c r="G28" s="1"/>
    </row>
    <row r="29" spans="1:7" ht="16.5" customHeight="1">
      <c r="A29" s="4" t="s">
        <v>59</v>
      </c>
      <c r="B29" s="24" t="s">
        <v>60</v>
      </c>
      <c r="C29" s="26" t="str">
        <f>"9조" &amp; " - " &amp; B$27 &amp; " - " &amp; $A29</f>
        <v>9조 - Non-Buffered Event Based - Availability</v>
      </c>
      <c r="D29" s="24" t="s">
        <v>60</v>
      </c>
      <c r="E29" s="26" t="str">
        <f>"9조" &amp; " - " &amp; D$27 &amp; " - " &amp; $A29</f>
        <v>9조 - Buffered Message Based - Availability</v>
      </c>
      <c r="F29" s="1"/>
      <c r="G29" s="1"/>
    </row>
    <row r="30" spans="1:7" ht="16.5" customHeight="1">
      <c r="A30" s="4" t="s">
        <v>61</v>
      </c>
      <c r="B30" s="23" t="s">
        <v>60</v>
      </c>
      <c r="C30" s="27" t="str">
        <f>"9조" &amp; " - " &amp; B$27 &amp; " - " &amp; $A30</f>
        <v>9조 - Non-Buffered Event Based - Deployability</v>
      </c>
      <c r="D30" s="23" t="s">
        <v>60</v>
      </c>
      <c r="E30" s="27" t="str">
        <f>"9조" &amp; " - " &amp; D$27 &amp; " - " &amp; $A30</f>
        <v>9조 - Buffered Message Based - Deployability</v>
      </c>
      <c r="F30" s="1"/>
      <c r="G30" s="1"/>
    </row>
    <row r="31" spans="1:7" ht="16.5" customHeight="1">
      <c r="A31" s="4" t="s">
        <v>62</v>
      </c>
      <c r="B31" s="24" t="s">
        <v>60</v>
      </c>
      <c r="C31" s="26" t="str">
        <f>"9조" &amp; " - " &amp; B$27 &amp; " - " &amp; $A31</f>
        <v>9조 - Non-Buffered Event Based - Integrability</v>
      </c>
      <c r="D31" s="24" t="s">
        <v>60</v>
      </c>
      <c r="E31" s="26" t="str">
        <f>"9조" &amp; " - " &amp; D$27 &amp; " - " &amp; $A31</f>
        <v>9조 - Buffered Message Based - Integrability</v>
      </c>
      <c r="F31" s="1"/>
      <c r="G31" s="1"/>
    </row>
    <row r="32" spans="1:7" ht="16.5" customHeight="1">
      <c r="A32" s="4" t="s">
        <v>63</v>
      </c>
      <c r="B32" s="23" t="s">
        <v>60</v>
      </c>
      <c r="C32" s="27" t="str">
        <f>"9조" &amp; " - " &amp; B$27 &amp; " - " &amp; $A32</f>
        <v>9조 - Non-Buffered Event Based - Energy Efficiency</v>
      </c>
      <c r="D32" s="23" t="s">
        <v>60</v>
      </c>
      <c r="E32" s="27" t="str">
        <f>"9조" &amp; " - " &amp; D$27 &amp; " - " &amp; $A32</f>
        <v>9조 - Buffered Message Based - Energy Efficiency</v>
      </c>
      <c r="F32" s="1"/>
      <c r="G32" s="1"/>
    </row>
    <row r="33" spans="1:9" ht="16.5" customHeight="1">
      <c r="A33" s="4" t="s">
        <v>64</v>
      </c>
      <c r="B33" s="24" t="s">
        <v>60</v>
      </c>
      <c r="C33" s="26" t="str">
        <f>"9조" &amp; " - " &amp; B$27 &amp; " - " &amp; $A33</f>
        <v>9조 - Non-Buffered Event Based - Modifiability</v>
      </c>
      <c r="D33" s="24" t="s">
        <v>60</v>
      </c>
      <c r="E33" s="26" t="str">
        <f>"9조" &amp; " - " &amp; D$27 &amp; " - " &amp; $A33</f>
        <v>9조 - Buffered Message Based - Modifiability</v>
      </c>
      <c r="F33" s="1"/>
      <c r="G33" s="1"/>
    </row>
    <row r="34" spans="1:9" ht="16.5" customHeight="1">
      <c r="A34" s="4" t="s">
        <v>65</v>
      </c>
      <c r="B34" s="24" t="s">
        <v>60</v>
      </c>
      <c r="C34" s="26" t="str">
        <f>"9조" &amp; " - " &amp; B$27 &amp; " - " &amp; $A34</f>
        <v>9조 - Non-Buffered Event Based - Performance</v>
      </c>
      <c r="D34" s="24" t="s">
        <v>60</v>
      </c>
      <c r="E34" s="26" t="str">
        <f>"9조" &amp; " - " &amp; D$27 &amp; " - " &amp; $A34</f>
        <v>9조 - Buffered Message Based - Performance</v>
      </c>
      <c r="F34" s="1"/>
      <c r="G34" s="1"/>
    </row>
    <row r="35" spans="1:9" ht="16.5" customHeight="1">
      <c r="A35" s="4" t="s">
        <v>66</v>
      </c>
      <c r="B35" s="25" t="s">
        <v>60</v>
      </c>
      <c r="C35" s="29" t="str">
        <f>"9조" &amp; " - " &amp; B$27 &amp; " - " &amp; $A35</f>
        <v>9조 - Non-Buffered Event Based - Safety</v>
      </c>
      <c r="D35" s="25" t="s">
        <v>60</v>
      </c>
      <c r="E35" s="29" t="str">
        <f>"9조" &amp; " - " &amp; D$27 &amp; " - " &amp; $A35</f>
        <v>9조 - Buffered Message Based - Safety</v>
      </c>
      <c r="F35" s="1"/>
      <c r="G35" s="1"/>
    </row>
    <row r="36" spans="1:9" ht="16.5" customHeight="1">
      <c r="A36" s="4" t="s">
        <v>67</v>
      </c>
      <c r="B36" s="23" t="s">
        <v>60</v>
      </c>
      <c r="C36" s="27" t="str">
        <f>"9조" &amp; " - " &amp; B$27 &amp; " - " &amp; $A36</f>
        <v>9조 - Non-Buffered Event Based - Security</v>
      </c>
      <c r="D36" s="23" t="s">
        <v>60</v>
      </c>
      <c r="E36" s="27" t="str">
        <f>"9조" &amp; " - " &amp; D$27 &amp; " - " &amp; $A36</f>
        <v>9조 - Buffered Message Based - Security</v>
      </c>
      <c r="F36" s="1"/>
      <c r="G36" s="1"/>
    </row>
    <row r="37" spans="1:9" ht="16.5" customHeight="1">
      <c r="A37" s="4" t="s">
        <v>68</v>
      </c>
      <c r="B37" s="24" t="s">
        <v>60</v>
      </c>
      <c r="C37" s="26" t="str">
        <f>"9조" &amp; " - " &amp; B$27 &amp; " - " &amp; $A37</f>
        <v>9조 - Non-Buffered Event Based - Testability</v>
      </c>
      <c r="D37" s="24" t="s">
        <v>60</v>
      </c>
      <c r="E37" s="26" t="str">
        <f>"9조" &amp; " - " &amp; D$27 &amp; " - " &amp; $A37</f>
        <v>9조 - Buffered Message Based - Testability</v>
      </c>
      <c r="F37" s="1"/>
      <c r="G37" s="1"/>
    </row>
    <row r="38" spans="1:9" ht="16.5" customHeight="1">
      <c r="A38" s="4" t="s">
        <v>69</v>
      </c>
      <c r="B38" s="23" t="s">
        <v>60</v>
      </c>
      <c r="C38" s="27" t="str">
        <f>"9조" &amp; " - " &amp; B$27 &amp; " - " &amp; $A38</f>
        <v>9조 - Non-Buffered Event Based - Usability</v>
      </c>
      <c r="D38" s="23" t="s">
        <v>60</v>
      </c>
      <c r="E38" s="27" t="str">
        <f>"9조" &amp; " - " &amp; D$27 &amp; " - " &amp; $A38</f>
        <v>9조 - Buffered Message Based - Usability</v>
      </c>
      <c r="F38" s="1"/>
      <c r="G38" s="1"/>
    </row>
    <row r="39" spans="1:9" ht="16.5" customHeight="1">
      <c r="A39" s="1"/>
      <c r="B39" s="16" t="s">
        <v>60</v>
      </c>
      <c r="C39" s="16" t="s">
        <v>60</v>
      </c>
      <c r="D39" s="16" t="s">
        <v>60</v>
      </c>
      <c r="E39" s="16" t="s">
        <v>60</v>
      </c>
      <c r="F39" s="1"/>
      <c r="G39" s="1"/>
    </row>
    <row r="40" spans="1:9" ht="16.5" customHeight="1">
      <c r="A40" s="2" t="s">
        <v>76</v>
      </c>
      <c r="B40" s="33" t="s">
        <v>77</v>
      </c>
      <c r="C40" s="34"/>
      <c r="D40" s="33" t="s">
        <v>78</v>
      </c>
      <c r="E40" s="34"/>
      <c r="F40" s="1"/>
      <c r="G40" s="1"/>
      <c r="H40" s="1"/>
    </row>
    <row r="41" spans="1:9" ht="16.5" customHeight="1">
      <c r="A41" s="22"/>
      <c r="B41" s="3" t="s">
        <v>57</v>
      </c>
      <c r="C41" s="3" t="s">
        <v>58</v>
      </c>
      <c r="D41" s="3" t="s">
        <v>57</v>
      </c>
      <c r="E41" s="3" t="s">
        <v>58</v>
      </c>
      <c r="F41" s="1"/>
      <c r="G41" s="1"/>
      <c r="H41" s="1"/>
      <c r="I41" s="13"/>
    </row>
    <row r="42" spans="1:9" ht="16.5" customHeight="1">
      <c r="A42" s="4" t="s">
        <v>59</v>
      </c>
      <c r="B42" s="23" t="s">
        <v>60</v>
      </c>
      <c r="C42" s="27" t="str">
        <f>"9조" &amp; " - " &amp; B$40 &amp; " - " &amp; $A42</f>
        <v>9조 - MVC - Availability</v>
      </c>
      <c r="D42" s="23" t="s">
        <v>60</v>
      </c>
      <c r="E42" s="27" t="str">
        <f>"9조" &amp; " - " &amp; D$40 &amp; " - " &amp; $A42</f>
        <v>9조 - PAC - Availability</v>
      </c>
      <c r="F42" s="1"/>
      <c r="G42" s="1"/>
      <c r="H42" s="1"/>
    </row>
    <row r="43" spans="1:9" ht="16.5" customHeight="1">
      <c r="A43" s="4" t="s">
        <v>61</v>
      </c>
      <c r="B43" s="23" t="s">
        <v>60</v>
      </c>
      <c r="C43" s="27" t="str">
        <f>"9조" &amp; " - " &amp; B$40 &amp; " - " &amp; $A43</f>
        <v>9조 - MVC - Deployability</v>
      </c>
      <c r="D43" s="23" t="s">
        <v>60</v>
      </c>
      <c r="E43" s="27" t="str">
        <f>"9조" &amp; " - " &amp; D$40 &amp; " - " &amp; $A43</f>
        <v>9조 - PAC - Deployability</v>
      </c>
      <c r="F43" s="1"/>
      <c r="G43" s="1"/>
      <c r="H43" s="1"/>
    </row>
    <row r="44" spans="1:9" ht="16.5" customHeight="1">
      <c r="A44" s="4" t="s">
        <v>62</v>
      </c>
      <c r="B44" s="24" t="s">
        <v>60</v>
      </c>
      <c r="C44" s="26" t="str">
        <f>"9조" &amp; " - " &amp; B$40 &amp; " - " &amp; $A44</f>
        <v>9조 - MVC - Integrability</v>
      </c>
      <c r="D44" s="23" t="s">
        <v>60</v>
      </c>
      <c r="E44" s="27" t="str">
        <f>"9조" &amp; " - " &amp; D$40 &amp; " - " &amp; $A44</f>
        <v>9조 - PAC - Integrability</v>
      </c>
      <c r="F44" s="1"/>
      <c r="G44" s="1"/>
      <c r="H44" s="1"/>
    </row>
    <row r="45" spans="1:9" ht="16.5" customHeight="1">
      <c r="A45" s="4" t="s">
        <v>63</v>
      </c>
      <c r="B45" s="23" t="s">
        <v>60</v>
      </c>
      <c r="C45" s="27" t="str">
        <f>"9조" &amp; " - " &amp; B$40 &amp; " - " &amp; $A45</f>
        <v>9조 - MVC - Energy Efficiency</v>
      </c>
      <c r="D45" s="23" t="s">
        <v>60</v>
      </c>
      <c r="E45" s="27" t="str">
        <f>"9조" &amp; " - " &amp; D$40 &amp; " - " &amp; $A45</f>
        <v>9조 - PAC - Energy Efficiency</v>
      </c>
      <c r="F45" s="1"/>
      <c r="G45" s="1"/>
      <c r="H45" s="1"/>
    </row>
    <row r="46" spans="1:9" ht="16.5" customHeight="1">
      <c r="A46" s="4" t="s">
        <v>64</v>
      </c>
      <c r="B46" s="24" t="s">
        <v>60</v>
      </c>
      <c r="C46" s="26" t="str">
        <f>"9조" &amp; " - " &amp; B$40 &amp; " - " &amp; $A46</f>
        <v>9조 - MVC - Modifiability</v>
      </c>
      <c r="D46" s="23" t="s">
        <v>60</v>
      </c>
      <c r="E46" s="27" t="str">
        <f>"9조" &amp; " - " &amp; D$40 &amp; " - " &amp; $A46</f>
        <v>9조 - PAC - Modifiability</v>
      </c>
      <c r="F46" s="1"/>
      <c r="G46" s="1"/>
      <c r="H46" s="1"/>
    </row>
    <row r="47" spans="1:9" ht="16.5" customHeight="1">
      <c r="A47" s="4" t="s">
        <v>65</v>
      </c>
      <c r="B47" s="24" t="s">
        <v>60</v>
      </c>
      <c r="C47" s="26" t="str">
        <f>"9조" &amp; " - " &amp; B$40 &amp; " - " &amp; $A47</f>
        <v>9조 - MVC - Performance</v>
      </c>
      <c r="D47" s="23" t="s">
        <v>60</v>
      </c>
      <c r="E47" s="27" t="str">
        <f>"9조" &amp; " - " &amp; D$40 &amp; " - " &amp; $A47</f>
        <v>9조 - PAC - Performance</v>
      </c>
      <c r="F47" s="1"/>
      <c r="G47" s="1"/>
      <c r="H47" s="1"/>
    </row>
    <row r="48" spans="1:9" ht="16.5" customHeight="1">
      <c r="A48" s="4" t="s">
        <v>66</v>
      </c>
      <c r="B48" s="23" t="s">
        <v>60</v>
      </c>
      <c r="C48" s="27" t="str">
        <f>"9조" &amp; " - " &amp; B$40 &amp; " - " &amp; $A48</f>
        <v>9조 - MVC - Safety</v>
      </c>
      <c r="D48" s="23" t="s">
        <v>60</v>
      </c>
      <c r="E48" s="27" t="str">
        <f>"9조" &amp; " - " &amp; D$40 &amp; " - " &amp; $A48</f>
        <v>9조 - PAC - Safety</v>
      </c>
      <c r="F48" s="1"/>
      <c r="G48" s="1"/>
      <c r="H48" s="1"/>
    </row>
    <row r="49" spans="1:9" ht="16.5" customHeight="1">
      <c r="A49" s="4" t="s">
        <v>67</v>
      </c>
      <c r="B49" s="24" t="s">
        <v>60</v>
      </c>
      <c r="C49" s="26" t="str">
        <f>"9조" &amp; " - " &amp; B$40 &amp; " - " &amp; $A49</f>
        <v>9조 - MVC - Security</v>
      </c>
      <c r="D49" s="23" t="s">
        <v>60</v>
      </c>
      <c r="E49" s="27" t="str">
        <f>"9조" &amp; " - " &amp; D$40 &amp; " - " &amp; $A49</f>
        <v>9조 - PAC - Security</v>
      </c>
      <c r="F49" s="1"/>
      <c r="G49" s="1"/>
      <c r="H49" s="1"/>
    </row>
    <row r="50" spans="1:9" ht="16.5" customHeight="1">
      <c r="A50" s="4" t="s">
        <v>68</v>
      </c>
      <c r="B50" s="23" t="s">
        <v>60</v>
      </c>
      <c r="C50" s="27" t="str">
        <f>"9조" &amp; " - " &amp; B$40 &amp; " - " &amp; $A50</f>
        <v>9조 - MVC - Testability</v>
      </c>
      <c r="D50" s="23" t="s">
        <v>60</v>
      </c>
      <c r="E50" s="27" t="str">
        <f>"9조" &amp; " - " &amp; D$40 &amp; " - " &amp; $A50</f>
        <v>9조 - PAC - Testability</v>
      </c>
      <c r="F50" s="1"/>
      <c r="G50" s="16" t="s">
        <v>60</v>
      </c>
      <c r="H50" s="1"/>
      <c r="I50" s="15"/>
    </row>
    <row r="51" spans="1:9" ht="16.5" customHeight="1">
      <c r="A51" s="4" t="s">
        <v>69</v>
      </c>
      <c r="B51" s="24" t="s">
        <v>60</v>
      </c>
      <c r="C51" s="26" t="str">
        <f>"9조" &amp; " - " &amp; B$40 &amp; " - " &amp; $A51</f>
        <v>9조 - MVC - Usability</v>
      </c>
      <c r="D51" s="23" t="s">
        <v>60</v>
      </c>
      <c r="E51" s="27" t="str">
        <f>"9조" &amp; " - " &amp; D$40 &amp; " - " &amp; $A51</f>
        <v>9조 - PAC - Usability</v>
      </c>
      <c r="F51" s="1"/>
      <c r="G51" s="16" t="s">
        <v>60</v>
      </c>
      <c r="H51" s="1"/>
      <c r="I51" s="13"/>
    </row>
    <row r="52" spans="1:9" ht="16.5" customHeight="1">
      <c r="A52" s="1"/>
      <c r="B52" s="16" t="s">
        <v>60</v>
      </c>
      <c r="C52" s="1"/>
      <c r="D52" s="16" t="s">
        <v>60</v>
      </c>
      <c r="E52" s="1"/>
      <c r="F52" s="1"/>
      <c r="G52" s="1"/>
    </row>
    <row r="53" spans="1:9" ht="16.5" customHeight="1">
      <c r="A53" s="2" t="s">
        <v>79</v>
      </c>
      <c r="B53" s="35" t="s">
        <v>80</v>
      </c>
      <c r="C53" s="34"/>
      <c r="D53" s="35" t="s">
        <v>81</v>
      </c>
      <c r="E53" s="34"/>
      <c r="F53" s="1"/>
      <c r="G53" s="16" t="s">
        <v>60</v>
      </c>
      <c r="H53" s="1"/>
    </row>
    <row r="54" spans="1:9" ht="16.5" customHeight="1">
      <c r="A54" s="22"/>
      <c r="B54" s="3" t="s">
        <v>57</v>
      </c>
      <c r="C54" s="17" t="s">
        <v>58</v>
      </c>
      <c r="D54" s="3" t="s">
        <v>57</v>
      </c>
      <c r="E54" s="17" t="s">
        <v>58</v>
      </c>
      <c r="F54" s="1"/>
      <c r="G54" s="16" t="s">
        <v>60</v>
      </c>
      <c r="H54" s="1"/>
    </row>
    <row r="55" spans="1:9" ht="16.5" customHeight="1">
      <c r="A55" s="4" t="s">
        <v>59</v>
      </c>
      <c r="B55" s="23" t="s">
        <v>60</v>
      </c>
      <c r="C55" s="27" t="str">
        <f>"9조" &amp; " - " &amp; B$53 &amp; " - " &amp; $A55</f>
        <v>9조 - Main-subroutine - Availability</v>
      </c>
      <c r="D55" s="24" t="s">
        <v>60</v>
      </c>
      <c r="E55" s="26" t="str">
        <f>"9조" &amp; " - " &amp; D$53 &amp; " - " &amp; $A55</f>
        <v>9조 - Master-Slave - Availability</v>
      </c>
      <c r="F55" s="1"/>
      <c r="G55" s="16" t="s">
        <v>60</v>
      </c>
      <c r="H55" s="1"/>
    </row>
    <row r="56" spans="1:9" ht="16.5" customHeight="1">
      <c r="A56" s="4" t="s">
        <v>61</v>
      </c>
      <c r="B56" s="23" t="s">
        <v>60</v>
      </c>
      <c r="C56" s="30" t="str">
        <f>"9조" &amp; " - " &amp; B$53 &amp; " - " &amp; $A56</f>
        <v>9조 - Main-subroutine - Deployability</v>
      </c>
      <c r="D56" s="24" t="s">
        <v>60</v>
      </c>
      <c r="E56" s="26" t="str">
        <f>"9조" &amp; " - " &amp; D$53 &amp; " - " &amp; $A56</f>
        <v>9조 - Master-Slave - Deployability</v>
      </c>
      <c r="F56" s="1"/>
      <c r="G56" s="16" t="s">
        <v>60</v>
      </c>
      <c r="H56" s="1"/>
    </row>
    <row r="57" spans="1:9" ht="16.5" customHeight="1">
      <c r="A57" s="4" t="s">
        <v>62</v>
      </c>
      <c r="B57" s="23" t="s">
        <v>60</v>
      </c>
      <c r="C57" s="27" t="str">
        <f>"9조" &amp; " - " &amp; B$53 &amp; " - " &amp; $A57</f>
        <v>9조 - Main-subroutine - Integrability</v>
      </c>
      <c r="D57" s="24" t="s">
        <v>60</v>
      </c>
      <c r="E57" s="26" t="str">
        <f>"9조" &amp; " - " &amp; D$53 &amp; " - " &amp; $A57</f>
        <v>9조 - Master-Slave - Integrability</v>
      </c>
      <c r="F57" s="1"/>
      <c r="G57" s="16" t="s">
        <v>60</v>
      </c>
      <c r="H57" s="1"/>
    </row>
    <row r="58" spans="1:9" ht="16.5" customHeight="1">
      <c r="A58" s="4" t="s">
        <v>63</v>
      </c>
      <c r="B58" s="23" t="s">
        <v>60</v>
      </c>
      <c r="C58" s="27" t="str">
        <f>"9조" &amp; " - " &amp; B$53 &amp; " - " &amp; $A58</f>
        <v>9조 - Main-subroutine - Energy Efficiency</v>
      </c>
      <c r="D58" s="24" t="s">
        <v>60</v>
      </c>
      <c r="E58" s="26" t="str">
        <f>"9조" &amp; " - " &amp; D$53 &amp; " - " &amp; $A58</f>
        <v>9조 - Master-Slave - Energy Efficiency</v>
      </c>
      <c r="F58" s="1"/>
      <c r="G58" s="16" t="s">
        <v>60</v>
      </c>
      <c r="H58" s="1"/>
    </row>
    <row r="59" spans="1:9" ht="16.5" customHeight="1">
      <c r="A59" s="4" t="s">
        <v>64</v>
      </c>
      <c r="B59" s="23" t="s">
        <v>60</v>
      </c>
      <c r="C59" s="27" t="str">
        <f>"9조" &amp; " - " &amp; B$53 &amp; " - " &amp; $A59</f>
        <v>9조 - Main-subroutine - Modifiability</v>
      </c>
      <c r="D59" s="23" t="s">
        <v>60</v>
      </c>
      <c r="E59" s="27" t="str">
        <f>"9조" &amp; " - " &amp; D$53 &amp; " - " &amp; $A59</f>
        <v>9조 - Master-Slave - Modifiability</v>
      </c>
      <c r="F59" s="1"/>
      <c r="G59" s="16" t="s">
        <v>60</v>
      </c>
      <c r="H59" s="1"/>
    </row>
    <row r="60" spans="1:9" ht="16.5" customHeight="1">
      <c r="A60" s="4" t="s">
        <v>65</v>
      </c>
      <c r="B60" s="23" t="s">
        <v>60</v>
      </c>
      <c r="C60" s="27" t="str">
        <f>"9조" &amp; " - " &amp; B$53 &amp; " - " &amp; $A60</f>
        <v>9조 - Main-subroutine - Performance</v>
      </c>
      <c r="D60" s="24" t="s">
        <v>60</v>
      </c>
      <c r="E60" s="26" t="str">
        <f>"9조" &amp; " - " &amp; D$53 &amp; " - " &amp; $A60</f>
        <v>9조 - Master-Slave - Performance</v>
      </c>
      <c r="F60" s="1"/>
      <c r="G60" s="16" t="s">
        <v>60</v>
      </c>
      <c r="H60" s="1"/>
      <c r="I60" s="15"/>
    </row>
    <row r="61" spans="1:9" ht="16.5" customHeight="1">
      <c r="A61" s="4" t="s">
        <v>66</v>
      </c>
      <c r="B61" s="23" t="s">
        <v>60</v>
      </c>
      <c r="C61" s="27" t="str">
        <f>"9조" &amp; " - " &amp; B$53 &amp; " - " &amp; $A61</f>
        <v>9조 - Main-subroutine - Safety</v>
      </c>
      <c r="D61" s="23" t="s">
        <v>60</v>
      </c>
      <c r="E61" s="27" t="str">
        <f>"9조" &amp; " - " &amp; D$53 &amp; " - " &amp; $A61</f>
        <v>9조 - Master-Slave - Safety</v>
      </c>
      <c r="F61" s="1"/>
      <c r="G61" s="16" t="s">
        <v>60</v>
      </c>
      <c r="H61" s="1"/>
      <c r="I61" s="13"/>
    </row>
    <row r="62" spans="1:9" ht="16.5" customHeight="1">
      <c r="A62" s="4" t="s">
        <v>67</v>
      </c>
      <c r="B62" s="23" t="s">
        <v>60</v>
      </c>
      <c r="C62" s="27" t="str">
        <f>"9조" &amp; " - " &amp; B$53 &amp; " - " &amp; $A62</f>
        <v>9조 - Main-subroutine - Security</v>
      </c>
      <c r="D62" s="23" t="s">
        <v>60</v>
      </c>
      <c r="E62" s="27" t="str">
        <f>"9조" &amp; " - " &amp; D$53 &amp; " - " &amp; $A62</f>
        <v>9조 - Master-Slave - Security</v>
      </c>
      <c r="F62" s="1"/>
      <c r="G62" s="16" t="s">
        <v>60</v>
      </c>
      <c r="H62" s="1"/>
    </row>
    <row r="63" spans="1:9" ht="16.5" customHeight="1">
      <c r="A63" s="4" t="s">
        <v>68</v>
      </c>
      <c r="B63" s="23" t="s">
        <v>60</v>
      </c>
      <c r="C63" s="27" t="str">
        <f>"9조" &amp; " - " &amp; B$53 &amp; " - " &amp; $A63</f>
        <v>9조 - Main-subroutine - Testability</v>
      </c>
      <c r="D63" s="23" t="s">
        <v>60</v>
      </c>
      <c r="E63" s="27" t="str">
        <f>"9조" &amp; " - " &amp; D$53 &amp; " - " &amp; $A63</f>
        <v>9조 - Master-Slave - Testability</v>
      </c>
      <c r="F63" s="1"/>
      <c r="G63" s="16" t="s">
        <v>60</v>
      </c>
      <c r="H63" s="1"/>
    </row>
    <row r="64" spans="1:9" ht="16.5" customHeight="1">
      <c r="A64" s="4" t="s">
        <v>69</v>
      </c>
      <c r="B64" s="23" t="s">
        <v>60</v>
      </c>
      <c r="C64" s="27" t="str">
        <f>"9조" &amp; " - " &amp; B$53 &amp; " - " &amp; $A64</f>
        <v>9조 - Main-subroutine - Usability</v>
      </c>
      <c r="D64" s="23" t="s">
        <v>60</v>
      </c>
      <c r="E64" s="27" t="str">
        <f>"9조" &amp; " - " &amp; D$53 &amp; " - " &amp; $A64</f>
        <v>9조 - Master-Slave - Usability</v>
      </c>
      <c r="F64" s="1"/>
      <c r="G64" s="16" t="s">
        <v>60</v>
      </c>
      <c r="H64" s="1"/>
    </row>
    <row r="65" spans="1:8" ht="16.5" customHeight="1">
      <c r="A65" s="1"/>
      <c r="B65" s="16" t="s">
        <v>60</v>
      </c>
      <c r="C65" s="16" t="s">
        <v>60</v>
      </c>
      <c r="D65" s="16" t="s">
        <v>60</v>
      </c>
      <c r="E65" s="16" t="s">
        <v>60</v>
      </c>
      <c r="F65" s="1"/>
      <c r="G65" s="16" t="s">
        <v>60</v>
      </c>
      <c r="H65" s="1"/>
    </row>
    <row r="66" spans="1:8" ht="16.5" customHeight="1">
      <c r="A66" s="2" t="s">
        <v>79</v>
      </c>
      <c r="B66" s="35" t="s">
        <v>82</v>
      </c>
      <c r="C66" s="34"/>
      <c r="D66" s="35" t="s">
        <v>83</v>
      </c>
      <c r="E66" s="34"/>
      <c r="F66" s="35" t="s">
        <v>84</v>
      </c>
      <c r="G66" s="34"/>
      <c r="H66" s="1"/>
    </row>
    <row r="67" spans="1:8" ht="16.5" customHeight="1">
      <c r="A67" s="22"/>
      <c r="B67" s="3" t="s">
        <v>57</v>
      </c>
      <c r="C67" s="17" t="s">
        <v>58</v>
      </c>
      <c r="D67" s="3" t="s">
        <v>57</v>
      </c>
      <c r="E67" s="17" t="s">
        <v>58</v>
      </c>
      <c r="F67" s="3" t="s">
        <v>57</v>
      </c>
      <c r="G67" s="17" t="s">
        <v>58</v>
      </c>
      <c r="H67" s="1"/>
    </row>
    <row r="68" spans="1:8" ht="16.5" customHeight="1">
      <c r="A68" s="4" t="s">
        <v>59</v>
      </c>
      <c r="B68" s="24" t="s">
        <v>60</v>
      </c>
      <c r="C68" s="26" t="str">
        <f>"9조" &amp; " - " &amp; B$66 &amp; " - " &amp; $A68</f>
        <v>9조 - Layered - Availability</v>
      </c>
      <c r="D68" s="23" t="s">
        <v>60</v>
      </c>
      <c r="E68" s="27" t="str">
        <f>"9조" &amp; " - " &amp; D$66 &amp; " - " &amp; $A68</f>
        <v>9조 - Virtual Machine - Availability</v>
      </c>
      <c r="F68" s="23" t="s">
        <v>60</v>
      </c>
      <c r="G68" s="27" t="str">
        <f>"9조" &amp; " - " &amp; F$66 &amp; " - " &amp; $A68</f>
        <v>9조 - Microkernel - Availability</v>
      </c>
      <c r="H68" s="1"/>
    </row>
    <row r="69" spans="1:8" ht="16.5" customHeight="1">
      <c r="A69" s="4" t="s">
        <v>61</v>
      </c>
      <c r="B69" s="23" t="s">
        <v>60</v>
      </c>
      <c r="C69" s="27" t="str">
        <f>"9조" &amp; " - " &amp; B$66 &amp; " - " &amp; $A69</f>
        <v>9조 - Layered - Deployability</v>
      </c>
      <c r="D69" s="23" t="s">
        <v>60</v>
      </c>
      <c r="E69" s="30" t="str">
        <f>"9조" &amp; " - " &amp; D$66 &amp; " - " &amp; $A69</f>
        <v>9조 - Virtual Machine - Deployability</v>
      </c>
      <c r="F69" s="24" t="s">
        <v>60</v>
      </c>
      <c r="G69" s="26" t="str">
        <f>"9조" &amp; " - " &amp; F$66 &amp; " - " &amp; $A69</f>
        <v>9조 - Microkernel - Deployability</v>
      </c>
      <c r="H69" s="1"/>
    </row>
    <row r="70" spans="1:8" ht="16.5" customHeight="1">
      <c r="A70" s="4" t="s">
        <v>62</v>
      </c>
      <c r="B70" s="24" t="s">
        <v>60</v>
      </c>
      <c r="C70" s="26" t="str">
        <f>"9조" &amp; " - " &amp; B$66 &amp; " - " &amp; $A70</f>
        <v>9조 - Layered - Integrability</v>
      </c>
      <c r="D70" s="23" t="s">
        <v>60</v>
      </c>
      <c r="E70" s="27" t="str">
        <f>"9조" &amp; " - " &amp; D$66 &amp; " - " &amp; $A70</f>
        <v>9조 - Virtual Machine - Integrability</v>
      </c>
      <c r="F70" s="24" t="s">
        <v>60</v>
      </c>
      <c r="G70" s="26" t="str">
        <f>"9조" &amp; " - " &amp; F$66 &amp; " - " &amp; $A70</f>
        <v>9조 - Microkernel - Integrability</v>
      </c>
      <c r="H70" s="1"/>
    </row>
    <row r="71" spans="1:8" ht="16.5" customHeight="1">
      <c r="A71" s="4" t="s">
        <v>63</v>
      </c>
      <c r="B71" s="23" t="s">
        <v>60</v>
      </c>
      <c r="C71" s="27" t="str">
        <f>"9조" &amp; " - " &amp; B$66 &amp; " - " &amp; $A71</f>
        <v>9조 - Layered - Energy Efficiency</v>
      </c>
      <c r="D71" s="23" t="s">
        <v>60</v>
      </c>
      <c r="E71" s="27" t="str">
        <f>"9조" &amp; " - " &amp; D$66 &amp; " - " &amp; $A71</f>
        <v>9조 - Virtual Machine - Energy Efficiency</v>
      </c>
      <c r="F71" s="23" t="s">
        <v>60</v>
      </c>
      <c r="G71" s="27" t="str">
        <f>"9조" &amp; " - " &amp; F$66 &amp; " - " &amp; $A71</f>
        <v>9조 - Microkernel - Energy Efficiency</v>
      </c>
      <c r="H71" s="1"/>
    </row>
    <row r="72" spans="1:8" ht="16.5" customHeight="1">
      <c r="A72" s="4" t="s">
        <v>64</v>
      </c>
      <c r="B72" s="24" t="s">
        <v>60</v>
      </c>
      <c r="C72" s="26" t="str">
        <f>"9조" &amp; " - " &amp; B$66 &amp; " - " &amp; $A72</f>
        <v>9조 - Layered - Modifiability</v>
      </c>
      <c r="D72" s="23" t="s">
        <v>60</v>
      </c>
      <c r="E72" s="27" t="str">
        <f>"9조" &amp; " - " &amp; D$66 &amp; " - " &amp; $A72</f>
        <v>9조 - Virtual Machine - Modifiability</v>
      </c>
      <c r="F72" s="24" t="s">
        <v>60</v>
      </c>
      <c r="G72" s="26" t="str">
        <f>"9조" &amp; " - " &amp; F$66 &amp; " - " &amp; $A72</f>
        <v>9조 - Microkernel - Modifiability</v>
      </c>
      <c r="H72" s="1"/>
    </row>
    <row r="73" spans="1:8" ht="16.5" customHeight="1">
      <c r="A73" s="4" t="s">
        <v>65</v>
      </c>
      <c r="B73" s="24" t="s">
        <v>60</v>
      </c>
      <c r="C73" s="26" t="str">
        <f>"9조" &amp; " - " &amp; B$66 &amp; " - " &amp; $A73</f>
        <v>9조 - Layered - Performance</v>
      </c>
      <c r="D73" s="23" t="s">
        <v>60</v>
      </c>
      <c r="E73" s="27" t="str">
        <f>"9조" &amp; " - " &amp; D$66 &amp; " - " &amp; $A73</f>
        <v>9조 - Virtual Machine - Performance</v>
      </c>
      <c r="F73" s="24" t="s">
        <v>60</v>
      </c>
      <c r="G73" s="26" t="str">
        <f>"9조" &amp; " - " &amp; F$66 &amp; " - " &amp; $A73</f>
        <v>9조 - Microkernel - Performance</v>
      </c>
      <c r="H73" s="1"/>
    </row>
    <row r="74" spans="1:8" ht="16.5" customHeight="1">
      <c r="A74" s="4" t="s">
        <v>66</v>
      </c>
      <c r="B74" s="23" t="s">
        <v>60</v>
      </c>
      <c r="C74" s="27" t="str">
        <f>"9조" &amp; " - " &amp; B$66 &amp; " - " &amp; $A74</f>
        <v>9조 - Layered - Safety</v>
      </c>
      <c r="D74" s="23" t="s">
        <v>60</v>
      </c>
      <c r="E74" s="27" t="str">
        <f>"9조" &amp; " - " &amp; D$66 &amp; " - " &amp; $A74</f>
        <v>9조 - Virtual Machine - Safety</v>
      </c>
      <c r="F74" s="23" t="s">
        <v>60</v>
      </c>
      <c r="G74" s="27" t="str">
        <f>"9조" &amp; " - " &amp; F$66 &amp; " - " &amp; $A74</f>
        <v>9조 - Microkernel - Safety</v>
      </c>
    </row>
    <row r="75" spans="1:8" ht="16.5" customHeight="1">
      <c r="A75" s="4" t="s">
        <v>67</v>
      </c>
      <c r="B75" s="24" t="s">
        <v>60</v>
      </c>
      <c r="C75" s="26" t="str">
        <f>"9조" &amp; " - " &amp; B$66 &amp; " - " &amp; $A75</f>
        <v>9조 - Layered - Security</v>
      </c>
      <c r="D75" s="23" t="s">
        <v>60</v>
      </c>
      <c r="E75" s="27" t="str">
        <f>"9조" &amp; " - " &amp; D$66 &amp; " - " &amp; $A75</f>
        <v>9조 - Virtual Machine - Security</v>
      </c>
      <c r="F75" s="24" t="s">
        <v>60</v>
      </c>
      <c r="G75" s="26" t="str">
        <f>"9조" &amp; " - " &amp; F$66 &amp; " - " &amp; $A75</f>
        <v>9조 - Microkernel - Security</v>
      </c>
    </row>
    <row r="76" spans="1:8" ht="16.5" customHeight="1">
      <c r="A76" s="4" t="s">
        <v>68</v>
      </c>
      <c r="B76" s="24" t="s">
        <v>60</v>
      </c>
      <c r="C76" s="26" t="str">
        <f>"9조" &amp; " - " &amp; B$66 &amp; " - " &amp; $A76</f>
        <v>9조 - Layered - Testability</v>
      </c>
      <c r="D76" s="23" t="s">
        <v>60</v>
      </c>
      <c r="E76" s="27" t="str">
        <f>"9조" &amp; " - " &amp; D$66 &amp; " - " &amp; $A76</f>
        <v>9조 - Virtual Machine - Testability</v>
      </c>
      <c r="F76" s="24" t="s">
        <v>60</v>
      </c>
      <c r="G76" s="26" t="str">
        <f>"9조" &amp; " - " &amp; F$66 &amp; " - " &amp; $A76</f>
        <v>9조 - Microkernel - Testability</v>
      </c>
    </row>
    <row r="77" spans="1:8" ht="16.5" customHeight="1">
      <c r="A77" s="4" t="s">
        <v>69</v>
      </c>
      <c r="B77" s="23" t="s">
        <v>60</v>
      </c>
      <c r="C77" s="27" t="str">
        <f>"9조" &amp; " - " &amp; B$66 &amp; " - " &amp; $A77</f>
        <v>9조 - Layered - Usability</v>
      </c>
      <c r="D77" s="23" t="s">
        <v>60</v>
      </c>
      <c r="E77" s="27" t="str">
        <f>"9조" &amp; " - " &amp; D$66 &amp; " - " &amp; $A77</f>
        <v>9조 - Virtual Machine - Usability</v>
      </c>
      <c r="F77" s="23" t="s">
        <v>60</v>
      </c>
      <c r="G77" s="27" t="str">
        <f>"9조" &amp; " - " &amp; F$66 &amp; " - " &amp; $A77</f>
        <v>9조 - Microkernel - Usability</v>
      </c>
    </row>
    <row r="78" spans="1:8" ht="16.5" customHeight="1">
      <c r="A78" s="1"/>
      <c r="B78" s="16" t="s">
        <v>60</v>
      </c>
      <c r="C78" s="16" t="s">
        <v>60</v>
      </c>
      <c r="D78" s="16" t="s">
        <v>60</v>
      </c>
      <c r="E78" s="16" t="s">
        <v>60</v>
      </c>
      <c r="F78" s="16" t="s">
        <v>60</v>
      </c>
      <c r="G78" s="16" t="s">
        <v>60</v>
      </c>
    </row>
    <row r="79" spans="1:8" ht="16.5" customHeight="1">
      <c r="A79" s="31" t="s">
        <v>85</v>
      </c>
      <c r="B79" s="35" t="s">
        <v>86</v>
      </c>
      <c r="C79" s="34"/>
      <c r="D79" s="35" t="s">
        <v>87</v>
      </c>
      <c r="E79" s="34"/>
    </row>
    <row r="80" spans="1:8" ht="16.5" customHeight="1">
      <c r="A80" s="32"/>
      <c r="B80" s="3" t="s">
        <v>57</v>
      </c>
      <c r="C80" s="3" t="s">
        <v>58</v>
      </c>
      <c r="D80" s="3" t="s">
        <v>57</v>
      </c>
      <c r="E80" s="3" t="s">
        <v>58</v>
      </c>
    </row>
    <row r="81" spans="1:7" ht="16.5" customHeight="1">
      <c r="A81" s="4" t="s">
        <v>59</v>
      </c>
      <c r="B81" s="24" t="s">
        <v>60</v>
      </c>
      <c r="C81" s="26" t="str">
        <f>"9조" &amp; " - " &amp; B$79 &amp; " - " &amp; $A81</f>
        <v>9조 - Multi-tier - Availability</v>
      </c>
      <c r="D81" s="23" t="s">
        <v>60</v>
      </c>
      <c r="E81" s="27" t="str">
        <f>"9조" &amp; " - " &amp; D$79 &amp; " - " &amp; $A81</f>
        <v>9조 - Client-Server - Availability</v>
      </c>
    </row>
    <row r="82" spans="1:7" ht="16.5" customHeight="1">
      <c r="A82" s="4" t="s">
        <v>61</v>
      </c>
      <c r="B82" s="24" t="s">
        <v>60</v>
      </c>
      <c r="C82" s="26" t="str">
        <f>"9조" &amp; " - " &amp; B$79 &amp; " - " &amp; $A82</f>
        <v>9조 - Multi-tier - Deployability</v>
      </c>
      <c r="D82" s="23" t="s">
        <v>60</v>
      </c>
      <c r="E82" s="27" t="str">
        <f>"9조" &amp; " - " &amp; D$79 &amp; " - " &amp; $A82</f>
        <v>9조 - Client-Server - Deployability</v>
      </c>
    </row>
    <row r="83" spans="1:7" ht="16.5" customHeight="1">
      <c r="A83" s="4" t="s">
        <v>62</v>
      </c>
      <c r="B83" s="24" t="s">
        <v>60</v>
      </c>
      <c r="C83" s="26" t="str">
        <f>"9조" &amp; " - " &amp; B$79 &amp; " - " &amp; $A83</f>
        <v>9조 - Multi-tier - Integrability</v>
      </c>
      <c r="D83" s="23" t="s">
        <v>60</v>
      </c>
      <c r="E83" s="27" t="str">
        <f>"9조" &amp; " - " &amp; D$79 &amp; " - " &amp; $A83</f>
        <v>9조 - Client-Server - Integrability</v>
      </c>
    </row>
    <row r="84" spans="1:7" ht="16.5" customHeight="1">
      <c r="A84" s="4" t="s">
        <v>63</v>
      </c>
      <c r="B84" s="24" t="s">
        <v>60</v>
      </c>
      <c r="C84" s="26" t="str">
        <f>"9조" &amp; " - " &amp; B$79 &amp; " - " &amp; $A84</f>
        <v>9조 - Multi-tier - Energy Efficiency</v>
      </c>
      <c r="D84" s="23" t="s">
        <v>60</v>
      </c>
      <c r="E84" s="27" t="str">
        <f>"9조" &amp; " - " &amp; D$79 &amp; " - " &amp; $A84</f>
        <v>9조 - Client-Server - Energy Efficiency</v>
      </c>
    </row>
    <row r="85" spans="1:7" ht="16.5" customHeight="1">
      <c r="A85" s="4" t="s">
        <v>64</v>
      </c>
      <c r="B85" s="23" t="s">
        <v>60</v>
      </c>
      <c r="C85" s="27" t="str">
        <f>"9조" &amp; " - " &amp; B$79 &amp; " - " &amp; $A85</f>
        <v>9조 - Multi-tier - Modifiability</v>
      </c>
      <c r="D85" s="23" t="s">
        <v>60</v>
      </c>
      <c r="E85" s="27" t="str">
        <f>"9조" &amp; " - " &amp; D$79 &amp; " - " &amp; $A85</f>
        <v>9조 - Client-Server - Modifiability</v>
      </c>
    </row>
    <row r="86" spans="1:7" ht="16.5" customHeight="1">
      <c r="A86" s="4" t="s">
        <v>65</v>
      </c>
      <c r="B86" s="24" t="s">
        <v>60</v>
      </c>
      <c r="C86" s="26" t="str">
        <f>"9조" &amp; " - " &amp; B$79 &amp; " - " &amp; $A86</f>
        <v>9조 - Multi-tier - Performance</v>
      </c>
      <c r="D86" s="23" t="s">
        <v>60</v>
      </c>
      <c r="E86" s="27" t="str">
        <f>"9조" &amp; " - " &amp; D$79 &amp; " - " &amp; $A86</f>
        <v>9조 - Client-Server - Performance</v>
      </c>
    </row>
    <row r="87" spans="1:7" ht="16.5" customHeight="1">
      <c r="A87" s="4" t="s">
        <v>66</v>
      </c>
      <c r="B87" s="23" t="s">
        <v>60</v>
      </c>
      <c r="C87" s="27" t="str">
        <f>"9조" &amp; " - " &amp; B$79 &amp; " - " &amp; $A87</f>
        <v>9조 - Multi-tier - Safety</v>
      </c>
      <c r="D87" s="23" t="s">
        <v>60</v>
      </c>
      <c r="E87" s="27" t="str">
        <f>"9조" &amp; " - " &amp; D$79 &amp; " - " &amp; $A87</f>
        <v>9조 - Client-Server - Safety</v>
      </c>
    </row>
    <row r="88" spans="1:7" ht="16.5" customHeight="1">
      <c r="A88" s="4" t="s">
        <v>67</v>
      </c>
      <c r="B88" s="24" t="s">
        <v>60</v>
      </c>
      <c r="C88" s="26" t="str">
        <f>"9조" &amp; " - " &amp; B$79 &amp; " - " &amp; $A88</f>
        <v>9조 - Multi-tier - Security</v>
      </c>
      <c r="D88" s="23" t="s">
        <v>60</v>
      </c>
      <c r="E88" s="27" t="str">
        <f>"9조" &amp; " - " &amp; D$79 &amp; " - " &amp; $A88</f>
        <v>9조 - Client-Server - Security</v>
      </c>
    </row>
    <row r="89" spans="1:7" ht="16.5" customHeight="1">
      <c r="A89" s="4" t="s">
        <v>68</v>
      </c>
      <c r="B89" s="23" t="s">
        <v>60</v>
      </c>
      <c r="C89" s="27" t="str">
        <f>"9조" &amp; " - " &amp; B$79 &amp; " - " &amp; $A89</f>
        <v>9조 - Multi-tier - Testability</v>
      </c>
      <c r="D89" s="23" t="s">
        <v>60</v>
      </c>
      <c r="E89" s="27" t="str">
        <f>"9조" &amp; " - " &amp; D$79 &amp; " - " &amp; $A89</f>
        <v>9조 - Client-Server - Testability</v>
      </c>
    </row>
    <row r="90" spans="1:7" ht="16.5" customHeight="1">
      <c r="A90" s="4" t="s">
        <v>69</v>
      </c>
      <c r="B90" s="23" t="s">
        <v>60</v>
      </c>
      <c r="C90" s="27" t="str">
        <f>"9조" &amp; " - " &amp; B$79 &amp; " - " &amp; $A90</f>
        <v>9조 - Multi-tier - Usability</v>
      </c>
      <c r="D90" s="23" t="s">
        <v>60</v>
      </c>
      <c r="E90" s="27" t="str">
        <f>"9조" &amp; " - " &amp; D$79 &amp; " - " &amp; $A90</f>
        <v>9조 - Client-Server - Usability</v>
      </c>
    </row>
    <row r="91" spans="1:7" ht="16.5" customHeight="1">
      <c r="A91" s="1"/>
      <c r="B91" s="16" t="s">
        <v>60</v>
      </c>
      <c r="C91" s="1"/>
      <c r="D91" s="16" t="s">
        <v>60</v>
      </c>
      <c r="E91" s="1"/>
      <c r="F91" s="16" t="s">
        <v>60</v>
      </c>
      <c r="G91" s="1"/>
    </row>
    <row r="92" spans="1:7" ht="16.5" customHeight="1">
      <c r="A92" s="31" t="s">
        <v>85</v>
      </c>
      <c r="B92" s="35" t="s">
        <v>88</v>
      </c>
      <c r="C92" s="34"/>
      <c r="D92" s="33" t="s">
        <v>89</v>
      </c>
      <c r="E92" s="34"/>
    </row>
    <row r="93" spans="1:7" ht="16.5" customHeight="1">
      <c r="A93" s="32"/>
      <c r="B93" s="3" t="s">
        <v>57</v>
      </c>
      <c r="C93" s="3" t="s">
        <v>58</v>
      </c>
      <c r="D93" s="3" t="s">
        <v>57</v>
      </c>
      <c r="E93" s="3" t="s">
        <v>58</v>
      </c>
    </row>
    <row r="94" spans="1:7" ht="16.5" customHeight="1">
      <c r="A94" s="4" t="s">
        <v>59</v>
      </c>
      <c r="B94" s="23" t="s">
        <v>60</v>
      </c>
      <c r="C94" s="27" t="str">
        <f>"9조" &amp; " - " &amp; B$92 &amp; " - " &amp; $A94</f>
        <v>9조 - Broker - Availability</v>
      </c>
      <c r="D94" s="23" t="s">
        <v>60</v>
      </c>
      <c r="E94" s="27" t="str">
        <f>"9조" &amp; " - " &amp; D$92 &amp; " - " &amp; $A94</f>
        <v>9조 - Dispatcher - Availability</v>
      </c>
    </row>
    <row r="95" spans="1:7" ht="16.5" customHeight="1">
      <c r="A95" s="4" t="s">
        <v>61</v>
      </c>
      <c r="B95" s="23" t="s">
        <v>60</v>
      </c>
      <c r="C95" s="27" t="str">
        <f>"9조" &amp; " - " &amp; B$92 &amp; " - " &amp; $A95</f>
        <v>9조 - Broker - Deployability</v>
      </c>
      <c r="D95" s="23" t="s">
        <v>60</v>
      </c>
      <c r="E95" s="27" t="str">
        <f>"9조" &amp; " - " &amp; D$92 &amp; " - " &amp; $A95</f>
        <v>9조 - Dispatcher - Deployability</v>
      </c>
    </row>
    <row r="96" spans="1:7" ht="16.5" customHeight="1">
      <c r="A96" s="4" t="s">
        <v>62</v>
      </c>
      <c r="B96" s="23" t="s">
        <v>60</v>
      </c>
      <c r="C96" s="27" t="str">
        <f>"9조" &amp; " - " &amp; B$92 &amp; " - " &amp; $A96</f>
        <v>9조 - Broker - Integrability</v>
      </c>
      <c r="D96" s="23" t="s">
        <v>60</v>
      </c>
      <c r="E96" s="27" t="str">
        <f>"9조" &amp; " - " &amp; D$92 &amp; " - " &amp; $A96</f>
        <v>9조 - Dispatcher - Integrability</v>
      </c>
    </row>
    <row r="97" spans="1:7" ht="16.5" customHeight="1">
      <c r="A97" s="4" t="s">
        <v>63</v>
      </c>
      <c r="B97" s="23" t="s">
        <v>60</v>
      </c>
      <c r="C97" s="27" t="str">
        <f>"9조" &amp; " - " &amp; B$92 &amp; " - " &amp; $A97</f>
        <v>9조 - Broker - Energy Efficiency</v>
      </c>
      <c r="D97" s="23" t="s">
        <v>60</v>
      </c>
      <c r="E97" s="27" t="str">
        <f>"9조" &amp; " - " &amp; D$92 &amp; " - " &amp; $A97</f>
        <v>9조 - Dispatcher - Energy Efficiency</v>
      </c>
    </row>
    <row r="98" spans="1:7" ht="16.5" customHeight="1">
      <c r="A98" s="4" t="s">
        <v>64</v>
      </c>
      <c r="B98" s="23" t="s">
        <v>60</v>
      </c>
      <c r="C98" s="27" t="str">
        <f>"9조" &amp; " - " &amp; B$92 &amp; " - " &amp; $A98</f>
        <v>9조 - Broker - Modifiability</v>
      </c>
      <c r="D98" s="23" t="s">
        <v>60</v>
      </c>
      <c r="E98" s="27" t="str">
        <f>"9조" &amp; " - " &amp; D$92 &amp; " - " &amp; $A98</f>
        <v>9조 - Dispatcher - Modifiability</v>
      </c>
    </row>
    <row r="99" spans="1:7" ht="16.5" customHeight="1">
      <c r="A99" s="4" t="s">
        <v>65</v>
      </c>
      <c r="B99" s="23" t="s">
        <v>60</v>
      </c>
      <c r="C99" s="27" t="str">
        <f>"9조" &amp; " - " &amp; B$92 &amp; " - " &amp; $A99</f>
        <v>9조 - Broker - Performance</v>
      </c>
      <c r="D99" s="23" t="s">
        <v>60</v>
      </c>
      <c r="E99" s="27" t="str">
        <f>"9조" &amp; " - " &amp; D$92 &amp; " - " &amp; $A99</f>
        <v>9조 - Dispatcher - Performance</v>
      </c>
    </row>
    <row r="100" spans="1:7" ht="16.5" customHeight="1">
      <c r="A100" s="4" t="s">
        <v>66</v>
      </c>
      <c r="B100" s="23" t="s">
        <v>60</v>
      </c>
      <c r="C100" s="27" t="str">
        <f>"9조" &amp; " - " &amp; B$92 &amp; " - " &amp; $A100</f>
        <v>9조 - Broker - Safety</v>
      </c>
      <c r="D100" s="23" t="s">
        <v>60</v>
      </c>
      <c r="E100" s="27" t="str">
        <f>"9조" &amp; " - " &amp; D$92 &amp; " - " &amp; $A100</f>
        <v>9조 - Dispatcher - Safety</v>
      </c>
    </row>
    <row r="101" spans="1:7" ht="16.5" customHeight="1">
      <c r="A101" s="4" t="s">
        <v>67</v>
      </c>
      <c r="B101" s="23" t="s">
        <v>60</v>
      </c>
      <c r="C101" s="27" t="str">
        <f>"9조" &amp; " - " &amp; B$92 &amp; " - " &amp; $A101</f>
        <v>9조 - Broker - Security</v>
      </c>
      <c r="D101" s="23" t="s">
        <v>60</v>
      </c>
      <c r="E101" s="27" t="str">
        <f>"9조" &amp; " - " &amp; D$92 &amp; " - " &amp; $A101</f>
        <v>9조 - Dispatcher - Security</v>
      </c>
    </row>
    <row r="102" spans="1:7" ht="16.5" customHeight="1">
      <c r="A102" s="4" t="s">
        <v>68</v>
      </c>
      <c r="B102" s="23" t="s">
        <v>60</v>
      </c>
      <c r="C102" s="27" t="str">
        <f>"9조" &amp; " - " &amp; B$92 &amp; " - " &amp; $A102</f>
        <v>9조 - Broker - Testability</v>
      </c>
      <c r="D102" s="23" t="s">
        <v>60</v>
      </c>
      <c r="E102" s="27" t="str">
        <f>"9조" &amp; " - " &amp; D$92 &amp; " - " &amp; $A102</f>
        <v>9조 - Dispatcher - Testability</v>
      </c>
    </row>
    <row r="103" spans="1:7" ht="16.5" customHeight="1">
      <c r="A103" s="4" t="s">
        <v>69</v>
      </c>
      <c r="B103" s="23" t="s">
        <v>60</v>
      </c>
      <c r="C103" s="27" t="str">
        <f>"9조" &amp; " - " &amp; B$92 &amp; " - " &amp; $A103</f>
        <v>9조 - Broker - Usability</v>
      </c>
      <c r="D103" s="23" t="s">
        <v>60</v>
      </c>
      <c r="E103" s="27" t="str">
        <f>"9조" &amp; " - " &amp; D$92 &amp; " - " &amp; $A103</f>
        <v>9조 - Dispatcher - Usability</v>
      </c>
    </row>
    <row r="104" spans="1:7" ht="16.5" customHeight="1">
      <c r="A104" s="1"/>
      <c r="B104" s="16" t="s">
        <v>60</v>
      </c>
      <c r="C104" s="1"/>
      <c r="D104" s="16" t="s">
        <v>60</v>
      </c>
      <c r="E104" s="1"/>
      <c r="F104" s="1"/>
      <c r="G104" s="1"/>
    </row>
    <row r="105" spans="1:7" ht="16.5" customHeight="1">
      <c r="A105" s="31" t="s">
        <v>85</v>
      </c>
      <c r="B105" s="35" t="s">
        <v>51</v>
      </c>
      <c r="C105" s="34"/>
      <c r="D105" s="33" t="s">
        <v>52</v>
      </c>
      <c r="E105" s="34"/>
    </row>
    <row r="106" spans="1:7" ht="16.5" customHeight="1">
      <c r="A106" s="32"/>
      <c r="B106" s="3" t="s">
        <v>57</v>
      </c>
      <c r="C106" s="3" t="s">
        <v>58</v>
      </c>
      <c r="D106" s="3" t="s">
        <v>57</v>
      </c>
      <c r="E106" s="3" t="s">
        <v>58</v>
      </c>
    </row>
    <row r="107" spans="1:7" ht="16.5" customHeight="1">
      <c r="A107" s="4" t="s">
        <v>59</v>
      </c>
      <c r="B107" s="23" t="s">
        <v>60</v>
      </c>
      <c r="C107" s="27" t="str">
        <f>"9조" &amp; " - " &amp; B$105 &amp; " - " &amp; $A107</f>
        <v>9조 - SOA - Availability</v>
      </c>
      <c r="D107" s="23" t="s">
        <v>60</v>
      </c>
      <c r="E107" s="27" t="str">
        <f>"9조" &amp; " - " &amp; D$105 &amp; " - " &amp; $A107</f>
        <v>9조 - Mico-Service - Availability</v>
      </c>
    </row>
    <row r="108" spans="1:7" ht="16.5" customHeight="1">
      <c r="A108" s="4" t="s">
        <v>61</v>
      </c>
      <c r="B108" s="23" t="s">
        <v>60</v>
      </c>
      <c r="C108" s="27" t="str">
        <f>"9조" &amp; " - " &amp; B$105 &amp; " - " &amp; $A108</f>
        <v>9조 - SOA - Deployability</v>
      </c>
      <c r="D108" s="23" t="s">
        <v>60</v>
      </c>
      <c r="E108" s="27" t="str">
        <f>"9조" &amp; " - " &amp; D$105 &amp; " - " &amp; $A108</f>
        <v>9조 - Mico-Service - Deployability</v>
      </c>
    </row>
    <row r="109" spans="1:7" ht="16.5" customHeight="1">
      <c r="A109" s="4" t="s">
        <v>62</v>
      </c>
      <c r="B109" s="23" t="s">
        <v>60</v>
      </c>
      <c r="C109" s="27" t="str">
        <f>"9조" &amp; " - " &amp; B$105 &amp; " - " &amp; $A109</f>
        <v>9조 - SOA - Integrability</v>
      </c>
      <c r="D109" s="23" t="s">
        <v>60</v>
      </c>
      <c r="E109" s="27" t="str">
        <f>"9조" &amp; " - " &amp; D$105 &amp; " - " &amp; $A109</f>
        <v>9조 - Mico-Service - Integrability</v>
      </c>
    </row>
    <row r="110" spans="1:7" ht="16.5" customHeight="1">
      <c r="A110" s="4" t="s">
        <v>63</v>
      </c>
      <c r="B110" s="23" t="s">
        <v>60</v>
      </c>
      <c r="C110" s="27" t="str">
        <f>"9조" &amp; " - " &amp; B$105 &amp; " - " &amp; $A110</f>
        <v>9조 - SOA - Energy Efficiency</v>
      </c>
      <c r="D110" s="23" t="s">
        <v>60</v>
      </c>
      <c r="E110" s="27" t="str">
        <f>"9조" &amp; " - " &amp; D$105 &amp; " - " &amp; $A110</f>
        <v>9조 - Mico-Service - Energy Efficiency</v>
      </c>
    </row>
    <row r="111" spans="1:7" ht="16.5" customHeight="1">
      <c r="A111" s="4" t="s">
        <v>64</v>
      </c>
      <c r="B111" s="23" t="s">
        <v>60</v>
      </c>
      <c r="C111" s="27" t="str">
        <f>"9조" &amp; " - " &amp; B$105 &amp; " - " &amp; $A111</f>
        <v>9조 - SOA - Modifiability</v>
      </c>
      <c r="D111" s="23" t="s">
        <v>60</v>
      </c>
      <c r="E111" s="27" t="str">
        <f>"9조" &amp; " - " &amp; D$105 &amp; " - " &amp; $A111</f>
        <v>9조 - Mico-Service - Modifiability</v>
      </c>
    </row>
    <row r="112" spans="1:7" ht="16.5" customHeight="1">
      <c r="A112" s="4" t="s">
        <v>65</v>
      </c>
      <c r="B112" s="23" t="s">
        <v>60</v>
      </c>
      <c r="C112" s="27" t="str">
        <f>"9조" &amp; " - " &amp; B$105 &amp; " - " &amp; $A112</f>
        <v>9조 - SOA - Performance</v>
      </c>
      <c r="D112" s="23" t="s">
        <v>60</v>
      </c>
      <c r="E112" s="27" t="str">
        <f>"9조" &amp; " - " &amp; D$105 &amp; " - " &amp; $A112</f>
        <v>9조 - Mico-Service - Performance</v>
      </c>
    </row>
    <row r="113" spans="1:7" ht="16.5" customHeight="1">
      <c r="A113" s="4" t="s">
        <v>66</v>
      </c>
      <c r="B113" s="23" t="s">
        <v>60</v>
      </c>
      <c r="C113" s="27" t="str">
        <f>"9조" &amp; " - " &amp; B$105 &amp; " - " &amp; $A113</f>
        <v>9조 - SOA - Safety</v>
      </c>
      <c r="D113" s="23" t="s">
        <v>60</v>
      </c>
      <c r="E113" s="27" t="str">
        <f>"9조" &amp; " - " &amp; D$105 &amp; " - " &amp; $A113</f>
        <v>9조 - Mico-Service - Safety</v>
      </c>
    </row>
    <row r="114" spans="1:7" ht="16.5" customHeight="1">
      <c r="A114" s="4" t="s">
        <v>67</v>
      </c>
      <c r="B114" s="23" t="s">
        <v>60</v>
      </c>
      <c r="C114" s="27" t="str">
        <f>"9조" &amp; " - " &amp; B$105 &amp; " - " &amp; $A114</f>
        <v>9조 - SOA - Security</v>
      </c>
      <c r="D114" s="23" t="s">
        <v>60</v>
      </c>
      <c r="E114" s="27" t="str">
        <f>"9조" &amp; " - " &amp; D$105 &amp; " - " &amp; $A114</f>
        <v>9조 - Mico-Service - Security</v>
      </c>
    </row>
    <row r="115" spans="1:7" ht="16.5" customHeight="1">
      <c r="A115" s="4" t="s">
        <v>68</v>
      </c>
      <c r="B115" s="23" t="s">
        <v>60</v>
      </c>
      <c r="C115" s="27" t="str">
        <f>"9조" &amp; " - " &amp; B$105 &amp; " - " &amp; $A115</f>
        <v>9조 - SOA - Testability</v>
      </c>
      <c r="D115" s="23" t="s">
        <v>60</v>
      </c>
      <c r="E115" s="27" t="str">
        <f>"9조" &amp; " - " &amp; D$105 &amp; " - " &amp; $A115</f>
        <v>9조 - Mico-Service - Testability</v>
      </c>
    </row>
    <row r="116" spans="1:7" ht="16.5" customHeight="1">
      <c r="A116" s="4" t="s">
        <v>69</v>
      </c>
      <c r="B116" s="23" t="s">
        <v>60</v>
      </c>
      <c r="C116" s="27" t="str">
        <f>"9조" &amp; " - " &amp; B$105 &amp; " - " &amp; $A116</f>
        <v>9조 - SOA - Usability</v>
      </c>
      <c r="D116" s="23" t="s">
        <v>60</v>
      </c>
      <c r="E116" s="27" t="str">
        <f>"9조" &amp; " - " &amp; D$105 &amp; " - " &amp; $A116</f>
        <v>9조 - Mico-Service - Usability</v>
      </c>
    </row>
    <row r="117" spans="1:7" ht="16.5" customHeight="1">
      <c r="A117" s="1"/>
      <c r="B117" s="16" t="s">
        <v>60</v>
      </c>
      <c r="C117" s="1"/>
      <c r="D117" s="16" t="s">
        <v>60</v>
      </c>
      <c r="E117" s="1"/>
      <c r="F117" s="1"/>
      <c r="G117" s="1"/>
    </row>
    <row r="118" spans="1:7" ht="16.5" customHeight="1">
      <c r="A118" s="31" t="s">
        <v>90</v>
      </c>
      <c r="B118" s="33" t="s">
        <v>91</v>
      </c>
      <c r="C118" s="34"/>
      <c r="D118" s="33" t="s">
        <v>92</v>
      </c>
      <c r="E118" s="34"/>
      <c r="F118" s="33" t="s">
        <v>93</v>
      </c>
      <c r="G118" s="34"/>
    </row>
    <row r="119" spans="1:7" ht="16.5" customHeight="1">
      <c r="A119" s="32"/>
      <c r="B119" s="3" t="s">
        <v>57</v>
      </c>
      <c r="C119" s="3" t="s">
        <v>58</v>
      </c>
      <c r="D119" s="3" t="s">
        <v>57</v>
      </c>
      <c r="E119" s="3" t="s">
        <v>58</v>
      </c>
      <c r="F119" s="3" t="s">
        <v>57</v>
      </c>
      <c r="G119" s="3" t="s">
        <v>58</v>
      </c>
    </row>
    <row r="120" spans="1:7" ht="16.5" customHeight="1">
      <c r="A120" s="4" t="s">
        <v>59</v>
      </c>
      <c r="B120" s="24" t="s">
        <v>60</v>
      </c>
      <c r="C120" s="26" t="str">
        <f>"9조" &amp; " - " &amp; B$118 &amp; " - " &amp; $A120</f>
        <v>9조 - Container-based - Availability</v>
      </c>
      <c r="D120" s="24" t="s">
        <v>60</v>
      </c>
      <c r="E120" s="26" t="str">
        <f>"9조" &amp; " - " &amp; D$118 &amp; " - " &amp; $A120</f>
        <v>9조 - Cloud-based - Availability</v>
      </c>
      <c r="F120" s="24" t="s">
        <v>60</v>
      </c>
      <c r="G120" s="26" t="str">
        <f>"9조" &amp; " - " &amp; F$118 &amp; " - " &amp; $A120</f>
        <v>9조 - Edge-based - Availability</v>
      </c>
    </row>
    <row r="121" spans="1:7" ht="16.5" customHeight="1">
      <c r="A121" s="4" t="s">
        <v>61</v>
      </c>
      <c r="B121" s="24" t="s">
        <v>60</v>
      </c>
      <c r="C121" s="26" t="str">
        <f>"9조" &amp; " - " &amp; B$118 &amp; " - " &amp; $A121</f>
        <v>9조 - Container-based - Deployability</v>
      </c>
      <c r="D121" s="24" t="s">
        <v>60</v>
      </c>
      <c r="E121" s="26" t="str">
        <f>"9조" &amp; " - " &amp; D$118 &amp; " - " &amp; $A121</f>
        <v>9조 - Cloud-based - Deployability</v>
      </c>
      <c r="F121" s="24" t="s">
        <v>60</v>
      </c>
      <c r="G121" s="26" t="str">
        <f>"9조" &amp; " - " &amp; F$118 &amp; " - " &amp; $A121</f>
        <v>9조 - Edge-based - Deployability</v>
      </c>
    </row>
    <row r="122" spans="1:7" ht="16.5" customHeight="1">
      <c r="A122" s="4" t="s">
        <v>62</v>
      </c>
      <c r="B122" s="24" t="s">
        <v>60</v>
      </c>
      <c r="C122" s="26" t="str">
        <f>"9조" &amp; " - " &amp; B$118 &amp; " - " &amp; $A122</f>
        <v>9조 - Container-based - Integrability</v>
      </c>
      <c r="D122" s="24" t="s">
        <v>60</v>
      </c>
      <c r="E122" s="26" t="str">
        <f>"9조" &amp; " - " &amp; D$118 &amp; " - " &amp; $A122</f>
        <v>9조 - Cloud-based - Integrability</v>
      </c>
      <c r="F122" s="24" t="s">
        <v>60</v>
      </c>
      <c r="G122" s="26" t="str">
        <f>"9조" &amp; " - " &amp; F$118 &amp; " - " &amp; $A122</f>
        <v>9조 - Edge-based - Integrability</v>
      </c>
    </row>
    <row r="123" spans="1:7" ht="16.5" customHeight="1">
      <c r="A123" s="4" t="s">
        <v>63</v>
      </c>
      <c r="B123" s="23" t="s">
        <v>60</v>
      </c>
      <c r="C123" s="27" t="str">
        <f>"9조" &amp; " - " &amp; B$118 &amp; " - " &amp; $A123</f>
        <v>9조 - Container-based - Energy Efficiency</v>
      </c>
      <c r="D123" s="23" t="s">
        <v>60</v>
      </c>
      <c r="E123" s="27" t="str">
        <f>"9조" &amp; " - " &amp; D$118 &amp; " - " &amp; $A123</f>
        <v>9조 - Cloud-based - Energy Efficiency</v>
      </c>
      <c r="F123" s="24" t="s">
        <v>60</v>
      </c>
      <c r="G123" s="26" t="str">
        <f>"9조" &amp; " - " &amp; F$118 &amp; " - " &amp; $A123</f>
        <v>9조 - Edge-based - Energy Efficiency</v>
      </c>
    </row>
    <row r="124" spans="1:7" ht="16.5" customHeight="1">
      <c r="A124" s="4" t="s">
        <v>64</v>
      </c>
      <c r="B124" s="24" t="s">
        <v>60</v>
      </c>
      <c r="C124" s="26" t="str">
        <f>"9조" &amp; " - " &amp; B$118 &amp; " - " &amp; $A124</f>
        <v>9조 - Container-based - Modifiability</v>
      </c>
      <c r="D124" s="23" t="s">
        <v>60</v>
      </c>
      <c r="E124" s="27" t="str">
        <f>"9조" &amp; " - " &amp; D$118 &amp; " - " &amp; $A124</f>
        <v>9조 - Cloud-based - Modifiability</v>
      </c>
      <c r="F124" s="24" t="s">
        <v>60</v>
      </c>
      <c r="G124" s="26" t="str">
        <f>"9조" &amp; " - " &amp; F$118 &amp; " - " &amp; $A124</f>
        <v>9조 - Edge-based - Modifiability</v>
      </c>
    </row>
    <row r="125" spans="1:7" ht="16.5" customHeight="1">
      <c r="A125" s="4" t="s">
        <v>65</v>
      </c>
      <c r="B125" s="24" t="s">
        <v>60</v>
      </c>
      <c r="C125" s="26" t="str">
        <f>"9조" &amp; " - " &amp; B$118 &amp; " - " &amp; $A125</f>
        <v>9조 - Container-based - Performance</v>
      </c>
      <c r="D125" s="24" t="s">
        <v>60</v>
      </c>
      <c r="E125" s="26" t="str">
        <f>"9조" &amp; " - " &amp; D$118 &amp; " - " &amp; $A125</f>
        <v>9조 - Cloud-based - Performance</v>
      </c>
      <c r="F125" s="24" t="s">
        <v>60</v>
      </c>
      <c r="G125" s="26" t="str">
        <f>"9조" &amp; " - " &amp; F$118 &amp; " - " &amp; $A125</f>
        <v>9조 - Edge-based - Performance</v>
      </c>
    </row>
    <row r="126" spans="1:7" ht="16.5" customHeight="1">
      <c r="A126" s="4" t="s">
        <v>66</v>
      </c>
      <c r="B126" s="23" t="s">
        <v>60</v>
      </c>
      <c r="C126" s="27" t="str">
        <f>"9조" &amp; " - " &amp; B$118 &amp; " - " &amp; $A126</f>
        <v>9조 - Container-based - Safety</v>
      </c>
      <c r="D126" s="23" t="s">
        <v>60</v>
      </c>
      <c r="E126" s="27" t="str">
        <f>"9조" &amp; " - " &amp; D$118 &amp; " - " &amp; $A126</f>
        <v>9조 - Cloud-based - Safety</v>
      </c>
      <c r="F126" s="23" t="s">
        <v>60</v>
      </c>
      <c r="G126" s="27" t="str">
        <f>"9조" &amp; " - " &amp; F$118 &amp; " - " &amp; $A126</f>
        <v>9조 - Edge-based - Safety</v>
      </c>
    </row>
    <row r="127" spans="1:7" ht="16.5" customHeight="1">
      <c r="A127" s="4" t="s">
        <v>67</v>
      </c>
      <c r="B127" s="23" t="s">
        <v>60</v>
      </c>
      <c r="C127" s="27" t="str">
        <f>"9조" &amp; " - " &amp; B$118 &amp; " - " &amp; $A127</f>
        <v>9조 - Container-based - Security</v>
      </c>
      <c r="D127" s="24" t="s">
        <v>60</v>
      </c>
      <c r="E127" s="26" t="str">
        <f>"9조" &amp; " - " &amp; D$118 &amp; " - " &amp; $A127</f>
        <v>9조 - Cloud-based - Security</v>
      </c>
      <c r="F127" s="24" t="s">
        <v>60</v>
      </c>
      <c r="G127" s="26" t="str">
        <f>"9조" &amp; " - " &amp; F$118 &amp; " - " &amp; $A127</f>
        <v>9조 - Edge-based - Security</v>
      </c>
    </row>
    <row r="128" spans="1:7" ht="16.5" customHeight="1">
      <c r="A128" s="4" t="s">
        <v>68</v>
      </c>
      <c r="B128" s="24" t="s">
        <v>60</v>
      </c>
      <c r="C128" s="26" t="str">
        <f>"9조" &amp; " - " &amp; B$118 &amp; " - " &amp; $A128</f>
        <v>9조 - Container-based - Testability</v>
      </c>
      <c r="D128" s="24" t="s">
        <v>60</v>
      </c>
      <c r="E128" s="26" t="str">
        <f>"9조" &amp; " - " &amp; D$118 &amp; " - " &amp; $A128</f>
        <v>9조 - Cloud-based - Testability</v>
      </c>
      <c r="F128" s="24" t="s">
        <v>60</v>
      </c>
      <c r="G128" s="26" t="str">
        <f>"9조" &amp; " - " &amp; F$118 &amp; " - " &amp; $A128</f>
        <v>9조 - Edge-based - Testability</v>
      </c>
    </row>
    <row r="129" spans="1:7" ht="16.5" customHeight="1">
      <c r="A129" s="4" t="s">
        <v>69</v>
      </c>
      <c r="B129" s="23" t="s">
        <v>60</v>
      </c>
      <c r="C129" s="27" t="str">
        <f>"9조" &amp; " - " &amp; B$118 &amp; " - " &amp; $A129</f>
        <v>9조 - Container-based - Usability</v>
      </c>
      <c r="D129" s="23" t="s">
        <v>60</v>
      </c>
      <c r="E129" s="27" t="str">
        <f>"9조" &amp; " - " &amp; D$118 &amp; " - " &amp; $A129</f>
        <v>9조 - Cloud-based - Usability</v>
      </c>
      <c r="F129" s="23" t="s">
        <v>60</v>
      </c>
      <c r="G129" s="27" t="str">
        <f>"9조" &amp; " - " &amp; F$118 &amp; " - " &amp; $A129</f>
        <v>9조 - Edge-based - Usability</v>
      </c>
    </row>
    <row r="130" spans="1:7" ht="16.5" customHeight="1"/>
    <row r="131" spans="1:7" ht="16.5" customHeight="1"/>
    <row r="132" spans="1:7" ht="16.5" customHeight="1"/>
    <row r="133" spans="1:7" ht="16.5" customHeight="1"/>
    <row r="134" spans="1:7" ht="16.5" customHeight="1"/>
    <row r="135" spans="1:7" ht="16.5" customHeight="1"/>
    <row r="136" spans="1:7" ht="16.5" customHeight="1"/>
    <row r="137" spans="1:7" ht="16.5" customHeight="1"/>
    <row r="138" spans="1:7" ht="16.5" customHeight="1"/>
    <row r="139" spans="1:7" ht="16.5" customHeight="1"/>
    <row r="140" spans="1:7" ht="16.5" customHeight="1"/>
    <row r="141" spans="1:7" ht="16.5" customHeight="1"/>
    <row r="142" spans="1:7" ht="16.5" customHeight="1"/>
    <row r="143" spans="1:7" ht="16.5" customHeight="1"/>
    <row r="144" spans="1:7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8">
    <mergeCell ref="A118:A119"/>
    <mergeCell ref="B118:C118"/>
    <mergeCell ref="D118:E118"/>
    <mergeCell ref="F118:G118"/>
    <mergeCell ref="D66:E66"/>
    <mergeCell ref="F66:G66"/>
    <mergeCell ref="D92:E92"/>
    <mergeCell ref="A105:A106"/>
    <mergeCell ref="B105:C105"/>
    <mergeCell ref="D105:E105"/>
    <mergeCell ref="B66:C66"/>
    <mergeCell ref="A79:A80"/>
    <mergeCell ref="B79:C79"/>
    <mergeCell ref="D79:E79"/>
    <mergeCell ref="A92:A93"/>
    <mergeCell ref="B92:C92"/>
    <mergeCell ref="D27:E27"/>
    <mergeCell ref="B27:C27"/>
    <mergeCell ref="B40:C40"/>
    <mergeCell ref="D40:E40"/>
    <mergeCell ref="B53:C53"/>
    <mergeCell ref="D53:E53"/>
    <mergeCell ref="A1:A2"/>
    <mergeCell ref="B1:C1"/>
    <mergeCell ref="D1:E1"/>
    <mergeCell ref="F1:G1"/>
    <mergeCell ref="B14:C14"/>
    <mergeCell ref="D14:E14"/>
  </mergeCells>
  <phoneticPr fontId="7" type="noConversion"/>
  <dataValidations count="1">
    <dataValidation type="list" allowBlank="1" showErrorMessage="1" sqref="B3:B12 D3:D12 F3:F12 B14 D14 B16:B25 D16:D25 B27 D27 B29:B38 D29:D38 B42:B51 D42:D51 B53 D53 B55:B64 D55:D64 B66 D66 F66 B68:B77 D68:D77 B79 D79 F68:F78 B81:B90 D81:D90 B92 B94:B103 F120:F129 B120:B129 D120:D129 D94:D103 D107:D116 B107:B116" xr:uid="{4F72EECC-6F92-453D-A919-AD63030B3347}">
      <formula1>"'++,'+,'0,'-,'--"</formula1>
    </dataValidation>
  </dataValidations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770C6058C0A408AAF2910384D1419" ma:contentTypeVersion="0" ma:contentTypeDescription="Create a new document." ma:contentTypeScope="" ma:versionID="c70e4b3fd52b0940c3255ef08aa8e7d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24fd2d4348e31d7b7bcc391e9da95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5BD324-C973-44DC-93E0-47D1A8EFAD7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264B1B1-2328-4761-8BA5-62CBC0D8DA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D5B19D-A169-4459-AF3E-2EDE43A2E6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DF</vt:lpstr>
      <vt:lpstr>DC</vt:lpstr>
      <vt:lpstr>II</vt:lpstr>
      <vt:lpstr>IO</vt:lpstr>
      <vt:lpstr>H1</vt:lpstr>
      <vt:lpstr>H2</vt:lpstr>
      <vt:lpstr>DA1</vt:lpstr>
      <vt:lpstr>DA2</vt:lpstr>
      <vt:lpstr>DA3</vt:lpstr>
      <vt:lpstr>Dep</vt:lpstr>
      <vt:lpstr>Detailed Reasoning</vt:lpstr>
      <vt:lpstr>1조</vt:lpstr>
      <vt:lpstr>2조</vt:lpstr>
      <vt:lpstr>3조</vt:lpstr>
      <vt:lpstr>4조</vt:lpstr>
      <vt:lpstr>5조</vt:lpstr>
      <vt:lpstr>6조</vt:lpstr>
      <vt:lpstr>7조</vt:lpstr>
      <vt:lpstr>8조</vt:lpstr>
      <vt:lpstr>9조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덕겸 김</cp:lastModifiedBy>
  <dcterms:modified xsi:type="dcterms:W3CDTF">2026-06-25T04:55:30Z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LCMData">
    <vt:lpwstr>6E519BA2EED35B6C97B361C0D562289A2FECB733DDB0F8C1CC21DD9C9B536CBE007F1B4BF0E5C25EEC4F563B656D092FE6F2A52B70A00257A6B82A71AB390F89</vt:lpwstr>
  </property>
  <property fmtid="{D5CDD505-2E9C-101B-9397-08002B2CF9AE}" pid="3" name="ContentTypeId">
    <vt:lpwstr>0x0101009EB770C6058C0A408AAF2910384D1419</vt:lpwstr>
  </property>
</Properties>
</file>