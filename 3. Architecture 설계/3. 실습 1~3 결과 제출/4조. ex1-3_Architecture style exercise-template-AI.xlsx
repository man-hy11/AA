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 sheetId="1" r:id="rId4"/>
    <sheet state="visible" name="DC" sheetId="2" r:id="rId5"/>
    <sheet state="visible" name="II" sheetId="3" r:id="rId6"/>
    <sheet state="visible" name="IO" sheetId="4" r:id="rId7"/>
    <sheet state="visible" name="H1" sheetId="5" r:id="rId8"/>
    <sheet state="visible" name="H2" sheetId="6" r:id="rId9"/>
    <sheet state="visible" name="DA1" sheetId="7" r:id="rId10"/>
    <sheet state="visible" name="DA2" sheetId="8" r:id="rId11"/>
    <sheet state="visible" name="DA3" sheetId="9" r:id="rId12"/>
    <sheet state="visible" name="Dep" sheetId="10" r:id="rId13"/>
    <sheet state="visible" name="Detailed Reasoning" sheetId="11" r:id="rId14"/>
    <sheet state="visible" name="AI#1 (Claude)" sheetId="12" r:id="rId15"/>
    <sheet state="visible" name="AI#2(Gpt)" sheetId="13" r:id="rId16"/>
    <sheet state="visible" name="Human" sheetId="14" r:id="rId17"/>
    <sheet state="visible" name="시트1" sheetId="15" r:id="rId18"/>
  </sheets>
  <definedNames/>
  <calcPr/>
  <extLst>
    <ext uri="GoogleSheetsCustomDataVersion2">
      <go:sheetsCustomData xmlns:go="http://customooxmlschemas.google.com/" r:id="rId19" roundtripDataChecksum="xjMPUV++9y0r96DNVNndcz/AnGcPYt0mj6SLwOf194E="/>
    </ext>
  </extLst>
</workbook>
</file>

<file path=xl/sharedStrings.xml><?xml version="1.0" encoding="utf-8"?>
<sst xmlns="http://schemas.openxmlformats.org/spreadsheetml/2006/main" count="3026" uniqueCount="537">
  <si>
    <t>Implicit Invocation</t>
  </si>
  <si>
    <t>Data Centered</t>
  </si>
  <si>
    <t>Batch Sequential</t>
  </si>
  <si>
    <t>Shared Repository</t>
  </si>
  <si>
    <t>Non-Buffered Event Based</t>
  </si>
  <si>
    <t>Blackboard</t>
  </si>
  <si>
    <t>Buffered Message Based</t>
  </si>
  <si>
    <t>Effects</t>
  </si>
  <si>
    <t>Pipe and Filter</t>
  </si>
  <si>
    <t>Process Control</t>
  </si>
  <si>
    <t>Justification</t>
  </si>
  <si>
    <t>Availability</t>
  </si>
  <si>
    <t>Interaction-Oriented</t>
  </si>
  <si>
    <t>MVC</t>
  </si>
  <si>
    <t>PAC</t>
  </si>
  <si>
    <t>AI#1</t>
  </si>
  <si>
    <t>AI#2</t>
  </si>
  <si>
    <t>Human</t>
  </si>
  <si>
    <t>Deployability</t>
  </si>
  <si>
    <t>Integrability</t>
  </si>
  <si>
    <t>Energy Efficiency</t>
  </si>
  <si>
    <t>Modifiability</t>
  </si>
  <si>
    <t>Performance</t>
  </si>
  <si>
    <t>Safety</t>
  </si>
  <si>
    <t>Security</t>
  </si>
  <si>
    <t>Testability</t>
  </si>
  <si>
    <t>Usability</t>
  </si>
  <si>
    <t>Hierarchical</t>
  </si>
  <si>
    <t>Main-subroutine</t>
  </si>
  <si>
    <t>Layered</t>
  </si>
  <si>
    <t>Master-Slave</t>
  </si>
  <si>
    <t>Virtual Machine</t>
  </si>
  <si>
    <t>Microkernel</t>
  </si>
  <si>
    <t>Distributed</t>
  </si>
  <si>
    <t>Multi-Tier</t>
  </si>
  <si>
    <t>Client-Server</t>
  </si>
  <si>
    <t>Broker</t>
  </si>
  <si>
    <t>Dispatcher</t>
  </si>
  <si>
    <t>SOA</t>
  </si>
  <si>
    <t>Micro-service</t>
  </si>
  <si>
    <t>Deployment</t>
  </si>
  <si>
    <t>Container-based</t>
  </si>
  <si>
    <t>Cloud-based</t>
  </si>
  <si>
    <t>Edge-based</t>
  </si>
  <si>
    <t>Data Flow</t>
  </si>
  <si>
    <t>Shared Respository</t>
  </si>
  <si>
    <t>Multi-tier</t>
  </si>
  <si>
    <t>Microservice</t>
  </si>
  <si>
    <t>-</t>
  </si>
  <si>
    <t>한 단계에서 장애가 발생하면 뒤 단계가 모두 진행되지 못한다. 전체 처리 흐름이 직렬로 연결되어 있어 특정 단계의 실패가 전체 서비스 중단으로 이어지기 쉽다.</t>
  </si>
  <si>
    <t>중간 결과를 사용할 수 없고, 한 단계에서 실패하면 배치 전체를 다시 실행해야 한다. 예약된 실행 사이에는 시스템이 사실상 사용 불가 상태다.</t>
  </si>
  <si>
    <t>0</t>
  </si>
  <si>
    <t>Filter들이 독립적이라 일부를 교체·복구하기는 쉽지만, 파이프라인 중 하나의 Filter가 멈추면 전체 흐름이 막힐 수 있다. 장단점이 모두 존재한다.</t>
  </si>
  <si>
    <t>필터가 독립적이라 개별 재시작이 가능하지만, 파이프가 끊기면 파이프라인 전체가 멈추고 파이프 안의 처리 중 데이터는 유실된다.</t>
  </si>
  <si>
    <t>+</t>
  </si>
  <si>
    <t>++</t>
  </si>
  <si>
    <t>시스템 상태를 지속적으로 감시하고 피드백을 통해 이상 상태를 보정할 수 있다. 다만 센서나 Controller 같은 핵심 요소가 고장 나면 전체 제어에 영향을 줄 수 있다.</t>
  </si>
  <si>
    <t>연속적인 피드백 루프가 환경 변화에도 설정값을 향해 스스로 보정하며 동작을 유지한다. 연속 운전 시스템에 정확히 필요한 특성이다.</t>
  </si>
  <si>
    <t>각 처리 단계를 별도의 프로그램/모듈로 구성할 수 있어 단계별 배포가 비교적 쉽다. 다만 단계 간 데이터 형식이 바뀌면 연쇄적인 수정이 필요할 수 있다.</t>
  </si>
  <si>
    <t>각 단계가 파일로만 통신하는 독립 실행 프로그램이므로 개별 설치·스케줄링이 가능하다. 다만 전체 체인의 스케줄을 일관되게 다시 잡아야 한다.</t>
  </si>
  <si>
    <t>Filter가 독립된 처리 단위이므로 개별 Filter를 수정·배포하기 비교적 쉽다. 단, Pipe의 데이터 형식 호환성은 유지해야 한다.</t>
  </si>
  <si>
    <t>필터가 파이프로만 연결된 개별 배포 단위지만, 파이프라인 토폴로지와 버퍼 설정을 배포 간에 일관되게 유지해야 한다.</t>
  </si>
  <si>
    <t>센서·Controller·Actuator 등 실제 장비와 밀접하게 연결되어 있어 단순 소프트웨어처럼 독립적으로 배포하기 어렵다. 배포 후 보정이나 Calibration도 필요할 수 있다.</t>
  </si>
  <si>
    <t>특정 센서·액추에이터와 튜닝된 파라미터에 강하게 결합되어 있어 배포마다 현장 보정과 검증이 필요하다.</t>
  </si>
  <si>
    <t>단계 사이의 입력/출력이 파일이나 명확한 데이터 형식으로 정의되므로 다른 시스템이나 모듈을 연결하기 비교적 쉽다.</t>
  </si>
  <si>
    <t>중간 파일 포맷만 합의하면 되므로 통합이 단순하고 언어 중립적이다. 반면 오프라인·배치 방식 통합만 가능하고 대화형 결합은 불가능하다.</t>
  </si>
  <si>
    <t>Filter 간 연결이 명확한 입출력 인터페이스로 이루어져 새로운 Filter를 추가하거나 기존 Filter를 다른 컴포넌트로 교체하기 쉽다.</t>
  </si>
  <si>
    <t>센서, 액추에이터, 제어 장치마다 통신 방식이나 데이터 형식이 다를 수 있어 외부 시스템을 추가하거나 교체하기 어렵다.</t>
  </si>
  <si>
    <t>파이프 인터페이스가 균일해서 이웃 필터를 고치지 않고도 체인 어디에나 새 필터를 끼워 넣을 수 있다. 한계는 모든 것이 스트림 데이터 모델에 맞아야 한다는 점이다.</t>
  </si>
  <si>
    <t>구성요소가 공유 제어 변수와 엄격한 타이밍 제약으로 상호작용하므로, 새 요소를 넣는 일이 침습적이고 루프를 불안정하게 만들 수 있다.</t>
  </si>
  <si>
    <t>실시간으로 계속 동작할 필요 없이 필요한 시점에 배치 단위로 실행할 수 있어 유휴 시간의 자원 사용을 줄일 수 있다.</t>
  </si>
  <si>
    <t>예약된 시점에 몰아서 처리하므로 상시 폴링 없이 자원이 유휴 상태로 있을 수 있다. 반대로 실행이 실패하면 배치에 이미 투입한 에너지가 모두 낭비된다.</t>
  </si>
  <si>
    <t>스트리밍과 병렬 처리로 자원을 효율적으로 사용할 수 있지만, 여러 Filter의 동시 실행과 Pipe/Buffer 관리에 추가 자원이 필요하다.</t>
  </si>
  <si>
    <t>현재 상태를 계속 측정하면서 필요한 만큼만 제어할 수 있기 때문에 에너지나 자원을 효율적으로 사용할 수 있다. 예를 들어 목표 온도에 도달하면 히터 출력을 줄일 수 있다.</t>
  </si>
  <si>
    <t>스트리밍 방식이라 전체 데이터셋을 메모리나 디스크에 적재하지 않지만, 필터 간 데이터 복사와 직렬화가 계속 발생해 추가 비용이 든다.</t>
  </si>
  <si>
    <t>각 처리 단계가 비교적 독립되어 있어 특정 단계의 알고리즘을 수정하거나 교체하기 쉽다. 단, 입출력 형식 변경 시 주변 단계에도 영향이 갈 수 있다.</t>
  </si>
  <si>
    <t>피드백 제어가 공정을 최적 동작점에 유지해 오버슈트로 인한 낭비를 막는다. 반면 센싱과 액추에이션이 상시 동작하므로 전력을 계속 소모한다.</t>
  </si>
  <si>
    <t>각 Filter가 특정 기능만 담당하고 서로 직접 의존하지 않으므로 Filter 추가·삭제·교체가 쉽다. Pipe and Filter의 대표적인 장점이다.</t>
  </si>
  <si>
    <t>단계들이 데이터 파일로 분리되어 있어 한 단계만 교체·재작성할 수 있다. 그러나 파일 포맷이 공유 계약이라 포맷 변경은 모든 단계에 파급된다.</t>
  </si>
  <si>
    <t>Controller의 제어 알고리즘이나 센서 특성을 변경하면 전체 제어 안정성에 영향을 줄 수 있다. 하나를 수정하면 제어 파라미터를 다시 조정해야 할 가능성이 크다.</t>
  </si>
  <si>
    <t>필터가 느슨하게 결합된 무상태 단위라 다른 필터를 건드리지 않고 순서 변경·교체·제거가 가능하다.</t>
  </si>
  <si>
    <t>--</t>
  </si>
  <si>
    <t>앞 단계가 완전히 끝나야 다음 단계가 시작되므로 병렬 처리가 어렵고 전체 처리 지연시간이 길어진다. 특히 대용량 데이터에서는 단점이 커진다.</t>
  </si>
  <si>
    <t>제어 법칙과 튜닝 값이 플랜트 모델과 얽혀 있어 변경할 때마다 루프 전체를 재튜닝하고 재검증해야 한다.</t>
  </si>
  <si>
    <t>여러 Filter가 동시에 서로 다른 데이터를 처리하는 Pipeline Parallelism이 가능하여 처리량이 높아질 수 있다. 다만 Filter 간 데이터 전달 비용이 발생한다.</t>
  </si>
  <si>
    <t>실시간으로 상태를 측정하고 즉각적으로 제어해야 하는 구조이므로 빠른 응답과 지속적인 처리가 중요한 시스템에 매우 적합하다.</t>
  </si>
  <si>
    <t>대량 데이터를 묶어 처리하고 I/O 비용을 분산하므로 처리량은 높지만, 배치가 끝나기 전에는 결과가 전혀 없어 지연 시간은 매우 나쁘다.</t>
  </si>
  <si>
    <t>처리 과정이 순차적이고 결정적이어서 처리 순서와 결과를 추적하기 쉽다. 오류 발생 위치를 파악하고 특정 단계 이후의 실행을 차단하기도 비교적 쉽다.</t>
  </si>
  <si>
    <t>모든 필터가 동시에 동작하는 파이프라인 병렬성으로 처리량이 올라간다. 반면 단계 간 복사로 항목별 지연이 커지고, 가장 느린 필터가 전체 속도를 제한한다.</t>
  </si>
  <si>
    <t>각 제어 주기 안에서 예측 가능한 유계 응답 시간을 목표로 설계된다. 다만 높은 처리량을 노리는 스타일은 아니다.</t>
  </si>
  <si>
    <t>각 처리 단계가 분리되어 있어 데이터 검증이나 오류 탐지 Filter를 독립적으로 둘 수 있고, 문제가 발생한 단계를 추적하기 쉽다.</t>
  </si>
  <si>
    <t>위험 상태를 지속적으로 감지하고 자동으로 보정하거나 안전한 상태로 제어할 수 있다. 과열, 압력 초과 등의 상황에 즉각 대응할 수 있어 Safety에 매우 유리하다.</t>
  </si>
  <si>
    <t>동시성 없는 순차 결정적 실행이라 위험한 인터리빙이 없지만, 오류가 긴 실행이 끝난 뒤에야 발견되어 대응이 늦어진다.</t>
  </si>
  <si>
    <t>단계별 접근통제를 적용하기 쉽다는 장점이 있지만, 중간 결과를 파일 등으로 저장할 경우 데이터 노출·변조 위험이 생긴다. 장단점이 모두 있다.</t>
  </si>
  <si>
    <t>필터 격리로 결함이 한 단계 안에 갇히지만, 전역 상태가 없어 시스템 전체 불변식이나 종단 간 오류 처리를 강제하기 어렵다.</t>
  </si>
  <si>
    <t>인증·검증·필터링 단계를 별도로 추가할 수 있다는 장점이 있지만, Filter와 Pipe가 많아질수록 데이터 전달 구간과 공격 지점도 늘어날 수 있다.</t>
  </si>
  <si>
    <t>제어 변수를 지속 감시해 편차를 즉시 감지하고 안전 상태로 되돌린다. 안전 필수 제어의 대표적인 스타일이다.</t>
  </si>
  <si>
    <t>센서값이나 제어 명령이 공격자에게 조작되면 실제 장비의 동작까지 영향을 받을 수 있다. 센서·네트워크·액추에이터 등 보호해야 할 지점도 많다.</t>
  </si>
  <si>
    <t>네트워크 노출이 없고 단계가 격리되어 공격 표면이 작다. 다만 대용량 중간 파일이 디스크에 남으므로 보호와 삭제 관리가 필요하다.</t>
  </si>
  <si>
    <t>각 단계에 정해진 입력을 넣고 출력을 확인할 수 있어 단위 테스트와 단계별 검증이 매우 쉽다. 중간 결과도 확인할 수 있어 오류 위치 추적도 쉽다.</t>
  </si>
  <si>
    <t>작고 격리된 필터라 침해 시 피해 범위가 제한되지만, 파이프 하나하나가 보호해야 할 추가 데이터 채널이 된다.</t>
  </si>
  <si>
    <t>각 Filter에 독립적으로 입력을 넣고 출력을 확인할 수 있어 단위 테스트가 매우 쉽다. Pipe별 중간 데이터도 확인할 수 있다.</t>
  </si>
  <si>
    <t>보통 폐쇄망이나 물리적 분리 환경에서 동작하는 점은 유리하지만, 센서·액추에이터 신호 위조가 곧바로 물리적 피해로 이어진다.</t>
  </si>
  <si>
    <t>센서값, 시간, 환경 변화, Actuator의 실제 반응까지 함께 테스트해야 해서 단순한 입력-출력 테스트가 어렵다. 실제 장비나 시뮬레이터가 필요한 경우도 많다.</t>
  </si>
  <si>
    <t>사용자 요청에 즉시 응답하는 구조가 아니라 전체 배치 처리를 기다려야 하므로 실시간·대화형 시스템에 매우 부적합하다.</t>
  </si>
  <si>
    <t>각 단계가 입출력 파일이 명확한 결정적 프로그램이라 단독 테스트가 쉽고, 저장된 파일로 실행을 그대로 재현할 수 있다.</t>
  </si>
  <si>
    <t>데이터 전체 처리가 끝날 때까지 기다리지 않고 결과를 순차적으로 전달할 수 있어 Batch Sequential보다 응답성이 좋다. 다만 UI 자체와 직접적인 관련성은 크지 않다.</t>
  </si>
  <si>
    <t>각 필터가 입출력 스트림이 정의된 무상태 단위라 기록된 스트림으로 단독 단위 테스트가 쉽다.</t>
  </si>
  <si>
    <t>Process Control은 내부 제어 방식에 관한 구조라 사용자 인터페이스와 직접적인 관계는 크지 않다. 자동 제어로 편리해질 수 있지만 구조 자체가 Usability를 크게 결정하지는 않는다.</t>
  </si>
  <si>
    <t>동작이 연속 상태, 타이밍, 물리 환경에 의존하므로 함수 호출 수준이 아니라 플랜트 시뮬레이션이 있어야 의미 있는 테스트가 가능하다.</t>
  </si>
  <si>
    <t>처리 중 사용자 상호작용이 전혀 없다. 진행 상황 확인도, 중간 개입도 불가능하며 결과는 전체 실행이 끝나야 나온다.</t>
  </si>
  <si>
    <t>스트림 처리 지향이라 처리 도중 상호작용이나 사용자 피드백이 거의 없다.</t>
  </si>
  <si>
    <t>운영자에게 설정값 수준의 제어와 모니터링을 제공해 단순하지만, 내부 제어 동작은 불투명해 해석하기 어렵다.</t>
  </si>
  <si>
    <t/>
  </si>
  <si>
    <t>중앙 Repository에 장애가 발생하면 이를 사용하는 여러 컴포넌트가 동시에 영향을 받는다. 저장소가 Single Point of Failure가 되기 쉽다.</t>
  </si>
  <si>
    <t>저장소가 단일 장애점이다. 별도의 복제를 붙이지 않는 한 저장소가 죽으면 모든 연산 컴포넌트가 멈춘다.</t>
  </si>
  <si>
    <t>블랙보드 자체가 단일 장애점이다. 다만 개별 지식원이 실패해도 시스템은 계속 진행할 수 있다.</t>
  </si>
  <si>
    <t>중앙 Blackboard가 핵심 공유 지점이므로 Blackboard에 장애가 발생하면 여러 Knowledge Source가 동시에 영향을 받는다. 중앙 저장소 의존성이 크다.</t>
  </si>
  <si>
    <t>각 컴포넌트는 독립적으로 배포할 수 있지만, DB Schema나 Repository 구조가 변경되면 여러 컴포넌트를 함께 수정·배포해야 할 수 있다.</t>
  </si>
  <si>
    <t>연산 컴포넌트는 개별 배포가 가능하지만, 모두 하나의 저장소 인스턴스와 스키마 버전에 의존하므로 스키마 변경 시 배포를 함께 조율해야 한다.</t>
  </si>
  <si>
    <t>Knowledge Source는 비교적 독립적으로 추가·배포할 수 있지만, Blackboard의 데이터 표현 방식이나 제어 로직과의 호환성을 맞춰야 한다.</t>
  </si>
  <si>
    <t>지식원은 개별 배포·활성화가 가능하지만, 블랙보드와 제어 컴포넌트가 먼저 준비되어 있어야 한다.</t>
  </si>
  <si>
    <t>여러 컴포넌트가 동일한 저장소를 통해 데이터를 공유하므로 시스템 간 데이터 통합이 매우 쉽다. 공통 데이터 모델만 맞으면 새로운 컴포넌트도 데이터를 쉽게 활용할 수 있다.</t>
  </si>
  <si>
    <t>서로 다른 알고리즘이나 모듈이 Blackboard라는 공통 공간을 통해 협력할 수 있어 이질적인 컴포넌트를 통합하기 좋다.</t>
  </si>
  <si>
    <t>새 컴포넌트는 공유 데이터 구조를 읽고 쓰기만 하면 통합된다. 다른 컴포넌트를 전혀 알 필요가 없다.</t>
  </si>
  <si>
    <t>데이터를 한곳에 집중시켜 중복 저장을 줄일 수 있지만, 모든 컴포넌트의 읽기·쓰기가 중앙 저장소에 집중되므로 DB 처리 비용도 커질 수 있다.</t>
  </si>
  <si>
    <t>새 지식원은 블랙보드 상태에 반응하는 방식으로 통합되며, 다른 지식원에 대한 직접 의존이나 지식이 필요 없다.</t>
  </si>
  <si>
    <t>여러 Knowledge Source가 Blackboard의 상태를 지속적으로 확인하거나 반복적으로 추론할 수 있어 계산량과 자원 사용량이 증가하기 쉽다.</t>
  </si>
  <si>
    <t>데이터를 중복 없이 한 번만 저장해 저장·전송 비용을 아끼지만, 저장소 폴링과 락 경합이 자원을 낭비한다.</t>
  </si>
  <si>
    <t>Repository의 데이터 구조나 Schema를 변경하면 이를 사용하는 여러 컴포넌트에 연쇄적인 변경이 발생할 수 있다. 데이터 구조에 대한 결합도가 높다.</t>
  </si>
  <si>
    <t>기존 Knowledge Source와 직접 연결하지 않고 새로운 Knowledge Source를 추가하거나 교체할 수 있다. 기능 확장에 비교적 유리하다.</t>
  </si>
  <si>
    <t>기회주의적 활성화 방식이라 많은 지식원이 블랙보드를 계속 살피며 중복 연산을 수행하고, 그 결과 상당수가 버려진다.</t>
  </si>
  <si>
    <t>모든 컴포넌트가 중앙 저장소에 접근하기 때문에 요청이 많아지면 Repository가 병목이 될 수 있다. 네트워크·DB I/O 비용도 발생한다.</t>
  </si>
  <si>
    <t>Blackboard에 대한 반복적인 읽기/쓰기와 여러 Knowledge Source의 추론 과정 때문에 오버헤드가 발생한다. 어떤 모듈을 실행할지 결정하는 Control 비용도 있다.</t>
  </si>
  <si>
    <t>컴포넌트끼리 분리되어 각자 독립적으로 바뀔 수 있다. 다만 공유 스키마가 전역 계약이라 데이터 모델 변경은 모두에게 영향을 준다.</t>
  </si>
  <si>
    <t>중요한 데이터를 중앙에서 일관되게 관리하고 무결성 제약, 트랜잭션 등을 적용하기 쉬워 데이터 오류를 줄이는 데 유리하다.</t>
  </si>
  <si>
    <t>중간 결과를 중앙에서 확인하고 검증할 수 있다는 장점은 있지만, 잘못된 Knowledge Source가 잘못된 정보를 Blackboard에 기록하면 다른 모듈에도 영향을 줄 수 있다.</t>
  </si>
  <si>
    <t>지식원들이 완전히 분리되어 있어 다른 지식원을 고치지 않고 추가·제거·교체할 수 있다.</t>
  </si>
  <si>
    <t>접근 권한, 인증, 감사 로그 등을 중앙 Repository에서 일관되게 적용할 수 있다. 다만 Repository가 침해되면 영향 범위가 매우 크다는 단점도 있다.</t>
  </si>
  <si>
    <t>중앙 접근이라 인덱싱·캐싱·쿼리 최적화가 가능하지만, 동시성이 높아지면 저장소가 경합 병목이 된다.</t>
  </si>
  <si>
    <t>여러 Knowledge Source가 하나의 Blackboard에 접근하므로 접근 지점과 권한 관리가 복잡하다. Blackboard가 침해되면 공유되는 지식 전체에 영향을 줄 수 있다.</t>
  </si>
  <si>
    <t>비결정적 기회주의 제어와 반복적인 블랙보드 스캔이 오버헤드를 만들며, 응답 시간을 보장할 수 없다.</t>
  </si>
  <si>
    <t>공통 데이터 상태를 기준으로 테스트하기는 쉽지만, 여러 컴포넌트가 같은 Repository를 사용하면 테스트 간 데이터 간섭이 생길 수 있고 DB 환경을 별도로 구성해야 할 수 있다.</t>
  </si>
  <si>
    <t>각각의 Knowledge Source 자체는 테스트할 수 있지만, 실제 실행 순서가 Blackboard의 현재 상태와 Control 전략에 따라 달라질 수 있어 전체 시스템 테스트가 어렵다.</t>
  </si>
  <si>
    <t>단일 권위 데이터 소스라 컴포넌트 간 불일치가 없지만, 데이터가 손상되면 즉시 모든 컴포넌트로 전파된다.</t>
  </si>
  <si>
    <t>Shared Repository는 내부 데이터 관리 구조이므로 사용자의 UI나 사용 편의성에 직접적인 영향은 크지 않다.</t>
  </si>
  <si>
    <t>제어가 기회주의적이고 비결정적이라 최악의 동작과 종료 조건을 한정하거나 인증하기 어렵다.</t>
  </si>
  <si>
    <t>Blackboard는 내부 문제 해결 구조이므로 사용자 인터페이스나 사용 편의성에 직접적인 영향은 크지 않다.</t>
  </si>
  <si>
    <t>접근 제어·암호화·감사를 컴포넌트마다가 아니라 한 곳에서 일괄 적용할 수 있다. 대신 그 한 곳이 고가치 표적이 된다.</t>
  </si>
  <si>
    <t>모든 지식원이 공유 상태 전체를 읽을 수 있어 최소 권한과 정보 흐름 통제를 강제하기 어렵다.</t>
  </si>
  <si>
    <t>저장소에 데이터를 심어 테스트 시나리오를 구성하기 쉽지만, 공유 데이터를 통한 암묵적 결합 때문에 완전히 격리된 테스트는 어렵다.</t>
  </si>
  <si>
    <t>결과가 활성화 순서와 누적된 부분해에 의존하므로 테스트에서 동작을 결정적으로 재현하기 매우 어렵다.</t>
  </si>
  <si>
    <t>사용자 인터페이스에 직접적인 영향은 없으나, 일관된 공유 데이터가 기능 간 일관된 화면을 뒷받침한다.</t>
  </si>
  <si>
    <t>결정적 알고리즘이 없는 탐색적 문제를 풀 수 있다는 점은 가치 있지만, 도출 과정을 사용자에게 설명하기 어렵다.</t>
  </si>
  <si>
    <t>이유</t>
  </si>
  <si>
    <r>
      <rPr/>
      <t>리스너가 동작하지 않는 동안 발생한 이벤트를 보관했다가 복구 후 다시 전달하기 어렵다. 또한 동기식으로 리스너를 호출한다면 느린 처리나 예외가 발생자 또는 다른 리스너의 정상 동작에 영향을 줄 수 있어, 장애 시 기능을 계속 제공하는 데 불리하다. (</t>
    </r>
    <r>
      <rPr>
        <color rgb="FF1155CC"/>
        <u/>
      </rPr>
      <t>Redis</t>
    </r>
    <r>
      <rPr/>
      <t>)</t>
    </r>
  </si>
  <si>
    <t>발행 시점에 구독자가 없으면 이벤트가 유실되며, 영속화나 재시도가 없어 컴포넌트 중단 상황을 복구할 수 없다.</t>
  </si>
  <si>
    <t>큐가 송수신자를 시간적으로 분리해 소비자가 죽어도 메시지가 유실되지 않고 복구 후 처리가 이어진다. 대신 브로커 자체가 이중화가 필요한 핵심 요소가 된다.</t>
  </si>
  <si>
    <t>발행자와 구독자가 개별 배포 가능한 독립 컴포넌트지만, 통신하려면 동시에 실행 중이어야 한다.</t>
  </si>
  <si>
    <t>버퍼가 다운타임을 흡수하므로 생산자와 소비자를 독립적으로 배포·재시작·롤백할 수 있다.</t>
  </si>
  <si>
    <t>새 구독자는 이벤트에 등록만 하면 통합된다. 발행자 코드를 바꿀 필요가 없고 누가 듣는지 알 필요도 없다.</t>
  </si>
  <si>
    <t>새 소비자가 생산자 변경 없이 기존 큐나 토픽에 붙을 수 있고, 이기종 시스템도 메시지 계약으로 통합된다.</t>
  </si>
  <si>
    <r>
      <rPr/>
      <t>수신자가 일시적으로 중단되어도 큐가 정상이고 여유 공간이 있으면 메시지를 계속 접수할 수 있다. 수신자는 복구 후 대기 메시지를 처리할 수 있어 장애의 영향을 줄이기 유리하다. 다만 접수가 가능하다는 것과 실제 업무 처리가 계속된다는 것은 다르며, 큐 장애나 용량 초과도 고려해야 한다. (</t>
    </r>
    <r>
      <rPr>
        <color rgb="FF1155CC"/>
        <u/>
      </rPr>
      <t>Microsoft Learn</t>
    </r>
    <r>
      <rPr/>
      <t>)</t>
    </r>
  </si>
  <si>
    <t>이벤트가 실제로 발생할 때만 연산이 촉발되어 낭비적인 폴링을 피한다. 다만 관심 없는 구독자에게까지 브로드캐스트하는 만큼의 낭비는 남는다.</t>
  </si>
  <si>
    <t>배치 처리와 부하 평준화로 자원 사용이 고르게 되어 과잉 프로비저닝을 피하지만, 메시지 영속화와 복제에 추가 저장·I/O 비용이 든다.</t>
  </si>
  <si>
    <t>발행자가 구독자를 전혀 모르기 때문에 컴포넌트를 서로 독립적으로 추가·제거·교체할 수 있다.</t>
  </si>
  <si>
    <t>메시지 스키마만이 결합점이라 생산자와 소비자 내부는 자유롭게 바꿀 수 있다.</t>
  </si>
  <si>
    <t>메모리 내 직접 디스패치라 큐잉 오버헤드 없이 지연이 매우 낮다. 반면 동기 전달이라 느린 구독자가 발행자를 막을 위험이 있다.</t>
  </si>
  <si>
    <t>버퍼링으로 처리량이 높고 급격한 부하도 유실 없이 흡수한다. 대신 큐잉 때문에 종단 간 지연이 늘어난다.</t>
  </si>
  <si>
    <t>전달·순서·완료가 보장되지 않고 이벤트가 조용히 유실될 수 있어 중요한 동작에는 부적합하다.</t>
  </si>
  <si>
    <t>영속화와 확인응답으로 재시도와 최소 1회 전달이 가능해 중요한 작업이 조용히 사라지지 않는다. 다만 중복 전달은 소비자가 처리해야 한다.</t>
  </si>
  <si>
    <r>
      <rPr/>
      <t>리스너의 등록·해제로 기능을 연결하거나 분리하기는 쉽지만, 이것이 독립 배포나 무중단 배포를 보장하지는 않는다. 같은 프로세스에 묶여 있으면 함께 재배포해야 할 수 있고, 교체 중 수신하지 못한 이벤트를 보존할 버퍼도 없으므로 장단점을 함께 고려했다. (</t>
    </r>
    <r>
      <rPr>
        <color rgb="FF1155CC"/>
        <u/>
      </rPr>
      <t>Microsoft Learn</t>
    </r>
    <r>
      <rPr/>
      <t>)</t>
    </r>
  </si>
  <si>
    <t>등록된 컴포넌트라면 브로드캐스트 이벤트를 받을 수 있어 누가 어떤 정보를 보는지 통제하기 어렵다.</t>
  </si>
  <si>
    <t>중앙 브로커에서 인증·인가를 일괄 적용할 수 있지만, 큐에 쌓인 메시지 자체에 대한 보호가 따로 필요하다.</t>
  </si>
  <si>
    <t>제어 흐름이 암묵적이고 등록 순서에 의존해서, 시나리오를 재현하려면 이벤트 토폴로지 전체를 재구성해야 한다.</t>
  </si>
  <si>
    <t>비동기성과 타이밍 때문에 종단 간 테스트가 비결정적이다. 다만 양쪽 모두 가짜 큐를 두고 개별 테스트는 가능하다.</t>
  </si>
  <si>
    <t>상태가 바뀌는 즉시 갱신되는 반응형 UI를 만들 수 있어 사용자 응답성이 좋다.</t>
  </si>
  <si>
    <t>사용자는 즉시가 아닌 최종적 결과를 보게 되므로 UI가 처리 중 상태를 알려줘야 한다.</t>
  </si>
  <si>
    <r>
      <rPr/>
      <t>생산자·소비자가 별도 배포 단위라면, 메시지 형식의 호환성을 유지하면서 각각 배포하기 쉽다. 소비자 교체 중에는 메시지를 큐에 보관할 수 있다. 다만 메시지 형식을 호환되지 않게 변경하면 구버전·신버전 사이의 문제가 발생하므로 버전 관리가 필요하다. (</t>
    </r>
    <r>
      <rPr>
        <color rgb="FF1155CC"/>
        <u/>
      </rPr>
      <t>Microsoft Learn</t>
    </r>
    <r>
      <rPr/>
      <t>)</t>
    </r>
  </si>
  <si>
    <r>
      <rPr/>
      <t>이벤트 형식과 리스너 인터페이스를 맞추면 새로운 구성요소를 연결하기 쉽다. 발생자가 각 리스너의 내부 구현을 알 필요가 없어 통합에 유리하다. 다만 이벤트의 의미·데이터 형식·호출 규약은 서로 맞아야 하므로 어떤 시스템이든 바로 연결되는 것은 아니다. (</t>
    </r>
    <r>
      <rPr>
        <color rgb="FF1155CC"/>
        <u/>
      </rPr>
      <t>Microsoft Learn</t>
    </r>
    <r>
      <rPr/>
      <t>)</t>
    </r>
  </si>
  <si>
    <r>
      <rPr/>
      <t>서로 다른 언어·플랫폼으로 구현된 시스템을 메시지 교환으로 연결하기 유리하다. 상대 시스템의 내부 구현이나 실행 시점에 대한 의존성을 줄일 수 있고, 필요하면 중간에서 메시지 형식을 변환할 수도 있다. 단, 메시지의 의미와 데이터 형식에 대한 합의는 필요하다. (</t>
    </r>
    <r>
      <rPr>
        <color rgb="FF1155CC"/>
        <u/>
      </rPr>
      <t>Enterprise Integration Patterns</t>
    </r>
    <r>
      <rPr/>
      <t>)</t>
    </r>
  </si>
  <si>
    <t>스타일 자체가 이중화를 제공하지는 않지만, 분리 덕분에 뷰가 실패하거나 교체되어도 모델과 그 로직에는 영향이 없다.</t>
  </si>
  <si>
    <t>에이전트가 자체 제어를 가진 독립 단위라 하나가 실패해도 해당 서브시스템만 저하되고 전체가 멈추지 않는다.</t>
  </si>
  <si>
    <t>뷰와 모델을 서로 다른 티어나 기기에 배포할 수 있고, 비즈니스 로직 재배포 없이 화면만 갱신할 수 있다.</t>
  </si>
  <si>
    <t>에이전트가 완결된 단위라 여러 노드에 분산 배포할 수 있다. 다만 에이전트 계층 구조를 일관된 구성으로 배포해야 한다.</t>
  </si>
  <si>
    <t>새 뷰는 안정된 모델 인터페이스를 기준으로 통합된다. 다만 컨트롤러와 뷰의 결합 때문에 일부 통합은 까다로울 수 있다.</t>
  </si>
  <si>
    <t>새 에이전트는 제어 컴포넌트를 통해 계층에 붙는다. 단점은 계층이 깊어지면 어디에 붙여야 할지 명확하지 않다는 점이다.</t>
  </si>
  <si>
    <t>변경 통지와 반복적인 뷰 갱신이, 상태를 한 번에 그리는 방식보다 오버헤드를 더한다.</t>
  </si>
  <si>
    <t>모든 에이전트가 각자 표현·추상화·제어 부분을 갖고, 메시지가 계층을 여러 단계 거치면서 자원을 더 쓴다.</t>
  </si>
  <si>
    <r>
      <rPr/>
      <t>버퍼 저장·관리 비용을 줄일 여지는 있지만, 전체 에너지 절감으로 단정하기는 어렵다. 이벤트 하나가 여러 리스너의 실행을 유발할 수 있으므로 이벤트 빈도와 리스너 수에 따라 처리량이 달라진다. 전력 측정이나 구체적인 부하 조건이 없는 기본 평가에서는 중립으로 판단했다. (</t>
    </r>
    <r>
      <rPr>
        <color rgb="FF1155CC"/>
        <u/>
      </rPr>
      <t>Node.js</t>
    </r>
    <r>
      <rPr/>
      <t>)</t>
    </r>
  </si>
  <si>
    <t>비즈니스 로직을 건드리지 않고 UI를 변경하거나 통째로 교체할 수 있으며, 여러 뷰가 한 모델을 공유할 수 있다.</t>
  </si>
  <si>
    <t>각 에이전트가 자기 데이터와 UI를 캡슐화하므로 변경이 해당 에이전트 안에 머물고 다른 곳으로 새지 않는다.</t>
  </si>
  <si>
    <t>모델·뷰·컨트롤러 사이의 간접 참조가 상태 변경마다 통지와 갱신 오버헤드를 만든다.</t>
  </si>
  <si>
    <t>에이전트 간 통신이 제어 컴포넌트를 거치므로 지연이 늘고, 계층이 깊을수록 더 심해진다.</t>
  </si>
  <si>
    <r>
      <rPr/>
      <t>부하를 평준화하여 순간 최대 부하에 맞춘 과도한 자원 확보를 줄일 여지가 있다. 반면 큐 운영과 메시지 저장·전달에도 자원이 필요하다. 이러한 상반된 효과가 있어, 구체적인 부하와 측정 결과 없이 전체 에너지 절감으로 판단하기는 어렵다. (</t>
    </r>
    <r>
      <rPr>
        <color rgb="FF1155CC"/>
        <u/>
      </rPr>
      <t>Microsoft Learn</t>
    </r>
    <r>
      <rPr/>
      <t>)</t>
    </r>
  </si>
  <si>
    <t>단일 권위 모델 덕분에 뷰 사이의 상태 불일치는 없지만 결함 허용 메커니즘은 없어, 모델이 실패하면 모든 뷰가 함께 멈춘다.</t>
  </si>
  <si>
    <t>에이전트 캡슐화가 한 서브시스템의 결함이 다른 서브시스템으로 번지는 것을 막는다.</t>
  </si>
  <si>
    <r>
      <rPr/>
      <t>발생자의 핵심 로직을 바꾸지 않고 리스너를 추가·교체·제거하여 동작을 확장하기 쉽다. 이벤트 계약이 유지된다면 발생자와 처리자의 내부 구현을 비교적 독립적으로 변경할 수 있어, 이 구조의 대표적인 장점이다. (</t>
    </r>
    <r>
      <rPr>
        <color rgb="FF1155CC"/>
        <u/>
      </rPr>
      <t>Microsoft Learn</t>
    </r>
    <r>
      <rPr/>
      <t>)</t>
    </r>
  </si>
  <si>
    <t>검증과 비즈니스 규칙이 뷰마다 중복되지 않고 모델에 모인다. 다만 클라이언트 측 뷰만 믿어서는 안 된다.</t>
  </si>
  <si>
    <r>
      <rPr/>
      <t>메시지 계약이 유지되면 생산자와 소비자의 내부 로직을 비교적 독립적으로 변경할 수 있다. 처리 기능을 다른 소비자로 교체하거나, 발행·구독 방식에서는 새로운 소비자를 추가하기도 쉽다. 다만 공통 메시지의 구조나 의미가 바뀌면 관련 구성요소에 변경이 전파될 수 있다. (</t>
    </r>
    <r>
      <rPr>
        <color rgb="FF1155CC"/>
        <u/>
      </rPr>
      <t>Microsoft Learn</t>
    </r>
    <r>
      <rPr/>
      <t>)</t>
    </r>
  </si>
  <si>
    <t>각 에이전트의 제어 컴포넌트가 해당 서브시스템의 접근 규칙을 강제하기 좋은 지점이 된다.</t>
  </si>
  <si>
    <t>모델 로직을 UI 없이 헤드리스로 테스트할 수 있고, 뷰는 스텁 모델로 검증할 수 있다.</t>
  </si>
  <si>
    <t>에이전트가 독립적으로 테스트 가능한 단위지만, 계층 간 상호작용은 여전히 통합 테스트가 필요하다.</t>
  </si>
  <si>
    <t>같은 데이터에 대한 여러 뷰를 동시에 제공하고 UI를 빠르게 개선할 수 있어 사용자 경험에 직접 도움이 된다.</t>
  </si>
  <si>
    <t>독립적이고 상호작용이 풍부한 여러 UI 서브시스템을 지원해 복잡한 대화형 애플리케이션에 잘 맞는다.</t>
  </si>
  <si>
    <r>
      <rPr/>
      <t>버퍼에 저장하고 꺼내는 과정이 없어 가벼운 이벤트의 전달 지연을 줄이기 유리하다. 반면 동기식 호출에서는 느린 리스너 때문에 후속 처리가 지연되고, 많은 리스너를 호출하는 비용도 발생한다. 낮은 전달 지연과 높은 처리량을 모두 보장하지는 않아 종합적으로 중립 평가했다. (</t>
    </r>
    <r>
      <rPr>
        <color rgb="FF1155CC"/>
        <u/>
      </rPr>
      <t>Node.js</t>
    </r>
    <r>
      <rPr/>
      <t>)</t>
    </r>
  </si>
  <si>
    <r>
      <rPr/>
      <t>순간적으로 몰리는 요청을 버퍼에 보관하고 처리 속도를 조절하여 과부하를 완화할 수 있다. 반면 큐 입출력과 대기 시간이 추가되고, 발생량이 처리량보다 계속 많으면 지연이 누적된다. 따라서 부하 대응에는 유리하지만 개별 요청의 완료 시간까지 빨라지는 것은 아니다. (</t>
    </r>
    <r>
      <rPr>
        <color rgb="FF1155CC"/>
        <u/>
      </rPr>
      <t>Microsoft Learn</t>
    </r>
    <r>
      <rPr/>
      <t>)</t>
    </r>
  </si>
  <si>
    <r>
      <rPr/>
      <t>안전 관련 이벤트의 처리 누락이나 지연을 구조 자체가 방지하지 못한다. 예를 들어 위험 감지 알림을 해당 리스너가 처리하지 못하면 필요한 안전 동작이 실행되지 않을 수 있다. 이러한 용도라면 처리 확인이나 독립적인 안전 장치 같은 추가 설계가 필요하다는 판단이다. (</t>
    </r>
    <r>
      <rPr>
        <color rgb="FF1155CC"/>
        <u/>
      </rPr>
      <t>Redis</t>
    </r>
    <r>
      <rPr/>
      <t>)</t>
    </r>
  </si>
  <si>
    <r>
      <rPr/>
      <t>안전 관련 제어에 적용할 경우, 긴급한 메시지가 큐에서 대기하면서 대응 시한을 놓칠 위험이 있다. 또한 여러 소비자가 병렬 처리하면 메시지의 최종 처리 순서가 달라질 수 있다. 버퍼링 자체는 최대 지연이나 안전한 실행 순서를 보장하지 않으므로 부정적으로 평가했다. (</t>
    </r>
    <r>
      <rPr>
        <color rgb="FF1155CC"/>
        <u/>
      </rPr>
      <t>Microsoft Learn</t>
    </r>
    <r>
      <rPr/>
      <t>)</t>
    </r>
  </si>
  <si>
    <t>이벤트 기반이라는 사실만으로 보안이 강화되거나 약화된다고 판단하기 어렵다. 이벤트를 누가 발행·구독할 수 있는지, 전달 데이터를 어떻게 검증하는지 등 구체적인 보안 설계를 별도로 평가해야 하므로 기본 점수는 중립으로 두었다.</t>
  </si>
  <si>
    <t>이중화 없는 단일 프로세스다. 서브루틴 하나가 실패하면 프로그램 전체가 죽고 부분 동작도 불가능하다.</t>
  </si>
  <si>
    <r>
      <rPr/>
      <t>브로커에서 메시지 발행·수신 권한을 관리할 수 있지만, 메시지 저장소와 전달 경로도 보호해야 한다. 비인가 메시지 삽입이나 열람을 막기 위한 인증·권한 관리·암호화가 별도로 필요하다. 따라서 버퍼링만으로 보안이 강화된다고 볼 수는 없다. (</t>
    </r>
    <r>
      <rPr>
        <color rgb="FF1155CC"/>
        <u/>
      </rPr>
      <t>Microsoft Learn</t>
    </r>
    <r>
      <rPr/>
      <t>)</t>
    </r>
  </si>
  <si>
    <t>슬레이브가 이중화를 제공해 교체·승격이 가능하므로 슬레이브 장애로는 시스템이 멈추지 않는다. 다만 자동 failover가 없으면 마스터는 여전히 단일 장애점이다.</t>
  </si>
  <si>
    <t>단일 실행 파일이라 설치는 매우 간단하지만, 한 줄만 고쳐도 프로그램 전체를 다시 배포해야 한다.</t>
  </si>
  <si>
    <r>
      <rPr/>
      <t>개별 리스너의 단위 테스트는 가능하지만, 전체 이벤트 흐름의 검증은 복잡해질 수 있다. 등록된 리스너 조합, 처리 중 추가 이벤트 발생, 예외 및 등록·해제 시점까지 고려해야 한다. 다만 모든 구현의 실행 순서가 불확정적인 것은 아니므로 강한 부정인 --까지는 부여하지 않았다. (</t>
    </r>
    <r>
      <rPr>
        <color rgb="FF1155CC"/>
        <u/>
      </rPr>
      <t>Microsoft Learn</t>
    </r>
    <r>
      <rPr/>
      <t>)</t>
    </r>
  </si>
  <si>
    <t>슬레이브는 런타임에 추가·제거할 수 있지만, 마스터와 슬레이브가 호환 버전이어야 해서 업그레이드 시 순서를 맞춘 배포가 필요하다.</t>
  </si>
  <si>
    <t>직접 호출 결합과 공유 전역 데이터 때문에 외부·서드파티 컴포넌트를 통합하는 일이 침습적이다.</t>
  </si>
  <si>
    <t>슬레이브는 마스터가 정의한 하나의 균일한 인터페이스로 통합되어 단순하다. 그러나 마스터는 작업을 어떻게 분할해 어디로 보낼지 알고 있어야 한다.</t>
  </si>
  <si>
    <t>하나의 주소 공간에서 직접 프로시저를 호출하므로 직렬화·IPC·네트워크 비용이 거의 없다.</t>
  </si>
  <si>
    <t>복제와 대기 슬레이브 용량이 실제로 쓰이지 않을 때도 CPU·저장소·네트워크를 계속 소비한다.</t>
  </si>
  <si>
    <r>
      <rPr/>
      <t>개별 소비자는 정해진 메시지를 입력하여 독립적으로 시험하기 좋지만, 전체 흐름의 검증은 복잡해진다. 비동기 처리 완료 시점, 큐에 남은 메시지, 병렬 처리 순서 등을 고려해야 하고, 재전송 기능이 있다면 중복 처리도 검증해야 한다. 여러 구성요소에 걸친 실행을 추적하기도 상대적으로 어렵다. (</t>
    </r>
    <r>
      <rPr>
        <color rgb="FF1155CC"/>
        <u/>
      </rPr>
      <t>Microsoft Learn</t>
    </r>
    <r>
      <rPr/>
      <t>)</t>
    </r>
  </si>
  <si>
    <t>계층적 호출 의존성과 공유 전역 데이터 때문에 변경의 영향이 여러 모듈로 퍼진다.</t>
  </si>
  <si>
    <t>고정된 계약 뒤에서 슬레이브 구현은 자유롭게 바꿀 수 있지만, 계약이나 분할 전략을 바꾸면 마스터와 모든 슬레이브를 함께 고쳐야 한다.</t>
  </si>
  <si>
    <r>
      <rPr/>
      <t>사용자 입력이나 상태 변화에 맞춰 화면과 기능이 반응하도록 구성하기 쉽다. 데이터 변경을 화면 갱신으로 연결하는 등 상호작용 구현에 유리하다. 다만 가벼운 핸들러 처리를 전제로 한 간접적 장점이며, 긴 처리가 화면 응답을 막으면 이 장점이 사라질 수 있다. (</t>
    </r>
    <r>
      <rPr>
        <color rgb="FF1155CC"/>
        <u/>
      </rPr>
      <t>Microsoft Learn</t>
    </r>
    <r>
      <rPr/>
      <t>)</t>
    </r>
  </si>
  <si>
    <t>인프로세스 호출이라 직렬화, 프로세스 간 통신, 네트워크 지연이 아예 없다.</t>
  </si>
  <si>
    <r>
      <rPr/>
      <t>오래 걸리는 작업을 분리하고 사용자에게 접수 응답을 먼저 줄 수 있다는 장점이 있다. 그러나 실제 결과는 나중에 나오므로 사용자가 완료 여부를 혼동할 수 있다. 처리 중·성공·실패 상태와 완료 알림을 별도로 설계해야 하므로, 기본 구조만으로는 긍정·부정 효과가 함께 있다고 판단했다. (</t>
    </r>
    <r>
      <rPr>
        <color rgb="FF1155CC"/>
        <u/>
      </rPr>
      <t>Microsoft Learn</t>
    </r>
    <r>
      <rPr/>
      <t>)</t>
    </r>
  </si>
  <si>
    <t>슬레이브에 작업을 병렬 분산해 처리량과 읽기 확장성이 올라간다. 반면 마스터가 쓰기·조정 병목이 되고, 복제 지연으로 슬레이브 데이터가 낡는다.</t>
  </si>
  <si>
    <t>부분 간 격리가 전혀 없어 서브루틴 하나의 결함이 프로세스 전체를 오염시키고 그대로 중단시킨다. 결함 격리나 복구 수단이 없다.</t>
  </si>
  <si>
    <t>중복된 슬레이브로 결과를 비교하고 슬레이브 결함 후에도 동작을 이어갈 수 있다. 다만 마스터가 죽으면 조정이 멈춘다.</t>
  </si>
  <si>
    <t>네트워크 노출 없는 단일 프로세스라 공격 표면은 작지만, 내부 권한 분리는 전혀 없다.</t>
  </si>
  <si>
    <t>마스터가 정책을 강제할 단일 지점을 제공하지만, 마스터와 슬레이브 사이의 모든 복제 채널을 인증·암호화해야 한다.</t>
  </si>
  <si>
    <t>처리 과정이 순차적이고 결정적이어서 처리 순서와 결과를 추적하기 쉽지만, 오류가 긴 실행이 끝난 뒤에야 발견되어 대응이 늦어진다.</t>
  </si>
  <si>
    <t>개별 서브루틴 단위 테스트는 쉽지만, 공유 전역 상태 때문에 완전한 격리는 어렵다.</t>
  </si>
  <si>
    <t>슬레이브 로직이 균일해 단독 테스트가 쉽지만, 타이밍과 복제 동작은 분산 테스트 환경이 있어야 검증할 수 있다.</t>
  </si>
  <si>
    <t>단계별 접근통제를 적용하기 쉽다.</t>
  </si>
  <si>
    <t>사용자가 시스템과 상호작용하는 방식에 본질적인 영향을 주지 않는다.</t>
  </si>
  <si>
    <t>사용자에게는 구조가 보이지 않지만, 갱신 직후 복제 지연이 낡은 조회 결과로 드러날 수 있다.</t>
  </si>
  <si>
    <t>스트림 처리 지향이라 처리 도중 상호작용이나 사용자 피드백이 거의 불가능하다.</t>
  </si>
  <si>
    <t>기능별 문제를 찾아 고치기는 쉽지만, 공통 Model에 문제가 생기면 여러 기능이 함께 영향을 받을 수 있다.</t>
  </si>
  <si>
    <t>각 티어를 독립적으로 복제하고 로드밸런싱할 수 있다. 다만 체인 중 한 티어라도 죽으면 요청은 실패한다.</t>
  </si>
  <si>
    <t>기능과 정보가 나뉘어 있어 한 기능의 문제가 다른 기능까지 번지는 것을 줄이기 좋다. 다만 실제로 장애를 격리하도록 구현해야 한다.</t>
  </si>
  <si>
    <t>서버를 로드밸런서 뒤에 복제해 가용성을 높일 수 있지만, 기본 형태에서는 서버 한 대의 장애가 모든 클라이언트를 동시에 마비시킨다.</t>
  </si>
  <si>
    <t>나뉜 기능을 따로 수정하기는 쉽지만, Model 변경 시 연결된 화면이나 Controller도 함께 배포해야 할 수 있다.</t>
  </si>
  <si>
    <t>다른 기능의 내부에 대한 의존성이 적어 필요한 에이전트를 따로 교체하기 좋다. 실제 독립 배포를 하려면 배포 단위도 나눠야 한다.</t>
  </si>
  <si>
    <t>하위 계층의 장애가 위로 전파되어 그 위에 쌓인 모든 것을 무력화한다. 상위 계층이 하위를 우회할 수 없기 때문이다.</t>
  </si>
  <si>
    <t>기능이 나뉘어 있고 공통 Model을 활용할 수 있어, 새로운 화면이나 기능을 연결하기 쉽다. 단, 데이터 형식과 사용 규칙은 맞춰야 한다.</t>
  </si>
  <si>
    <t>각 에이전트가 Control을 통해 연결되므로, 기존 기능의 내부를 크게 바꾸지 않고 새로운 기능을 추가·통합하기 쉽다.</t>
  </si>
  <si>
    <t>게스트 프로그램이 호스트로부터 격리되어 게스트 장애가 플랫폼을 무너뜨리지 않고, 인스턴스를 재시작하거나 이전할 수 있다.</t>
  </si>
  <si>
    <t>티어별로 별도 인프라에서 독립적으로 배포·확장·업그레이드할 수 있다.</t>
  </si>
  <si>
    <t>공통 정보를 활용하면 데이터를 여러 곳에 복사하고 서로 맞추는 작업을 줄일 여지가 있다. 실제 절감 효과는 구현에 따라 달라진다.</t>
  </si>
  <si>
    <t>서버 측 변경은 한 번 배포하면 모든 클라이언트에 즉시 반영된다. 별도 배포가 필요한 것은 진짜 클라이언트 측 변경뿐이다.</t>
  </si>
  <si>
    <t>에이전트 사이에서 요청을 전달하고 데이터를 맞추는 추가 작업이 생긴다. 사진에서는 정보 분산과 약한 결합의 비용이 겹친다.</t>
  </si>
  <si>
    <t>서비스가 커널 밖에서 동작하므로 실패한 서비스만 재시작하면 되고 시스템 전체가 내려가지 않는다.</t>
  </si>
  <si>
    <t>화면만 바꾸거나 업무 처리만 수정하기 쉽다. 다만 공통 Model의 구조를 바꾸면 다른 부분도 수정해야 할 수 있다.</t>
  </si>
  <si>
    <t>티어 경계가 명확해 통합 지점이 잘 정의된다. 반면 여러 티어를 가로지르는 통합은 인프로세스보다 손이 많이 간다.</t>
  </si>
  <si>
    <t>한 에이전트의 화면이나 처리 방식을 바꿔도 다른 에이전트의 수정은 줄이기 쉽다. 단, 서로 주고받는 규칙은 유지해야 한다.</t>
  </si>
  <si>
    <t>플랫폼 의존 부분이 하위 계층에 모여 있어 그 계층만 교체하면 다른 환경으로 이식할 수 있다. 다만 엄격한 계층 구조 때문에 배포 시 계층 간 버전 호환성을 맞춰야 한다.</t>
  </si>
  <si>
    <t>공개된 서버 API가 잘 문서화된 자연스러운 통합 지점이 되어 다양한 종류의 클라이언트가 붙을 수 있다.</t>
  </si>
  <si>
    <t>정보를 모아 관리하면 여러 곳의 데이터를 주고받고 맞추는 비용을 줄일 수 있다. 반대로 Model에 요청이 몰리면 병목이 될 수 있다.</t>
  </si>
  <si>
    <t>가상 머신만 있으면 동일한 이미지가 어디서든 실행되므로 호스트별 설치·설정 작업이 사라진다.</t>
  </si>
  <si>
    <t>독립적인 작업을 함께 처리할 수 있지만, 여러 C를 거치는 전달과 데이터 조정 때문에 시간이 더 걸릴 수도 있다.</t>
  </si>
  <si>
    <t>플러그인 서비스를 안정된 코어와 무관하게 배포·갱신·제거할 수 있다.</t>
  </si>
  <si>
    <t>화면 처리와 중요한 업무 규칙을 나누어 오류를 확인하고 검증하기 쉽다. 다만 공통 데이터의 오류가 여러 기능에 영향을 줄 가능성은 남는다.</t>
  </si>
  <si>
    <t>중요한 처리 기능을 분리하여 오류의 영향을 제한하기 좋다. 다만 동시에 진행되는 작업의 순서와 데이터 상태는 따로 검증해야 한다.</t>
  </si>
  <si>
    <t>모든 요청이 티어 사이의 네트워크 경계를 넘으면서 직렬화와 전송 비용을 더한다.</t>
  </si>
  <si>
    <t>계층 인터페이스가 명확해 외부 컴포넌트를 어디에 붙일지 분명하다. 다만 여러 계층을 가로질러야 하는 통합은 비용이 크다.</t>
  </si>
  <si>
    <t>무거운 연산을 효율적인 공용 서버에 집중시키고 씬 클라이언트는 전력을 거의 쓰지 않는다. 다만 상시 네트워크 통신 자체가 에너지를 소모한다.</t>
  </si>
  <si>
    <t>보호해야 할 기능을 구분하기는 쉽지만, 데이터가 모인 부분이 공격받으면 피해가 커질 수 있다.</t>
  </si>
  <si>
    <t>균일한 실행 인터페이스가 플랫폼 차이를 감춰 이식성 있는 통합이 쉽다. 다만 호스트의 네이티브 서비스와 연동하려면 별도 브리지가 필요하다.</t>
  </si>
  <si>
    <t>데이터를 기능별로 나누고 C를 통하는 접근을 관리하기 좋다. 하지만 인증과 접근 권한이 자동으로 제공되는 것은 아니다.</t>
  </si>
  <si>
    <t>새 기능은 커널이 정의한 인터페이스를 따르는 플러그인으로 통합되며 코어를 수정할 필요가 없다.</t>
  </si>
  <si>
    <t>티어 내부는 인터페이스 뒤에서 자유롭게 바꿀 수 있지만, 모든 티어를 관통하는 변경은 조율 비용이 크다.</t>
  </si>
  <si>
    <t>화면 없이 Model의 처리 규칙을 따로 시험하기 쉽고, 공통 데이터 상태도 확인하기 쉽다. 전체 구성요소를 연결한 시험은 별도로 필요하다.</t>
  </si>
  <si>
    <t>각 에이전트는 따로 시험하기 좋지만, 여러 에이전트가 함께 동작할 때의 처리 순서와 데이터 상태를 재현하기 어렵다.</t>
  </si>
  <si>
    <t>비즈니스 로직이 서버에 집중되어 API 계약만 안정적이면 클라이언트를 건드리지 않고 바꿀 수 있다.</t>
  </si>
  <si>
    <t>모든 요청이 여러 계층을 통과하며 계층마다 호출 오버헤드와 데이터 변환 비용을 더한다.</t>
  </si>
  <si>
    <t>해석 또는 에뮬레이션에 런타임 중복까지 더해져 네이티브 실행보다 CPU와 메모리를 훨씬 많이 쓴다.</t>
  </si>
  <si>
    <t>병목이 되는 티어만 독립적으로 확장해 처리량을 올릴 수 있으나, 티어 간 네트워크 홉이 요청당 지연을 늘린다.</t>
  </si>
  <si>
    <t>같은 Model의 정보를 활용하여 여러 화면에서 일관된 정보를 보여주기 쉽다. 다만 화면 자체의 편리함은 별도로 설계해야 한다.</t>
  </si>
  <si>
    <t>서버 자원을 증설해 부하를 감당할 수 있지만, 모든 상호작용이 네트워크 왕복 비용을 치르고 서버가 병목이 될 수 있다.</t>
  </si>
  <si>
    <t>각 화면이 독립적으로 반응하도록 만들기 좋지만, 관련 화면의 정보가 서로 다르게 보이지 않도록 맞춰야 한다.</t>
  </si>
  <si>
    <t>커널과 모든 서비스 사이의 프로세스 간 메시지 전달이 상시 통신 오버헤드를 만든다.</t>
  </si>
  <si>
    <t>티어 격리가 결함 전파를 제한해 한 티어의 장애가 다른 티어를 직접 손상시키지 않는다.</t>
  </si>
  <si>
    <t>중요한 로직을 서버에서 일관되게 통제해 잘못 동작하는 클라이언트가 피해를 일으키는 것을 막을 수 있다. 다만 서버가 실패하면 모든 클라이언트가 동시에 멈추고 자체 복구 수단은 없다.</t>
  </si>
  <si>
    <t>인터페이스만 안정적이면 다른 계층에 영향을 주지 않고 한 계층을 재구현하거나 교체할 수 있다.</t>
  </si>
  <si>
    <t>컴포넌트끼리 분리되어 각자 독립적으로 바뀔 수 있지만, Repository의 데이터 구조나 Schema를 변경하면 이를 사용하는 여러 컴포넌트에 연쇄적인 변경이 발생할 수 있다.</t>
  </si>
  <si>
    <t>프로그램이 하위 플랫폼과 무관하게 발전할 수 있고, 반대로 플랫폼도 프로그램을 바꾸지 않고 교체할 수 있다.</t>
  </si>
  <si>
    <t>티어 경계에 방화벽과 DMZ를 두고 데이터 티어로 갈수록 권한을 점진적으로 줄일 수 있다.</t>
  </si>
  <si>
    <t>최소한의 코어는 안정적으로 유지되고 서비스만 독립적으로 진화하므로 거의 모든 변경이 국소화된다.</t>
  </si>
  <si>
    <t>민감 데이터와 인가 로직이 서버에만 있고 클라이언트를 신뢰하지 않는다. 대신 서버가 집중된 고가치 표적이 된다.</t>
  </si>
  <si>
    <t>티어별로 스텁을 두고 개별 테스트가 가능하지만, 종단 간 테스트는 전체 스택이 떠 있어야 한다.</t>
  </si>
  <si>
    <t>계층 통과와 계층별 표현 간 반복 변환이 모든 연산에 지연을 더한다.</t>
  </si>
  <si>
    <t>서버 API를 클라이언트와 무관하게 테스트할 수 있고, 클라이언트는 스텁 서버로 검증할 수 있다.</t>
  </si>
  <si>
    <t>모든 연산 위에 해석·변환 계층이 하나 더 얹히며, 이것이 이 스타일의 가장 큰 비용이다.</t>
  </si>
  <si>
    <t>모든 서비스 상호작용이 직접 호출이 아니라 프로세스·메시지 경계를 넘어간다.</t>
  </si>
  <si>
    <t>사용자에게 직접적인 영향은 없으나, 누적된 티어 간 지연이 체감 응답성을 좌우한다.</t>
  </si>
  <si>
    <t>공용 서버에서 항상 일관되고 최신인 동작을 제공한다. 다만 네트워크 상태가 나쁘면 사용성이 크게 떨어진다.</t>
  </si>
  <si>
    <t>순서대로 강하게 연결되어 있어 한 함수의 장애가 전체 실행을 멈출 수 있다.</t>
  </si>
  <si>
    <t>계층 경계가 결함의 책임 범위를 분명히 해 원인 파악은 쉽지만, 결함 허용 메커니즘은 없고 하위 계층 장애가 상위로 그대로 전파된다.</t>
  </si>
  <si>
    <t>작업을 나누어 일부 작업자의 장애 영향을 줄일 수 있지만 Master 장애는 남는다.</t>
  </si>
  <si>
    <t>강한 샌드박싱으로 결함이 VM 경계 안에 갇혀 호스트나 다른 게스트를 손상시키지 못한다.</t>
  </si>
  <si>
    <t>함수들이 같은 실행 프로그램에 묶여 있어 일부만 따로 배포하기 어렵다.</t>
  </si>
  <si>
    <t>커널과 서비스 간 결함 격리로 문제가 있는 서비스가 신뢰 코어를 오염시키지 못한다.</t>
  </si>
  <si>
    <t>작업자를 분리해 교체하기 좋지만 Master와 주고받는 규칙은 유지해야 한다.</t>
  </si>
  <si>
    <t>계층이 자연스러운 다층 방어 경계가 되어 검증·인증·접근 제어를 단계적으로 강제할 수 있다.</t>
  </si>
  <si>
    <t>함수별 연결은 쉽지만 호출 규칙과 공통 데이터에 대한 의존성이 있다.</t>
  </si>
  <si>
    <t>같은 규칙의 작업자는 추가하기 쉽지만 다른 방식의 시스템을 연결하려면 조정이 필요하다.</t>
  </si>
  <si>
    <t>격리 덕분에 침해된 게스트가 호스트 시스템에서 접근할 수 있는 범위가 엄격히 제한된다.</t>
  </si>
  <si>
    <t>신뢰 컴퓨팅 기반(TCB)이 최소화되고 서비스가 최소 권한으로 동작해 공격 표면이 크게 줄어든다.</t>
  </si>
  <si>
    <t>직접 호출하고 정보를 함께 사용하므로 통신과 데이터 복사 비용이 적다.</t>
  </si>
  <si>
    <t>여러 작업자를 동시에 실행하고 결과를 모으는 데 추가 자원이 든다.</t>
  </si>
  <si>
    <t>하위 계층을 목(mock)으로 대체해 각 계층을 독립적으로 테스트할 수 있고, 계층 인터페이스가 좋은 테스트 이음새가 된다.</t>
  </si>
  <si>
    <t>기능은 나뉘어 있지만 호출 관계와 공통 데이터 변경이 다른 함수에도 영향을 준다.</t>
  </si>
  <si>
    <t>스냅샷이 가능한 완전 재현 환경이라 테스트가 결정적이고 초기화가 쉽다.</t>
  </si>
  <si>
    <t>작업자는 따로 수정하기 쉽지만 Master의 작업 배분 방식과는 맞춰야 한다.</t>
  </si>
  <si>
    <t>서비스가 작고, 좁고 안정적인 커널 인터페이스를 기준으로 독립 테스트가 가능하다.</t>
  </si>
  <si>
    <t>직접 호출은 빠르지만 순차 실행 때문에 앞 작업이 끝날 때까지 기다려야 한다.</t>
  </si>
  <si>
    <t>독립적인 작업을 여러 작업자가 동시에 처리하므로 처리량을 높이기 좋다.</t>
  </si>
  <si>
    <t>사용자에게 직접적인 영향은 없으나, 일관된 계층 구조가 인터페이스 전반의 균일한 동작을 뒷받침한다.</t>
  </si>
  <si>
    <t>실행 순서가 명확해 위험한 동작을 추적하고 점검하기 쉽다.</t>
  </si>
  <si>
    <t>최종 사용자에게는 투명하지만, 동일 애플리케이션을 여러 플랫폼에 배포하기가 훨씬 쉬워진다.</t>
  </si>
  <si>
    <t>작업을 나누어 오류 영향을 줄일 수 있지만 동시 실행과 결과 결합 오류는 점검해야 한다.</t>
  </si>
  <si>
    <t>사용자와 통합 개발자가 재빌드 없이 플러그인으로 시스템을 확장하거나 맞춤화할 수 있다.</t>
  </si>
  <si>
    <t>순서대로 접근을 점검하기 쉽지만 공통 정보가 노출되면 피해가 커질 수 있다.</t>
  </si>
  <si>
    <t>역할별 권한을 나누기 좋지만 여러 작업자와 통신 경로를 함께 보호해야 한다.</t>
  </si>
  <si>
    <t>역할별 장애를 나누기 좋지만 공통 데이터 계층이 멈추면 여러 기능이 영향을 받는다.</t>
  </si>
  <si>
    <t>입력과 실행 순서를 재현하기 쉽지만 연결된 함수를 따로 시험하기는 불편하다.</t>
  </si>
  <si>
    <t>여러 작업자의 실행 순서와 분산된 결과를 똑같이 재현하기 어렵다.</t>
  </si>
  <si>
    <t>Client의 장애는 분리하기 좋지만 공통 Server가 멈추면 여러 사용자가 영향을 받는다.</t>
  </si>
  <si>
    <t>공통 정보를 일관되게 보여줄 수 있지만 긴 작업이 사용자 응답을 늦출 수 있다.</t>
  </si>
  <si>
    <t>병렬 처리로 대기를 줄일 수 있지만 작업자별 상태를 사용자에게 일관되게 보여줘야 한다.</t>
  </si>
  <si>
    <t>역할별 실행 단위가 나뉘어 필요한 Tier를 따로 교체·배포하기 좋다.</t>
  </si>
  <si>
    <t>연결 규칙을 유지하면 Client와 Server를 각각 교체·배포하기 좋다.</t>
  </si>
  <si>
    <t>Tier 사이의 연결 규칙이 정해져 있어 새로운 기능을 연결하기 좋다.</t>
  </si>
  <si>
    <t>Server의 공개된 연결 규칙을 따르면 새로운 Client를 연결하기 쉽다.</t>
  </si>
  <si>
    <t>여러 Tier를 운영하고 서로 통신하는 데 추가 자원이 든다.</t>
  </si>
  <si>
    <t>Client와 Server를 따로 실행하고 통신하는 데 추가 자원이 든다.</t>
  </si>
  <si>
    <t>리스너가 동작하지 않는 동안 발생한 이벤트를 보관했다가 복구 후 다시 전달하기 어렵다. 또한 동기식으로 리스너를 호출한다면 느린 처리나 예외가 발생자 또는 다른 리스너의 정상 동작에 영향을 줄 수 있어, 장애 시 기능을 계속 제공하는 데 불리하다. (Redis)</t>
  </si>
  <si>
    <t>화면·업무·데이터 역할을 나누어 특정 역할의 기능을 따로 수정하기 좋다.</t>
  </si>
  <si>
    <t>화면과 서버 처리를 나누어 한쪽 기능을 비교적 독립적으로 수정하기 좋다.</t>
  </si>
  <si>
    <t>계층을 나누어도 하위 계층의 장애가 다른 계층에 영향을 줄 수 있다.</t>
  </si>
  <si>
    <t>Tier별 동시 처리로 처리량을 높일 수 있지만 통신 지연과 데이터 병목이 생길 수 있다.</t>
  </si>
  <si>
    <t>실행 환경을 분리하기 좋지만 공통 가상 실행 기반의 장애는 여러 기능에 영향을 준다.</t>
  </si>
  <si>
    <t>기능을 분리하기는 좋지만, 각각 따로 배포할 수 있는지는 구현에 따라 다르다.</t>
  </si>
  <si>
    <t>여러 요청을 동시에 처리할 수 있지만 통신 지연과 Server 병목이 생길 수 있다.</t>
  </si>
  <si>
    <t>부가 기능을 분리해 장애 영향을 줄이기 좋지만 핵심 커널의 장애는 남는다.</t>
  </si>
  <si>
    <t>계층을 나누어도 각각 따로 배포할 수 있는지는 구현에 따라 달라진다.</t>
  </si>
  <si>
    <t>실행 환경의 차이를 감춰 같은 프로그램을 다른 환경에 배포하기 좋다.</t>
  </si>
  <si>
    <t>역할 분리는 오류 격리에 유리하지만 동시 처리와 공통 데이터 오류는 점검해야 한다.</t>
  </si>
  <si>
    <t>핵심과 부가 기능의 연결 규칙을 유지하면 필요한 기능만 교체·배포하기 좋다.</t>
  </si>
  <si>
    <t>같은 이벤트 규칙을 따르면 새로운 기능을 연결하기 쉽다.</t>
  </si>
  <si>
    <t>계층 사이의 연결 규칙이 명확하면 새로운 기능을 연결하기 쉽다.</t>
  </si>
  <si>
    <t>역할별 검증은 쉽지만 잘못된 서버 데이터가 여러 Client에 영향을 줄 수 있다.</t>
  </si>
  <si>
    <t>서로 다른 언어·플랫폼으로 구현된 시스템을 메시지 교환으로 연결하기 유리하다. 상대 시스템의 내부 구현이나 실행 시점에 대한 의존성을 줄일 수 있고, 필요하면 중간에서 메시지 형식을 변환할 수도 있다. 단, 메시지의 의미와 데이터 형식에 대한 합의는 필요하다. (Enterprise Integration Patterns)</t>
  </si>
  <si>
    <t>공통 가상 실행 규칙을 따르면 서로 다른 환경의 기능을 연결하기 쉽다.</t>
  </si>
  <si>
    <t>정해진 확장 규칙을 통해 새로운 부가 기능을 연결하기 매우 쉽다.</t>
  </si>
  <si>
    <t>Tier별 접근 통제는 쉽지만 중앙 데이터와 여러 통신 경로를 함께 보호해야 한다.</t>
  </si>
  <si>
    <t>이벤트를 저장하는 비용은 없지만, 실제 전력 소모는 실행되는 작업량에 따라 달라진다.</t>
  </si>
  <si>
    <t>계층 수와 호출 방식에 따라 추가 처리 비용이 달라진다.</t>
  </si>
  <si>
    <t>Server에서 권한을 관리하기 쉽지만 정보 집중과 통신 경로의 위험도 있다.</t>
  </si>
  <si>
    <t>자원을 함께 쓰는 이점과 가상 실행 계층을 유지하는 비용이 함께 있다.</t>
  </si>
  <si>
    <t>부하를 평준화하여 순간 최대 부하에 맞춘 과도한 자원 확보를 줄일 여지가 있다. 반면 큐 운영과 메시지 저장·전달에도 자원이 필요하다. 이러한 상반된 효과가 있어, 구체적인 부하와 측정 결과 없이 전체 에너지 절감으로 판단하기는 어렵다. (Microsoft Learn)</t>
  </si>
  <si>
    <t>기능 사이의 간접 호출과 통신에 추가 자원이 든다.</t>
  </si>
  <si>
    <t>Tier별 시험은 쉽지만 여러 Tier가 동시에 연결된 동작을 재현하기는 어렵다.</t>
  </si>
  <si>
    <t>계층별로 담당하는 기능이 나뉘어 특정 계층을 따로 수정하기 쉽다.</t>
  </si>
  <si>
    <t>양쪽을 따로 시험하기 쉽지만 통신 장애와 동시 요청까지 재현해야 한다.</t>
  </si>
  <si>
    <t>프로그램과 실제 실행 환경을 분리해 한쪽 변경이 다른 쪽에 미치는 영향을 줄인다.</t>
  </si>
  <si>
    <t>발생자의 핵심 로직을 바꾸지 않고 리스너를 추가·교체·제거하여 동작을 확장하기 쉽다. 이벤트 계약이 유지된다면 발생자와 처리자의 내부 구현을 비교적 독립적으로 변경할 수 있어, 이 구조의 대표적인 장점이다. (Microsoft Learn)</t>
  </si>
  <si>
    <t>핵심을 크게 바꾸지 않고 부가 기능을 추가하거나 교체하기 매우 쉽다.</t>
  </si>
  <si>
    <t>메시지 계약이 유지되면 생산자와 소비자의 내부 로직을 비교적 독립적으로 변경할 수 있다. 처리 기능을 다른 소비자로 교체하거나, 발행·구독 방식에서는 새로운 소비자를 추가하기도 쉽다. 다만 공통 메시지의 구조나 의미가 바뀌면 관련 구성요소에 변경이 전파될 수 있다. (Microsoft Learn)</t>
  </si>
  <si>
    <t>여러 계층을 거치는 비용은 있지만 실제 영향은 호출 방식에 따라 달라진다.</t>
  </si>
  <si>
    <t>공통 데이터를 활용하고 화면 처리를 분리해 일관되고 반응성 있는 화면을 만들기 좋다.</t>
  </si>
  <si>
    <t>실제 실행 사이에 변환이나 중간 처리가 추가되어 응답이 느려질 수 있다.</t>
  </si>
  <si>
    <t>공통 Server의 정보를 여러 Client에서 일관되게 보여주기 좋다.</t>
  </si>
  <si>
    <t>기능이 커널이나 연결 경계를 거쳐 통신하므로 직접 호출보다 비용이 든다.</t>
  </si>
  <si>
    <t>계층 구분만으로 오류 전파나 위험한 동작을 막는다고 보기는 어렵다.</t>
  </si>
  <si>
    <t>트래픽이 몰릴 때 요청을 큐에 저장해 서버 과부하를 막을 수 있지만, 대기 시간이 생기므로 처리 자체가 빨라지는 것은 아니다.</t>
  </si>
  <si>
    <t>실행 경계에서 동작을 검사하고 잘못된 동작의 영향을 제한하기 좋다.</t>
  </si>
  <si>
    <t>중요한 핵심 기능을 작게 유지하고 부가 기능의 오류 영향을 제한하기 좋다.</t>
  </si>
  <si>
    <t>계층별 접근 통제를 둘 수 있지만 계층을 나눈 것만으로 보안이 높아지지는 않는다.</t>
  </si>
  <si>
    <t>안전 관련 이벤트의 처리 누락이나 지연을 구조 자체가 방지하지 못한다. 예를 들어 위험 감지 알림을 해당 리스너가 처리하지 못하면 필요한 안전 동작이 실행되지 않을 수 있다. 이러한 용도라면 처리 확인이나 독립적인 안전 장치 같은 추가 설계가 필요하다는 판단이다. (Redis)</t>
  </si>
  <si>
    <t>가상 실행 경계를 통해 자원 접근을 제한하고 관리하기 좋다.</t>
  </si>
  <si>
    <t>핵심 기능과 부가 기능의 접근 경계를 나누어 권한을 관리하기 좋다.</t>
  </si>
  <si>
    <t>계층 사이의 연결 규칙이 명확하면 각 계층을 따로 시험하기 쉽다.</t>
  </si>
  <si>
    <t>공통 실행 환경은 시험을 돕지만 동시 실행과 가상 계층의 영향도 확인해야 한다.</t>
  </si>
  <si>
    <t>이 방식 자체가 보안을 높여주지는 않는다. 인증과 접근 권한은 따로 설계해야 한다.</t>
  </si>
  <si>
    <t>부가 기능은 따로 시험하기 쉽지만 동시에 연결된 전체 동작은 복잡해진다.</t>
  </si>
  <si>
    <t>계층 구조 자체가 화면의 편리함이나 사용자 응답을 직접 결정하지는 않는다.</t>
  </si>
  <si>
    <t>브로커에서 메시지 발행·수신 권한을 관리할 수 있지만, 메시지 저장소와 전달 경로도 보호해야 한다. 비인가 메시지 삽입이나 열람을 막기 위한 인증·권한 관리·암호화가 별도로 필요하다. 따라서 버퍼링만으로 보안이 강화된다고 볼 수는 없다. (Microsoft Learn)</t>
  </si>
  <si>
    <t>환경 차이를 감춰 여러 환경에서 비슷한 사용 경험을 제공하기 좋다.</t>
  </si>
  <si>
    <t>공통 핵심 위에 필요한 사용자 기능을 추가해 일관된 사용 환경을 만들기 좋다.</t>
  </si>
  <si>
    <t>개별 기능은 시험하기 쉽지만, 여러 이벤트가 이어지는 전체 흐름은 확인하기 어렵다.</t>
  </si>
  <si>
    <t>개별 소비자는 정해진 메시지를 입력하여 독립적으로 시험하기 좋지만, 전체 흐름의 검증은 복잡해진다. 비동기 처리 완료 시점, 큐에 남은 메시지, 병렬 처리 순서 등을 고려해야 하고, 재전송 기능이 있다면 중복 처리도 검증해야 한다. 여러 구성요소에 걸친 실행을 추적하기도 상대적으로 어렵다. (Microsoft Learn)</t>
  </si>
  <si>
    <t>사용자 입력이나 상태 변화에 맞춰 화면과 기능이 반응하도록 구성하기 쉽다. 데이터 변경을 화면 갱신으로 연결하는 등 상호작용 구현에 유리하다. 다만 가벼운 핸들러 처리를 전제로 한 간접적 장점이며, 긴 처리가 화면 응답을 막으면 이 장점이 사라질 수 있다. (Microsoft Learn)</t>
  </si>
  <si>
    <t>오래 걸리는 작업을 분리하고 사용자에게 접수 응답을 먼저 줄 수 있다는 장점이 있다. 그러나 실제 결과는 나중에 나오므로 사용자가 완료 여부를 혼동할 수 있다. 처리 중·성공·실패 상태와 완료 알림을 별도로 설계해야 하므로, 기본 구조만으로는 긍정·부정 효과가 함께 있다고 판단했다. (Microsoft Learn)</t>
  </si>
  <si>
    <t>브로커가 클라이언트를 가용한 서버 인스턴스로 재바인딩해 개별 장애를 감춘다. 다만 브로커 자체가 별도 이중화가 필요한 단일 장애점이다.</t>
  </si>
  <si>
    <t>요청을 실패했거나 비정상인 인스턴스에서 정상 인스턴스로 우회시켜 인스턴스 장애가 클라이언트에 보이지 않는다.</t>
  </si>
  <si>
    <t>서버가 런타임에 브로커에 등록되므로 클라이언트 설정을 바꾸지 않고 인스턴스를 추가·이동·교체할 수 있다.</t>
  </si>
  <si>
    <t>디스패처 뒤에서 인스턴스를 배제·교체·추가할 수 있어 롤링 배포와 블루그린 배포가 가능해진다.</t>
  </si>
  <si>
    <t>클라이언트와 서버가 브로커 인터페이스만 알면 되므로 서로 다른 언어로 작성된 이기종 컴포넌트도 쉽게 통합된다.</t>
  </si>
  <si>
    <t>백엔드 구성과 무관하게 클라이언트에 하나의 안정된 진입점을 준다. 다만 디스패처가 모든 라우팅 대상을 알고 있어야 한다.</t>
  </si>
  <si>
    <t>모든 호출이 중간자에서 마샬링·전달·언마샬링을 거쳐 직접 호출보다 자원을 낭비한다.</t>
  </si>
  <si>
    <t>부하 분산 덕분에 유휴 인스턴스를 통합하거나 축소할 수 있다. 디스패처 홉 자체는 약간의 자원을 소비한다.</t>
  </si>
  <si>
    <t>위치 투명성과 구현 투명성 덕분에 클라이언트 변경 없이 서버를 옮기거나 다시 구현할 수 있다.</t>
  </si>
  <si>
    <t>라우팅 규칙과 백엔드 토폴로지를 클라이언트 변경 없이 한 곳에서 바꿀 수 있다.</t>
  </si>
  <si>
    <t>브로커를 거치는 간접 호출이 매번 지연을 더하고, 브로커가 처리량 병목이 된다.</t>
  </si>
  <si>
    <t>여러 인스턴스에 부하를 분산해 전체 처리량을 높인다. 대신 홉이 하나 늘어 지연이 생기고 디스패처가 포화될 위험이 있다.</t>
  </si>
  <si>
    <t>브로커가 실패한 서버 인스턴스를 우회해 다른 인스턴스로 재바인딩하므로 장애가 클라이언트에 노출되지 않는다. 다만 브로커 자체가 죽으면 시스템의 모든 상호작용이 멈춘다.</t>
  </si>
  <si>
    <t>헬스 체크로 장애 조짐이 있는 컴포넌트에서 트래픽을 미리 빼내 사용자 영향을 막는다.</t>
  </si>
  <si>
    <t>요청자와 처리자를 분리해 교체하기 좋지만 Broker 자체의 장애는 대비해야 한다.</t>
  </si>
  <si>
    <t>인증과 인가를 브로커에서 중앙 집중 적용할 수 있다. 반대로 브로커가 침해되면 모든 트래픽이 노출된다.</t>
  </si>
  <si>
    <t>여러 처리기로 작업을 나눌 수 있지만 Dispatcher 장애가 전체 요청에 영향을 줄 수 있다.</t>
  </si>
  <si>
    <t>Broker와의 연결 규칙을 유지하면 처리 기능을 따로 배포하기 좋다.</t>
  </si>
  <si>
    <t>TLS 종단, 속도 제한, 필터링을 적용할 단일 관문이 된다. 동시에 그 지점 하나가 침해 표적이 된다.</t>
  </si>
  <si>
    <t>처리기 역할은 나뉘지만 강한 연결 때문에 Dispatcher와 함께 배포해야 할 수 있다.</t>
  </si>
  <si>
    <t>Broker가 연결을 중개하므로 서로 다른 구성요소를 추가·연결하기 매우 좋다.</t>
  </si>
  <si>
    <t>새 처리기를 연결할 때 Dispatcher의 배분 규칙과 직접 연결을 함께 맞춰야 한다.</t>
  </si>
  <si>
    <t>목 브로커로 컴포넌트를 테스트할 수 있지만, 런타임 동적 바인딩 때문에 전체 시스템 테스트의 재현성은 떨어진다.</t>
  </si>
  <si>
    <t>역할을 나누어 운영하는 비용에 중개와 데이터 변환 비용까지 더해진다.</t>
  </si>
  <si>
    <t>직접 연결 비용은 적지만 여러 처리기를 동시에 운영하는 비용이 있다.</t>
  </si>
  <si>
    <t>개별 인스턴스는 평범하게 테스트되지만, 라우팅·페일오버·세션 고정 동작은 별도 테스트가 필요하다.</t>
  </si>
  <si>
    <t>상대의 내부 구현을 직접 알 필요가 없어 각 기능을 따로 수정하기 좋다.</t>
  </si>
  <si>
    <t>처리기나 배분 방식을 바꾸면 강하게 연결된 Dispatcher도 수정해야 할 수 있다.</t>
  </si>
  <si>
    <t>최종 사용자에게는 투명하며, 브로커가 연결해주는 서비스만 보인다.</t>
  </si>
  <si>
    <t>여러 처리를 동시에 진행할 수 있지만 Broker를 거치는 비용과 병목이 생길 수 있다.</t>
  </si>
  <si>
    <t>사용자에게는 보이지 않지만 체감 신뢰성과 응답 일관성을 높여준다.</t>
  </si>
  <si>
    <t>요청을 여러 처리기로 나누고 직접 전달하므로 처리량을 높이기 좋다.</t>
  </si>
  <si>
    <t>기능 분리는 오류 격리에 유리하지만 중개 오류와 동시 처리 순서는 점검해야 한다.</t>
  </si>
  <si>
    <t>동시 처리 오류와 강한 연결로 인한 오류 전파가 위험한 동작으로 이어질 수 있다.</t>
  </si>
  <si>
    <t>중개 지점에서 접근 규칙을 관리하기 좋지만 실제 인증과 권한 설정은 필요하다.</t>
  </si>
  <si>
    <t>여러 처리 경로를 보호해야 하며 강한 연결로 침해 영향이 번질 수 있다.</t>
  </si>
  <si>
    <t>Mico-Service</t>
  </si>
  <si>
    <t>Broker를 거치는 여러 기능의 동시 실행을 따라가며 재현하기 어렵다.</t>
  </si>
  <si>
    <t>여러 처리기의 실행 순서를 재현하기 어렵고 직접 연결된 기능을 따로 시험하기도 불편하다.</t>
  </si>
  <si>
    <t>여러 처리를 동시에 진행해 응답성을 높이기 좋지만 중개 지연은 관리해야 한다.</t>
  </si>
  <si>
    <t>여러 요청을 나누어 처리하므로 한 작업 때문에 다른 사용자가 기다리는 일을 줄이기 좋다.</t>
  </si>
  <si>
    <t>서비스가 독립 배포되고 이중화도 가능하지만, 중앙 버스나 레지스트리에 크게 의존하면 공유 의존성이 다시 생긴다.</t>
  </si>
  <si>
    <t>장애가 서비스 단위로 격리되고 각 서비스를 독립 복제하므로 부분 장애가 전체 정지가 아니라 성능 저하로 끝난다. 다만 서킷 브레이커와 타임아웃이 없으면 서비스 간 의존성이 연쇄 장애를 일으킬 수 있다.</t>
  </si>
  <si>
    <t>서비스는 서로 독립적으로 배포되지만, 공유 미들웨어와 전사 거버넌스가 릴리스 주기를 늦춘다.</t>
  </si>
  <si>
    <t>각 서비스가 독립적으로 배포·릴리스 가능해 지속적 배포가 실현된다. 대신 필요한 운영 도구가 상당히 무겁다.</t>
  </si>
  <si>
    <t>통합을 위해 만들어진 스타일이다. 계약 기반 서비스, 탐색, 프로토콜 중재로 이기종 레거시 시스템을 함께 동작시킨다.</t>
  </si>
  <si>
    <t>서비스별 역할을 나누고 의존성을 줄여 한 서비스의 장애가 다른 서비스로 번지는 것을 줄이기 좋다.</t>
  </si>
  <si>
    <t>역할과 정보를 나누고 약하게 연결해 일부 서비스의 장애 영향을 제한하기 매우 좋다.</t>
  </si>
  <si>
    <t>작고 명시적인 API라 서비스 조합이 쉽지만, 서비스 수가 늘수록 인터페이스 개수와 버전 관리 부담이 빠르게 커진다.</t>
  </si>
  <si>
    <t>서비스 간 연결 규칙을 유지하면 개별 서비스를 따로 교체하거나 배포하기 좋다.</t>
  </si>
  <si>
    <t>서비스별 책임과 데이터가 나뉘어 필요한 서비스만 따로 배포하기 매우 좋다.</t>
  </si>
  <si>
    <t>버스를 통한 메시지 중재·변환·오케스트레이션이 요청마다 상당한 CPU와 메모리를 소비한다.</t>
  </si>
  <si>
    <t>공통 서비스 규칙을 통해 서로 다른 시스템의 기능을 연결하기 쉽다.</t>
  </si>
  <si>
    <t>런타임 중복, 서비스별 인프라, 끊임없는 네트워크 호출 때문에 동일 기능의 모놀리식보다 훨씬 많은 자원을 소비한다.</t>
  </si>
  <si>
    <t>서비스 계약으로 새 기능을 연결하기 좋지만 분산된 데이터의 형식과 의미를 맞춰야 한다.</t>
  </si>
  <si>
    <t>여러 서비스를 따로 실행하고 서로 통신하는 데 추가 자원이 든다.</t>
  </si>
  <si>
    <t>서비스가 안정적으로 공표된 계약 뒤에서 진화한다. 다만 전사 거버넌스 때문에 계약 변경이 느리다.</t>
  </si>
  <si>
    <t>많은 서비스를 따로 운영하고 분산된 데이터를 주고받아 자원 소모가 커진다.</t>
  </si>
  <si>
    <t>각 서비스가 작고 소유 주체가 명확해 대부분의 변경이 서비스 하나 안에서 끝난다. 반면 여러 서비스에 걸친 변경은 모놀리식보다 어렵다.</t>
  </si>
  <si>
    <t>서비스 간 연결 규칙을 유지하면 다른 서비스를 크게 바꾸지 않고 내부 기능을 수정하기 쉽다.</t>
  </si>
  <si>
    <t>서비스별 책임과 데이터가 분리되어 한 서비스의 기능을 독립적으로 바꾸기 매우 쉽다.</t>
  </si>
  <si>
    <t>서비스를 원격으로 호출하고 데이터를 변환하는 과정에서 지연이 늘어날 수 있다.</t>
  </si>
  <si>
    <t>버스 중재, 장황한 메시지 포맷, 오케스트레이션 홉이 모든 상호작용에 눈에 띄는 지연을 더한다.</t>
  </si>
  <si>
    <t>동시 처리는 가능하지만 여러 서비스 호출과 데이터 조정으로 개별 요청의 지연이 늘 수 있다.</t>
  </si>
  <si>
    <t>병목 지점만 골라 독립적으로 확장해 높은 처리량을 낼 수 있으나, 서비스 간 네트워크 호출이 요청마다 지연을 더한다.</t>
  </si>
  <si>
    <t>서비스 분리로 오류 영향을 줄이기 좋지만 여러 서비스의 처리 순서는 따로 검증해야 한다.</t>
  </si>
  <si>
    <t>작은 서비스별로 중요한 동작을 검증하고 오류 영향을 제한하기 좋다.</t>
  </si>
  <si>
    <t>느슨한 결합이 결함을 서비스 안에 가두지만, 서비스에 걸친 분산 트랜잭션의 일관성 유지가 어렵다.</t>
  </si>
  <si>
    <t>서비스별 접근 권한을 나누기 좋지만 보호해야 할 통신 지점도 늘어난다.</t>
  </si>
  <si>
    <t>서비스별 정보와 접근 권한을 나누기 좋지만 많은 통신 지점의 보호는 필요하다.</t>
  </si>
  <si>
    <t>격벽(bulkhead)과 프로세스 격리가 결함 전파를 막는다. 다만 데이터가 분산되어 강한 일관성과 서비스 간 정합성 확보가 어렵다.</t>
  </si>
  <si>
    <t>여러 서비스에 걸친 처리 순서와 통신 상태를 같은 조건으로 재현하기 어렵다.</t>
  </si>
  <si>
    <t>여러 서비스의 실행 순서와 분산된 데이터 상태를 함께 재현하기 매우 어렵다.</t>
  </si>
  <si>
    <t>게이트웨이나 버스에서 모든 서비스에 보안 정책을 균일하게 강제할 수 있다. 그 지점이 고가치 표적이라는 점은 부담이다.</t>
  </si>
  <si>
    <t>서비스 연결 방식 자체가 화면의 편리함에 미치는 직접적인 영향은 적다.</t>
  </si>
  <si>
    <t>각 기능은 독립적으로 반응하기 좋지만 화면에 보이는 데이터 상태가 서로 다를 수 있다.</t>
  </si>
  <si>
    <t>서비스별 세분화된 인가가 가능하지만, 네트워크 엔드포인트가 많아져 공격 표면이 크게 넓어진다.</t>
  </si>
  <si>
    <t>서비스별로는 계약 기준 테스트가 가능하지만, 종단 간 오케스트레이션 테스트에는 시스템 대부분이 가용해야 한다.</t>
  </si>
  <si>
    <t>서비스별 단위 테스트는 쉽지만, 다수 서비스에 걸친 계약 테스트와 종단 간 테스트는 복잡하고 느리다.</t>
  </si>
  <si>
    <t>사용자에게 직접 영향은 없으나, 기존 서비스를 조합해 새로운 사용자 기능을 만들 수 있게 해준다.</t>
  </si>
  <si>
    <t>사용자에게 보이지는 않으나, 독립적인 빠른 릴리스 덕분에 기능이 더 일찍 전달된다.</t>
  </si>
  <si>
    <t>컨테이너별로 실행 환경이 나뉘어 장애 영향을 줄일 수 있지만 공통 호스트의 장애는 함께 영향을 준다.</t>
  </si>
  <si>
    <t>필요한 자원을 빠르게 확보해 장애 복구를 돕지만 자동 복구 기능은 따로 구성해야 한다.</t>
  </si>
  <si>
    <t>정보와 처리를 현장에 나누면 일부 연결 장애 중에도 현장 기능을 유지하기 좋다.</t>
  </si>
  <si>
    <t>프로그램과 실행 환경을 함께 묶어 같은 환경으로 반복해서 배포하기 쉽다.</t>
  </si>
  <si>
    <t>필요한 실행 자원을 빠르게 준비할 수 있어 배포 환경을 만들기 쉽다.</t>
  </si>
  <si>
    <t>현장별 실행 단위가 나뉘어 필요한 장치를 따로 갱신하기 좋지만 통신 제약은 남는다.</t>
  </si>
  <si>
    <t>실행 환경은 맞추기 쉽지만 서비스 사이의 데이터와 연결 규칙까지 자동으로 맞춰지지는 않는다.</t>
  </si>
  <si>
    <t>외부 연결 기능을 활용할 수 있지만 제공 업체별 연결 방식에 대한 의존성도 생긴다.</t>
  </si>
  <si>
    <t>현장마다 데이터와 장치 환경이 달라 전체 시스템과 연결할 때 조정이 필요하다.</t>
  </si>
  <si>
    <t>운영체제를 함께 사용하므로 실행 환경마다 중복으로 쓰는 자원을 줄일 수 있다.</t>
  </si>
  <si>
    <t>자원 공동 사용의 이점과 원격 통신 비용이 함께 있어 실제 전력 절감은 조건에 따라 다르다.</t>
  </si>
  <si>
    <t>분산된 장치를 계속 운영하고 데이터를 맞추는 비용이 있어 에너지 효율에 불리할 수 있다.</t>
  </si>
  <si>
    <t>실행 환경이 분리되어 다른 기능의 환경을 건드리지 않고 구성요소를 교체하기 좋다.</t>
  </si>
  <si>
    <t>오케스트레이터가 실패한 컨테이너를 자동으로 재시작·재배치·복제하므로 복구가 빠르고 대체로 무인으로 이뤄진다.</t>
  </si>
  <si>
    <t>다중 가용영역·리전 이중화와 관리형 페일오버로 적은 노력에 높은 가용성을 얻는다. 대신 제공자의 장애를 그대로 떠안는다.</t>
  </si>
  <si>
    <t>기능 변경에 맞춰 필요한 실행 자원을 쉽게 늘리거나 바꿀 수 있다.</t>
  </si>
  <si>
    <t>현장별 역할과 정보가 나뉘어 특정 현장의 기능을 따로 수정하기 좋다.</t>
  </si>
  <si>
    <t>클라우드와 연결이 끊겨도 엣지 노드가 계속 동작해 로컬 서비스가 유지된다. 다만 분산된 다수 노드의 가동률을 관리하기는 더 어렵다.</t>
  </si>
  <si>
    <t>실행 비용은 비교적 적지만 자원 경쟁과 컨테이너 간 통신 비용은 남는다.</t>
  </si>
  <si>
    <t>자원을 늘려 처리량을 높일 수 있지만 원격 통신 지연까지 없어지는 것은 아니다.</t>
  </si>
  <si>
    <t>불변 이미지가 어디서나 동일한 환경을 보장해 롤아웃과 롤백이 빠르고 반복 가능하다.</t>
  </si>
  <si>
    <t>정보가 생기는 현장에서 처리하므로 원격 왕복 지연을 줄이고 동시에 처리하기 좋다.</t>
  </si>
  <si>
    <t>인프라를 API로 온디맨드 프로비저닝하므로 환경을 몇 분 만에 만들고 반납할 수 있다.</t>
  </si>
  <si>
    <t>실행 환경을 나누는 것만으로 위험한 업무 동작이나 안전 시한을 보장하지는 않는다.</t>
  </si>
  <si>
    <t>이기종이고 간헐적으로만 연결되는 대규모 기기 집합을 갱신하는 일은 느리고 위험하며 롤백도 어렵다.</t>
  </si>
  <si>
    <t>클라우드 배치만으로 위험한 동작이나 안전 대응 시간을 보장하지는 않는다.</t>
  </si>
  <si>
    <t>현장 대응은 빠르지만 여러 장치의 동작과 데이터 상태가 어긋날 위험은 남는다.</t>
  </si>
  <si>
    <t>표준 이미지·네트워크·볼륨 인터페이스 덕분에 이기종 컴포넌트를 한 플랫폼에서 쉽게 조합할 수 있다.</t>
  </si>
  <si>
    <t>컨테이너별 접근을 제한할 수 있지만 커널을 공유하므로 커널이 침해되면 함께 영향을 받을 수 있다.</t>
  </si>
  <si>
    <t>보안 관리 기능을 활용할 수 있지만 외부 연결과 권한 설정에 따른 위험도 있다.</t>
  </si>
  <si>
    <t>풍부한 관리형 서비스와 API 덕분에 통합이 빠르다. 다만 제공자 고유 서비스는 종속(lock-in)을 만든다.</t>
  </si>
  <si>
    <t>여러 현장 장치와 통신 경로를 각각 보호해야 하므로 관리할 지점이 많다.</t>
  </si>
  <si>
    <t>로컬 처리가 센서·기기와 직접 연동되어 유리하지만, 엣지 하드웨어가 이기종이라 균일한 통합이 어렵다.</t>
  </si>
  <si>
    <t>같은 프로그램과 실행 환경을 반복해서 구성할 수 있어 시험 결과를 재현하기 쉽다.</t>
  </si>
  <si>
    <t>시험 자원은 쉽게 만들 수 있지만 원격 장애와 공동 자원 경쟁은 재현하기 어렵다.</t>
  </si>
  <si>
    <t>호스트 커널을 공유해 VM보다 집적도가 훨씬 높다. 다만 유휴 컨테이너를 많이 띄워두면 여전히 용량이 낭비된다.</t>
  </si>
  <si>
    <t>여러 현장의 장치 상태와 통신 상황을 같은 조건으로 재현하기 매우 어렵다.</t>
  </si>
  <si>
    <t>고가동률의 공유 데이터센터와 탄력적 축소가 유휴 온프레미스 설비보다 효율적이다. 다만 과다 프로비저닝된 인스턴스는 여전히 에너지를 낭비한다.</t>
  </si>
  <si>
    <t>컨테이너 배치 방식만으로 사용자가 느끼는 화면의 편리함이 달라지지는 않는다.</t>
  </si>
  <si>
    <t>네트워크가 연결된 곳에서 공통 서비스에 접근할 수 있어 이용 장소의 제약이 적다.</t>
  </si>
  <si>
    <t>로컬에서 처리해 원시 데이터를 네트워크로 보내지 않으므로 전송 에너지를 크게 아낀다. 다만 기기 자체의 전력 예산이 빠듯하다.</t>
  </si>
  <si>
    <t>현장 응답은 빨라지지만 장소별로 보이는 데이터가 달라 사용자 혼란이 생길 수 있다.</t>
  </si>
  <si>
    <t>개별 컨테이너를 다시 빌드해 나머지를 건드리지 않고 교체할 수 있다.</t>
  </si>
  <si>
    <t>용량과 구성을 조달 절차 없이 설정만으로 바꿀 수 있다. 반면 독자적 관리형 서비스에서 벗어나는 마이그레이션 비용은 크다.</t>
  </si>
  <si>
    <t>로직이 다수 기기에 분산되어 있어 모든 변경을 전체 기기 집합에 배포하고 검증해야 한다.</t>
  </si>
  <si>
    <t>가상화 오버헤드가 적어 거의 네이티브에 가까운 성능을 낸다. 다만 컨테이너 네트워킹과 스토리지 계층이 약간의 비용을 더한다.</t>
  </si>
  <si>
    <t>탄력적 확장이 부하 급증을 잘 흡수한다. 다만 지연은 리전 거리와 공유 테넌트 변동성에 좌우된다.</t>
  </si>
  <si>
    <t>데이터 발생 지점 옆에서 처리해 네트워크 왕복이 사라지고 지연이 매우 낮다. 다만 개별 엣지 노드의 연산 능력은 제한적이다.</t>
  </si>
  <si>
    <t>오케스트레이터가 실패한 컨테이너를 자동으로 감지해 재시작·재배치하고, 자원 제한이 폭주하는 컨테이너가 다른 컨테이너를 해치지 못하게 막는다.</t>
  </si>
  <si>
    <t>다중 가용영역 이중화, 관리형 페일오버, 자동 백업이 결함 허용을 기본으로 제공한다. 다만 장애 처리 방식에 대한 통제권 일부를 제공자에게 넘긴다.</t>
  </si>
  <si>
    <t>연결이 끊겨도 로컬 제어가 계속되므로 실시간·안전 필수 기능에 필수적인 특성이다.</t>
  </si>
  <si>
    <t>격리가 침해 범위를 제한하지만, 커널을 공유하므로 VM보다 경계가 약하고 이미지 공급망을 신뢰할 수 있어야 한다.</t>
  </si>
  <si>
    <t>제공자가 강력한 기본 통제와 컴플라이언스 인증을 제공하지만, 데이터가 외부로 나가며 설정 오류가 가장 큰 위험 요인이 된다.</t>
  </si>
  <si>
    <t>신뢰할 수 없는 장소에 놓인, 물리적으로 접근 가능하고 자원이 제한된 기기들이 공격 표면을 크게 넓힌다.</t>
  </si>
  <si>
    <t>테스트한 이미지가 그대로 운영에서 실행되어 환경 차이로 인한 장애 원인이 사라진다.</t>
  </si>
  <si>
    <t>운영과 유사한 전체 환경을 필요할 때 만들고 없앨 수 있어 현실적인 테스트가 가능하다. 제약은 비용과 쿼터다.</t>
  </si>
  <si>
    <t>현장 조건, 기기 이기종성, 간헐적 연결을 실험실에서 충실히 재현하기 어렵다.</t>
  </si>
  <si>
    <t>최종 사용자에게는 보이지 않고 시스템의 빌드·운영 방식에만 영향을 준다.</t>
  </si>
  <si>
    <t>전 세계 분산 배치로 지리적으로 흩어진 사용자의 응답성을 개선할 수 있다.</t>
  </si>
  <si>
    <t>낮은 지연과 오프라인에서도 이어지는 동작 덕분에 사용자가 시스템을 빠르고 믿음직하게 느낀다.</t>
  </si>
  <si>
    <t>계층 사이의 연결 규칙이 명확하면 각 계층을 따로 시험하기 쉽다(단위 테스트). 다만 통합 테스트의 경우 어려움이 존재한다.</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</si>
</sst>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FFFFFF"/>
      <name val="Calibri"/>
    </font>
    <font/>
    <font>
      <b/>
      <sz val="11.0"/>
      <color rgb="FF000000"/>
      <name val="Calibri"/>
    </font>
    <font>
      <sz val="11.0"/>
      <color rgb="FF000000"/>
      <name val="Calibri"/>
    </font>
    <font>
      <sz val="11.0"/>
      <color theme="1"/>
      <name val="Calibri"/>
    </font>
    <font>
      <u/>
      <sz val="11.0"/>
      <color theme="1"/>
      <name val="Calibri"/>
    </font>
    <font>
      <sz val="11.0"/>
      <color theme="1"/>
      <name val="Arial"/>
    </font>
    <font>
      <sz val="11.0"/>
      <color theme="1"/>
      <name val="Malgun Gothic"/>
    </font>
    <font>
      <sz val="11.0"/>
      <color rgb="FF000000"/>
      <name val="Arial"/>
    </font>
    <font>
      <sz val="11.0"/>
      <color rgb="FF000000"/>
      <name val="Noto Sans"/>
    </font>
    <font>
      <color theme="1"/>
      <name val="Calibri"/>
    </font>
    <font>
      <b/>
      <color theme="1"/>
      <name val="Calibri"/>
    </font>
    <font>
      <u/>
      <color rgb="FF0000FF"/>
    </font>
  </fonts>
  <fills count="7">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19">
    <border/>
    <border>
      <left style="thin">
        <color rgb="FFBFBFBF"/>
      </left>
      <right style="thin">
        <color rgb="FFBFBFBF"/>
      </right>
      <top style="thin">
        <color rgb="FFBFBFBF"/>
      </top>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right style="thin">
        <color rgb="FF000000"/>
      </right>
    </border>
    <border>
      <left style="thin">
        <color rgb="FF000000"/>
      </left>
      <right style="thin">
        <color rgb="FF000000"/>
      </right>
      <top/>
      <bottom style="thin">
        <color rgb="FF000000"/>
      </bottom>
    </border>
    <border>
      <left style="thin">
        <color rgb="FF000000"/>
      </left>
    </border>
    <border>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ill="1" applyFont="1">
      <alignment horizontal="center" vertical="center"/>
    </xf>
    <xf borderId="3" fillId="0" fontId="2" numFmtId="0" xfId="0" applyBorder="1" applyFont="1"/>
    <xf borderId="4" fillId="0" fontId="2" numFmtId="0" xfId="0" applyBorder="1" applyFont="1"/>
    <xf borderId="5" fillId="2" fontId="1" numFmtId="0" xfId="0" applyAlignment="1" applyBorder="1" applyFill="1" applyFont="1">
      <alignment horizontal="center" vertical="center"/>
    </xf>
    <xf borderId="5" fillId="3" fontId="3" numFmtId="0" xfId="0" applyAlignment="1" applyBorder="1" applyFill="1" applyFont="1">
      <alignment horizontal="center" vertical="center"/>
    </xf>
    <xf borderId="5" fillId="0" fontId="4" numFmtId="0" xfId="0" applyAlignment="1" applyBorder="1" applyFont="1">
      <alignment horizontal="left" vertical="center"/>
    </xf>
    <xf borderId="5" fillId="0" fontId="5" numFmtId="49" xfId="0" applyAlignment="1" applyBorder="1" applyFont="1" applyNumberFormat="1">
      <alignment horizontal="center" vertical="center"/>
    </xf>
    <xf borderId="5" fillId="3" fontId="3" numFmtId="49" xfId="0" applyAlignment="1" applyBorder="1" applyFill="1" applyFont="1" applyNumberFormat="1">
      <alignment horizontal="center" vertical="center"/>
    </xf>
    <xf borderId="5" fillId="0" fontId="5" numFmtId="0" xfId="0" applyAlignment="1" applyBorder="1" applyFont="1">
      <alignment horizontal="left" vertical="center"/>
    </xf>
    <xf borderId="5" fillId="0" fontId="5" numFmtId="49" xfId="0" applyAlignment="1" applyBorder="1" applyFont="1" applyNumberFormat="1">
      <alignment horizontal="left" vertical="center"/>
    </xf>
    <xf borderId="5" fillId="0" fontId="5" numFmtId="0" xfId="0" applyAlignment="1" applyBorder="1" applyFont="1">
      <alignment horizontal="center" vertical="center"/>
    </xf>
    <xf borderId="5" fillId="0" fontId="6" numFmtId="49" xfId="0" applyAlignment="1" applyBorder="1" applyFont="1" applyNumberFormat="1">
      <alignment horizontal="left" vertical="center"/>
    </xf>
    <xf borderId="5" fillId="0" fontId="4" numFmtId="0" xfId="0" applyAlignment="1" applyBorder="1" applyFont="1">
      <alignment vertical="center"/>
    </xf>
    <xf borderId="5" fillId="0" fontId="5" numFmtId="49" xfId="0" applyAlignment="1" applyBorder="1" applyFont="1" applyNumberFormat="1">
      <alignment vertical="center"/>
    </xf>
    <xf borderId="5" fillId="0" fontId="5" numFmtId="0" xfId="0" applyAlignment="1" applyBorder="1" applyFont="1">
      <alignment vertical="center"/>
    </xf>
    <xf borderId="6" fillId="2" fontId="1" numFmtId="0" xfId="0" applyAlignment="1" applyBorder="1" applyFill="1" applyFont="1">
      <alignment horizontal="center"/>
    </xf>
    <xf borderId="7" fillId="2" fontId="1" numFmtId="0" xfId="0" applyAlignment="1" applyBorder="1" applyFill="1" applyFont="1">
      <alignment horizontal="center"/>
    </xf>
    <xf borderId="8" fillId="0" fontId="2" numFmtId="0" xfId="0" applyBorder="1" applyFont="1"/>
    <xf borderId="9" fillId="0" fontId="2" numFmtId="0" xfId="0" applyBorder="1" applyFont="1"/>
    <xf borderId="10" fillId="2" fontId="1" numFmtId="0" xfId="0" applyAlignment="1" applyBorder="1" applyFill="1" applyFont="1">
      <alignment horizontal="center"/>
    </xf>
    <xf borderId="10" fillId="3" fontId="3" numFmtId="0" xfId="0" applyAlignment="1" applyBorder="1" applyFill="1" applyFont="1">
      <alignment horizontal="center"/>
    </xf>
    <xf borderId="10" fillId="0" fontId="5" numFmtId="0" xfId="0" applyBorder="1" applyFont="1"/>
    <xf borderId="6" fillId="4" fontId="7" numFmtId="0" xfId="0" applyAlignment="1" applyBorder="1" applyFill="1" applyFont="1">
      <alignment horizontal="center" shrinkToFit="0" wrapText="1"/>
    </xf>
    <xf borderId="7" fillId="4" fontId="7" numFmtId="0" xfId="0" applyAlignment="1" applyBorder="1" applyFill="1" applyFont="1">
      <alignment horizontal="center" shrinkToFit="0" wrapText="1"/>
    </xf>
    <xf borderId="10" fillId="0" fontId="7" numFmtId="0" xfId="0" applyAlignment="1" applyBorder="1" applyFont="1">
      <alignment horizontal="center" shrinkToFit="0" wrapText="1"/>
    </xf>
    <xf borderId="10" fillId="0" fontId="7" numFmtId="0" xfId="0" applyAlignment="1" applyBorder="1" applyFont="1">
      <alignment shrinkToFit="0" wrapText="1"/>
    </xf>
    <xf borderId="10" fillId="0" fontId="8" numFmtId="0" xfId="0" applyAlignment="1" applyBorder="1" applyFont="1">
      <alignment horizontal="center" shrinkToFit="0" wrapText="1"/>
    </xf>
    <xf borderId="10" fillId="0" fontId="8" numFmtId="0" xfId="0" applyAlignment="1" applyBorder="1" applyFont="1">
      <alignment shrinkToFit="0" wrapText="1"/>
    </xf>
    <xf borderId="10" fillId="0" fontId="8" numFmtId="49" xfId="0" applyAlignment="1" applyBorder="1" applyFont="1" applyNumberFormat="1">
      <alignment horizontal="center" shrinkToFit="0" wrapText="1"/>
    </xf>
    <xf borderId="10" fillId="0" fontId="8" numFmtId="49" xfId="0" applyAlignment="1" applyBorder="1" applyFont="1" applyNumberFormat="1">
      <alignment shrinkToFit="0" wrapText="1"/>
    </xf>
    <xf borderId="0" fillId="0" fontId="7" numFmtId="0" xfId="0" applyAlignment="1" applyFont="1">
      <alignment shrinkToFit="0" wrapText="1"/>
    </xf>
    <xf borderId="10" fillId="0" fontId="7" numFmtId="49" xfId="0" applyAlignment="1" applyBorder="1" applyFont="1" applyNumberFormat="1">
      <alignment shrinkToFit="0" wrapText="1"/>
    </xf>
    <xf borderId="0" fillId="0" fontId="5" numFmtId="0" xfId="0" applyFont="1"/>
    <xf borderId="11" fillId="4" fontId="7" numFmtId="0" xfId="0" applyAlignment="1" applyBorder="1" applyFill="1" applyFont="1">
      <alignment horizontal="center" shrinkToFit="0" wrapText="1"/>
    </xf>
    <xf borderId="12" fillId="4" fontId="5" numFmtId="0" xfId="0" applyBorder="1" applyFill="1" applyFont="1"/>
    <xf borderId="13" fillId="0" fontId="7" numFmtId="0" xfId="0" applyAlignment="1" applyBorder="1" applyFont="1">
      <alignment horizontal="center" shrinkToFit="0" wrapText="1"/>
    </xf>
    <xf borderId="10" fillId="0" fontId="5" numFmtId="0" xfId="0" applyAlignment="1" applyBorder="1" applyFont="1">
      <alignment shrinkToFit="0" wrapText="1"/>
    </xf>
    <xf borderId="14" fillId="4" fontId="5" numFmtId="0" xfId="0" applyBorder="1" applyFill="1" applyFont="1"/>
    <xf borderId="0" fillId="0" fontId="8" numFmtId="0" xfId="0" applyFont="1"/>
    <xf borderId="0" fillId="0" fontId="8" numFmtId="49" xfId="0" applyFont="1" applyNumberFormat="1"/>
    <xf borderId="0" fillId="0" fontId="5" numFmtId="49" xfId="0" applyFont="1" applyNumberFormat="1"/>
    <xf borderId="7" fillId="4" fontId="7" numFmtId="49" xfId="0" applyAlignment="1" applyBorder="1" applyFill="1" applyFont="1" applyNumberFormat="1">
      <alignment horizontal="center" shrinkToFit="0" wrapText="1"/>
    </xf>
    <xf borderId="10" fillId="0" fontId="7" numFmtId="49" xfId="0" applyAlignment="1" applyBorder="1" applyFont="1" applyNumberFormat="1">
      <alignment horizontal="center" shrinkToFit="0" wrapText="1"/>
    </xf>
    <xf borderId="15" fillId="0" fontId="5" numFmtId="0" xfId="0" applyBorder="1" applyFont="1"/>
    <xf borderId="16" fillId="4" fontId="7" numFmtId="0" xfId="0" applyAlignment="1" applyBorder="1" applyFill="1" applyFont="1">
      <alignment horizontal="center" shrinkToFit="0" wrapText="1"/>
    </xf>
    <xf borderId="10" fillId="0" fontId="9" numFmtId="0" xfId="0" applyAlignment="1" applyBorder="1" applyFont="1">
      <alignment vertical="bottom"/>
    </xf>
    <xf borderId="10" fillId="5" fontId="4" numFmtId="49" xfId="0" applyAlignment="1" applyBorder="1" applyFill="1" applyFont="1" applyNumberFormat="1">
      <alignment horizontal="center" shrinkToFit="0" wrapText="0"/>
    </xf>
    <xf borderId="10" fillId="5" fontId="9" numFmtId="0" xfId="0" applyAlignment="1" applyBorder="1" applyFill="1" applyFont="1">
      <alignment shrinkToFit="0" vertical="top" wrapText="1"/>
    </xf>
    <xf borderId="10" fillId="5" fontId="10" numFmtId="0" xfId="0" applyAlignment="1" applyBorder="1" applyFill="1" applyFont="1">
      <alignment vertical="top"/>
    </xf>
    <xf quotePrefix="1" borderId="10" fillId="5" fontId="4" numFmtId="49" xfId="0" applyAlignment="1" applyBorder="1" applyFill="1" applyFont="1" applyNumberFormat="1">
      <alignment horizontal="center" shrinkToFit="0" wrapText="0"/>
    </xf>
    <xf borderId="10" fillId="5" fontId="10" numFmtId="0" xfId="0" applyAlignment="1" applyBorder="1" applyFill="1" applyFont="1">
      <alignment shrinkToFit="0" vertical="top" wrapText="1"/>
    </xf>
    <xf borderId="0" fillId="5" fontId="10" numFmtId="0" xfId="0" applyAlignment="1" applyFill="1" applyFont="1">
      <alignment vertical="top"/>
    </xf>
    <xf borderId="0" fillId="0" fontId="4" numFmtId="0" xfId="0" applyAlignment="1" applyFont="1">
      <alignment shrinkToFit="0" vertical="bottom" wrapText="0"/>
    </xf>
    <xf borderId="0" fillId="0" fontId="4" numFmtId="49" xfId="0" applyAlignment="1" applyFont="1" applyNumberFormat="1">
      <alignment shrinkToFit="0" vertical="bottom" wrapText="0"/>
    </xf>
    <xf borderId="6" fillId="4" fontId="9" numFmtId="0" xfId="0" applyAlignment="1" applyBorder="1" applyFill="1" applyFont="1">
      <alignment horizontal="center" vertical="bottom"/>
    </xf>
    <xf borderId="17" fillId="4" fontId="9" numFmtId="49" xfId="0" applyAlignment="1" applyBorder="1" applyFill="1" applyFont="1" applyNumberFormat="1">
      <alignment horizontal="center" vertical="bottom"/>
    </xf>
    <xf borderId="18" fillId="4" fontId="4" numFmtId="0" xfId="0" applyAlignment="1" applyBorder="1" applyFill="1" applyFont="1">
      <alignment shrinkToFit="0" vertical="bottom" wrapText="0"/>
    </xf>
    <xf borderId="10" fillId="0" fontId="9" numFmtId="0" xfId="0" applyAlignment="1" applyBorder="1" applyFont="1">
      <alignment horizontal="center" vertical="bottom"/>
    </xf>
    <xf borderId="13" fillId="0" fontId="9" numFmtId="0" xfId="0" applyAlignment="1" applyBorder="1" applyFont="1">
      <alignment horizontal="center" vertical="bottom"/>
    </xf>
    <xf borderId="10" fillId="0" fontId="9" numFmtId="49" xfId="0" applyAlignment="1" applyBorder="1" applyFont="1" applyNumberFormat="1">
      <alignment horizontal="center" vertical="bottom"/>
    </xf>
    <xf borderId="13" fillId="0" fontId="9" numFmtId="49" xfId="0" applyAlignment="1" applyBorder="1" applyFont="1" applyNumberFormat="1">
      <alignment horizontal="center" vertical="bottom"/>
    </xf>
    <xf borderId="10" fillId="0" fontId="11" numFmtId="0" xfId="0" applyBorder="1" applyFont="1"/>
    <xf borderId="10" fillId="5" fontId="9" numFmtId="0" xfId="0" applyAlignment="1" applyBorder="1" applyFill="1" applyFont="1">
      <alignment vertical="top"/>
    </xf>
    <xf borderId="10" fillId="0" fontId="12" numFmtId="0" xfId="0" applyAlignment="1" applyBorder="1" applyFont="1">
      <alignment horizontal="center"/>
    </xf>
    <xf borderId="10" fillId="0" fontId="12" numFmtId="49" xfId="0" applyAlignment="1" applyBorder="1" applyFont="1" applyNumberFormat="1">
      <alignment horizontal="center"/>
    </xf>
    <xf borderId="9" fillId="4" fontId="4" numFmtId="0" xfId="0" applyAlignment="1" applyBorder="1" applyFill="1" applyFont="1">
      <alignment shrinkToFit="0" vertical="bottom" wrapText="0"/>
    </xf>
    <xf borderId="10" fillId="0" fontId="13" numFmtId="0" xfId="0" applyBorder="1" applyFont="1"/>
    <xf quotePrefix="1" borderId="10" fillId="0" fontId="11" numFmtId="49" xfId="0" applyAlignment="1" applyBorder="1" applyFont="1" applyNumberFormat="1">
      <alignment horizontal="center"/>
    </xf>
    <xf borderId="17" fillId="4" fontId="9" numFmtId="0" xfId="0" applyAlignment="1" applyBorder="1" applyFill="1" applyFont="1">
      <alignment horizontal="center" vertical="bottom"/>
    </xf>
    <xf borderId="10" fillId="0" fontId="11" numFmtId="49" xfId="0" applyAlignment="1" applyBorder="1" applyFont="1" applyNumberFormat="1">
      <alignment horizontal="center"/>
    </xf>
    <xf borderId="10" fillId="4" fontId="4" numFmtId="0" xfId="0" applyAlignment="1" applyBorder="1" applyFill="1" applyFont="1">
      <alignment shrinkToFit="0" vertical="bottom" wrapText="0"/>
    </xf>
    <xf borderId="10" fillId="6" fontId="9" numFmtId="0" xfId="0" applyAlignment="1" applyBorder="1" applyFill="1" applyFont="1">
      <alignment vertical="bottom"/>
    </xf>
    <xf borderId="0" fillId="0" fontId="9" numFmtId="0" xfId="0" applyAlignment="1" applyFont="1">
      <alignment horizontal="center" vertical="bottom"/>
    </xf>
    <xf borderId="10" fillId="5" fontId="4" numFmtId="0" xfId="0" applyAlignment="1" applyBorder="1" applyFill="1" applyFont="1">
      <alignment vertical="top"/>
    </xf>
    <xf borderId="6" fillId="0" fontId="9" numFmtId="0" xfId="0" applyAlignment="1" applyBorder="1" applyFont="1">
      <alignment horizontal="center" vertical="bottom"/>
    </xf>
    <xf quotePrefix="1" borderId="10" fillId="5" fontId="4" numFmtId="49" xfId="0" applyAlignment="1" applyBorder="1" applyFill="1" applyFont="1" applyNumberFormat="1">
      <alignment horizontal="center" readingOrder="0" shrinkToFit="0" wrapText="0"/>
    </xf>
    <xf borderId="10" fillId="5" fontId="10" numFmtId="0" xfId="0" applyAlignment="1" applyBorder="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nodejs.org/api/events.html" TargetMode="External"/><Relationship Id="rId10" Type="http://schemas.openxmlformats.org/officeDocument/2006/relationships/hyperlink" Target="https://learn.microsoft.com/en-us/azure/architecture/guide/architecture-styles/event-driven" TargetMode="External"/><Relationship Id="rId13" Type="http://schemas.openxmlformats.org/officeDocument/2006/relationships/hyperlink" Target="https://redis.io/docs/latest/develop/pubsub/" TargetMode="External"/><Relationship Id="rId12" Type="http://schemas.openxmlformats.org/officeDocument/2006/relationships/hyperlink" Target="https://learn.microsoft.com/en-us/azure/architecture/patterns/queue-based-load-leveling" TargetMode="External"/><Relationship Id="rId1" Type="http://schemas.openxmlformats.org/officeDocument/2006/relationships/hyperlink" Target="https://redis.io/docs/latest/develop/pubsub/" TargetMode="External"/><Relationship Id="rId2" Type="http://schemas.openxmlformats.org/officeDocument/2006/relationships/hyperlink" Target="https://learn.microsoft.com/en-us/azure/architecture/patterns/queue-based-load-leveling" TargetMode="External"/><Relationship Id="rId3" Type="http://schemas.openxmlformats.org/officeDocument/2006/relationships/hyperlink" Target="https://learn.microsoft.com/en-us/dotnet/standard/events/observer-design-pattern" TargetMode="External"/><Relationship Id="rId4" Type="http://schemas.openxmlformats.org/officeDocument/2006/relationships/hyperlink" Target="https://learn.microsoft.com/en-us/azure/architecture/patterns/publisher-subscriber" TargetMode="External"/><Relationship Id="rId9" Type="http://schemas.openxmlformats.org/officeDocument/2006/relationships/hyperlink" Target="https://learn.microsoft.com/en-us/dotnet/standard/events/observer-design-pattern" TargetMode="External"/><Relationship Id="rId15" Type="http://schemas.openxmlformats.org/officeDocument/2006/relationships/hyperlink" Target="https://learn.microsoft.com/en-us/azure/architecture/patterns/publisher-subscriber" TargetMode="External"/><Relationship Id="rId14" Type="http://schemas.openxmlformats.org/officeDocument/2006/relationships/hyperlink" Target="https://learn.microsoft.com/en-us/azure/architecture/patterns/queue-based-load-leveling" TargetMode="External"/><Relationship Id="rId17" Type="http://schemas.openxmlformats.org/officeDocument/2006/relationships/hyperlink" Target="https://learn.microsoft.com/en-us/azure/architecture/guide/architecture-styles/event-driven" TargetMode="External"/><Relationship Id="rId16" Type="http://schemas.openxmlformats.org/officeDocument/2006/relationships/hyperlink" Target="https://learn.microsoft.com/en-us/dotnet/standard/events/observer-design-pattern-best-practices" TargetMode="External"/><Relationship Id="rId5" Type="http://schemas.openxmlformats.org/officeDocument/2006/relationships/hyperlink" Target="https://learn.microsoft.com/en-us/dotnet/standard/events/observer-design-pattern" TargetMode="External"/><Relationship Id="rId19" Type="http://schemas.openxmlformats.org/officeDocument/2006/relationships/hyperlink" Target="https://learn.microsoft.com/en-us/azure/architecture/patterns/async-request-reply" TargetMode="External"/><Relationship Id="rId6" Type="http://schemas.openxmlformats.org/officeDocument/2006/relationships/hyperlink" Target="https://www.enterpriseintegrationpatterns.com/patterns/messaging/Messaging.html" TargetMode="External"/><Relationship Id="rId18" Type="http://schemas.openxmlformats.org/officeDocument/2006/relationships/hyperlink" Target="https://learn.microsoft.com/en-us/dotnet/standard/events/observer-design-pattern" TargetMode="External"/><Relationship Id="rId7" Type="http://schemas.openxmlformats.org/officeDocument/2006/relationships/hyperlink" Target="https://nodejs.org/api/events.html" TargetMode="External"/><Relationship Id="rId8" Type="http://schemas.openxmlformats.org/officeDocument/2006/relationships/hyperlink" Target="https://learn.microsoft.com/en-us/azure/architecture/patterns/queue-based-load-level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41.29"/>
    <col customWidth="1" min="4" max="4" width="7.71"/>
    <col customWidth="1" min="5" max="5" width="39.0"/>
    <col customWidth="1" min="6" max="6" width="7.71"/>
    <col customWidth="1" min="7" max="7" width="40.0"/>
  </cols>
  <sheetData>
    <row r="1">
      <c r="A1" s="1"/>
      <c r="B1" s="2" t="s">
        <v>2</v>
      </c>
      <c r="C1" s="3"/>
      <c r="D1" s="2" t="s">
        <v>8</v>
      </c>
      <c r="E1" s="3"/>
      <c r="F1" s="2" t="s">
        <v>9</v>
      </c>
      <c r="G1" s="3"/>
    </row>
    <row r="2">
      <c r="A2" s="4"/>
      <c r="B2" s="5" t="s">
        <v>7</v>
      </c>
      <c r="C2" s="5" t="s">
        <v>10</v>
      </c>
      <c r="D2" s="5" t="s">
        <v>7</v>
      </c>
      <c r="E2" s="5" t="s">
        <v>10</v>
      </c>
      <c r="F2" s="5" t="s">
        <v>7</v>
      </c>
      <c r="G2" s="5" t="s">
        <v>10</v>
      </c>
    </row>
    <row r="3">
      <c r="A3" s="6" t="s">
        <v>11</v>
      </c>
      <c r="B3" s="6" t="str">
        <f>'Detailed Reasoning'!B$3</f>
        <v/>
      </c>
      <c r="C3" s="6" t="str">
        <f>'Detailed Reasoning'!C$3</f>
        <v/>
      </c>
      <c r="D3" s="6" t="str">
        <f>'Detailed Reasoning'!D$3</f>
        <v/>
      </c>
      <c r="E3" s="6" t="str">
        <f>'Detailed Reasoning'!E$3</f>
        <v/>
      </c>
      <c r="F3" s="9" t="str">
        <f>'Detailed Reasoning'!F$3</f>
        <v/>
      </c>
      <c r="G3" s="9" t="str">
        <f>'Detailed Reasoning'!G$3</f>
        <v/>
      </c>
    </row>
    <row r="4">
      <c r="A4" s="7" t="s">
        <v>15</v>
      </c>
      <c r="B4" s="8" t="str">
        <f>'AI#1 (Claude)'!B$3</f>
        <v>-</v>
      </c>
      <c r="C4" s="10" t="str">
        <f>'AI#1 (Claude)'!C3</f>
        <v>중간 결과를 사용할 수 없고, 한 단계에서 실패하면 배치 전체를 다시 실행해야 한다. 예약된 실행 사이에는 시스템이 사실상 사용 불가 상태다.</v>
      </c>
      <c r="D4" s="8" t="str">
        <f>'AI#1 (Claude)'!D$3</f>
        <v>0</v>
      </c>
      <c r="E4" s="10" t="str">
        <f>'AI#1 (Claude)'!E3</f>
        <v>필터가 독립적이라 개별 재시작이 가능하지만, 파이프가 끊기면 파이프라인 전체가 멈추고 파이프 안의 처리 중 데이터는 유실된다.</v>
      </c>
      <c r="F4" s="8" t="str">
        <f>'AI#1 (Claude)'!F$3</f>
        <v>++</v>
      </c>
      <c r="G4" s="10" t="str">
        <f>'AI#1 (Claude)'!G3</f>
        <v>연속적인 피드백 루프가 환경 변화에도 설정값을 향해 스스로 보정하며 동작을 유지한다. 연속 운전 시스템에 정확히 필요한 특성이다.</v>
      </c>
    </row>
    <row r="5">
      <c r="A5" s="7" t="s">
        <v>16</v>
      </c>
      <c r="B5" s="8" t="str">
        <f>'AI#2(Gpt)'!B$3</f>
        <v>-</v>
      </c>
      <c r="C5" s="10" t="str">
        <f>'AI#2(Gpt)'!C$3</f>
        <v>한 단계에서 장애가 발생하면 뒤 단계가 모두 진행되지 못한다. 전체 처리 흐름이 직렬로 연결되어 있어 특정 단계의 실패가 전체 서비스 중단으로 이어지기 쉽다.</v>
      </c>
      <c r="D5" s="8" t="str">
        <f t="shared" ref="D5:G5" si="1">#REF!</f>
        <v>#REF!</v>
      </c>
      <c r="E5" s="11" t="str">
        <f t="shared" si="1"/>
        <v>#REF!</v>
      </c>
      <c r="F5" s="8" t="str">
        <f t="shared" si="1"/>
        <v>#REF!</v>
      </c>
      <c r="G5" s="11" t="str">
        <f t="shared" si="1"/>
        <v>#REF!</v>
      </c>
    </row>
    <row r="6">
      <c r="A6" s="7" t="s">
        <v>17</v>
      </c>
      <c r="B6" s="8" t="str">
        <f>Human!B$3</f>
        <v>-</v>
      </c>
      <c r="C6" s="11" t="str">
        <f>Human!C$3</f>
        <v>한 단계에서 장애가 발생하면 뒤 단계가 모두 진행되지 못한다. 전체 처리 흐름이 직렬로 연결되어 있어 특정 단계의 실패가 전체 서비스 중단으로 이어지기 쉽다.</v>
      </c>
      <c r="D6" s="8" t="str">
        <f>Human!D$3</f>
        <v>0</v>
      </c>
      <c r="E6" s="11" t="str">
        <f>Human!E$3</f>
        <v>Filter들이 독립적이라 일부를 교체·복구하기는 쉽지만, 파이프라인 중 하나의 Filter가 멈추면 전체 흐름이 막힐 수 있다. 장단점이 모두 존재한다.</v>
      </c>
      <c r="F6" s="8" t="str">
        <f>Human!F$3</f>
        <v>+</v>
      </c>
      <c r="G6" s="11" t="str">
        <f>Human!G$3</f>
        <v>시스템 상태를 지속적으로 감시하고 피드백을 통해 이상 상태를 보정할 수 있다. 다만 센서나 Controller 같은 핵심 요소가 고장 나면 전체 제어에 영향을 줄 수 있다.</v>
      </c>
    </row>
    <row r="7">
      <c r="A7" s="10"/>
      <c r="B7" s="12"/>
      <c r="C7" s="10"/>
      <c r="D7" s="12"/>
      <c r="E7" s="10"/>
      <c r="F7" s="12"/>
      <c r="G7" s="10"/>
    </row>
    <row r="8">
      <c r="A8" s="6" t="s">
        <v>18</v>
      </c>
      <c r="B8" s="6" t="str">
        <f>'Detailed Reasoning'!B$4</f>
        <v/>
      </c>
      <c r="C8" s="6" t="str">
        <f>'Detailed Reasoning'!C$4</f>
        <v/>
      </c>
      <c r="D8" s="6" t="str">
        <f>'Detailed Reasoning'!D$4</f>
        <v/>
      </c>
      <c r="E8" s="6" t="str">
        <f>'Detailed Reasoning'!E$4</f>
        <v/>
      </c>
      <c r="F8" s="9" t="str">
        <f>'Detailed Reasoning'!F$4</f>
        <v/>
      </c>
      <c r="G8" s="9" t="str">
        <f>'Detailed Reasoning'!G$4</f>
        <v/>
      </c>
    </row>
    <row r="9">
      <c r="A9" s="7" t="s">
        <v>15</v>
      </c>
      <c r="B9" s="8" t="str">
        <f>'AI#1 (Claude)'!B$4</f>
        <v>+</v>
      </c>
      <c r="C9" s="10" t="str">
        <f>'AI#1 (Claude)'!C4</f>
        <v>각 단계가 파일로만 통신하는 독립 실행 프로그램이므로 개별 설치·스케줄링이 가능하다. 다만 전체 체인의 스케줄을 일관되게 다시 잡아야 한다.</v>
      </c>
      <c r="D9" s="8" t="str">
        <f>'AI#1 (Claude)'!D$4</f>
        <v>+</v>
      </c>
      <c r="E9" s="10" t="str">
        <f>'AI#1 (Claude)'!E4</f>
        <v>필터가 파이프로만 연결된 개별 배포 단위지만, 파이프라인 토폴로지와 버퍼 설정을 배포 간에 일관되게 유지해야 한다.</v>
      </c>
      <c r="F9" s="8" t="str">
        <f>'AI#1 (Claude)'!F$4</f>
        <v>-</v>
      </c>
      <c r="G9" s="10" t="str">
        <f>'AI#1 (Claude)'!G4</f>
        <v>특정 센서·액추에이터와 튜닝된 파라미터에 강하게 결합되어 있어 배포마다 현장 보정과 검증이 필요하다.</v>
      </c>
    </row>
    <row r="10">
      <c r="A10" s="7" t="s">
        <v>16</v>
      </c>
      <c r="B10" s="8" t="str">
        <f>'AI#2(Gpt)'!B$4</f>
        <v>+</v>
      </c>
      <c r="C10" s="11" t="str">
        <f>'AI#2(Gpt)'!C$4</f>
        <v>각 처리 단계를 별도의 프로그램/모듈로 구성할 수 있어 단계별 배포가 비교적 쉽다. 다만 단계 간 데이터 형식이 바뀌면 연쇄적인 수정이 필요할 수 있다.</v>
      </c>
      <c r="D10" s="8" t="str">
        <f t="shared" ref="D10:G10" si="2">#REF!</f>
        <v>#REF!</v>
      </c>
      <c r="E10" s="11" t="str">
        <f t="shared" si="2"/>
        <v>#REF!</v>
      </c>
      <c r="F10" s="8" t="str">
        <f t="shared" si="2"/>
        <v>#REF!</v>
      </c>
      <c r="G10" s="11" t="str">
        <f t="shared" si="2"/>
        <v>#REF!</v>
      </c>
    </row>
    <row r="11">
      <c r="A11" s="7" t="s">
        <v>17</v>
      </c>
      <c r="B11" s="8" t="str">
        <f>Human!B$4</f>
        <v>+</v>
      </c>
      <c r="C11" s="11" t="str">
        <f>Human!C$4</f>
        <v>각 처리 단계를 별도의 프로그램/모듈로 구성할 수 있어 단계별 배포가 비교적 쉽다. 다만 단계 간 데이터 형식이 바뀌면 연쇄적인 수정이 필요할 수 있다.</v>
      </c>
      <c r="D11" s="8" t="str">
        <f>Human!D$4</f>
        <v>+</v>
      </c>
      <c r="E11" s="11" t="str">
        <f>Human!E$4</f>
        <v>Filter가 독립된 처리 단위이므로 개별 Filter를 수정·배포하기 비교적 쉽다. 단, Pipe의 데이터 형식 호환성은 유지해야 한다.</v>
      </c>
      <c r="F11" s="8" t="str">
        <f>Human!F$4</f>
        <v>-</v>
      </c>
      <c r="G11" s="11" t="str">
        <f>Human!G$4</f>
        <v>센서·Controller·Actuator 등 실제 장비와 밀접하게 연결되어 있어 단순 소프트웨어처럼 독립적으로 배포하기 어렵다. 배포 후 보정이나 Calibration도 필요할 수 있다.</v>
      </c>
    </row>
    <row r="12">
      <c r="A12" s="10"/>
      <c r="B12" s="12"/>
      <c r="C12" s="10"/>
      <c r="D12" s="12"/>
      <c r="E12" s="10"/>
      <c r="F12" s="12"/>
      <c r="G12" s="10"/>
    </row>
    <row r="13">
      <c r="A13" s="6" t="s">
        <v>19</v>
      </c>
      <c r="B13" s="6" t="str">
        <f>'Detailed Reasoning'!B$5</f>
        <v/>
      </c>
      <c r="C13" s="6" t="str">
        <f>'Detailed Reasoning'!C$5</f>
        <v/>
      </c>
      <c r="D13" s="6" t="str">
        <f>'Detailed Reasoning'!D$5</f>
        <v/>
      </c>
      <c r="E13" s="6" t="str">
        <f>'Detailed Reasoning'!E$5</f>
        <v/>
      </c>
      <c r="F13" s="9" t="str">
        <f>'Detailed Reasoning'!F$5</f>
        <v/>
      </c>
      <c r="G13" s="9" t="str">
        <f>'Detailed Reasoning'!G$5</f>
        <v/>
      </c>
    </row>
    <row r="14">
      <c r="A14" s="7" t="s">
        <v>15</v>
      </c>
      <c r="B14" s="8" t="str">
        <f>'AI#1 (Claude)'!B$5</f>
        <v>+</v>
      </c>
      <c r="C14" s="10" t="str">
        <f>'AI#1 (Claude)'!C5</f>
        <v>중간 파일 포맷만 합의하면 되므로 통합이 단순하고 언어 중립적이다. 반면 오프라인·배치 방식 통합만 가능하고 대화형 결합은 불가능하다.</v>
      </c>
      <c r="D14" s="8" t="str">
        <f>'AI#1 (Claude)'!D$5</f>
        <v>++</v>
      </c>
      <c r="E14" s="10" t="str">
        <f>'AI#1 (Claude)'!E5</f>
        <v>파이프 인터페이스가 균일해서 이웃 필터를 고치지 않고도 체인 어디에나 새 필터를 끼워 넣을 수 있다. 한계는 모든 것이 스트림 데이터 모델에 맞아야 한다는 점이다.</v>
      </c>
      <c r="F14" s="8" t="str">
        <f>'AI#1 (Claude)'!F$5</f>
        <v>-</v>
      </c>
      <c r="G14" s="10" t="str">
        <f>'AI#1 (Claude)'!G5</f>
        <v>구성요소가 공유 제어 변수와 엄격한 타이밍 제약으로 상호작용하므로, 새 요소를 넣는 일이 침습적이고 루프를 불안정하게 만들 수 있다.</v>
      </c>
    </row>
    <row r="15">
      <c r="A15" s="7" t="s">
        <v>16</v>
      </c>
      <c r="B15" s="8" t="str">
        <f>'AI#2(Gpt)'!B$5</f>
        <v>+</v>
      </c>
      <c r="C15" s="11" t="str">
        <f>'AI#2(Gpt)'!C$5</f>
        <v>단계 사이의 입력/출력이 파일이나 명확한 데이터 형식으로 정의되므로 다른 시스템이나 모듈을 연결하기 비교적 쉽다.</v>
      </c>
      <c r="D15" s="8" t="str">
        <f t="shared" ref="D15:G15" si="3">#REF!</f>
        <v>#REF!</v>
      </c>
      <c r="E15" s="11" t="str">
        <f t="shared" si="3"/>
        <v>#REF!</v>
      </c>
      <c r="F15" s="8" t="str">
        <f t="shared" si="3"/>
        <v>#REF!</v>
      </c>
      <c r="G15" s="11" t="str">
        <f t="shared" si="3"/>
        <v>#REF!</v>
      </c>
    </row>
    <row r="16">
      <c r="A16" s="7" t="s">
        <v>17</v>
      </c>
      <c r="B16" s="8" t="str">
        <f>Human!B$5</f>
        <v>+</v>
      </c>
      <c r="C16" s="11" t="str">
        <f>Human!C$5</f>
        <v>단계 사이의 입력/출력이 파일이나 명확한 데이터 형식으로 정의되므로 다른 시스템이나 모듈을 연결하기 비교적 쉽다.</v>
      </c>
      <c r="D16" s="8" t="str">
        <f>Human!D$5</f>
        <v>++</v>
      </c>
      <c r="E16" s="11" t="str">
        <f>Human!E$5</f>
        <v>Filter 간 연결이 명확한 입출력 인터페이스로 이루어져 새로운 Filter를 추가하거나 기존 Filter를 다른 컴포넌트로 교체하기 쉽다.</v>
      </c>
      <c r="F16" s="8" t="str">
        <f>Human!F$5</f>
        <v>-</v>
      </c>
      <c r="G16" s="11" t="str">
        <f>Human!G$5</f>
        <v>센서, 액추에이터, 제어 장치마다 통신 방식이나 데이터 형식이 다를 수 있어 외부 시스템을 추가하거나 교체하기 어렵다.</v>
      </c>
    </row>
    <row r="17">
      <c r="A17" s="10"/>
      <c r="B17" s="12"/>
      <c r="C17" s="10"/>
      <c r="D17" s="12"/>
      <c r="E17" s="10"/>
      <c r="F17" s="12"/>
      <c r="G17" s="10"/>
    </row>
    <row r="18">
      <c r="A18" s="6" t="s">
        <v>20</v>
      </c>
      <c r="B18" s="6" t="str">
        <f>'Detailed Reasoning'!B$6</f>
        <v/>
      </c>
      <c r="C18" s="6" t="str">
        <f>'Detailed Reasoning'!C$6</f>
        <v/>
      </c>
      <c r="D18" s="6" t="str">
        <f>'Detailed Reasoning'!D$6</f>
        <v/>
      </c>
      <c r="E18" s="6" t="str">
        <f>'Detailed Reasoning'!E$6</f>
        <v/>
      </c>
      <c r="F18" s="9" t="str">
        <f>'Detailed Reasoning'!F$6</f>
        <v/>
      </c>
      <c r="G18" s="9" t="str">
        <f>'Detailed Reasoning'!G$6</f>
        <v/>
      </c>
    </row>
    <row r="19">
      <c r="A19" s="7" t="s">
        <v>15</v>
      </c>
      <c r="B19" s="8" t="str">
        <f>'AI#1 (Claude)'!B$6</f>
        <v>+</v>
      </c>
      <c r="C19" s="10" t="str">
        <f>'AI#1 (Claude)'!C6</f>
        <v>예약된 시점에 몰아서 처리하므로 상시 폴링 없이 자원이 유휴 상태로 있을 수 있다. 반대로 실행이 실패하면 배치에 이미 투입한 에너지가 모두 낭비된다.</v>
      </c>
      <c r="D19" s="8" t="str">
        <f>'AI#1 (Claude)'!D$6</f>
        <v>0</v>
      </c>
      <c r="E19" s="10" t="str">
        <f>'AI#1 (Claude)'!E6</f>
        <v>스트리밍 방식이라 전체 데이터셋을 메모리나 디스크에 적재하지 않지만, 필터 간 데이터 복사와 직렬화가 계속 발생해 추가 비용이 든다.</v>
      </c>
      <c r="F19" s="8" t="str">
        <f>'AI#1 (Claude)'!F$6</f>
        <v>+</v>
      </c>
      <c r="G19" s="10" t="str">
        <f>'AI#1 (Claude)'!G6</f>
        <v>피드백 제어가 공정을 최적 동작점에 유지해 오버슈트로 인한 낭비를 막는다. 반면 센싱과 액추에이션이 상시 동작하므로 전력을 계속 소모한다.</v>
      </c>
    </row>
    <row r="20">
      <c r="A20" s="7" t="s">
        <v>16</v>
      </c>
      <c r="B20" s="8" t="str">
        <f>'AI#2(Gpt)'!B$6</f>
        <v>+</v>
      </c>
      <c r="C20" s="11" t="str">
        <f>'AI#2(Gpt)'!C$6</f>
        <v>실시간으로 계속 동작할 필요 없이 필요한 시점에 배치 단위로 실행할 수 있어 유휴 시간의 자원 사용을 줄일 수 있다.</v>
      </c>
      <c r="D20" s="8" t="str">
        <f t="shared" ref="D20:G20" si="4">#REF!</f>
        <v>#REF!</v>
      </c>
      <c r="E20" s="11" t="str">
        <f t="shared" si="4"/>
        <v>#REF!</v>
      </c>
      <c r="F20" s="8" t="str">
        <f t="shared" si="4"/>
        <v>#REF!</v>
      </c>
      <c r="G20" s="11" t="str">
        <f t="shared" si="4"/>
        <v>#REF!</v>
      </c>
    </row>
    <row r="21" ht="15.75" customHeight="1">
      <c r="A21" s="7" t="s">
        <v>17</v>
      </c>
      <c r="B21" s="8" t="str">
        <f>Human!B$6</f>
        <v>+</v>
      </c>
      <c r="C21" s="11" t="str">
        <f>Human!C$6</f>
        <v>실시간으로 계속 동작할 필요 없이 필요한 시점에 배치 단위로 실행할 수 있어 유휴 시간의 자원 사용을 줄일 수 있다.</v>
      </c>
      <c r="D21" s="8" t="str">
        <f>Human!D$6</f>
        <v>0</v>
      </c>
      <c r="E21" s="11" t="str">
        <f>Human!E$6</f>
        <v>스트리밍과 병렬 처리로 자원을 효율적으로 사용할 수 있지만, 여러 Filter의 동시 실행과 Pipe/Buffer 관리에 추가 자원이 필요하다.</v>
      </c>
      <c r="F21" s="8" t="str">
        <f>Human!F$6</f>
        <v>+</v>
      </c>
      <c r="G21" s="11" t="str">
        <f>Human!G$6</f>
        <v>현재 상태를 계속 측정하면서 필요한 만큼만 제어할 수 있기 때문에 에너지나 자원을 효율적으로 사용할 수 있다. 예를 들어 목표 온도에 도달하면 히터 출력을 줄일 수 있다.</v>
      </c>
    </row>
    <row r="22" ht="15.75" customHeight="1">
      <c r="A22" s="10"/>
      <c r="B22" s="12"/>
      <c r="C22" s="10"/>
      <c r="D22" s="12"/>
      <c r="E22" s="10"/>
      <c r="F22" s="12"/>
      <c r="G22" s="10"/>
    </row>
    <row r="23" ht="15.75" customHeight="1">
      <c r="A23" s="6" t="s">
        <v>21</v>
      </c>
      <c r="B23" s="6" t="str">
        <f>'Detailed Reasoning'!B$7</f>
        <v/>
      </c>
      <c r="C23" s="6" t="str">
        <f>'Detailed Reasoning'!C$7</f>
        <v/>
      </c>
      <c r="D23" s="6" t="str">
        <f>'Detailed Reasoning'!D$7</f>
        <v/>
      </c>
      <c r="E23" s="6" t="str">
        <f>'Detailed Reasoning'!E$7</f>
        <v/>
      </c>
      <c r="F23" s="6" t="str">
        <f>'Detailed Reasoning'!F$7</f>
        <v/>
      </c>
      <c r="G23" s="9" t="str">
        <f>'Detailed Reasoning'!G$7</f>
        <v/>
      </c>
    </row>
    <row r="24" ht="15.75" customHeight="1">
      <c r="A24" s="7" t="s">
        <v>15</v>
      </c>
      <c r="B24" s="8" t="str">
        <f>'AI#1 (Claude)'!B$7</f>
        <v>+</v>
      </c>
      <c r="C24" s="10" t="str">
        <f>'AI#1 (Claude)'!C7</f>
        <v>단계들이 데이터 파일로 분리되어 있어 한 단계만 교체·재작성할 수 있다. 그러나 파일 포맷이 공유 계약이라 포맷 변경은 모든 단계에 파급된다.</v>
      </c>
      <c r="D24" s="8" t="str">
        <f>'AI#1 (Claude)'!D$7</f>
        <v>++</v>
      </c>
      <c r="E24" s="10" t="str">
        <f>'AI#1 (Claude)'!E7</f>
        <v>필터가 느슨하게 결합된 무상태 단위라 다른 필터를 건드리지 않고 순서 변경·교체·제거가 가능하다.</v>
      </c>
      <c r="F24" s="8" t="str">
        <f>'AI#1 (Claude)'!F$7</f>
        <v>-</v>
      </c>
      <c r="G24" s="10" t="str">
        <f>'AI#1 (Claude)'!G7</f>
        <v>제어 법칙과 튜닝 값이 플랜트 모델과 얽혀 있어 변경할 때마다 루프 전체를 재튜닝하고 재검증해야 한다.</v>
      </c>
    </row>
    <row r="25" ht="15.75" customHeight="1">
      <c r="A25" s="7" t="s">
        <v>16</v>
      </c>
      <c r="B25" s="8" t="str">
        <f>'AI#2(Gpt)'!B$7</f>
        <v>+</v>
      </c>
      <c r="C25" s="11" t="str">
        <f>'AI#2(Gpt)'!C$7</f>
        <v>각 처리 단계가 비교적 독립되어 있어 특정 단계의 알고리즘을 수정하거나 교체하기 쉽다. 단, 입출력 형식 변경 시 주변 단계에도 영향이 갈 수 있다.</v>
      </c>
      <c r="D25" s="8" t="str">
        <f t="shared" ref="D25:G25" si="5">#REF!</f>
        <v>#REF!</v>
      </c>
      <c r="E25" s="11" t="str">
        <f t="shared" si="5"/>
        <v>#REF!</v>
      </c>
      <c r="F25" s="8" t="str">
        <f t="shared" si="5"/>
        <v>#REF!</v>
      </c>
      <c r="G25" s="11" t="str">
        <f t="shared" si="5"/>
        <v>#REF!</v>
      </c>
    </row>
    <row r="26" ht="15.75" customHeight="1">
      <c r="A26" s="7" t="s">
        <v>17</v>
      </c>
      <c r="B26" s="8" t="str">
        <f>Human!B$7</f>
        <v>+</v>
      </c>
      <c r="C26" s="11" t="str">
        <f>Human!C$7</f>
        <v>각 처리 단계가 비교적 독립되어 있어 특정 단계의 알고리즘을 수정하거나 교체하기 쉽다. 단, 입출력 형식 변경 시 주변 단계에도 영향이 갈 수 있다.</v>
      </c>
      <c r="D26" s="8" t="str">
        <f>Human!D$7</f>
        <v>++</v>
      </c>
      <c r="E26" s="11" t="str">
        <f>Human!E$7</f>
        <v>각 Filter가 특정 기능만 담당하고 서로 직접 의존하지 않으므로 Filter 추가·삭제·교체가 쉽다. Pipe and Filter의 대표적인 장점이다.</v>
      </c>
      <c r="F26" s="8" t="str">
        <f>Human!F$7</f>
        <v>-</v>
      </c>
      <c r="G26" s="11" t="str">
        <f>Human!G$7</f>
        <v>Controller의 제어 알고리즘이나 센서 특성을 변경하면 전체 제어 안정성에 영향을 줄 수 있다. 하나를 수정하면 제어 파라미터를 다시 조정해야 할 가능성이 크다.</v>
      </c>
    </row>
    <row r="27" ht="15.75" customHeight="1">
      <c r="A27" s="10"/>
      <c r="B27" s="12"/>
      <c r="C27" s="10"/>
      <c r="D27" s="12"/>
      <c r="E27" s="10"/>
      <c r="F27" s="12"/>
      <c r="G27" s="10"/>
    </row>
    <row r="28" ht="15.75" customHeight="1">
      <c r="A28" s="6" t="s">
        <v>22</v>
      </c>
      <c r="B28" s="6" t="str">
        <f>'Detailed Reasoning'!B$8</f>
        <v/>
      </c>
      <c r="C28" s="6" t="str">
        <f>'Detailed Reasoning'!C$8</f>
        <v/>
      </c>
      <c r="D28" s="6" t="str">
        <f>'Detailed Reasoning'!D$8</f>
        <v/>
      </c>
      <c r="E28" s="6" t="str">
        <f>'Detailed Reasoning'!E$8</f>
        <v/>
      </c>
      <c r="F28" s="9" t="str">
        <f>'Detailed Reasoning'!F$8</f>
        <v/>
      </c>
      <c r="G28" s="6" t="str">
        <f>'Detailed Reasoning'!G$8</f>
        <v/>
      </c>
    </row>
    <row r="29" ht="15.75" customHeight="1">
      <c r="A29" s="7" t="s">
        <v>15</v>
      </c>
      <c r="B29" s="8" t="str">
        <f>'AI#1 (Claude)'!B$8</f>
        <v>0</v>
      </c>
      <c r="C29" s="10" t="str">
        <f>'AI#1 (Claude)'!C8</f>
        <v>대량 데이터를 묶어 처리하고 I/O 비용을 분산하므로 처리량은 높지만, 배치가 끝나기 전에는 결과가 전혀 없어 지연 시간은 매우 나쁘다.</v>
      </c>
      <c r="D29" s="8" t="str">
        <f>'AI#1 (Claude)'!D$8</f>
        <v>+</v>
      </c>
      <c r="E29" s="10" t="str">
        <f>'AI#1 (Claude)'!E8</f>
        <v>모든 필터가 동시에 동작하는 파이프라인 병렬성으로 처리량이 올라간다. 반면 단계 간 복사로 항목별 지연이 커지고, 가장 느린 필터가 전체 속도를 제한한다.</v>
      </c>
      <c r="F29" s="8" t="str">
        <f>'AI#1 (Claude)'!F$8</f>
        <v>+</v>
      </c>
      <c r="G29" s="10" t="str">
        <f>'AI#1 (Claude)'!G8</f>
        <v>각 제어 주기 안에서 예측 가능한 유계 응답 시간을 목표로 설계된다. 다만 높은 처리량을 노리는 스타일은 아니다.</v>
      </c>
    </row>
    <row r="30" ht="15.75" customHeight="1">
      <c r="A30" s="7" t="s">
        <v>16</v>
      </c>
      <c r="B30" s="8" t="str">
        <f>'AI#2(Gpt)'!B$8</f>
        <v>--</v>
      </c>
      <c r="C30" s="11" t="str">
        <f>'AI#2(Gpt)'!C$8</f>
        <v>앞 단계가 완전히 끝나야 다음 단계가 시작되므로 병렬 처리가 어렵고 전체 처리 지연시간이 길어진다. 특히 대용량 데이터에서는 단점이 커진다.</v>
      </c>
      <c r="D30" s="8" t="str">
        <f t="shared" ref="D30:G30" si="6">#REF!</f>
        <v>#REF!</v>
      </c>
      <c r="E30" s="11" t="str">
        <f t="shared" si="6"/>
        <v>#REF!</v>
      </c>
      <c r="F30" s="8" t="str">
        <f t="shared" si="6"/>
        <v>#REF!</v>
      </c>
      <c r="G30" s="11" t="str">
        <f t="shared" si="6"/>
        <v>#REF!</v>
      </c>
    </row>
    <row r="31" ht="15.75" customHeight="1">
      <c r="A31" s="7" t="s">
        <v>17</v>
      </c>
      <c r="B31" s="8" t="str">
        <f>Human!B$8</f>
        <v>--</v>
      </c>
      <c r="C31" s="11" t="str">
        <f>Human!C$8</f>
        <v>앞 단계가 완전히 끝나야 다음 단계가 시작되므로 병렬 처리가 어렵고 전체 처리 지연시간이 길어진다. 특히 대용량 데이터에서는 단점이 커진다.</v>
      </c>
      <c r="D31" s="8" t="str">
        <f>Human!D$8</f>
        <v>+</v>
      </c>
      <c r="E31" s="11" t="str">
        <f>Human!E$8</f>
        <v>여러 Filter가 동시에 서로 다른 데이터를 처리하는 Pipeline Parallelism이 가능하여 처리량이 높아질 수 있다. 다만 Filter 간 데이터 전달 비용이 발생한다.</v>
      </c>
      <c r="F31" s="8" t="str">
        <f>Human!F$8</f>
        <v>+</v>
      </c>
      <c r="G31" s="11" t="str">
        <f>Human!G$8</f>
        <v>각 제어 주기 안에서 예측 가능한 유계 응답 시간을 목표로 설계된다. 다만 높은 처리량을 노리는 스타일은 아니다.</v>
      </c>
    </row>
    <row r="32" ht="15.75" customHeight="1">
      <c r="A32" s="10"/>
      <c r="B32" s="12"/>
      <c r="C32" s="10"/>
      <c r="D32" s="12"/>
      <c r="E32" s="10"/>
      <c r="F32" s="12"/>
      <c r="G32" s="10"/>
    </row>
    <row r="33" ht="15.75" customHeight="1">
      <c r="A33" s="6" t="s">
        <v>23</v>
      </c>
      <c r="B33" s="6" t="str">
        <f>'Detailed Reasoning'!B$9</f>
        <v/>
      </c>
      <c r="C33" s="6" t="str">
        <f>'Detailed Reasoning'!C$9</f>
        <v/>
      </c>
      <c r="D33" s="6" t="str">
        <f>'Detailed Reasoning'!D$9</f>
        <v/>
      </c>
      <c r="E33" s="6" t="str">
        <f>'Detailed Reasoning'!E$9</f>
        <v/>
      </c>
      <c r="F33" s="9" t="str">
        <f>'Detailed Reasoning'!F$9</f>
        <v/>
      </c>
      <c r="G33" s="9" t="str">
        <f>'Detailed Reasoning'!G$9</f>
        <v/>
      </c>
    </row>
    <row r="34" ht="15.75" customHeight="1">
      <c r="A34" s="7" t="s">
        <v>15</v>
      </c>
      <c r="B34" s="8" t="str">
        <f>'AI#1 (Claude)'!B$9</f>
        <v>0</v>
      </c>
      <c r="C34" s="10" t="str">
        <f>'AI#1 (Claude)'!C9</f>
        <v>동시성 없는 순차 결정적 실행이라 위험한 인터리빙이 없지만, 오류가 긴 실행이 끝난 뒤에야 발견되어 대응이 늦어진다.</v>
      </c>
      <c r="D34" s="8" t="str">
        <f>'AI#1 (Claude)'!D$9</f>
        <v>0</v>
      </c>
      <c r="E34" s="10" t="str">
        <f>'AI#1 (Claude)'!E9</f>
        <v>필터 격리로 결함이 한 단계 안에 갇히지만, 전역 상태가 없어 시스템 전체 불변식이나 종단 간 오류 처리를 강제하기 어렵다.</v>
      </c>
      <c r="F34" s="8" t="str">
        <f>'AI#1 (Claude)'!F$9</f>
        <v>++</v>
      </c>
      <c r="G34" s="10" t="str">
        <f>'AI#1 (Claude)'!G9</f>
        <v>제어 변수를 지속 감시해 편차를 즉시 감지하고 안전 상태로 되돌린다. 안전 필수 제어의 대표적인 스타일이다.</v>
      </c>
    </row>
    <row r="35" ht="15.75" customHeight="1">
      <c r="A35" s="7" t="s">
        <v>16</v>
      </c>
      <c r="B35" s="8" t="str">
        <f>'AI#2(Gpt)'!B$9</f>
        <v>+</v>
      </c>
      <c r="C35" s="11" t="str">
        <f>'AI#2(Gpt)'!C$9</f>
        <v>처리 과정이 순차적이고 결정적이어서 처리 순서와 결과를 추적하기 쉽다. 오류 발생 위치를 파악하고 특정 단계 이후의 실행을 차단하기도 비교적 쉽다.</v>
      </c>
      <c r="D35" s="8" t="str">
        <f t="shared" ref="D35:G35" si="7">#REF!</f>
        <v>#REF!</v>
      </c>
      <c r="E35" s="11" t="str">
        <f t="shared" si="7"/>
        <v>#REF!</v>
      </c>
      <c r="F35" s="8" t="str">
        <f t="shared" si="7"/>
        <v>#REF!</v>
      </c>
      <c r="G35" s="11" t="str">
        <f t="shared" si="7"/>
        <v>#REF!</v>
      </c>
    </row>
    <row r="36" ht="15.75" customHeight="1">
      <c r="A36" s="7" t="s">
        <v>17</v>
      </c>
      <c r="B36" s="8" t="str">
        <f>Human!B$9</f>
        <v>0</v>
      </c>
      <c r="C36" s="11" t="str">
        <f>Human!C$9</f>
        <v>처리 과정이 순차적이고 결정적이어서 처리 순서와 결과를 추적하기 쉽지만, 오류가 긴 실행이 끝난 뒤에야 발견되어 대응이 늦어진다.</v>
      </c>
      <c r="D36" s="8" t="str">
        <f>Human!D$9</f>
        <v>+</v>
      </c>
      <c r="E36" s="11" t="str">
        <f>Human!E$9</f>
        <v>각 처리 단계가 분리되어 있어 데이터 검증이나 오류 탐지 Filter를 독립적으로 둘 수 있고, 문제가 발생한 단계를 추적하기 쉽다.</v>
      </c>
      <c r="F36" s="8" t="str">
        <f>Human!F$9</f>
        <v>++</v>
      </c>
      <c r="G36" s="11" t="str">
        <f>Human!G$9</f>
        <v>위험 상태를 지속적으로 감지하고 자동으로 보정하거나 안전한 상태로 제어할 수 있다. 과열, 압력 초과 등의 상황에 즉각 대응할 수 있어 Safety에 매우 유리하다.</v>
      </c>
    </row>
    <row r="37" ht="15.75" customHeight="1">
      <c r="A37" s="10"/>
      <c r="B37" s="12"/>
      <c r="C37" s="10"/>
      <c r="D37" s="12"/>
      <c r="E37" s="10"/>
      <c r="F37" s="12"/>
      <c r="G37" s="10"/>
    </row>
    <row r="38" ht="15.75" customHeight="1">
      <c r="A38" s="6" t="s">
        <v>24</v>
      </c>
      <c r="B38" s="6" t="str">
        <f>'Detailed Reasoning'!B$10</f>
        <v/>
      </c>
      <c r="C38" s="6" t="str">
        <f>'Detailed Reasoning'!C$10</f>
        <v/>
      </c>
      <c r="D38" s="6" t="str">
        <f>'Detailed Reasoning'!D$10</f>
        <v/>
      </c>
      <c r="E38" s="6" t="str">
        <f>'Detailed Reasoning'!E$10</f>
        <v/>
      </c>
      <c r="F38" s="6" t="str">
        <f>'Detailed Reasoning'!F$10</f>
        <v/>
      </c>
      <c r="G38" s="6" t="str">
        <f>'Detailed Reasoning'!G$10</f>
        <v/>
      </c>
    </row>
    <row r="39" ht="15.75" customHeight="1">
      <c r="A39" s="7" t="s">
        <v>15</v>
      </c>
      <c r="B39" s="8" t="str">
        <f>'AI#1 (Claude)'!B$10</f>
        <v>+</v>
      </c>
      <c r="C39" s="10" t="str">
        <f>'AI#1 (Claude)'!C10</f>
        <v>네트워크 노출이 없고 단계가 격리되어 공격 표면이 작다. 다만 대용량 중간 파일이 디스크에 남으므로 보호와 삭제 관리가 필요하다.</v>
      </c>
      <c r="D39" s="8" t="str">
        <f>'AI#1 (Claude)'!D$10</f>
        <v>0</v>
      </c>
      <c r="E39" s="10" t="str">
        <f>'AI#1 (Claude)'!E10</f>
        <v>작고 격리된 필터라 침해 시 피해 범위가 제한되지만, 파이프 하나하나가 보호해야 할 추가 데이터 채널이 된다.</v>
      </c>
      <c r="F39" s="8" t="str">
        <f>'AI#1 (Claude)'!F$10</f>
        <v>0</v>
      </c>
      <c r="G39" s="10" t="str">
        <f>'AI#1 (Claude)'!G10</f>
        <v>보통 폐쇄망이나 물리적 분리 환경에서 동작하는 점은 유리하지만, 센서·액추에이터 신호 위조가 곧바로 물리적 피해로 이어진다.</v>
      </c>
    </row>
    <row r="40" ht="15.75" customHeight="1">
      <c r="A40" s="7" t="s">
        <v>16</v>
      </c>
      <c r="B40" s="8" t="str">
        <f>'AI#2(Gpt)'!B$10</f>
        <v>0</v>
      </c>
      <c r="C40" s="11" t="str">
        <f>'AI#2(Gpt)'!C$10</f>
        <v>단계별 접근통제를 적용하기 쉽다는 장점이 있지만, 중간 결과를 파일 등으로 저장할 경우 데이터 노출·변조 위험이 생긴다. 장단점이 모두 있다.</v>
      </c>
      <c r="D40" s="8" t="str">
        <f t="shared" ref="D40:G40" si="8">#REF!</f>
        <v>#REF!</v>
      </c>
      <c r="E40" s="11" t="str">
        <f t="shared" si="8"/>
        <v>#REF!</v>
      </c>
      <c r="F40" s="8" t="str">
        <f t="shared" si="8"/>
        <v>#REF!</v>
      </c>
      <c r="G40" s="11" t="str">
        <f t="shared" si="8"/>
        <v>#REF!</v>
      </c>
    </row>
    <row r="41" ht="15.75" customHeight="1">
      <c r="A41" s="7" t="s">
        <v>17</v>
      </c>
      <c r="B41" s="8" t="str">
        <f>Human!B$10</f>
        <v>+</v>
      </c>
      <c r="C41" s="11" t="str">
        <f>Human!C$10</f>
        <v>단계별 접근통제를 적용하기 쉽다.</v>
      </c>
      <c r="D41" s="8" t="str">
        <f>Human!D$10</f>
        <v>0</v>
      </c>
      <c r="E41" s="11" t="str">
        <f>Human!E$10</f>
        <v>인증·검증·필터링 단계를 별도로 추가할 수 있다는 장점이 있지만, Filter와 Pipe가 많아질수록 데이터 전달 구간과 공격 지점도 늘어날 수 있다.</v>
      </c>
      <c r="F41" s="8" t="str">
        <f>Human!F$10</f>
        <v>-</v>
      </c>
      <c r="G41" s="11" t="str">
        <f>Human!G$10</f>
        <v>센서값이나 제어 명령이 공격자에게 조작되면 실제 장비의 동작까지 영향을 받을 수 있다. 센서·네트워크·액추에이터 등 보호해야 할 지점도 많다.</v>
      </c>
    </row>
    <row r="42" ht="15.75" customHeight="1">
      <c r="A42" s="10"/>
      <c r="B42" s="12"/>
      <c r="C42" s="10"/>
      <c r="D42" s="12"/>
      <c r="E42" s="10"/>
      <c r="F42" s="12"/>
      <c r="G42" s="10"/>
    </row>
    <row r="43" ht="15.75" customHeight="1">
      <c r="A43" s="6" t="s">
        <v>25</v>
      </c>
      <c r="B43" s="6" t="str">
        <f>'Detailed Reasoning'!B$11</f>
        <v/>
      </c>
      <c r="C43" s="6" t="str">
        <f>'Detailed Reasoning'!C$11</f>
        <v/>
      </c>
      <c r="D43" s="6" t="str">
        <f>'Detailed Reasoning'!D$11</f>
        <v/>
      </c>
      <c r="E43" s="6" t="str">
        <f>'Detailed Reasoning'!E$11</f>
        <v/>
      </c>
      <c r="F43" s="6" t="str">
        <f>'Detailed Reasoning'!F$11</f>
        <v/>
      </c>
      <c r="G43" s="6" t="str">
        <f>'Detailed Reasoning'!G$11</f>
        <v/>
      </c>
    </row>
    <row r="44" ht="15.75" customHeight="1">
      <c r="A44" s="7" t="s">
        <v>15</v>
      </c>
      <c r="B44" s="8" t="str">
        <f>'AI#1 (Claude)'!B$11</f>
        <v>++</v>
      </c>
      <c r="C44" s="10" t="str">
        <f>'AI#1 (Claude)'!C11</f>
        <v>각 단계가 입출력 파일이 명확한 결정적 프로그램이라 단독 테스트가 쉽고, 저장된 파일로 실행을 그대로 재현할 수 있다.</v>
      </c>
      <c r="D44" s="8" t="str">
        <f>'AI#1 (Claude)'!D$11</f>
        <v>++</v>
      </c>
      <c r="E44" s="10" t="str">
        <f>'AI#1 (Claude)'!E11</f>
        <v>각 필터가 입출력 스트림이 정의된 무상태 단위라 기록된 스트림으로 단독 단위 테스트가 쉽다.</v>
      </c>
      <c r="F44" s="8" t="str">
        <f>'AI#1 (Claude)'!F$11</f>
        <v>-</v>
      </c>
      <c r="G44" s="10" t="str">
        <f>'AI#1 (Claude)'!G11</f>
        <v>동작이 연속 상태, 타이밍, 물리 환경에 의존하므로 함수 호출 수준이 아니라 플랜트 시뮬레이션이 있어야 의미 있는 테스트가 가능하다.</v>
      </c>
    </row>
    <row r="45" ht="15.75" customHeight="1">
      <c r="A45" s="7" t="s">
        <v>16</v>
      </c>
      <c r="B45" s="8" t="str">
        <f>'AI#2(Gpt)'!B$11</f>
        <v>++</v>
      </c>
      <c r="C45" s="11" t="str">
        <f>'AI#2(Gpt)'!C$11</f>
        <v>각 단계에 정해진 입력을 넣고 출력을 확인할 수 있어 단위 테스트와 단계별 검증이 매우 쉽다. 중간 결과도 확인할 수 있어 오류 위치 추적도 쉽다.</v>
      </c>
      <c r="D45" s="8" t="str">
        <f t="shared" ref="D45:G45" si="9">#REF!</f>
        <v>#REF!</v>
      </c>
      <c r="E45" s="11" t="str">
        <f t="shared" si="9"/>
        <v>#REF!</v>
      </c>
      <c r="F45" s="8" t="str">
        <f t="shared" si="9"/>
        <v>#REF!</v>
      </c>
      <c r="G45" s="11" t="str">
        <f t="shared" si="9"/>
        <v>#REF!</v>
      </c>
    </row>
    <row r="46" ht="15.75" customHeight="1">
      <c r="A46" s="7" t="s">
        <v>17</v>
      </c>
      <c r="B46" s="8" t="str">
        <f>Human!B$11</f>
        <v>++</v>
      </c>
      <c r="C46" s="11" t="str">
        <f>Human!C$11</f>
        <v>각 단계에 정해진 입력을 넣고 출력을 확인할 수 있어 단위 테스트와 단계별 검증이 매우 쉽다. 중간 결과도 확인할 수 있어 오류 위치 추적도 쉽다.</v>
      </c>
      <c r="D46" s="8" t="str">
        <f>Human!D$11</f>
        <v>++</v>
      </c>
      <c r="E46" s="11" t="str">
        <f>Human!E$11</f>
        <v>각 Filter에 독립적으로 입력을 넣고 출력을 확인할 수 있어 단위 테스트가 매우 쉽다. Pipe별 중간 데이터도 확인할 수 있다.</v>
      </c>
      <c r="F46" s="8" t="str">
        <f>Human!F$11</f>
        <v>-</v>
      </c>
      <c r="G46" s="11" t="str">
        <f>Human!G$11</f>
        <v>센서값, 시간, 환경 변화, Actuator의 실제 반응까지 함께 테스트해야 해서 단순한 입력-출력 테스트가 어렵다. 실제 장비나 시뮬레이터가 필요한 경우도 많다.</v>
      </c>
    </row>
    <row r="47" ht="15.0" customHeight="1">
      <c r="A47" s="10"/>
      <c r="B47" s="12"/>
      <c r="C47" s="10"/>
      <c r="D47" s="12"/>
      <c r="E47" s="10"/>
      <c r="F47" s="12"/>
      <c r="G47" s="10"/>
    </row>
    <row r="48" ht="15.75" customHeight="1">
      <c r="A48" s="6" t="s">
        <v>26</v>
      </c>
      <c r="B48" s="6" t="str">
        <f>'Detailed Reasoning'!B$12</f>
        <v/>
      </c>
      <c r="C48" s="6" t="str">
        <f>'Detailed Reasoning'!C$12</f>
        <v/>
      </c>
      <c r="D48" s="6" t="str">
        <f>'Detailed Reasoning'!D$12</f>
        <v/>
      </c>
      <c r="E48" s="6" t="str">
        <f>'Detailed Reasoning'!E$12</f>
        <v/>
      </c>
      <c r="F48" s="6" t="str">
        <f>'Detailed Reasoning'!F$12</f>
        <v/>
      </c>
      <c r="G48" s="6" t="str">
        <f>'Detailed Reasoning'!G$12</f>
        <v/>
      </c>
    </row>
    <row r="49" ht="15.75" customHeight="1">
      <c r="A49" s="7" t="s">
        <v>15</v>
      </c>
      <c r="B49" s="8" t="str">
        <f>'AI#1 (Claude)'!B$12</f>
        <v>--</v>
      </c>
      <c r="C49" s="10" t="str">
        <f>'AI#1 (Claude)'!C12</f>
        <v>처리 중 사용자 상호작용이 전혀 없다. 진행 상황 확인도, 중간 개입도 불가능하며 결과는 전체 실행이 끝나야 나온다.</v>
      </c>
      <c r="D49" s="8" t="str">
        <f>'AI#1 (Claude)'!D$12</f>
        <v>-</v>
      </c>
      <c r="E49" s="10" t="str">
        <f>'AI#1 (Claude)'!E12</f>
        <v>스트림 처리 지향이라 처리 도중 상호작용이나 사용자 피드백이 거의 없다.</v>
      </c>
      <c r="F49" s="8" t="str">
        <f>'AI#1 (Claude)'!F$12</f>
        <v>0</v>
      </c>
      <c r="G49" s="10" t="str">
        <f>'AI#1 (Claude)'!G12</f>
        <v>운영자에게 설정값 수준의 제어와 모니터링을 제공해 단순하지만, 내부 제어 동작은 불투명해 해석하기 어렵다.</v>
      </c>
    </row>
    <row r="50" ht="15.75" customHeight="1">
      <c r="A50" s="7" t="s">
        <v>16</v>
      </c>
      <c r="B50" s="8" t="str">
        <f>'AI#2(Gpt)'!B$12</f>
        <v>--</v>
      </c>
      <c r="C50" s="11" t="str">
        <f>'AI#2(Gpt)'!C$12</f>
        <v>사용자 요청에 즉시 응답하는 구조가 아니라 전체 배치 처리를 기다려야 하므로 실시간·대화형 시스템에 매우 부적합하다.</v>
      </c>
      <c r="D50" s="8" t="str">
        <f t="shared" ref="D50:G50" si="10">#REF!</f>
        <v>#REF!</v>
      </c>
      <c r="E50" s="11" t="str">
        <f t="shared" si="10"/>
        <v>#REF!</v>
      </c>
      <c r="F50" s="8" t="str">
        <f t="shared" si="10"/>
        <v>#REF!</v>
      </c>
      <c r="G50" s="11" t="str">
        <f t="shared" si="10"/>
        <v>#REF!</v>
      </c>
    </row>
    <row r="51" ht="15.75" customHeight="1">
      <c r="A51" s="7" t="s">
        <v>17</v>
      </c>
      <c r="B51" s="8" t="str">
        <f>Human!B$12</f>
        <v>--</v>
      </c>
      <c r="C51" s="11" t="str">
        <f>Human!C$12</f>
        <v>사용자 요청에 즉시 응답하는 구조가 아니라 전체 배치 처리를 기다려야 하므로 실시간·대화형 시스템에 매우 부적합하다.</v>
      </c>
      <c r="D51" s="8" t="str">
        <f>Human!D$12</f>
        <v>-</v>
      </c>
      <c r="E51" s="11" t="str">
        <f>Human!E$12</f>
        <v>스트림 처리 지향이라 처리 도중 상호작용이나 사용자 피드백이 거의 불가능하다.</v>
      </c>
      <c r="F51" s="8" t="str">
        <f>Human!F$12</f>
        <v>0</v>
      </c>
      <c r="G51" s="11" t="str">
        <f>Human!G$12</f>
        <v>Process Control은 내부 제어 방식에 관한 구조라 사용자 인터페이스와 직접적인 관계는 크지 않다. 자동 제어로 편리해질 수 있지만 구조 자체가 Usability를 크게 결정하지는 않는다.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43.71"/>
    <col customWidth="1" min="4" max="4" width="7.71"/>
    <col customWidth="1" min="5" max="5" width="35.57"/>
  </cols>
  <sheetData>
    <row r="1">
      <c r="A1" s="1" t="s">
        <v>1</v>
      </c>
      <c r="B1" s="2" t="s">
        <v>3</v>
      </c>
      <c r="C1" s="3"/>
      <c r="D1" s="2" t="s">
        <v>5</v>
      </c>
      <c r="E1" s="3"/>
    </row>
    <row r="2">
      <c r="A2" s="4"/>
      <c r="B2" s="5" t="s">
        <v>7</v>
      </c>
      <c r="C2" s="5" t="s">
        <v>10</v>
      </c>
      <c r="D2" s="5" t="s">
        <v>7</v>
      </c>
      <c r="E2" s="5" t="s">
        <v>10</v>
      </c>
    </row>
    <row r="3">
      <c r="A3" s="6" t="s">
        <v>11</v>
      </c>
      <c r="B3" s="6" t="str">
        <f>'Detailed Reasoning'!B16</f>
        <v/>
      </c>
      <c r="C3" s="6" t="str">
        <f>'Detailed Reasoning'!C16</f>
        <v/>
      </c>
      <c r="D3" s="6" t="str">
        <f>'Detailed Reasoning'!D16</f>
        <v/>
      </c>
      <c r="E3" s="6" t="str">
        <f>'Detailed Reasoning'!E16</f>
        <v/>
      </c>
    </row>
    <row r="4">
      <c r="A4" s="7" t="s">
        <v>15</v>
      </c>
      <c r="B4" s="8" t="str">
        <f>'AI#1 (Claude)'!B$16</f>
        <v>-</v>
      </c>
      <c r="C4" s="10" t="str">
        <f>'AI#1 (Claude)'!C16</f>
        <v>저장소가 단일 장애점이다. 별도의 복제를 붙이지 않는 한 저장소가 죽으면 모든 연산 컴포넌트가 멈춘다.</v>
      </c>
      <c r="D4" s="8" t="str">
        <f>'AI#1 (Claude)'!D$16</f>
        <v>-</v>
      </c>
      <c r="E4" s="10" t="str">
        <f>'AI#1 (Claude)'!E16</f>
        <v>블랙보드 자체가 단일 장애점이다. 다만 개별 지식원이 실패해도 시스템은 계속 진행할 수 있다.</v>
      </c>
    </row>
    <row r="5">
      <c r="A5" s="7" t="s">
        <v>16</v>
      </c>
      <c r="B5" s="8" t="str">
        <f>'AI#2(Gpt)'!D$3</f>
        <v>0</v>
      </c>
      <c r="C5" s="11" t="str">
        <f>'AI#2(Gpt)'!E$3</f>
        <v>Filter들이 독립적이라 일부를 교체·복구하기는 쉽지만, 파이프라인 중 하나의 Filter가 멈추면 전체 흐름이 막힐 수 있다. 장단점이 모두 존재한다.</v>
      </c>
      <c r="D5" s="8" t="str">
        <f t="shared" ref="D5:E5" si="1">#REF!</f>
        <v>#REF!</v>
      </c>
      <c r="E5" s="11" t="str">
        <f t="shared" si="1"/>
        <v>#REF!</v>
      </c>
    </row>
    <row r="6">
      <c r="A6" s="7" t="s">
        <v>17</v>
      </c>
      <c r="B6" s="8" t="str">
        <f>Human!B$16</f>
        <v>-</v>
      </c>
      <c r="C6" s="11" t="str">
        <f>Human!C$16</f>
        <v>중앙 Repository에 장애가 발생하면 이를 사용하는 여러 컴포넌트가 동시에 영향을 받는다. 저장소가 Single Point of Failure가 되기 쉽다.</v>
      </c>
      <c r="D6" s="8" t="str">
        <f>Human!D$16</f>
        <v>-</v>
      </c>
      <c r="E6" s="11" t="str">
        <f>Human!E$16</f>
        <v>중앙 Blackboard가 핵심 공유 지점이므로 Blackboard에 장애가 발생하면 여러 Knowledge Source가 동시에 영향을 받는다. 중앙 저장소 의존성이 크다.</v>
      </c>
    </row>
    <row r="7">
      <c r="A7" s="10"/>
      <c r="B7" s="12"/>
      <c r="C7" s="10"/>
      <c r="D7" s="12"/>
      <c r="E7" s="10"/>
    </row>
    <row r="8" ht="15.0" customHeight="1">
      <c r="A8" s="6" t="s">
        <v>18</v>
      </c>
      <c r="B8" s="6" t="str">
        <f>'Detailed Reasoning'!B17</f>
        <v/>
      </c>
      <c r="C8" s="6" t="str">
        <f>'Detailed Reasoning'!C17</f>
        <v/>
      </c>
      <c r="D8" s="6" t="str">
        <f>'Detailed Reasoning'!D17</f>
        <v/>
      </c>
      <c r="E8" s="6" t="str">
        <f>'Detailed Reasoning'!E17</f>
        <v/>
      </c>
    </row>
    <row r="9">
      <c r="A9" s="7" t="s">
        <v>15</v>
      </c>
      <c r="B9" s="8" t="str">
        <f>'AI#1 (Claude)'!B$17</f>
        <v>0</v>
      </c>
      <c r="C9" s="10" t="str">
        <f>'AI#1 (Claude)'!C17</f>
        <v>연산 컴포넌트는 개별 배포가 가능하지만, 모두 하나의 저장소 인스턴스와 스키마 버전에 의존하므로 스키마 변경 시 배포를 함께 조율해야 한다.</v>
      </c>
      <c r="D9" s="8" t="str">
        <f>'AI#1 (Claude)'!D$17</f>
        <v>0</v>
      </c>
      <c r="E9" s="10" t="str">
        <f>'AI#1 (Claude)'!E17</f>
        <v>지식원은 개별 배포·활성화가 가능하지만, 블랙보드와 제어 컴포넌트가 먼저 준비되어 있어야 한다.</v>
      </c>
    </row>
    <row r="10">
      <c r="A10" s="7" t="s">
        <v>16</v>
      </c>
      <c r="B10" s="8" t="str">
        <f>'AI#2(Gpt)'!D$4</f>
        <v>+</v>
      </c>
      <c r="C10" s="11" t="str">
        <f>'AI#2(Gpt)'!E$4</f>
        <v>Filter가 독립된 처리 단위이므로 개별 Filter를 수정·배포하기 비교적 쉽다. 단, Pipe의 데이터 형식 호환성은 유지해야 한다.</v>
      </c>
      <c r="D10" s="8" t="str">
        <f t="shared" ref="D10:E10" si="2">#REF!</f>
        <v>#REF!</v>
      </c>
      <c r="E10" s="11" t="str">
        <f t="shared" si="2"/>
        <v>#REF!</v>
      </c>
    </row>
    <row r="11">
      <c r="A11" s="7" t="s">
        <v>17</v>
      </c>
      <c r="B11" s="8" t="str">
        <f>Human!B$17</f>
        <v>0</v>
      </c>
      <c r="C11" s="11" t="str">
        <f>Human!C$17</f>
        <v>각 컴포넌트는 독립적으로 배포할 수 있지만, DB Schema나 Repository 구조가 변경되면 여러 컴포넌트를 함께 수정·배포해야 할 수 있다.</v>
      </c>
      <c r="D11" s="8" t="str">
        <f>Human!D$17</f>
        <v>0</v>
      </c>
      <c r="E11" s="11" t="str">
        <f>Human!E$17</f>
        <v>Knowledge Source는 비교적 독립적으로 추가·배포할 수 있지만, Blackboard의 데이터 표현 방식이나 제어 로직과의 호환성을 맞춰야 한다.</v>
      </c>
    </row>
    <row r="12">
      <c r="A12" s="10"/>
      <c r="B12" s="12"/>
      <c r="C12" s="10"/>
      <c r="D12" s="12"/>
      <c r="E12" s="10"/>
    </row>
    <row r="13" ht="15.0" customHeight="1">
      <c r="A13" s="6" t="s">
        <v>19</v>
      </c>
      <c r="B13" s="6" t="str">
        <f>'Detailed Reasoning'!B18</f>
        <v/>
      </c>
      <c r="C13" s="6" t="str">
        <f>'Detailed Reasoning'!C18</f>
        <v/>
      </c>
      <c r="D13" s="6" t="str">
        <f>'Detailed Reasoning'!D18</f>
        <v/>
      </c>
      <c r="E13" s="6" t="str">
        <f>'Detailed Reasoning'!E18</f>
        <v/>
      </c>
    </row>
    <row r="14">
      <c r="A14" s="7" t="s">
        <v>15</v>
      </c>
      <c r="B14" s="8" t="str">
        <f>'AI#1 (Claude)'!B$18</f>
        <v>++</v>
      </c>
      <c r="C14" s="10" t="str">
        <f>'AI#1 (Claude)'!C18</f>
        <v>새 컴포넌트는 공유 데이터 구조를 읽고 쓰기만 하면 통합된다. 다른 컴포넌트를 전혀 알 필요가 없다.</v>
      </c>
      <c r="D14" s="8" t="str">
        <f>'AI#1 (Claude)'!D$18</f>
        <v>++</v>
      </c>
      <c r="E14" s="10" t="str">
        <f>'AI#1 (Claude)'!E18</f>
        <v>새 지식원은 블랙보드 상태에 반응하는 방식으로 통합되며, 다른 지식원에 대한 직접 의존이나 지식이 필요 없다.</v>
      </c>
    </row>
    <row r="15">
      <c r="A15" s="7" t="s">
        <v>16</v>
      </c>
      <c r="B15" s="8" t="str">
        <f>'AI#2(Gpt)'!D$5</f>
        <v>++</v>
      </c>
      <c r="C15" s="11" t="str">
        <f>'AI#2(Gpt)'!E$5</f>
        <v>Filter 간 연결이 명확한 입출력 인터페이스로 이루어져 새로운 Filter를 추가하거나 기존 Filter를 다른 컴포넌트로 교체하기 쉽다.</v>
      </c>
      <c r="D15" s="8" t="str">
        <f t="shared" ref="D15:E15" si="3">#REF!</f>
        <v>#REF!</v>
      </c>
      <c r="E15" s="11" t="str">
        <f t="shared" si="3"/>
        <v>#REF!</v>
      </c>
    </row>
    <row r="16">
      <c r="A16" s="7" t="s">
        <v>17</v>
      </c>
      <c r="B16" s="8" t="str">
        <f>Human!B$18</f>
        <v>++</v>
      </c>
      <c r="C16" s="11" t="str">
        <f>Human!C$18</f>
        <v>여러 컴포넌트가 동일한 저장소를 통해 데이터를 공유하므로 시스템 간 데이터 통합이 매우 쉽다. 공통 데이터 모델만 맞으면 새로운 컴포넌트도 데이터를 쉽게 활용할 수 있다.</v>
      </c>
      <c r="D16" s="8" t="str">
        <f>Human!D$18</f>
        <v>++</v>
      </c>
      <c r="E16" s="11" t="str">
        <f>Human!E$18</f>
        <v>새 지식원은 블랙보드 상태에 반응하는 방식으로 통합되며, 다른 지식원에 대한 직접 의존이나 지식이 필요 없다.</v>
      </c>
    </row>
    <row r="17">
      <c r="A17" s="10"/>
      <c r="B17" s="12"/>
      <c r="C17" s="10"/>
      <c r="D17" s="12"/>
      <c r="E17" s="10"/>
    </row>
    <row r="18">
      <c r="A18" s="6" t="s">
        <v>20</v>
      </c>
      <c r="B18" s="6" t="str">
        <f>'Detailed Reasoning'!B$19</f>
        <v/>
      </c>
      <c r="C18" s="6" t="str">
        <f>'Detailed Reasoning'!C$19</f>
        <v/>
      </c>
      <c r="D18" s="6" t="str">
        <f>'Detailed Reasoning'!D$19</f>
        <v/>
      </c>
      <c r="E18" s="6" t="str">
        <f>'Detailed Reasoning'!E$19</f>
        <v/>
      </c>
    </row>
    <row r="19">
      <c r="A19" s="10" t="s">
        <v>15</v>
      </c>
      <c r="B19" s="8" t="str">
        <f>'AI#1 (Claude)'!B$19</f>
        <v>0</v>
      </c>
      <c r="C19" s="10" t="str">
        <f>'AI#1 (Claude)'!C19</f>
        <v>데이터를 중복 없이 한 번만 저장해 저장·전송 비용을 아끼지만, 저장소 폴링과 락 경합이 자원을 낭비한다.</v>
      </c>
      <c r="D19" s="8" t="str">
        <f>'AI#1 (Claude)'!D$19</f>
        <v>--</v>
      </c>
      <c r="E19" s="10" t="str">
        <f>'AI#1 (Claude)'!E19</f>
        <v>기회주의적 활성화 방식이라 많은 지식원이 블랙보드를 계속 살피며 중복 연산을 수행하고, 그 결과 상당수가 버려진다.</v>
      </c>
    </row>
    <row r="20">
      <c r="A20" s="10" t="s">
        <v>16</v>
      </c>
      <c r="B20" s="8" t="str">
        <f>'AI#2(Gpt)'!D$6</f>
        <v>0</v>
      </c>
      <c r="C20" s="11" t="str">
        <f>'AI#2(Gpt)'!E$6</f>
        <v>스트리밍과 병렬 처리로 자원을 효율적으로 사용할 수 있지만, 여러 Filter의 동시 실행과 Pipe/Buffer 관리에 추가 자원이 필요하다.</v>
      </c>
      <c r="D20" s="8" t="str">
        <f t="shared" ref="D20:E20" si="4">#REF!</f>
        <v>#REF!</v>
      </c>
      <c r="E20" s="11" t="str">
        <f t="shared" si="4"/>
        <v>#REF!</v>
      </c>
    </row>
    <row r="21" ht="15.75" customHeight="1">
      <c r="A21" s="10" t="s">
        <v>17</v>
      </c>
      <c r="B21" s="8" t="str">
        <f>Human!B$19</f>
        <v>0</v>
      </c>
      <c r="C21" s="11" t="str">
        <f>Human!C$19</f>
        <v>데이터를 한곳에 집중시켜 중복 저장을 줄일 수 있지만, 모든 컴포넌트의 읽기·쓰기가 중앙 저장소에 집중되므로 DB 처리 비용도 커질 수 있다.</v>
      </c>
      <c r="D21" s="8" t="str">
        <f>Human!D$19</f>
        <v>--</v>
      </c>
      <c r="E21" s="11" t="str">
        <f>Human!E$19</f>
        <v>기회주의적 활성화 방식이라 많은 지식원이 블랙보드를 계속 살피며 중복 연산을 수행하고, 그 결과 상당수가 버려진다.</v>
      </c>
    </row>
    <row r="22" ht="15.75" customHeight="1">
      <c r="A22" s="10"/>
      <c r="B22" s="12"/>
      <c r="C22" s="10"/>
      <c r="D22" s="12"/>
      <c r="E22" s="10"/>
    </row>
    <row r="23" ht="15.75" customHeight="1">
      <c r="A23" s="6" t="s">
        <v>21</v>
      </c>
      <c r="B23" s="6" t="str">
        <f>'Detailed Reasoning'!B$20</f>
        <v/>
      </c>
      <c r="C23" s="6" t="str">
        <f>'Detailed Reasoning'!C$20</f>
        <v/>
      </c>
      <c r="D23" s="6" t="str">
        <f>'Detailed Reasoning'!D$20</f>
        <v/>
      </c>
      <c r="E23" s="6" t="str">
        <f>'Detailed Reasoning'!E$20</f>
        <v/>
      </c>
    </row>
    <row r="24" ht="15.75" customHeight="1">
      <c r="A24" s="7" t="s">
        <v>15</v>
      </c>
      <c r="B24" s="8" t="str">
        <f>'AI#1 (Claude)'!B$20</f>
        <v>+</v>
      </c>
      <c r="C24" s="10" t="str">
        <f>'AI#1 (Claude)'!C20</f>
        <v>컴포넌트끼리 분리되어 각자 독립적으로 바뀔 수 있다. 다만 공유 스키마가 전역 계약이라 데이터 모델 변경은 모두에게 영향을 준다.</v>
      </c>
      <c r="D24" s="8" t="str">
        <f>'AI#1 (Claude)'!D$20</f>
        <v>++</v>
      </c>
      <c r="E24" s="10" t="str">
        <f>'AI#1 (Claude)'!E20</f>
        <v>지식원들이 완전히 분리되어 있어 다른 지식원을 고치지 않고 추가·제거·교체할 수 있다.</v>
      </c>
    </row>
    <row r="25" ht="15.75" customHeight="1">
      <c r="A25" s="7" t="s">
        <v>16</v>
      </c>
      <c r="B25" s="8" t="str">
        <f>'AI#2(Gpt)'!D$7</f>
        <v>++</v>
      </c>
      <c r="C25" s="11" t="str">
        <f>'AI#2(Gpt)'!E$7</f>
        <v>각 Filter가 특정 기능만 담당하고 서로 직접 의존하지 않으므로 Filter 추가·삭제·교체가 쉽다. Pipe and Filter의 대표적인 장점이다.</v>
      </c>
      <c r="D25" s="8" t="str">
        <f t="shared" ref="D25:E25" si="5">#REF!</f>
        <v>#REF!</v>
      </c>
      <c r="E25" s="11" t="str">
        <f t="shared" si="5"/>
        <v>#REF!</v>
      </c>
    </row>
    <row r="26" ht="15.75" customHeight="1">
      <c r="A26" s="7" t="s">
        <v>17</v>
      </c>
      <c r="B26" s="8" t="str">
        <f>Human!B$20</f>
        <v>0</v>
      </c>
      <c r="C26" s="11" t="str">
        <f>Human!C$20</f>
        <v>컴포넌트끼리 분리되어 각자 독립적으로 바뀔 수 있지만, Repository의 데이터 구조나 Schema를 변경하면 이를 사용하는 여러 컴포넌트에 연쇄적인 변경이 발생할 수 있다.</v>
      </c>
      <c r="D26" s="8" t="str">
        <f>Human!D$20</f>
        <v>++</v>
      </c>
      <c r="E26" s="11" t="str">
        <f>Human!E$20</f>
        <v>지식원들이 완전히 분리되어 있어 다른 지식원을 고치지 않고 추가·제거·교체할 수 있다.</v>
      </c>
    </row>
    <row r="27" ht="15.75" customHeight="1">
      <c r="A27" s="10"/>
      <c r="B27" s="12"/>
      <c r="C27" s="10"/>
      <c r="D27" s="12"/>
      <c r="E27" s="10"/>
    </row>
    <row r="28" ht="15.75" customHeight="1">
      <c r="A28" s="6" t="s">
        <v>22</v>
      </c>
      <c r="B28" s="6" t="str">
        <f>'Detailed Reasoning'!B$21</f>
        <v/>
      </c>
      <c r="C28" s="6" t="str">
        <f>'Detailed Reasoning'!C$21</f>
        <v/>
      </c>
      <c r="D28" s="6" t="str">
        <f>'Detailed Reasoning'!D$21</f>
        <v/>
      </c>
      <c r="E28" s="6" t="str">
        <f>'Detailed Reasoning'!E$21</f>
        <v/>
      </c>
    </row>
    <row r="29" ht="15.75" customHeight="1">
      <c r="A29" s="7" t="s">
        <v>15</v>
      </c>
      <c r="B29" s="8" t="str">
        <f>'AI#1 (Claude)'!B$21</f>
        <v>0</v>
      </c>
      <c r="C29" s="10" t="str">
        <f>'AI#1 (Claude)'!C21</f>
        <v>중앙 접근이라 인덱싱·캐싱·쿼리 최적화가 가능하지만, 동시성이 높아지면 저장소가 경합 병목이 된다.</v>
      </c>
      <c r="D29" s="8" t="str">
        <f>'AI#1 (Claude)'!D$21</f>
        <v>-</v>
      </c>
      <c r="E29" s="10" t="str">
        <f>'AI#1 (Claude)'!E21</f>
        <v>비결정적 기회주의 제어와 반복적인 블랙보드 스캔이 오버헤드를 만들며, 응답 시간을 보장할 수 없다.</v>
      </c>
    </row>
    <row r="30" ht="15.75" customHeight="1">
      <c r="A30" s="7" t="s">
        <v>16</v>
      </c>
      <c r="B30" s="8" t="str">
        <f>'AI#2(Gpt)'!D$8</f>
        <v>+</v>
      </c>
      <c r="C30" s="11" t="str">
        <f>'AI#2(Gpt)'!E$8</f>
        <v>여러 Filter가 동시에 서로 다른 데이터를 처리하는 Pipeline Parallelism이 가능하여 처리량이 높아질 수 있다. 다만 Filter 간 데이터 전달 비용이 발생한다.</v>
      </c>
      <c r="D30" s="8" t="str">
        <f t="shared" ref="D30:E30" si="6">#REF!</f>
        <v>#REF!</v>
      </c>
      <c r="E30" s="11" t="str">
        <f t="shared" si="6"/>
        <v>#REF!</v>
      </c>
    </row>
    <row r="31" ht="15.75" customHeight="1">
      <c r="A31" s="7" t="s">
        <v>17</v>
      </c>
      <c r="B31" s="8" t="str">
        <f>Human!B$21</f>
        <v>-</v>
      </c>
      <c r="C31" s="11" t="str">
        <f>Human!C$21</f>
        <v>모든 컴포넌트가 중앙 저장소에 접근하기 때문에 요청이 많아지면 Repository가 병목이 될 수 있다. 네트워크·DB I/O 비용도 발생한다.</v>
      </c>
      <c r="D31" s="8" t="str">
        <f>Human!D$21</f>
        <v>-</v>
      </c>
      <c r="E31" s="11" t="str">
        <f>Human!E$21</f>
        <v>Blackboard에 대한 반복적인 읽기/쓰기와 여러 Knowledge Source의 추론 과정 때문에 오버헤드가 발생한다. 어떤 모듈을 실행할지 결정하는 Control 비용도 있다.</v>
      </c>
    </row>
    <row r="32" ht="15.75" customHeight="1">
      <c r="A32" s="10"/>
      <c r="B32" s="12"/>
      <c r="C32" s="10"/>
      <c r="D32" s="12"/>
      <c r="E32" s="10"/>
    </row>
    <row r="33" ht="15.75" customHeight="1">
      <c r="A33" s="6" t="s">
        <v>23</v>
      </c>
      <c r="B33" s="6" t="str">
        <f>'Detailed Reasoning'!B$22</f>
        <v/>
      </c>
      <c r="C33" s="6" t="str">
        <f>'Detailed Reasoning'!C$22</f>
        <v/>
      </c>
      <c r="D33" s="6" t="str">
        <f>'Detailed Reasoning'!D$22</f>
        <v/>
      </c>
      <c r="E33" s="6" t="str">
        <f>'Detailed Reasoning'!E$22</f>
        <v/>
      </c>
    </row>
    <row r="34" ht="15.75" customHeight="1">
      <c r="A34" s="7" t="s">
        <v>15</v>
      </c>
      <c r="B34" s="8" t="str">
        <f>'AI#1 (Claude)'!B$22</f>
        <v>0</v>
      </c>
      <c r="C34" s="10" t="str">
        <f>'AI#1 (Claude)'!C22</f>
        <v>단일 권위 데이터 소스라 컴포넌트 간 불일치가 없지만, 데이터가 손상되면 즉시 모든 컴포넌트로 전파된다.</v>
      </c>
      <c r="D34" s="8" t="str">
        <f>'AI#1 (Claude)'!D$22</f>
        <v>-</v>
      </c>
      <c r="E34" s="10" t="str">
        <f>'AI#1 (Claude)'!E22</f>
        <v>제어가 기회주의적이고 비결정적이라 최악의 동작과 종료 조건을 한정하거나 인증하기 어렵다.</v>
      </c>
    </row>
    <row r="35" ht="15.75" customHeight="1">
      <c r="A35" s="7" t="s">
        <v>16</v>
      </c>
      <c r="B35" s="8" t="str">
        <f>'AI#2(Gpt)'!D$9</f>
        <v>+</v>
      </c>
      <c r="C35" s="11" t="str">
        <f>'AI#2(Gpt)'!E$9</f>
        <v>각 처리 단계가 분리되어 있어 데이터 검증이나 오류 탐지 Filter를 독립적으로 둘 수 있고, 문제가 발생한 단계를 추적하기 쉽다.</v>
      </c>
      <c r="D35" s="8" t="str">
        <f t="shared" ref="D35:E35" si="7">#REF!</f>
        <v>#REF!</v>
      </c>
      <c r="E35" s="11" t="str">
        <f t="shared" si="7"/>
        <v>#REF!</v>
      </c>
    </row>
    <row r="36" ht="15.75" customHeight="1">
      <c r="A36" s="7" t="s">
        <v>17</v>
      </c>
      <c r="B36" s="8" t="str">
        <f>Human!B$22</f>
        <v>+</v>
      </c>
      <c r="C36" s="11" t="str">
        <f>Human!C$22</f>
        <v>중요한 데이터를 중앙에서 일관되게 관리하고 무결성 제약, 트랜잭션 등을 적용하기 쉬워 데이터 오류를 줄이는 데 유리하다.</v>
      </c>
      <c r="D36" s="8" t="str">
        <f>Human!D$22</f>
        <v>-</v>
      </c>
      <c r="E36" s="11" t="str">
        <f>Human!E$22</f>
        <v>중간 결과를 중앙에서 확인하고 검증할 수 있다는 장점은 있지만, 잘못된 Knowledge Source가 잘못된 정보를 Blackboard에 기록하면 다른 모듈에도 영향을 줄 수 있다.</v>
      </c>
    </row>
    <row r="37" ht="15.75" customHeight="1">
      <c r="A37" s="10"/>
      <c r="B37" s="12"/>
      <c r="C37" s="10"/>
      <c r="D37" s="12"/>
      <c r="E37" s="10"/>
    </row>
    <row r="38" ht="15.75" customHeight="1">
      <c r="A38" s="6" t="s">
        <v>24</v>
      </c>
      <c r="B38" s="6" t="str">
        <f>'Detailed Reasoning'!B$23</f>
        <v/>
      </c>
      <c r="C38" s="6" t="str">
        <f>'Detailed Reasoning'!C$23</f>
        <v/>
      </c>
      <c r="D38" s="6" t="str">
        <f>'Detailed Reasoning'!D$23</f>
        <v/>
      </c>
      <c r="E38" s="6" t="str">
        <f>'Detailed Reasoning'!E$23</f>
        <v/>
      </c>
    </row>
    <row r="39" ht="15.75" customHeight="1">
      <c r="A39" s="7" t="s">
        <v>15</v>
      </c>
      <c r="B39" s="8" t="str">
        <f>'AI#1 (Claude)'!B$23</f>
        <v>+</v>
      </c>
      <c r="C39" s="10" t="str">
        <f>'AI#1 (Claude)'!C23</f>
        <v>접근 제어·암호화·감사를 컴포넌트마다가 아니라 한 곳에서 일괄 적용할 수 있다. 대신 그 한 곳이 고가치 표적이 된다.</v>
      </c>
      <c r="D39" s="8" t="str">
        <f>'AI#1 (Claude)'!D$23</f>
        <v>-</v>
      </c>
      <c r="E39" s="10" t="str">
        <f>'AI#1 (Claude)'!E23</f>
        <v>모든 지식원이 공유 상태 전체를 읽을 수 있어 최소 권한과 정보 흐름 통제를 강제하기 어렵다.</v>
      </c>
    </row>
    <row r="40" ht="15.75" customHeight="1">
      <c r="A40" s="7" t="s">
        <v>16</v>
      </c>
      <c r="B40" s="8" t="str">
        <f>'AI#2(Gpt)'!D$10</f>
        <v>0</v>
      </c>
      <c r="C40" s="11" t="str">
        <f>'AI#2(Gpt)'!E$10</f>
        <v>인증·검증·필터링 단계를 별도로 추가할 수 있다는 장점이 있지만, Filter와 Pipe가 많아질수록 데이터 전달 구간과 공격 지점도 늘어날 수 있다.</v>
      </c>
      <c r="D40" s="8" t="str">
        <f t="shared" ref="D40:E40" si="8">#REF!</f>
        <v>#REF!</v>
      </c>
      <c r="E40" s="11" t="str">
        <f t="shared" si="8"/>
        <v>#REF!</v>
      </c>
    </row>
    <row r="41" ht="15.75" customHeight="1">
      <c r="A41" s="7" t="s">
        <v>17</v>
      </c>
      <c r="B41" s="8" t="str">
        <f>Human!B$23</f>
        <v>+</v>
      </c>
      <c r="C41" s="11" t="str">
        <f>Human!C$23</f>
        <v>접근 권한, 인증, 감사 로그 등을 중앙 Repository에서 일관되게 적용할 수 있다. 다만 Repository가 침해되면 영향 범위가 매우 크다는 단점도 있다.</v>
      </c>
      <c r="D41" s="8" t="str">
        <f>Human!D$23</f>
        <v>-</v>
      </c>
      <c r="E41" s="11" t="str">
        <f>Human!E$23</f>
        <v>여러 Knowledge Source가 하나의 Blackboard에 접근하므로 접근 지점과 권한 관리가 복잡하다. Blackboard가 침해되면 공유되는 지식 전체에 영향을 줄 수 있다.</v>
      </c>
    </row>
    <row r="42" ht="15.75" customHeight="1">
      <c r="A42" s="10"/>
      <c r="B42" s="12"/>
      <c r="C42" s="10"/>
      <c r="D42" s="12"/>
      <c r="E42" s="10"/>
    </row>
    <row r="43" ht="15.75" customHeight="1">
      <c r="A43" s="6" t="s">
        <v>25</v>
      </c>
      <c r="B43" s="6" t="str">
        <f>'Detailed Reasoning'!B$24</f>
        <v/>
      </c>
      <c r="C43" s="6" t="str">
        <f>'Detailed Reasoning'!C$24</f>
        <v/>
      </c>
      <c r="D43" s="6" t="str">
        <f>'Detailed Reasoning'!D$24</f>
        <v/>
      </c>
      <c r="E43" s="6" t="str">
        <f>'Detailed Reasoning'!E$24</f>
        <v/>
      </c>
    </row>
    <row r="44" ht="15.75" customHeight="1">
      <c r="A44" s="7" t="s">
        <v>15</v>
      </c>
      <c r="B44" s="8" t="str">
        <f>'AI#1 (Claude)'!B$24</f>
        <v>+</v>
      </c>
      <c r="C44" s="10" t="str">
        <f>'AI#1 (Claude)'!C24</f>
        <v>저장소에 데이터를 심어 테스트 시나리오를 구성하기 쉽지만, 공유 데이터를 통한 암묵적 결합 때문에 완전히 격리된 테스트는 어렵다.</v>
      </c>
      <c r="D44" s="8" t="str">
        <f>'AI#1 (Claude)'!D$24</f>
        <v>--</v>
      </c>
      <c r="E44" s="10" t="str">
        <f>'AI#1 (Claude)'!E24</f>
        <v>결과가 활성화 순서와 누적된 부분해에 의존하므로 테스트에서 동작을 결정적으로 재현하기 매우 어렵다.</v>
      </c>
    </row>
    <row r="45" ht="15.75" customHeight="1">
      <c r="A45" s="7" t="s">
        <v>16</v>
      </c>
      <c r="B45" s="8" t="str">
        <f>'AI#2(Gpt)'!D$11</f>
        <v>++</v>
      </c>
      <c r="C45" s="11" t="str">
        <f>'AI#2(Gpt)'!E$11</f>
        <v>각 Filter에 독립적으로 입력을 넣고 출력을 확인할 수 있어 단위 테스트가 매우 쉽다. Pipe별 중간 데이터도 확인할 수 있다.</v>
      </c>
      <c r="D45" s="8" t="str">
        <f t="shared" ref="D45:E45" si="9">#REF!</f>
        <v>#REF!</v>
      </c>
      <c r="E45" s="11" t="str">
        <f t="shared" si="9"/>
        <v>#REF!</v>
      </c>
    </row>
    <row r="46" ht="15.75" customHeight="1">
      <c r="A46" s="7" t="s">
        <v>17</v>
      </c>
      <c r="B46" s="8" t="str">
        <f>Human!B$24</f>
        <v>0</v>
      </c>
      <c r="C46" s="11" t="str">
        <f>Human!C$24</f>
        <v>공통 데이터 상태를 기준으로 테스트하기는 쉽지만, 여러 컴포넌트가 같은 Repository를 사용하면 테스트 간 데이터 간섭이 생길 수 있고 DB 환경을 별도로 구성해야 할 수 있다.</v>
      </c>
      <c r="D46" s="8" t="str">
        <f>Human!D$24</f>
        <v>--</v>
      </c>
      <c r="E46" s="11" t="str">
        <f>Human!E$24</f>
        <v>결과가 활성화 순서와 누적된 부분해에 의존하므로 테스트에서 동작을 결정적으로 재현하기 매우 어렵다.</v>
      </c>
    </row>
    <row r="47" ht="15.0" customHeight="1">
      <c r="A47" s="10"/>
      <c r="B47" s="12"/>
      <c r="C47" s="10"/>
      <c r="D47" s="12"/>
      <c r="E47" s="10"/>
    </row>
    <row r="48" ht="15.75" customHeight="1">
      <c r="A48" s="6" t="s">
        <v>26</v>
      </c>
      <c r="B48" s="6" t="str">
        <f>'Detailed Reasoning'!B$25</f>
        <v/>
      </c>
      <c r="C48" s="6" t="str">
        <f>'Detailed Reasoning'!C$25</f>
        <v/>
      </c>
      <c r="D48" s="6" t="str">
        <f>'Detailed Reasoning'!D$25</f>
        <v/>
      </c>
      <c r="E48" s="6" t="str">
        <f>'Detailed Reasoning'!E$25</f>
        <v/>
      </c>
    </row>
    <row r="49" ht="15.75" customHeight="1">
      <c r="A49" s="7" t="s">
        <v>15</v>
      </c>
      <c r="B49" s="8" t="str">
        <f>'AI#1 (Claude)'!B$25</f>
        <v>0</v>
      </c>
      <c r="C49" s="10" t="str">
        <f>'AI#1 (Claude)'!C25</f>
        <v>사용자 인터페이스에 직접적인 영향은 없으나, 일관된 공유 데이터가 기능 간 일관된 화면을 뒷받침한다.</v>
      </c>
      <c r="D49" s="8" t="str">
        <f>'AI#1 (Claude)'!D$25</f>
        <v>0</v>
      </c>
      <c r="E49" s="10" t="str">
        <f>'AI#1 (Claude)'!E25</f>
        <v>결정적 알고리즘이 없는 탐색적 문제를 풀 수 있다는 점은 가치 있지만, 도출 과정을 사용자에게 설명하기 어렵다.</v>
      </c>
    </row>
    <row r="50" ht="15.75" customHeight="1">
      <c r="A50" s="7" t="s">
        <v>16</v>
      </c>
      <c r="B50" s="8" t="str">
        <f>'AI#2(Gpt)'!D$12</f>
        <v>+</v>
      </c>
      <c r="C50" s="11" t="str">
        <f>'AI#2(Gpt)'!E$12</f>
        <v>데이터 전체 처리가 끝날 때까지 기다리지 않고 결과를 순차적으로 전달할 수 있어 Batch Sequential보다 응답성이 좋다. 다만 UI 자체와 직접적인 관련성은 크지 않다.</v>
      </c>
      <c r="D50" s="8" t="str">
        <f t="shared" ref="D50:E50" si="10">#REF!</f>
        <v>#REF!</v>
      </c>
      <c r="E50" s="11" t="str">
        <f t="shared" si="10"/>
        <v>#REF!</v>
      </c>
    </row>
    <row r="51" ht="15.75" customHeight="1">
      <c r="A51" s="7" t="s">
        <v>17</v>
      </c>
      <c r="B51" s="8" t="str">
        <f>Human!B$25</f>
        <v>0</v>
      </c>
      <c r="C51" s="11" t="str">
        <f>Human!C$25</f>
        <v>Shared Repository는 내부 데이터 관리 구조이므로 사용자의 UI나 사용 편의성에 직접적인 영향은 크지 않다.</v>
      </c>
      <c r="D51" s="8" t="str">
        <f>Human!D$25</f>
        <v>0</v>
      </c>
      <c r="E51" s="11" t="str">
        <f>Human!E$25</f>
        <v>Blackboard는 내부 문제 해결 구조이므로 사용자 인터페이스나 사용 편의성에 직접적인 영향은 크지 않다.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14"/>
    <col customWidth="1" min="2" max="2" width="7.71"/>
    <col customWidth="1" min="3" max="3" width="51.0"/>
    <col customWidth="1" min="4" max="4" width="7.71"/>
    <col customWidth="1" min="5" max="5" width="49.0"/>
  </cols>
  <sheetData>
    <row r="1">
      <c r="A1" s="1" t="s">
        <v>0</v>
      </c>
      <c r="B1" s="2" t="s">
        <v>4</v>
      </c>
      <c r="C1" s="3"/>
      <c r="D1" s="2" t="s">
        <v>6</v>
      </c>
      <c r="E1" s="3"/>
    </row>
    <row r="2">
      <c r="A2" s="4"/>
      <c r="B2" s="5" t="s">
        <v>7</v>
      </c>
      <c r="C2" s="5" t="s">
        <v>10</v>
      </c>
      <c r="D2" s="5" t="s">
        <v>7</v>
      </c>
      <c r="E2" s="5" t="s">
        <v>10</v>
      </c>
    </row>
    <row r="3" ht="15.0" customHeight="1">
      <c r="A3" s="6" t="s">
        <v>11</v>
      </c>
      <c r="B3" s="6" t="str">
        <f>'Detailed Reasoning'!B$29</f>
        <v/>
      </c>
      <c r="C3" s="6" t="str">
        <f>'Detailed Reasoning'!C$29</f>
        <v/>
      </c>
      <c r="D3" s="6" t="str">
        <f>'Detailed Reasoning'!D$29</f>
        <v/>
      </c>
      <c r="E3" s="6" t="str">
        <f>'Detailed Reasoning'!E$29</f>
        <v/>
      </c>
    </row>
    <row r="4">
      <c r="A4" s="7" t="s">
        <v>15</v>
      </c>
      <c r="B4" s="8" t="str">
        <f>'AI#1 (Claude)'!B$29</f>
        <v>-</v>
      </c>
      <c r="C4" s="10" t="str">
        <f>'AI#1 (Claude)'!C29</f>
        <v>발행 시점에 구독자가 없으면 이벤트가 유실되며, 영속화나 재시도가 없어 컴포넌트 중단 상황을 복구할 수 없다.</v>
      </c>
      <c r="D4" s="8" t="str">
        <f>'AI#1 (Claude)'!D$29</f>
        <v>++</v>
      </c>
      <c r="E4" s="10" t="str">
        <f>'AI#1 (Claude)'!E29</f>
        <v>큐가 송수신자를 시간적으로 분리해 소비자가 죽어도 메시지가 유실되지 않고 복구 후 처리가 이어진다. 대신 브로커 자체가 이중화가 필요한 핵심 요소가 된다.</v>
      </c>
    </row>
    <row r="5">
      <c r="A5" s="7" t="s">
        <v>16</v>
      </c>
      <c r="B5" s="8" t="str">
        <f>'AI#2(Gpt)'!D$16</f>
        <v>-</v>
      </c>
      <c r="C5" s="11" t="str">
        <f>'AI#2(Gpt)'!E$16</f>
        <v>중앙 Blackboard가 핵심 공유 지점이므로 Blackboard에 장애가 발생하면 여러 Knowledge Source가 동시에 영향을 받는다. 중앙 저장소 의존성이 크다.</v>
      </c>
      <c r="D5" s="8" t="str">
        <f t="shared" ref="D5:E5" si="1">#REF!</f>
        <v>#REF!</v>
      </c>
      <c r="E5" s="11" t="str">
        <f t="shared" si="1"/>
        <v>#REF!</v>
      </c>
    </row>
    <row r="6">
      <c r="A6" s="7" t="s">
        <v>17</v>
      </c>
      <c r="B6" s="8" t="str">
        <f>Human!B$29</f>
        <v>-</v>
      </c>
      <c r="C6" s="11" t="str">
        <f>Human!C$29</f>
        <v>리스너가 동작하지 않는 동안 발생한 이벤트를 보관했다가 복구 후 다시 전달하기 어렵다. 또한 동기식으로 리스너를 호출한다면 느린 처리나 예외가 발생자 또는 다른 리스너의 정상 동작에 영향을 줄 수 있어, 장애 시 기능을 계속 제공하는 데 불리하다. (Redis)</v>
      </c>
      <c r="D6" s="8" t="str">
        <f>Human!D$29</f>
        <v>++</v>
      </c>
      <c r="E6" s="11" t="str">
        <f>Human!E$29</f>
        <v>큐가 송수신자를 시간적으로 분리해 소비자가 죽어도 메시지가 유실되지 않고 복구 후 처리가 이어진다. 대신 브로커 자체가 이중화가 필요한 핵심 요소가 된다.</v>
      </c>
    </row>
    <row r="7">
      <c r="A7" s="10"/>
      <c r="B7" s="12"/>
      <c r="C7" s="10"/>
      <c r="D7" s="12"/>
      <c r="E7" s="10"/>
    </row>
    <row r="8" ht="15.0" customHeight="1">
      <c r="A8" s="6" t="s">
        <v>18</v>
      </c>
      <c r="B8" s="6" t="str">
        <f>'Detailed Reasoning'!B$30</f>
        <v/>
      </c>
      <c r="C8" s="6" t="str">
        <f>'Detailed Reasoning'!C$30</f>
        <v/>
      </c>
      <c r="D8" s="6" t="str">
        <f>'Detailed Reasoning'!D$30</f>
        <v/>
      </c>
      <c r="E8" s="6" t="str">
        <f>'Detailed Reasoning'!E$30</f>
        <v/>
      </c>
    </row>
    <row r="9">
      <c r="A9" s="7" t="s">
        <v>15</v>
      </c>
      <c r="B9" s="8" t="str">
        <f>'AI#1 (Claude)'!B$30</f>
        <v>+</v>
      </c>
      <c r="C9" s="10" t="str">
        <f>'AI#1 (Claude)'!C30</f>
        <v>발행자와 구독자가 개별 배포 가능한 독립 컴포넌트지만, 통신하려면 동시에 실행 중이어야 한다.</v>
      </c>
      <c r="D9" s="8" t="str">
        <f>'AI#1 (Claude)'!D$30</f>
        <v>++</v>
      </c>
      <c r="E9" s="10" t="str">
        <f>'AI#1 (Claude)'!E30</f>
        <v>버퍼가 다운타임을 흡수하므로 생산자와 소비자를 독립적으로 배포·재시작·롤백할 수 있다.</v>
      </c>
    </row>
    <row r="10">
      <c r="A10" s="7" t="s">
        <v>16</v>
      </c>
      <c r="B10" s="8" t="str">
        <f>'AI#2(Gpt)'!D$17</f>
        <v>0</v>
      </c>
      <c r="C10" s="11" t="str">
        <f>'AI#2(Gpt)'!E$17</f>
        <v>Knowledge Source는 비교적 독립적으로 추가·배포할 수 있지만, Blackboard의 데이터 표현 방식이나 제어 로직과의 호환성을 맞춰야 한다.</v>
      </c>
      <c r="D10" s="8" t="str">
        <f t="shared" ref="D10:E10" si="2">#REF!</f>
        <v>#REF!</v>
      </c>
      <c r="E10" s="11" t="str">
        <f t="shared" si="2"/>
        <v>#REF!</v>
      </c>
    </row>
    <row r="11">
      <c r="A11" s="7" t="s">
        <v>17</v>
      </c>
      <c r="B11" s="8">
        <f>Human!B$30</f>
        <v>0</v>
      </c>
      <c r="C11" s="11" t="str">
        <f>Human!C$30</f>
        <v>기능을 분리하기는 좋지만, 각각 따로 배포할 수 있는지는 구현에 따라 다르다.</v>
      </c>
      <c r="D11" s="8" t="str">
        <f>Human!D$30</f>
        <v>++</v>
      </c>
      <c r="E11" s="11" t="str">
        <f>Human!E$30</f>
        <v>버퍼가 다운타임을 흡수하므로 생산자와 소비자를 독립적으로 배포·재시작·롤백할 수 있다.</v>
      </c>
    </row>
    <row r="12">
      <c r="A12" s="10"/>
      <c r="B12" s="12"/>
      <c r="C12" s="10"/>
      <c r="D12" s="12"/>
      <c r="E12" s="10"/>
    </row>
    <row r="13" ht="15.0" customHeight="1">
      <c r="A13" s="6" t="s">
        <v>19</v>
      </c>
      <c r="B13" s="6" t="str">
        <f>'Detailed Reasoning'!B$31</f>
        <v/>
      </c>
      <c r="C13" s="6" t="str">
        <f>'Detailed Reasoning'!C$31</f>
        <v/>
      </c>
      <c r="D13" s="6" t="str">
        <f>'Detailed Reasoning'!D$31</f>
        <v/>
      </c>
      <c r="E13" s="6" t="str">
        <f>'Detailed Reasoning'!E$31</f>
        <v/>
      </c>
    </row>
    <row r="14">
      <c r="A14" s="7" t="s">
        <v>15</v>
      </c>
      <c r="B14" s="8" t="str">
        <f>'AI#1 (Claude)'!B$31</f>
        <v>++</v>
      </c>
      <c r="C14" s="10" t="str">
        <f>'AI#1 (Claude)'!C31</f>
        <v>새 구독자는 이벤트에 등록만 하면 통합된다. 발행자 코드를 바꿀 필요가 없고 누가 듣는지 알 필요도 없다.</v>
      </c>
      <c r="D14" s="8" t="str">
        <f>'AI#1 (Claude)'!D$31</f>
        <v>++</v>
      </c>
      <c r="E14" s="10" t="str">
        <f>'AI#1 (Claude)'!E31</f>
        <v>새 소비자가 생산자 변경 없이 기존 큐나 토픽에 붙을 수 있고, 이기종 시스템도 메시지 계약으로 통합된다.</v>
      </c>
    </row>
    <row r="15">
      <c r="A15" s="7" t="s">
        <v>16</v>
      </c>
      <c r="B15" s="8" t="str">
        <f>'AI#2(Gpt)'!D$18</f>
        <v>+</v>
      </c>
      <c r="C15" s="11" t="str">
        <f>'AI#2(Gpt)'!E$18</f>
        <v>서로 다른 알고리즘이나 모듈이 Blackboard라는 공통 공간을 통해 협력할 수 있어 이질적인 컴포넌트를 통합하기 좋다.</v>
      </c>
      <c r="D15" s="8" t="str">
        <f t="shared" ref="D15:E15" si="3">#REF!</f>
        <v>#REF!</v>
      </c>
      <c r="E15" s="11" t="str">
        <f t="shared" si="3"/>
        <v>#REF!</v>
      </c>
    </row>
    <row r="16">
      <c r="A16" s="7" t="s">
        <v>17</v>
      </c>
      <c r="B16" s="8" t="str">
        <f>Human!B$31</f>
        <v>+</v>
      </c>
      <c r="C16" s="11" t="str">
        <f>Human!C$31</f>
        <v>같은 이벤트 규칙을 따르면 새로운 기능을 연결하기 쉽다.</v>
      </c>
      <c r="D16" s="8" t="str">
        <f>Human!D$31</f>
        <v>++</v>
      </c>
      <c r="E16" s="11" t="str">
        <f>Human!E$31</f>
        <v>서로 다른 언어·플랫폼으로 구현된 시스템을 메시지 교환으로 연결하기 유리하다. 상대 시스템의 내부 구현이나 실행 시점에 대한 의존성을 줄일 수 있고, 필요하면 중간에서 메시지 형식을 변환할 수도 있다. 단, 메시지의 의미와 데이터 형식에 대한 합의는 필요하다. (Enterprise Integration Patterns)</v>
      </c>
    </row>
    <row r="17">
      <c r="A17" s="10"/>
      <c r="B17" s="12"/>
      <c r="C17" s="10"/>
      <c r="D17" s="12"/>
      <c r="E17" s="10"/>
    </row>
    <row r="18">
      <c r="A18" s="6" t="s">
        <v>20</v>
      </c>
      <c r="B18" s="6" t="str">
        <f>'Detailed Reasoning'!B$32</f>
        <v/>
      </c>
      <c r="C18" s="6" t="str">
        <f>'Detailed Reasoning'!C$32</f>
        <v/>
      </c>
      <c r="D18" s="6" t="str">
        <f>'Detailed Reasoning'!D$32</f>
        <v/>
      </c>
      <c r="E18" s="6" t="str">
        <f>'Detailed Reasoning'!E$32</f>
        <v/>
      </c>
    </row>
    <row r="19">
      <c r="A19" s="10" t="s">
        <v>15</v>
      </c>
      <c r="B19" s="8" t="str">
        <f>'AI#1 (Claude)'!B$32</f>
        <v>+</v>
      </c>
      <c r="C19" s="10" t="str">
        <f>'AI#1 (Claude)'!C32</f>
        <v>이벤트가 실제로 발생할 때만 연산이 촉발되어 낭비적인 폴링을 피한다. 다만 관심 없는 구독자에게까지 브로드캐스트하는 만큼의 낭비는 남는다.</v>
      </c>
      <c r="D19" s="8" t="str">
        <f>'AI#1 (Claude)'!D$32</f>
        <v>0</v>
      </c>
      <c r="E19" s="10" t="str">
        <f>'AI#1 (Claude)'!E32</f>
        <v>배치 처리와 부하 평준화로 자원 사용이 고르게 되어 과잉 프로비저닝을 피하지만, 메시지 영속화와 복제에 추가 저장·I/O 비용이 든다.</v>
      </c>
    </row>
    <row r="20">
      <c r="A20" s="10" t="s">
        <v>16</v>
      </c>
      <c r="B20" s="8" t="str">
        <f>'AI#2(Gpt)'!D$19</f>
        <v>-</v>
      </c>
      <c r="C20" s="11" t="str">
        <f>'AI#2(Gpt)'!E$19</f>
        <v>여러 Knowledge Source가 Blackboard의 상태를 지속적으로 확인하거나 반복적으로 추론할 수 있어 계산량과 자원 사용량이 증가하기 쉽다.</v>
      </c>
      <c r="D20" s="8" t="str">
        <f t="shared" ref="D20:E20" si="4">#REF!</f>
        <v>#REF!</v>
      </c>
      <c r="E20" s="11" t="str">
        <f t="shared" si="4"/>
        <v>#REF!</v>
      </c>
    </row>
    <row r="21" ht="15.75" customHeight="1">
      <c r="A21" s="10" t="s">
        <v>17</v>
      </c>
      <c r="B21" s="8">
        <f>Human!B$32</f>
        <v>0</v>
      </c>
      <c r="C21" s="11" t="str">
        <f>Human!C$32</f>
        <v>이벤트를 저장하는 비용은 없지만, 실제 전력 소모는 실행되는 작업량에 따라 달라진다.</v>
      </c>
      <c r="D21" s="8" t="str">
        <f>Human!D$32</f>
        <v>0</v>
      </c>
      <c r="E21" s="11" t="str">
        <f>Human!E$32</f>
        <v>부하를 평준화하여 순간 최대 부하에 맞춘 과도한 자원 확보를 줄일 여지가 있다. 반면 큐 운영과 메시지 저장·전달에도 자원이 필요하다. 이러한 상반된 효과가 있어, 구체적인 부하와 측정 결과 없이 전체 에너지 절감으로 판단하기는 어렵다. (Microsoft Learn)</v>
      </c>
    </row>
    <row r="22" ht="15.75" customHeight="1">
      <c r="A22" s="10"/>
      <c r="B22" s="12"/>
      <c r="C22" s="10"/>
      <c r="D22" s="12"/>
      <c r="E22" s="10"/>
    </row>
    <row r="23" ht="15.75" customHeight="1">
      <c r="A23" s="6" t="s">
        <v>21</v>
      </c>
      <c r="B23" s="6" t="str">
        <f>'Detailed Reasoning'!B$33</f>
        <v/>
      </c>
      <c r="C23" s="6" t="str">
        <f>'Detailed Reasoning'!C$33</f>
        <v/>
      </c>
      <c r="D23" s="6" t="str">
        <f>'Detailed Reasoning'!D$33</f>
        <v/>
      </c>
      <c r="E23" s="6" t="str">
        <f>'Detailed Reasoning'!E$33</f>
        <v/>
      </c>
    </row>
    <row r="24" ht="15.75" customHeight="1">
      <c r="A24" s="7" t="s">
        <v>15</v>
      </c>
      <c r="B24" s="8" t="str">
        <f>'AI#1 (Claude)'!B$33</f>
        <v>++</v>
      </c>
      <c r="C24" s="10" t="str">
        <f>'AI#1 (Claude)'!C33</f>
        <v>발행자가 구독자를 전혀 모르기 때문에 컴포넌트를 서로 독립적으로 추가·제거·교체할 수 있다.</v>
      </c>
      <c r="D24" s="8" t="str">
        <f>'AI#1 (Claude)'!D$33</f>
        <v>++</v>
      </c>
      <c r="E24" s="10" t="str">
        <f>'AI#1 (Claude)'!E33</f>
        <v>메시지 스키마만이 결합점이라 생산자와 소비자 내부는 자유롭게 바꿀 수 있다.</v>
      </c>
    </row>
    <row r="25" ht="15.75" customHeight="1">
      <c r="A25" s="7" t="s">
        <v>16</v>
      </c>
      <c r="B25" s="8" t="str">
        <f>'AI#2(Gpt)'!D$20</f>
        <v>+</v>
      </c>
      <c r="C25" s="11" t="str">
        <f>'AI#2(Gpt)'!E$20</f>
        <v>기존 Knowledge Source와 직접 연결하지 않고 새로운 Knowledge Source를 추가하거나 교체할 수 있다. 기능 확장에 비교적 유리하다.</v>
      </c>
      <c r="D25" s="8" t="str">
        <f t="shared" ref="D25:E25" si="5">#REF!</f>
        <v>#REF!</v>
      </c>
      <c r="E25" s="11" t="str">
        <f t="shared" si="5"/>
        <v>#REF!</v>
      </c>
    </row>
    <row r="26" ht="15.75" customHeight="1">
      <c r="A26" s="7" t="s">
        <v>17</v>
      </c>
      <c r="B26" s="8" t="str">
        <f>Human!B$33</f>
        <v>++</v>
      </c>
      <c r="C26" s="11" t="str">
        <f>Human!C$33</f>
        <v>발생자의 핵심 로직을 바꾸지 않고 리스너를 추가·교체·제거하여 동작을 확장하기 쉽다. 이벤트 계약이 유지된다면 발생자와 처리자의 내부 구현을 비교적 독립적으로 변경할 수 있어, 이 구조의 대표적인 장점이다. (Microsoft Learn)</v>
      </c>
      <c r="D26" s="8" t="str">
        <f>Human!D$33</f>
        <v>++</v>
      </c>
      <c r="E26" s="11" t="str">
        <f>Human!E$33</f>
        <v>메시지 계약이 유지되면 생산자와 소비자의 내부 로직을 비교적 독립적으로 변경할 수 있다. 처리 기능을 다른 소비자로 교체하거나, 발행·구독 방식에서는 새로운 소비자를 추가하기도 쉽다. 다만 공통 메시지의 구조나 의미가 바뀌면 관련 구성요소에 변경이 전파될 수 있다. (Microsoft Learn)</v>
      </c>
    </row>
    <row r="27" ht="15.75" customHeight="1">
      <c r="A27" s="10"/>
      <c r="B27" s="12"/>
      <c r="C27" s="10"/>
      <c r="D27" s="12"/>
      <c r="E27" s="10"/>
    </row>
    <row r="28" ht="15.75" customHeight="1">
      <c r="A28" s="6" t="s">
        <v>22</v>
      </c>
      <c r="B28" s="6" t="str">
        <f>'Detailed Reasoning'!B$34</f>
        <v/>
      </c>
      <c r="C28" s="6" t="str">
        <f>'Detailed Reasoning'!C$34</f>
        <v/>
      </c>
      <c r="D28" s="6" t="str">
        <f>'Detailed Reasoning'!D$34</f>
        <v/>
      </c>
      <c r="E28" s="6" t="str">
        <f>'Detailed Reasoning'!E$34</f>
        <v/>
      </c>
    </row>
    <row r="29" ht="15.75" customHeight="1">
      <c r="A29" s="7" t="s">
        <v>15</v>
      </c>
      <c r="B29" s="8" t="str">
        <f>'AI#1 (Claude)'!B$34</f>
        <v>+</v>
      </c>
      <c r="C29" s="10" t="str">
        <f>'AI#1 (Claude)'!C34</f>
        <v>메모리 내 직접 디스패치라 큐잉 오버헤드 없이 지연이 매우 낮다. 반면 동기 전달이라 느린 구독자가 발행자를 막을 위험이 있다.</v>
      </c>
      <c r="D29" s="8" t="str">
        <f>'AI#1 (Claude)'!D$34</f>
        <v>+</v>
      </c>
      <c r="E29" s="10" t="str">
        <f>'AI#1 (Claude)'!E34</f>
        <v>버퍼링으로 처리량이 높고 급격한 부하도 유실 없이 흡수한다. 대신 큐잉 때문에 종단 간 지연이 늘어난다.</v>
      </c>
    </row>
    <row r="30" ht="15.75" customHeight="1">
      <c r="A30" s="7" t="s">
        <v>16</v>
      </c>
      <c r="B30" s="8" t="str">
        <f>'AI#2(Gpt)'!D$21</f>
        <v>-</v>
      </c>
      <c r="C30" s="11" t="str">
        <f>'AI#2(Gpt)'!E$21</f>
        <v>Blackboard에 대한 반복적인 읽기/쓰기와 여러 Knowledge Source의 추론 과정 때문에 오버헤드가 발생한다. 어떤 모듈을 실행할지 결정하는 Control 비용도 있다.</v>
      </c>
      <c r="D30" s="8" t="str">
        <f t="shared" ref="D30:E30" si="6">#REF!</f>
        <v>#REF!</v>
      </c>
      <c r="E30" s="11" t="str">
        <f t="shared" si="6"/>
        <v>#REF!</v>
      </c>
    </row>
    <row r="31" ht="15.75" customHeight="1">
      <c r="A31" s="7" t="s">
        <v>17</v>
      </c>
      <c r="B31" s="8" t="str">
        <f>Human!B$34</f>
        <v>+</v>
      </c>
      <c r="C31" s="11" t="str">
        <f>Human!C$34</f>
        <v>메모리 내 직접 디스패치라 큐잉 오버헤드 없이 지연이 매우 낮다. 반면 동기 전달이라 느린 구독자가 발행자를 막을 위험이 있다.</v>
      </c>
      <c r="D31" s="8" t="str">
        <f>Human!D$34</f>
        <v>0</v>
      </c>
      <c r="E31" s="11" t="str">
        <f>Human!E$34</f>
        <v>트래픽이 몰릴 때 요청을 큐에 저장해 서버 과부하를 막을 수 있지만, 대기 시간이 생기므로 처리 자체가 빨라지는 것은 아니다.</v>
      </c>
    </row>
    <row r="32" ht="15.75" customHeight="1">
      <c r="A32" s="10"/>
      <c r="B32" s="12"/>
      <c r="C32" s="10"/>
      <c r="D32" s="12"/>
      <c r="E32" s="10"/>
    </row>
    <row r="33" ht="15.75" customHeight="1">
      <c r="A33" s="6" t="s">
        <v>23</v>
      </c>
      <c r="B33" s="6" t="str">
        <f>'Detailed Reasoning'!B$35</f>
        <v/>
      </c>
      <c r="C33" s="6" t="str">
        <f>'Detailed Reasoning'!C$35</f>
        <v/>
      </c>
      <c r="D33" s="6" t="str">
        <f>'Detailed Reasoning'!D$35</f>
        <v/>
      </c>
      <c r="E33" s="6" t="str">
        <f>'Detailed Reasoning'!E$35</f>
        <v/>
      </c>
    </row>
    <row r="34" ht="15.75" customHeight="1">
      <c r="A34" s="7" t="s">
        <v>15</v>
      </c>
      <c r="B34" s="8" t="str">
        <f>'AI#1 (Claude)'!B$35</f>
        <v>-</v>
      </c>
      <c r="C34" s="10" t="str">
        <f>'AI#1 (Claude)'!C35</f>
        <v>전달·순서·완료가 보장되지 않고 이벤트가 조용히 유실될 수 있어 중요한 동작에는 부적합하다.</v>
      </c>
      <c r="D34" s="8" t="str">
        <f>'AI#1 (Claude)'!D$35</f>
        <v>+</v>
      </c>
      <c r="E34" s="10" t="str">
        <f>'AI#1 (Claude)'!E35</f>
        <v>영속화와 확인응답으로 재시도와 최소 1회 전달이 가능해 중요한 작업이 조용히 사라지지 않는다. 다만 중복 전달은 소비자가 처리해야 한다.</v>
      </c>
    </row>
    <row r="35" ht="15.75" customHeight="1">
      <c r="A35" s="7" t="s">
        <v>16</v>
      </c>
      <c r="B35" s="8" t="str">
        <f>'AI#2(Gpt)'!D$22</f>
        <v>0</v>
      </c>
      <c r="C35" s="11" t="str">
        <f>'AI#2(Gpt)'!E$22</f>
        <v>중간 결과를 중앙에서 확인하고 검증할 수 있다는 장점은 있지만, 잘못된 Knowledge Source가 잘못된 정보를 Blackboard에 기록하면 다른 모듈에도 영향을 줄 수 있다.</v>
      </c>
      <c r="D35" s="8" t="str">
        <f t="shared" ref="D35:E35" si="7">#REF!</f>
        <v>#REF!</v>
      </c>
      <c r="E35" s="11" t="str">
        <f t="shared" si="7"/>
        <v>#REF!</v>
      </c>
    </row>
    <row r="36" ht="15.75" customHeight="1">
      <c r="A36" s="7" t="s">
        <v>17</v>
      </c>
      <c r="B36" s="8" t="str">
        <f>Human!B$35</f>
        <v>-</v>
      </c>
      <c r="C36" s="11" t="str">
        <f>Human!C$35</f>
        <v>안전 관련 이벤트의 처리 누락이나 지연을 구조 자체가 방지하지 못한다. 예를 들어 위험 감지 알림을 해당 리스너가 처리하지 못하면 필요한 안전 동작이 실행되지 않을 수 있다. 이러한 용도라면 처리 확인이나 독립적인 안전 장치 같은 추가 설계가 필요하다는 판단이다. (Redis)</v>
      </c>
      <c r="D36" s="8" t="str">
        <f>Human!D$35</f>
        <v>+</v>
      </c>
      <c r="E36" s="11" t="str">
        <f>Human!E$35</f>
        <v>영속화와 확인응답으로 재시도와 최소 1회 전달이 가능해 중요한 작업이 조용히 사라지지 않는다. 다만 중복 전달은 소비자가 처리해야 한다.</v>
      </c>
    </row>
    <row r="37" ht="15.75" customHeight="1">
      <c r="A37" s="10"/>
      <c r="B37" s="12"/>
      <c r="C37" s="10"/>
      <c r="D37" s="12"/>
      <c r="E37" s="10"/>
    </row>
    <row r="38" ht="15.75" customHeight="1">
      <c r="A38" s="6" t="s">
        <v>24</v>
      </c>
      <c r="B38" s="6" t="str">
        <f>'Detailed Reasoning'!B$36</f>
        <v/>
      </c>
      <c r="C38" s="6" t="str">
        <f>'Detailed Reasoning'!C$36</f>
        <v/>
      </c>
      <c r="D38" s="6" t="str">
        <f>'Detailed Reasoning'!D$36</f>
        <v/>
      </c>
      <c r="E38" s="6" t="str">
        <f>'Detailed Reasoning'!E$36</f>
        <v/>
      </c>
    </row>
    <row r="39" ht="15.75" customHeight="1">
      <c r="A39" s="7" t="s">
        <v>15</v>
      </c>
      <c r="B39" s="8" t="str">
        <f>'AI#1 (Claude)'!B$36</f>
        <v>-</v>
      </c>
      <c r="C39" s="10" t="str">
        <f>'AI#1 (Claude)'!C36</f>
        <v>등록된 컴포넌트라면 브로드캐스트 이벤트를 받을 수 있어 누가 어떤 정보를 보는지 통제하기 어렵다.</v>
      </c>
      <c r="D39" s="8" t="str">
        <f>'AI#1 (Claude)'!D$36</f>
        <v>0</v>
      </c>
      <c r="E39" s="10" t="str">
        <f>'AI#1 (Claude)'!E36</f>
        <v>중앙 브로커에서 인증·인가를 일괄 적용할 수 있지만, 큐에 쌓인 메시지 자체에 대한 보호가 따로 필요하다.</v>
      </c>
    </row>
    <row r="40" ht="15.75" customHeight="1">
      <c r="A40" s="7" t="s">
        <v>16</v>
      </c>
      <c r="B40" s="8" t="str">
        <f>'AI#2(Gpt)'!D$23</f>
        <v>-</v>
      </c>
      <c r="C40" s="11" t="str">
        <f>'AI#2(Gpt)'!E$23</f>
        <v>여러 Knowledge Source가 하나의 Blackboard에 접근하므로 접근 지점과 권한 관리가 복잡하다. Blackboard가 침해되면 공유되는 지식 전체에 영향을 줄 수 있다.</v>
      </c>
      <c r="D40" s="8" t="str">
        <f t="shared" ref="D40:E40" si="8">#REF!</f>
        <v>#REF!</v>
      </c>
      <c r="E40" s="11" t="str">
        <f t="shared" si="8"/>
        <v>#REF!</v>
      </c>
    </row>
    <row r="41" ht="15.75" customHeight="1">
      <c r="A41" s="7" t="s">
        <v>17</v>
      </c>
      <c r="B41" s="8" t="str">
        <f>Human!B$36</f>
        <v>0</v>
      </c>
      <c r="C41" s="11" t="str">
        <f>Human!C$36</f>
        <v>이 방식 자체가 보안을 높여주지는 않는다. 인증과 접근 권한은 따로 설계해야 한다.</v>
      </c>
      <c r="D41" s="8" t="str">
        <f>Human!D$36</f>
        <v>0</v>
      </c>
      <c r="E41" s="11" t="str">
        <f>Human!E$36</f>
        <v>브로커에서 메시지 발행·수신 권한을 관리할 수 있지만, 메시지 저장소와 전달 경로도 보호해야 한다. 비인가 메시지 삽입이나 열람을 막기 위한 인증·권한 관리·암호화가 별도로 필요하다. 따라서 버퍼링만으로 보안이 강화된다고 볼 수는 없다. (Microsoft Learn)</v>
      </c>
    </row>
    <row r="42" ht="15.75" customHeight="1">
      <c r="A42" s="10"/>
      <c r="B42" s="12"/>
      <c r="C42" s="10"/>
      <c r="D42" s="12"/>
      <c r="E42" s="10"/>
    </row>
    <row r="43" ht="15.75" customHeight="1">
      <c r="A43" s="6" t="s">
        <v>25</v>
      </c>
      <c r="B43" s="6" t="str">
        <f>'Detailed Reasoning'!B$37</f>
        <v/>
      </c>
      <c r="C43" s="6" t="str">
        <f>'Detailed Reasoning'!C$37</f>
        <v/>
      </c>
      <c r="D43" s="6" t="str">
        <f>'Detailed Reasoning'!D$37</f>
        <v/>
      </c>
      <c r="E43" s="6" t="str">
        <f>'Detailed Reasoning'!E$37</f>
        <v/>
      </c>
    </row>
    <row r="44" ht="15.75" customHeight="1">
      <c r="A44" s="7" t="s">
        <v>15</v>
      </c>
      <c r="B44" s="8" t="str">
        <f>'AI#1 (Claude)'!B$37</f>
        <v>--</v>
      </c>
      <c r="C44" s="10" t="str">
        <f>'AI#1 (Claude)'!C37</f>
        <v>제어 흐름이 암묵적이고 등록 순서에 의존해서, 시나리오를 재현하려면 이벤트 토폴로지 전체를 재구성해야 한다.</v>
      </c>
      <c r="D44" s="8" t="str">
        <f>'AI#1 (Claude)'!D$37</f>
        <v>-</v>
      </c>
      <c r="E44" s="10" t="str">
        <f>'AI#1 (Claude)'!E37</f>
        <v>비동기성과 타이밍 때문에 종단 간 테스트가 비결정적이다. 다만 양쪽 모두 가짜 큐를 두고 개별 테스트는 가능하다.</v>
      </c>
    </row>
    <row r="45" ht="15.75" customHeight="1">
      <c r="A45" s="7" t="s">
        <v>16</v>
      </c>
      <c r="B45" s="8" t="str">
        <f>'AI#2(Gpt)'!D$24</f>
        <v>-</v>
      </c>
      <c r="C45" s="11" t="str">
        <f>'AI#2(Gpt)'!E$24</f>
        <v>각각의 Knowledge Source 자체는 테스트할 수 있지만, 실제 실행 순서가 Blackboard의 현재 상태와 Control 전략에 따라 달라질 수 있어 전체 시스템 테스트가 어렵다.</v>
      </c>
      <c r="D45" s="8" t="str">
        <f t="shared" ref="D45:E45" si="9">#REF!</f>
        <v>#REF!</v>
      </c>
      <c r="E45" s="11" t="str">
        <f t="shared" si="9"/>
        <v>#REF!</v>
      </c>
    </row>
    <row r="46" ht="15.75" customHeight="1">
      <c r="A46" s="7" t="s">
        <v>17</v>
      </c>
      <c r="B46" s="8" t="str">
        <f>Human!B$37</f>
        <v>-</v>
      </c>
      <c r="C46" s="11" t="str">
        <f>Human!C$37</f>
        <v>개별 기능은 시험하기 쉽지만, 여러 이벤트가 이어지는 전체 흐름은 확인하기 어렵다.</v>
      </c>
      <c r="D46" s="8" t="str">
        <f>Human!D$37</f>
        <v>-</v>
      </c>
      <c r="E46" s="11" t="str">
        <f>Human!E$37</f>
        <v>개별 소비자는 정해진 메시지를 입력하여 독립적으로 시험하기 좋지만, 전체 흐름의 검증은 복잡해진다. 비동기 처리 완료 시점, 큐에 남은 메시지, 병렬 처리 순서 등을 고려해야 하고, 재전송 기능이 있다면 중복 처리도 검증해야 한다. 여러 구성요소에 걸친 실행을 추적하기도 상대적으로 어렵다. (Microsoft Learn)</v>
      </c>
    </row>
    <row r="47" ht="15.0" customHeight="1">
      <c r="A47" s="10"/>
      <c r="B47" s="12"/>
      <c r="C47" s="10"/>
      <c r="D47" s="12"/>
      <c r="E47" s="10"/>
    </row>
    <row r="48" ht="15.75" customHeight="1">
      <c r="A48" s="6" t="s">
        <v>26</v>
      </c>
      <c r="B48" s="6" t="str">
        <f>'Detailed Reasoning'!B$38</f>
        <v/>
      </c>
      <c r="C48" s="6" t="str">
        <f>'Detailed Reasoning'!C$38</f>
        <v/>
      </c>
      <c r="D48" s="6" t="str">
        <f>'Detailed Reasoning'!D$38</f>
        <v/>
      </c>
      <c r="E48" s="6" t="str">
        <f>'Detailed Reasoning'!E$38</f>
        <v/>
      </c>
    </row>
    <row r="49" ht="15.75" customHeight="1">
      <c r="A49" s="7" t="s">
        <v>15</v>
      </c>
      <c r="B49" s="8" t="str">
        <f>'AI#1 (Claude)'!B$38</f>
        <v>+</v>
      </c>
      <c r="C49" s="10" t="str">
        <f>'AI#1 (Claude)'!C38</f>
        <v>상태가 바뀌는 즉시 갱신되는 반응형 UI를 만들 수 있어 사용자 응답성이 좋다.</v>
      </c>
      <c r="D49" s="8" t="str">
        <f>'AI#1 (Claude)'!D$38</f>
        <v>0</v>
      </c>
      <c r="E49" s="10" t="str">
        <f>'AI#1 (Claude)'!E38</f>
        <v>사용자는 즉시가 아닌 최종적 결과를 보게 되므로 UI가 처리 중 상태를 알려줘야 한다.</v>
      </c>
    </row>
    <row r="50" ht="15.75" customHeight="1">
      <c r="A50" s="7" t="s">
        <v>16</v>
      </c>
      <c r="B50" s="8" t="str">
        <f>'AI#2(Gpt)'!D$25</f>
        <v>0</v>
      </c>
      <c r="C50" s="11" t="str">
        <f>'AI#2(Gpt)'!E$25</f>
        <v>Blackboard는 내부 문제 해결 구조이므로 사용자 인터페이스나 사용 편의성에 직접적인 영향은 크지 않다.</v>
      </c>
      <c r="D50" s="8" t="str">
        <f t="shared" ref="D50:E50" si="10">#REF!</f>
        <v>#REF!</v>
      </c>
      <c r="E50" s="11" t="str">
        <f t="shared" si="10"/>
        <v>#REF!</v>
      </c>
    </row>
    <row r="51" ht="15.75" customHeight="1">
      <c r="A51" s="7" t="s">
        <v>17</v>
      </c>
      <c r="B51" s="8" t="str">
        <f>Human!B$38</f>
        <v>+</v>
      </c>
      <c r="C51" s="11" t="str">
        <f>Human!C$38</f>
        <v>사용자 입력이나 상태 변화에 맞춰 화면과 기능이 반응하도록 구성하기 쉽다. 데이터 변경을 화면 갱신으로 연결하는 등 상호작용 구현에 유리하다. 다만 가벼운 핸들러 처리를 전제로 한 간접적 장점이며, 긴 처리가 화면 응답을 막으면 이 장점이 사라질 수 있다. (Microsoft Learn)</v>
      </c>
      <c r="D51" s="8" t="str">
        <f>Human!D$38</f>
        <v>0</v>
      </c>
      <c r="E51" s="11" t="str">
        <f>Human!E$38</f>
        <v>오래 걸리는 작업을 분리하고 사용자에게 접수 응답을 먼저 줄 수 있다는 장점이 있다. 그러나 실제 결과는 나중에 나오므로 사용자가 완료 여부를 혼동할 수 있다. 처리 중·성공·실패 상태와 완료 알림을 별도로 설계해야 하므로, 기본 구조만으로는 긍정·부정 효과가 함께 있다고 판단했다. (Microsoft Learn)</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43"/>
    <col customWidth="1" min="2" max="2" width="7.71"/>
    <col customWidth="1" min="3" max="3" width="29.29"/>
    <col customWidth="1" min="4" max="4" width="7.71"/>
    <col customWidth="1" min="5" max="5" width="28.57"/>
  </cols>
  <sheetData>
    <row r="1">
      <c r="A1" s="1" t="s">
        <v>12</v>
      </c>
      <c r="B1" s="2" t="s">
        <v>13</v>
      </c>
      <c r="C1" s="3"/>
      <c r="D1" s="2" t="s">
        <v>14</v>
      </c>
      <c r="E1" s="3"/>
    </row>
    <row r="2">
      <c r="A2" s="4"/>
      <c r="B2" s="5" t="s">
        <v>7</v>
      </c>
      <c r="C2" s="5" t="s">
        <v>10</v>
      </c>
      <c r="D2" s="5" t="s">
        <v>7</v>
      </c>
      <c r="E2" s="5" t="s">
        <v>10</v>
      </c>
    </row>
    <row r="3" ht="15.0" customHeight="1">
      <c r="A3" s="6" t="s">
        <v>11</v>
      </c>
      <c r="B3" s="6" t="str">
        <f>'Detailed Reasoning'!B$42</f>
        <v/>
      </c>
      <c r="C3" s="6" t="str">
        <f>'Detailed Reasoning'!C$42</f>
        <v/>
      </c>
      <c r="D3" s="6" t="str">
        <f>'Detailed Reasoning'!D$42</f>
        <v/>
      </c>
      <c r="E3" s="6" t="str">
        <f>'Detailed Reasoning'!E$42</f>
        <v/>
      </c>
    </row>
    <row r="4">
      <c r="A4" s="7" t="s">
        <v>15</v>
      </c>
      <c r="B4" s="8" t="str">
        <f>'AI#1 (Claude)'!B$42</f>
        <v>0</v>
      </c>
      <c r="C4" s="10" t="str">
        <f>'AI#1 (Claude)'!C42</f>
        <v>스타일 자체가 이중화를 제공하지는 않지만, 분리 덕분에 뷰가 실패하거나 교체되어도 모델과 그 로직에는 영향이 없다.</v>
      </c>
      <c r="D4" s="8" t="str">
        <f>'AI#1 (Claude)'!D$42</f>
        <v>+</v>
      </c>
      <c r="E4" s="10" t="str">
        <f>'AI#1 (Claude)'!E42</f>
        <v>에이전트가 자체 제어를 가진 독립 단위라 하나가 실패해도 해당 서브시스템만 저하되고 전체가 멈추지 않는다.</v>
      </c>
    </row>
    <row r="5">
      <c r="A5" s="7" t="s">
        <v>16</v>
      </c>
      <c r="B5" s="8" t="str">
        <f>'AI#2(Gpt)'!D$29</f>
        <v>+</v>
      </c>
      <c r="C5" s="13" t="str">
        <f>'AI#2(Gpt)'!E$29</f>
        <v>수신자가 일시적으로 중단되어도 큐가 정상이고 여유 공간이 있으면 메시지를 계속 접수할 수 있다. 수신자는 복구 후 대기 메시지를 처리할 수 있어 장애의 영향을 줄이기 유리하다. 다만 접수가 가능하다는 것과 실제 업무 처리가 계속된다는 것은 다르며, 큐 장애나 용량 초과도 고려해야 한다. (Microsoft Learn)</v>
      </c>
      <c r="D5" s="8" t="str">
        <f>'AI#2(Gpt)'!D$42</f>
        <v>++</v>
      </c>
      <c r="E5" s="11" t="str">
        <f>'AI#2(Gpt)'!E$42</f>
        <v>기능과 정보가 나뉘어 있어 한 기능의 문제가 다른 기능까지 번지는 것을 줄이기 좋다. 다만 실제로 장애를 격리하도록 구현해야 한다.</v>
      </c>
    </row>
    <row r="6">
      <c r="A6" s="7" t="s">
        <v>17</v>
      </c>
      <c r="B6" s="8" t="str">
        <f>Human!B$42</f>
        <v/>
      </c>
      <c r="C6" s="11" t="str">
        <f>Human!C$42</f>
        <v>Human - MVC - Availability</v>
      </c>
      <c r="D6" s="8" t="str">
        <f>Human!D$42</f>
        <v/>
      </c>
      <c r="E6" s="11" t="str">
        <f>Human!E$42</f>
        <v>Human - PAC - Availability</v>
      </c>
    </row>
    <row r="7">
      <c r="A7" s="10"/>
      <c r="B7" s="12"/>
      <c r="C7" s="10"/>
      <c r="D7" s="12"/>
      <c r="E7" s="10"/>
    </row>
    <row r="8" ht="15.0" customHeight="1">
      <c r="A8" s="6" t="s">
        <v>18</v>
      </c>
      <c r="B8" s="6" t="str">
        <f>'Detailed Reasoning'!B$43</f>
        <v/>
      </c>
      <c r="C8" s="6" t="str">
        <f>'Detailed Reasoning'!C$43</f>
        <v/>
      </c>
      <c r="D8" s="6" t="str">
        <f>'Detailed Reasoning'!D$43</f>
        <v/>
      </c>
      <c r="E8" s="6" t="str">
        <f>'Detailed Reasoning'!E$43</f>
        <v/>
      </c>
    </row>
    <row r="9">
      <c r="A9" s="7" t="s">
        <v>15</v>
      </c>
      <c r="B9" s="8" t="str">
        <f>'AI#1 (Claude)'!B$43</f>
        <v>+</v>
      </c>
      <c r="C9" s="10" t="str">
        <f>'AI#1 (Claude)'!C43</f>
        <v>뷰와 모델을 서로 다른 티어나 기기에 배포할 수 있고, 비즈니스 로직 재배포 없이 화면만 갱신할 수 있다.</v>
      </c>
      <c r="D9" s="8" t="str">
        <f>'AI#1 (Claude)'!D$43</f>
        <v>+</v>
      </c>
      <c r="E9" s="10" t="str">
        <f>'AI#1 (Claude)'!E43</f>
        <v>에이전트가 완결된 단위라 여러 노드에 분산 배포할 수 있다. 다만 에이전트 계층 구조를 일관된 구성으로 배포해야 한다.</v>
      </c>
    </row>
    <row r="10">
      <c r="A10" s="7" t="s">
        <v>16</v>
      </c>
      <c r="B10" s="8" t="str">
        <f>'AI#2(Gpt)'!D$30</f>
        <v>+</v>
      </c>
      <c r="C10" s="13" t="str">
        <f>'AI#2(Gpt)'!E$30</f>
        <v>생산자·소비자가 별도 배포 단위라면, 메시지 형식의 호환성을 유지하면서 각각 배포하기 쉽다. 소비자 교체 중에는 메시지를 큐에 보관할 수 있다. 다만 메시지 형식을 호환되지 않게 변경하면 구버전·신버전 사이의 문제가 발생하므로 버전 관리가 필요하다. (Microsoft Learn)</v>
      </c>
      <c r="D10" s="8" t="str">
        <f>'AI#2(Gpt)'!D$43</f>
        <v>++</v>
      </c>
      <c r="E10" s="11" t="str">
        <f>'AI#2(Gpt)'!E$43</f>
        <v>다른 기능의 내부에 대한 의존성이 적어 필요한 에이전트를 따로 교체하기 좋다. 실제 독립 배포를 하려면 배포 단위도 나눠야 한다.</v>
      </c>
    </row>
    <row r="11">
      <c r="A11" s="7" t="s">
        <v>17</v>
      </c>
      <c r="B11" s="8" t="str">
        <f>Human!B$43</f>
        <v/>
      </c>
      <c r="C11" s="11" t="str">
        <f>Human!C$43</f>
        <v>Human - MVC - Deployability</v>
      </c>
      <c r="D11" s="8" t="str">
        <f>Human!D$43</f>
        <v/>
      </c>
      <c r="E11" s="11" t="str">
        <f>Human!E$43</f>
        <v>Human - PAC - Deployability</v>
      </c>
    </row>
    <row r="12">
      <c r="A12" s="10"/>
      <c r="B12" s="12"/>
      <c r="C12" s="10"/>
      <c r="D12" s="12"/>
      <c r="E12" s="10"/>
    </row>
    <row r="13" ht="15.0" customHeight="1">
      <c r="A13" s="6" t="s">
        <v>19</v>
      </c>
      <c r="B13" s="6" t="str">
        <f>'Detailed Reasoning'!B$44</f>
        <v/>
      </c>
      <c r="C13" s="6" t="str">
        <f>'Detailed Reasoning'!C$44</f>
        <v/>
      </c>
      <c r="D13" s="6" t="str">
        <f>'Detailed Reasoning'!D$44</f>
        <v/>
      </c>
      <c r="E13" s="6" t="str">
        <f>'Detailed Reasoning'!E$44</f>
        <v/>
      </c>
    </row>
    <row r="14">
      <c r="A14" s="7" t="s">
        <v>15</v>
      </c>
      <c r="B14" s="8" t="str">
        <f>'AI#1 (Claude)'!B$44</f>
        <v>+</v>
      </c>
      <c r="C14" s="10" t="str">
        <f>'AI#1 (Claude)'!C44</f>
        <v>새 뷰는 안정된 모델 인터페이스를 기준으로 통합된다. 다만 컨트롤러와 뷰의 결합 때문에 일부 통합은 까다로울 수 있다.</v>
      </c>
      <c r="D14" s="8" t="str">
        <f>'AI#1 (Claude)'!D$44</f>
        <v>+</v>
      </c>
      <c r="E14" s="10" t="str">
        <f>'AI#1 (Claude)'!E44</f>
        <v>새 에이전트는 제어 컴포넌트를 통해 계층에 붙는다. 단점은 계층이 깊어지면 어디에 붙여야 할지 명확하지 않다는 점이다.</v>
      </c>
    </row>
    <row r="15">
      <c r="A15" s="7" t="s">
        <v>16</v>
      </c>
      <c r="B15" s="8" t="str">
        <f>'AI#2(Gpt)'!D$31</f>
        <v>++</v>
      </c>
      <c r="C15" s="13" t="str">
        <f>'AI#2(Gpt)'!E$31</f>
        <v>서로 다른 언어·플랫폼으로 구현된 시스템을 메시지 교환으로 연결하기 유리하다. 상대 시스템의 내부 구현이나 실행 시점에 대한 의존성을 줄일 수 있고, 필요하면 중간에서 메시지 형식을 변환할 수도 있다. 단, 메시지의 의미와 데이터 형식에 대한 합의는 필요하다. (Enterprise Integration Patterns)</v>
      </c>
      <c r="D15" s="8" t="str">
        <f>'AI#2(Gpt)'!D$44</f>
        <v>++</v>
      </c>
      <c r="E15" s="11" t="str">
        <f>'AI#2(Gpt)'!E$44</f>
        <v>각 에이전트가 Control을 통해 연결되므로, 기존 기능의 내부를 크게 바꾸지 않고 새로운 기능을 추가·통합하기 쉽다.</v>
      </c>
    </row>
    <row r="16">
      <c r="A16" s="7" t="s">
        <v>17</v>
      </c>
      <c r="B16" s="8" t="str">
        <f>Human!B$44</f>
        <v/>
      </c>
      <c r="C16" s="11" t="str">
        <f>Human!C$44</f>
        <v>Human - MVC - Integrability</v>
      </c>
      <c r="D16" s="8" t="str">
        <f>Human!D$44</f>
        <v/>
      </c>
      <c r="E16" s="11" t="str">
        <f>Human!E$44</f>
        <v>Human - PAC - Integrability</v>
      </c>
    </row>
    <row r="17">
      <c r="A17" s="10"/>
      <c r="B17" s="12"/>
      <c r="C17" s="10"/>
      <c r="D17" s="12"/>
      <c r="E17" s="10"/>
    </row>
    <row r="18">
      <c r="A18" s="6" t="s">
        <v>20</v>
      </c>
      <c r="B18" s="6" t="str">
        <f>'Detailed Reasoning'!B$45</f>
        <v/>
      </c>
      <c r="C18" s="6" t="str">
        <f>'Detailed Reasoning'!C$45</f>
        <v/>
      </c>
      <c r="D18" s="6" t="str">
        <f>'Detailed Reasoning'!D$45</f>
        <v/>
      </c>
      <c r="E18" s="6" t="str">
        <f>'Detailed Reasoning'!E$45</f>
        <v/>
      </c>
    </row>
    <row r="19">
      <c r="A19" s="10" t="s">
        <v>15</v>
      </c>
      <c r="B19" s="8" t="str">
        <f>'AI#1 (Claude)'!B$45</f>
        <v>-</v>
      </c>
      <c r="C19" s="10" t="str">
        <f>'AI#1 (Claude)'!C45</f>
        <v>변경 통지와 반복적인 뷰 갱신이, 상태를 한 번에 그리는 방식보다 오버헤드를 더한다.</v>
      </c>
      <c r="D19" s="8" t="str">
        <f>'AI#1 (Claude)'!D$45</f>
        <v>-</v>
      </c>
      <c r="E19" s="10" t="str">
        <f>'AI#1 (Claude)'!E45</f>
        <v>모든 에이전트가 각자 표현·추상화·제어 부분을 갖고, 메시지가 계층을 여러 단계 거치면서 자원을 더 쓴다.</v>
      </c>
    </row>
    <row r="20">
      <c r="A20" s="10" t="s">
        <v>16</v>
      </c>
      <c r="B20" s="8" t="str">
        <f>'AI#2(Gpt)'!D$32</f>
        <v>0</v>
      </c>
      <c r="C20" s="13" t="str">
        <f>'AI#2(Gpt)'!E$32</f>
        <v>부하를 평준화하여 순간 최대 부하에 맞춘 과도한 자원 확보를 줄일 여지가 있다. 반면 큐 운영과 메시지 저장·전달에도 자원이 필요하다. 이러한 상반된 효과가 있어, 구체적인 부하와 측정 결과 없이 전체 에너지 절감으로 판단하기는 어렵다. (Microsoft Learn)</v>
      </c>
      <c r="D20" s="8" t="str">
        <f>'AI#2(Gpt)'!D$45</f>
        <v>--</v>
      </c>
      <c r="E20" s="11" t="str">
        <f>'AI#2(Gpt)'!E$45</f>
        <v>에이전트 사이에서 요청을 전달하고 데이터를 맞추는 추가 작업이 생긴다. 사진에서는 정보 분산과 약한 결합의 비용이 겹친다.</v>
      </c>
    </row>
    <row r="21" ht="15.75" customHeight="1">
      <c r="A21" s="10" t="s">
        <v>17</v>
      </c>
      <c r="B21" s="8" t="str">
        <f>Human!B$45</f>
        <v/>
      </c>
      <c r="C21" s="11" t="str">
        <f>Human!C$45</f>
        <v>Human - MVC - Energy Efficiency</v>
      </c>
      <c r="D21" s="8" t="str">
        <f>Human!D$45</f>
        <v/>
      </c>
      <c r="E21" s="11" t="str">
        <f>Human!E$45</f>
        <v>Human - PAC - Energy Efficiency</v>
      </c>
    </row>
    <row r="22" ht="15.75" customHeight="1">
      <c r="A22" s="10"/>
      <c r="B22" s="12"/>
      <c r="C22" s="10"/>
      <c r="D22" s="12"/>
      <c r="E22" s="10"/>
    </row>
    <row r="23" ht="15.75" customHeight="1">
      <c r="A23" s="6" t="s">
        <v>21</v>
      </c>
      <c r="B23" s="6" t="str">
        <f>'Detailed Reasoning'!B$46</f>
        <v/>
      </c>
      <c r="C23" s="6" t="str">
        <f>'Detailed Reasoning'!C$46</f>
        <v/>
      </c>
      <c r="D23" s="6" t="str">
        <f>'Detailed Reasoning'!D$46</f>
        <v/>
      </c>
      <c r="E23" s="6" t="str">
        <f>'Detailed Reasoning'!E$46</f>
        <v/>
      </c>
    </row>
    <row r="24" ht="15.75" customHeight="1">
      <c r="A24" s="7" t="s">
        <v>15</v>
      </c>
      <c r="B24" s="8" t="str">
        <f>'AI#1 (Claude)'!B$46</f>
        <v>++</v>
      </c>
      <c r="C24" s="10" t="str">
        <f>'AI#1 (Claude)'!C46</f>
        <v>비즈니스 로직을 건드리지 않고 UI를 변경하거나 통째로 교체할 수 있으며, 여러 뷰가 한 모델을 공유할 수 있다.</v>
      </c>
      <c r="D24" s="8" t="str">
        <f>'AI#1 (Claude)'!D$46</f>
        <v>++</v>
      </c>
      <c r="E24" s="10" t="str">
        <f>'AI#1 (Claude)'!E46</f>
        <v>각 에이전트가 자기 데이터와 UI를 캡슐화하므로 변경이 해당 에이전트 안에 머물고 다른 곳으로 새지 않는다.</v>
      </c>
    </row>
    <row r="25" ht="15.75" customHeight="1">
      <c r="A25" s="7" t="s">
        <v>16</v>
      </c>
      <c r="B25" s="8" t="str">
        <f>'AI#2(Gpt)'!D$33</f>
        <v>++</v>
      </c>
      <c r="C25" s="13" t="str">
        <f>'AI#2(Gpt)'!E$33</f>
        <v>메시지 계약이 유지되면 생산자와 소비자의 내부 로직을 비교적 독립적으로 변경할 수 있다. 처리 기능을 다른 소비자로 교체하거나, 발행·구독 방식에서는 새로운 소비자를 추가하기도 쉽다. 다만 공통 메시지의 구조나 의미가 바뀌면 관련 구성요소에 변경이 전파될 수 있다. (Microsoft Learn)</v>
      </c>
      <c r="D25" s="8" t="str">
        <f>'AI#2(Gpt)'!D$46</f>
        <v>++</v>
      </c>
      <c r="E25" s="11" t="str">
        <f>'AI#2(Gpt)'!E$46</f>
        <v>한 에이전트의 화면이나 처리 방식을 바꿔도 다른 에이전트의 수정은 줄이기 쉽다. 단, 서로 주고받는 규칙은 유지해야 한다.</v>
      </c>
    </row>
    <row r="26" ht="15.75" customHeight="1">
      <c r="A26" s="7" t="s">
        <v>17</v>
      </c>
      <c r="B26" s="8" t="str">
        <f>Human!B$46</f>
        <v/>
      </c>
      <c r="C26" s="11" t="str">
        <f>Human!C$46</f>
        <v>Human - MVC - Modifiability</v>
      </c>
      <c r="D26" s="8" t="str">
        <f>Human!D$46</f>
        <v/>
      </c>
      <c r="E26" s="11" t="str">
        <f>Human!E$46</f>
        <v>Human - PAC - Modifiability</v>
      </c>
    </row>
    <row r="27" ht="15.75" customHeight="1">
      <c r="A27" s="10"/>
      <c r="B27" s="12"/>
      <c r="C27" s="10"/>
      <c r="D27" s="12"/>
      <c r="E27" s="10"/>
    </row>
    <row r="28" ht="15.75" customHeight="1">
      <c r="A28" s="6" t="s">
        <v>22</v>
      </c>
      <c r="B28" s="6" t="str">
        <f>'Detailed Reasoning'!B$47</f>
        <v/>
      </c>
      <c r="C28" s="6" t="str">
        <f>'Detailed Reasoning'!C$47</f>
        <v/>
      </c>
      <c r="D28" s="6" t="str">
        <f>'Detailed Reasoning'!D$47</f>
        <v/>
      </c>
      <c r="E28" s="6" t="str">
        <f>'Detailed Reasoning'!E$47</f>
        <v/>
      </c>
    </row>
    <row r="29" ht="15.75" customHeight="1">
      <c r="A29" s="7" t="s">
        <v>15</v>
      </c>
      <c r="B29" s="8" t="str">
        <f>'AI#1 (Claude)'!B$47</f>
        <v>-</v>
      </c>
      <c r="C29" s="10" t="str">
        <f>'AI#1 (Claude)'!C47</f>
        <v>모델·뷰·컨트롤러 사이의 간접 참조가 상태 변경마다 통지와 갱신 오버헤드를 만든다.</v>
      </c>
      <c r="D29" s="8" t="str">
        <f>'AI#1 (Claude)'!D$47</f>
        <v>-</v>
      </c>
      <c r="E29" s="10" t="str">
        <f>'AI#1 (Claude)'!E47</f>
        <v>에이전트 간 통신이 제어 컴포넌트를 거치므로 지연이 늘고, 계층이 깊을수록 더 심해진다.</v>
      </c>
    </row>
    <row r="30" ht="15.75" customHeight="1">
      <c r="A30" s="7" t="s">
        <v>16</v>
      </c>
      <c r="B30" s="8" t="str">
        <f>'AI#2(Gpt)'!D$34</f>
        <v>0</v>
      </c>
      <c r="C30" s="13" t="str">
        <f>'AI#2(Gpt)'!E$34</f>
        <v>순간적으로 몰리는 요청을 버퍼에 보관하고 처리 속도를 조절하여 과부하를 완화할 수 있다. 반면 큐 입출력과 대기 시간이 추가되고, 발생량이 처리량보다 계속 많으면 지연이 누적된다. 따라서 부하 대응에는 유리하지만 개별 요청의 완료 시간까지 빨라지는 것은 아니다. (Microsoft Learn)</v>
      </c>
      <c r="D30" s="8" t="str">
        <f>'AI#2(Gpt)'!D$47</f>
        <v>0</v>
      </c>
      <c r="E30" s="11" t="str">
        <f>'AI#2(Gpt)'!E$47</f>
        <v>독립적인 작업을 함께 처리할 수 있지만, 여러 C를 거치는 전달과 데이터 조정 때문에 시간이 더 걸릴 수도 있다.</v>
      </c>
    </row>
    <row r="31" ht="15.75" customHeight="1">
      <c r="A31" s="7" t="s">
        <v>17</v>
      </c>
      <c r="B31" s="8" t="str">
        <f>Human!B$47</f>
        <v/>
      </c>
      <c r="C31" s="11" t="str">
        <f>Human!C$47</f>
        <v>Human - MVC - Performance</v>
      </c>
      <c r="D31" s="8" t="str">
        <f>Human!D$47</f>
        <v/>
      </c>
      <c r="E31" s="11" t="str">
        <f>Human!E$47</f>
        <v>Human - PAC - Performance</v>
      </c>
    </row>
    <row r="32" ht="15.75" customHeight="1">
      <c r="A32" s="10"/>
      <c r="B32" s="12"/>
      <c r="C32" s="10"/>
      <c r="D32" s="12"/>
      <c r="E32" s="10"/>
    </row>
    <row r="33" ht="15.75" customHeight="1">
      <c r="A33" s="6" t="s">
        <v>23</v>
      </c>
      <c r="B33" s="6" t="str">
        <f>'Detailed Reasoning'!B$48</f>
        <v/>
      </c>
      <c r="C33" s="6" t="str">
        <f>'Detailed Reasoning'!C$48</f>
        <v/>
      </c>
      <c r="D33" s="6" t="str">
        <f>'Detailed Reasoning'!D$48</f>
        <v/>
      </c>
      <c r="E33" s="6" t="str">
        <f>'Detailed Reasoning'!E$48</f>
        <v/>
      </c>
    </row>
    <row r="34" ht="15.75" customHeight="1">
      <c r="A34" s="7" t="s">
        <v>15</v>
      </c>
      <c r="B34" s="8" t="str">
        <f>'AI#1 (Claude)'!B$48</f>
        <v>0</v>
      </c>
      <c r="C34" s="10" t="str">
        <f>'AI#1 (Claude)'!C48</f>
        <v>단일 권위 모델 덕분에 뷰 사이의 상태 불일치는 없지만 결함 허용 메커니즘은 없어, 모델이 실패하면 모든 뷰가 함께 멈춘다.</v>
      </c>
      <c r="D34" s="8" t="str">
        <f>'AI#1 (Claude)'!D$48</f>
        <v>+</v>
      </c>
      <c r="E34" s="10" t="str">
        <f>'AI#1 (Claude)'!E48</f>
        <v>에이전트 캡슐화가 한 서브시스템의 결함이 다른 서브시스템으로 번지는 것을 막는다.</v>
      </c>
    </row>
    <row r="35" ht="15.75" customHeight="1">
      <c r="A35" s="7" t="s">
        <v>16</v>
      </c>
      <c r="B35" s="8" t="str">
        <f>'AI#2(Gpt)'!D$35</f>
        <v>-</v>
      </c>
      <c r="C35" s="13" t="str">
        <f>'AI#2(Gpt)'!E$35</f>
        <v>안전 관련 제어에 적용할 경우, 긴급한 메시지가 큐에서 대기하면서 대응 시한을 놓칠 위험이 있다. 또한 여러 소비자가 병렬 처리하면 메시지의 최종 처리 순서가 달라질 수 있다. 버퍼링 자체는 최대 지연이나 안전한 실행 순서를 보장하지 않으므로 부정적으로 평가했다. (Microsoft Learn)</v>
      </c>
      <c r="D35" s="8" t="str">
        <f>'AI#2(Gpt)'!D$48</f>
        <v>+</v>
      </c>
      <c r="E35" s="11" t="str">
        <f>'AI#2(Gpt)'!E$48</f>
        <v>중요한 처리 기능을 분리하여 오류의 영향을 제한하기 좋다. 다만 동시에 진행되는 작업의 순서와 데이터 상태는 따로 검증해야 한다.</v>
      </c>
    </row>
    <row r="36" ht="15.75" customHeight="1">
      <c r="A36" s="7" t="s">
        <v>17</v>
      </c>
      <c r="B36" s="8" t="str">
        <f>Human!B$48</f>
        <v/>
      </c>
      <c r="C36" s="11" t="str">
        <f>Human!C$48</f>
        <v>Human - MVC - Safety</v>
      </c>
      <c r="D36" s="8" t="str">
        <f>Human!D$48</f>
        <v/>
      </c>
      <c r="E36" s="11" t="str">
        <f>Human!E$48</f>
        <v>Human - PAC - Safety</v>
      </c>
    </row>
    <row r="37" ht="15.75" customHeight="1">
      <c r="A37" s="10"/>
      <c r="B37" s="12"/>
      <c r="C37" s="10"/>
      <c r="D37" s="12"/>
      <c r="E37" s="10"/>
    </row>
    <row r="38" ht="15.75" customHeight="1">
      <c r="A38" s="6" t="s">
        <v>24</v>
      </c>
      <c r="B38" s="6" t="str">
        <f>'Detailed Reasoning'!B$49</f>
        <v/>
      </c>
      <c r="C38" s="6" t="str">
        <f>'Detailed Reasoning'!C$49</f>
        <v/>
      </c>
      <c r="D38" s="6" t="str">
        <f>'Detailed Reasoning'!D$49</f>
        <v/>
      </c>
      <c r="E38" s="6" t="str">
        <f>'Detailed Reasoning'!E$49</f>
        <v/>
      </c>
    </row>
    <row r="39" ht="15.75" customHeight="1">
      <c r="A39" s="7" t="s">
        <v>15</v>
      </c>
      <c r="B39" s="8" t="str">
        <f>'AI#1 (Claude)'!B$49</f>
        <v>+</v>
      </c>
      <c r="C39" s="10" t="str">
        <f>'AI#1 (Claude)'!C49</f>
        <v>검증과 비즈니스 규칙이 뷰마다 중복되지 않고 모델에 모인다. 다만 클라이언트 측 뷰만 믿어서는 안 된다.</v>
      </c>
      <c r="D39" s="8" t="str">
        <f>'AI#1 (Claude)'!D$49</f>
        <v>+</v>
      </c>
      <c r="E39" s="10" t="str">
        <f>'AI#1 (Claude)'!E49</f>
        <v>각 에이전트의 제어 컴포넌트가 해당 서브시스템의 접근 규칙을 강제하기 좋은 지점이 된다.</v>
      </c>
    </row>
    <row r="40" ht="15.75" customHeight="1">
      <c r="A40" s="7" t="s">
        <v>16</v>
      </c>
      <c r="B40" s="8" t="str">
        <f>'AI#2(Gpt)'!D$36</f>
        <v>0</v>
      </c>
      <c r="C40" s="13" t="str">
        <f>'AI#2(Gpt)'!E$36</f>
        <v>브로커에서 메시지 발행·수신 권한을 관리할 수 있지만, 메시지 저장소와 전달 경로도 보호해야 한다. 비인가 메시지 삽입이나 열람을 막기 위한 인증·권한 관리·암호화가 별도로 필요하다. 따라서 버퍼링만으로 보안이 강화된다고 볼 수는 없다. (Microsoft Learn)</v>
      </c>
      <c r="D40" s="8" t="str">
        <f>'AI#2(Gpt)'!D$49</f>
        <v>+</v>
      </c>
      <c r="E40" s="11" t="str">
        <f>'AI#2(Gpt)'!E$49</f>
        <v>데이터를 기능별로 나누고 C를 통하는 접근을 관리하기 좋다. 하지만 인증과 접근 권한이 자동으로 제공되는 것은 아니다.</v>
      </c>
    </row>
    <row r="41" ht="15.75" customHeight="1">
      <c r="A41" s="7" t="s">
        <v>17</v>
      </c>
      <c r="B41" s="8" t="str">
        <f>Human!B$49</f>
        <v/>
      </c>
      <c r="C41" s="11" t="str">
        <f>Human!C$49</f>
        <v>Human - MVC - Security</v>
      </c>
      <c r="D41" s="8" t="str">
        <f>Human!D$49</f>
        <v/>
      </c>
      <c r="E41" s="11" t="str">
        <f>Human!E$49</f>
        <v>Human - PAC - Security</v>
      </c>
    </row>
    <row r="42" ht="15.75" customHeight="1">
      <c r="A42" s="10"/>
      <c r="B42" s="12"/>
      <c r="C42" s="10"/>
      <c r="D42" s="12"/>
      <c r="E42" s="10"/>
    </row>
    <row r="43" ht="15.75" customHeight="1">
      <c r="A43" s="6" t="s">
        <v>25</v>
      </c>
      <c r="B43" s="6" t="str">
        <f>'Detailed Reasoning'!B$50</f>
        <v/>
      </c>
      <c r="C43" s="6" t="str">
        <f>'Detailed Reasoning'!C$50</f>
        <v/>
      </c>
      <c r="D43" s="6" t="str">
        <f>'Detailed Reasoning'!D$50</f>
        <v/>
      </c>
      <c r="E43" s="6" t="str">
        <f>'Detailed Reasoning'!E$50</f>
        <v/>
      </c>
    </row>
    <row r="44" ht="15.75" customHeight="1">
      <c r="A44" s="7" t="s">
        <v>15</v>
      </c>
      <c r="B44" s="8" t="str">
        <f>'AI#1 (Claude)'!B$50</f>
        <v>++</v>
      </c>
      <c r="C44" s="10" t="str">
        <f>'AI#1 (Claude)'!C50</f>
        <v>모델 로직을 UI 없이 헤드리스로 테스트할 수 있고, 뷰는 스텁 모델로 검증할 수 있다.</v>
      </c>
      <c r="D44" s="8" t="str">
        <f>'AI#1 (Claude)'!D$50</f>
        <v>+</v>
      </c>
      <c r="E44" s="10" t="str">
        <f>'AI#1 (Claude)'!E50</f>
        <v>에이전트가 독립적으로 테스트 가능한 단위지만, 계층 간 상호작용은 여전히 통합 테스트가 필요하다.</v>
      </c>
    </row>
    <row r="45" ht="15.75" customHeight="1">
      <c r="A45" s="7" t="s">
        <v>16</v>
      </c>
      <c r="B45" s="8" t="str">
        <f>'AI#2(Gpt)'!D$37</f>
        <v>-</v>
      </c>
      <c r="C45" s="13" t="str">
        <f>'AI#2(Gpt)'!E$37</f>
        <v>개별 소비자는 정해진 메시지를 입력하여 독립적으로 시험하기 좋지만, 전체 흐름의 검증은 복잡해진다. 비동기 처리 완료 시점, 큐에 남은 메시지, 병렬 처리 순서 등을 고려해야 하고, 재전송 기능이 있다면 중복 처리도 검증해야 한다. 여러 구성요소에 걸친 실행을 추적하기도 상대적으로 어렵다. (Microsoft Learn)</v>
      </c>
      <c r="D45" s="8" t="str">
        <f>'AI#2(Gpt)'!D$50</f>
        <v>0</v>
      </c>
      <c r="E45" s="11" t="str">
        <f>'AI#2(Gpt)'!E$50</f>
        <v>각 에이전트는 따로 시험하기 좋지만, 여러 에이전트가 함께 동작할 때의 처리 순서와 데이터 상태를 재현하기 어렵다.</v>
      </c>
    </row>
    <row r="46" ht="15.75" customHeight="1">
      <c r="A46" s="7" t="s">
        <v>17</v>
      </c>
      <c r="B46" s="8" t="str">
        <f>Human!B$50</f>
        <v/>
      </c>
      <c r="C46" s="11" t="str">
        <f>Human!C$50</f>
        <v>Human - MVC - Testability</v>
      </c>
      <c r="D46" s="8" t="str">
        <f>Human!D$50</f>
        <v/>
      </c>
      <c r="E46" s="11" t="str">
        <f>Human!E$50</f>
        <v>Human - PAC - Testability</v>
      </c>
    </row>
    <row r="47" ht="15.0" customHeight="1">
      <c r="A47" s="10"/>
      <c r="B47" s="12"/>
      <c r="C47" s="10"/>
      <c r="D47" s="12"/>
      <c r="E47" s="10"/>
    </row>
    <row r="48" ht="15.75" customHeight="1">
      <c r="A48" s="6" t="s">
        <v>26</v>
      </c>
      <c r="B48" s="6" t="str">
        <f>'Detailed Reasoning'!B$51</f>
        <v/>
      </c>
      <c r="C48" s="6" t="str">
        <f>'Detailed Reasoning'!C$51</f>
        <v/>
      </c>
      <c r="D48" s="6" t="str">
        <f>'Detailed Reasoning'!D$51</f>
        <v/>
      </c>
      <c r="E48" s="6" t="str">
        <f>'Detailed Reasoning'!E$51</f>
        <v/>
      </c>
    </row>
    <row r="49" ht="15.75" customHeight="1">
      <c r="A49" s="7" t="s">
        <v>15</v>
      </c>
      <c r="B49" s="8" t="str">
        <f>'AI#1 (Claude)'!B$51</f>
        <v>++</v>
      </c>
      <c r="C49" s="10" t="str">
        <f>'AI#1 (Claude)'!C51</f>
        <v>같은 데이터에 대한 여러 뷰를 동시에 제공하고 UI를 빠르게 개선할 수 있어 사용자 경험에 직접 도움이 된다.</v>
      </c>
      <c r="D49" s="8" t="str">
        <f>'AI#1 (Claude)'!D$51</f>
        <v>++</v>
      </c>
      <c r="E49" s="10" t="str">
        <f>'AI#1 (Claude)'!E51</f>
        <v>독립적이고 상호작용이 풍부한 여러 UI 서브시스템을 지원해 복잡한 대화형 애플리케이션에 잘 맞는다.</v>
      </c>
    </row>
    <row r="50" ht="15.75" customHeight="1">
      <c r="A50" s="7" t="s">
        <v>16</v>
      </c>
      <c r="B50" s="8" t="str">
        <f>'AI#2(Gpt)'!D$38</f>
        <v>0</v>
      </c>
      <c r="C50" s="13" t="str">
        <f>'AI#2(Gpt)'!E$38</f>
        <v>오래 걸리는 작업을 분리하고 사용자에게 접수 응답을 먼저 줄 수 있다는 장점이 있다. 그러나 실제 결과는 나중에 나오므로 사용자가 완료 여부를 혼동할 수 있다. 처리 중·성공·실패 상태와 완료 알림을 별도로 설계해야 하므로, 기본 구조만으로는 긍정·부정 효과가 함께 있다고 판단했다. (Microsoft Learn)</v>
      </c>
      <c r="D50" s="8" t="str">
        <f>'AI#2(Gpt)'!D$51</f>
        <v>0</v>
      </c>
      <c r="E50" s="11" t="str">
        <f>'AI#2(Gpt)'!E$51</f>
        <v>각 화면이 독립적으로 반응하도록 만들기 좋지만, 관련 화면의 정보가 서로 다르게 보이지 않도록 맞춰야 한다.</v>
      </c>
    </row>
    <row r="51" ht="15.75" customHeight="1">
      <c r="A51" s="7" t="s">
        <v>17</v>
      </c>
      <c r="B51" s="8" t="str">
        <f>Human!B$51</f>
        <v/>
      </c>
      <c r="C51" s="11" t="str">
        <f>Human!C$51</f>
        <v>Human - MVC - Usability</v>
      </c>
      <c r="D51" s="8" t="str">
        <f>Human!D$51</f>
        <v/>
      </c>
      <c r="E51" s="11" t="str">
        <f>Human!E$51</f>
        <v>Human - PAC - Usability</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41.29"/>
    <col customWidth="1" min="4" max="4" width="7.71"/>
    <col customWidth="1" min="5" max="5" width="37.57"/>
  </cols>
  <sheetData>
    <row r="1">
      <c r="A1" s="1" t="s">
        <v>27</v>
      </c>
      <c r="B1" s="2" t="s">
        <v>28</v>
      </c>
      <c r="C1" s="3"/>
      <c r="D1" s="2" t="s">
        <v>30</v>
      </c>
      <c r="E1" s="3"/>
    </row>
    <row r="2">
      <c r="A2" s="4"/>
      <c r="B2" s="5" t="s">
        <v>7</v>
      </c>
      <c r="C2" s="5" t="s">
        <v>10</v>
      </c>
      <c r="D2" s="5" t="s">
        <v>7</v>
      </c>
      <c r="E2" s="5" t="s">
        <v>10</v>
      </c>
    </row>
    <row r="3" ht="15.0" customHeight="1">
      <c r="A3" s="6" t="s">
        <v>11</v>
      </c>
      <c r="B3" s="6" t="str">
        <f>'Detailed Reasoning'!B$55</f>
        <v/>
      </c>
      <c r="C3" s="6" t="str">
        <f>'Detailed Reasoning'!C$55</f>
        <v/>
      </c>
      <c r="D3" s="6" t="str">
        <f>'Detailed Reasoning'!D$55</f>
        <v/>
      </c>
      <c r="E3" s="6" t="str">
        <f>'Detailed Reasoning'!E$55</f>
        <v/>
      </c>
    </row>
    <row r="4">
      <c r="A4" s="7" t="s">
        <v>15</v>
      </c>
      <c r="B4" s="8" t="str">
        <f>'AI#1 (Claude)'!B$55</f>
        <v>--</v>
      </c>
      <c r="C4" s="10" t="str">
        <f>'AI#1 (Claude)'!C55</f>
        <v>이중화 없는 단일 프로세스다. 서브루틴 하나가 실패하면 프로그램 전체가 죽고 부분 동작도 불가능하다.</v>
      </c>
      <c r="D4" s="8" t="str">
        <f>'AI#1 (Claude)'!D$55</f>
        <v>+</v>
      </c>
      <c r="E4" s="10" t="str">
        <f>'AI#1 (Claude)'!E55</f>
        <v>슬레이브가 이중화를 제공해 교체·승격이 가능하므로 슬레이브 장애로는 시스템이 멈추지 않는다. 다만 자동 failover가 없으면 마스터는 여전히 단일 장애점이다.</v>
      </c>
    </row>
    <row r="5">
      <c r="A5" s="7" t="s">
        <v>16</v>
      </c>
      <c r="B5" s="8" t="str">
        <f>'AI#2(Gpt)'!B$55</f>
        <v>-</v>
      </c>
      <c r="C5" s="11" t="str">
        <f>'AI#2(Gpt)'!C$55</f>
        <v>순서대로 강하게 연결되어 있어 한 함수의 장애가 전체 실행을 멈출 수 있다.</v>
      </c>
      <c r="D5" s="8" t="str">
        <f>'AI#2(Gpt)'!D$55</f>
        <v>+</v>
      </c>
      <c r="E5" s="11" t="str">
        <f>'AI#2(Gpt)'!E$55</f>
        <v>작업을 나누어 일부 작업자의 장애 영향을 줄일 수 있지만 Master 장애는 남는다.</v>
      </c>
    </row>
    <row r="6">
      <c r="A6" s="7" t="s">
        <v>17</v>
      </c>
      <c r="B6" s="8" t="str">
        <f>Human!B$55</f>
        <v>--</v>
      </c>
      <c r="C6" s="11" t="str">
        <f>Human!C$55</f>
        <v>이중화 없는 단일 프로세스다. 서브루틴 하나가 실패하면 프로그램 전체가 죽고 부분 동작도 불가능하다.</v>
      </c>
      <c r="D6" s="8" t="str">
        <f>Human!D$55</f>
        <v>+</v>
      </c>
      <c r="E6" s="11" t="str">
        <f>Human!E$55</f>
        <v>작업을 나누어 일부 작업자의 장애 영향을 줄일 수 있지만 Master 장애는 남는다.</v>
      </c>
    </row>
    <row r="7">
      <c r="A7" s="10"/>
      <c r="B7" s="12"/>
      <c r="C7" s="10"/>
      <c r="D7" s="12"/>
      <c r="E7" s="10"/>
    </row>
    <row r="8" ht="15.0" customHeight="1">
      <c r="A8" s="6" t="s">
        <v>18</v>
      </c>
      <c r="B8" s="6" t="str">
        <f>'Detailed Reasoning'!B$56</f>
        <v/>
      </c>
      <c r="C8" s="6" t="str">
        <f>'Detailed Reasoning'!C$56</f>
        <v/>
      </c>
      <c r="D8" s="6" t="str">
        <f>'Detailed Reasoning'!D$56</f>
        <v/>
      </c>
      <c r="E8" s="6" t="str">
        <f>'Detailed Reasoning'!E$56</f>
        <v/>
      </c>
    </row>
    <row r="9">
      <c r="A9" s="7" t="s">
        <v>15</v>
      </c>
      <c r="B9" s="8" t="str">
        <f>'AI#1 (Claude)'!B$56</f>
        <v>0</v>
      </c>
      <c r="C9" s="10" t="str">
        <f>'AI#1 (Claude)'!C56</f>
        <v>단일 실행 파일이라 설치는 매우 간단하지만, 한 줄만 고쳐도 프로그램 전체를 다시 배포해야 한다.</v>
      </c>
      <c r="D9" s="8" t="str">
        <f>'AI#1 (Claude)'!D$56</f>
        <v>0</v>
      </c>
      <c r="E9" s="10" t="str">
        <f>'AI#1 (Claude)'!E56</f>
        <v>슬레이브는 런타임에 추가·제거할 수 있지만, 마스터와 슬레이브가 호환 버전이어야 해서 업그레이드 시 순서를 맞춘 배포가 필요하다.</v>
      </c>
    </row>
    <row r="10">
      <c r="A10" s="7" t="s">
        <v>16</v>
      </c>
      <c r="B10" s="8" t="str">
        <f>'AI#2(Gpt)'!B$56</f>
        <v>-</v>
      </c>
      <c r="C10" s="11" t="str">
        <f>'AI#2(Gpt)'!C$56</f>
        <v>함수들이 같은 실행 프로그램에 묶여 있어 일부만 따로 배포하기 어렵다.</v>
      </c>
      <c r="D10" s="8" t="str">
        <f>'AI#2(Gpt)'!D$56</f>
        <v>+</v>
      </c>
      <c r="E10" s="11" t="str">
        <f>'AI#2(Gpt)'!E$56</f>
        <v>작업자를 분리해 교체하기 좋지만 Master와 주고받는 규칙은 유지해야 한다.</v>
      </c>
    </row>
    <row r="11">
      <c r="A11" s="7" t="s">
        <v>17</v>
      </c>
      <c r="B11" s="8" t="str">
        <f>Human!B$56</f>
        <v>-</v>
      </c>
      <c r="C11" s="11" t="str">
        <f>Human!C$56</f>
        <v>함수들이 같은 실행 프로그램에 묶여 있어 일부만 따로 배포하기 어렵다.</v>
      </c>
      <c r="D11" s="8" t="str">
        <f>Human!D$56</f>
        <v>+</v>
      </c>
      <c r="E11" s="11" t="str">
        <f>Human!E$56</f>
        <v>작업자를 분리해 교체하기 좋지만 Master와 주고받는 규칙은 유지해야 한다.</v>
      </c>
    </row>
    <row r="12">
      <c r="A12" s="10"/>
      <c r="B12" s="12"/>
      <c r="C12" s="10"/>
      <c r="D12" s="12"/>
      <c r="E12" s="10"/>
    </row>
    <row r="13" ht="15.0" customHeight="1">
      <c r="A13" s="6" t="s">
        <v>19</v>
      </c>
      <c r="B13" s="6" t="str">
        <f>'Detailed Reasoning'!B$57</f>
        <v/>
      </c>
      <c r="C13" s="6" t="str">
        <f>'Detailed Reasoning'!C$57</f>
        <v/>
      </c>
      <c r="D13" s="6" t="str">
        <f>'Detailed Reasoning'!D$57</f>
        <v/>
      </c>
      <c r="E13" s="6" t="str">
        <f>'Detailed Reasoning'!E$57</f>
        <v/>
      </c>
    </row>
    <row r="14">
      <c r="A14" s="7" t="s">
        <v>15</v>
      </c>
      <c r="B14" s="8" t="str">
        <f>'AI#1 (Claude)'!B$57</f>
        <v>-</v>
      </c>
      <c r="C14" s="10" t="str">
        <f>'AI#1 (Claude)'!C57</f>
        <v>직접 호출 결합과 공유 전역 데이터 때문에 외부·서드파티 컴포넌트를 통합하는 일이 침습적이다.</v>
      </c>
      <c r="D14" s="8" t="str">
        <f>'AI#1 (Claude)'!D$57</f>
        <v>0</v>
      </c>
      <c r="E14" s="10" t="str">
        <f>'AI#1 (Claude)'!E57</f>
        <v>슬레이브는 마스터가 정의한 하나의 균일한 인터페이스로 통합되어 단순하다. 그러나 마스터는 작업을 어떻게 분할해 어디로 보낼지 알고 있어야 한다.</v>
      </c>
    </row>
    <row r="15">
      <c r="A15" s="7" t="s">
        <v>16</v>
      </c>
      <c r="B15" s="8" t="str">
        <f>'AI#2(Gpt)'!B$57</f>
        <v>0</v>
      </c>
      <c r="C15" s="11" t="str">
        <f>'AI#2(Gpt)'!C$57</f>
        <v>함수별 연결은 쉽지만 호출 규칙과 공통 데이터에 대한 의존성이 있다.</v>
      </c>
      <c r="D15" s="8" t="str">
        <f>'AI#2(Gpt)'!D$57</f>
        <v>0</v>
      </c>
      <c r="E15" s="11" t="str">
        <f>'AI#2(Gpt)'!E$57</f>
        <v>같은 규칙의 작업자는 추가하기 쉽지만 다른 방식의 시스템을 연결하려면 조정이 필요하다.</v>
      </c>
    </row>
    <row r="16">
      <c r="A16" s="7" t="s">
        <v>17</v>
      </c>
      <c r="B16" s="8" t="str">
        <f>Human!B$57</f>
        <v>-</v>
      </c>
      <c r="C16" s="11" t="str">
        <f>Human!C$57</f>
        <v>함수별 연결은 쉽지만 호출 규칙과 공통 데이터에 대한 의존성이 있다.</v>
      </c>
      <c r="D16" s="8" t="str">
        <f>Human!D$57</f>
        <v>0</v>
      </c>
      <c r="E16" s="11" t="str">
        <f>Human!E$57</f>
        <v>같은 규칙의 작업자는 추가하기 쉽지만 다른 방식의 시스템을 연결하려면 조정이 필요하다.</v>
      </c>
    </row>
    <row r="17">
      <c r="A17" s="10"/>
      <c r="B17" s="12"/>
      <c r="C17" s="10"/>
      <c r="D17" s="12"/>
      <c r="E17" s="10"/>
    </row>
    <row r="18">
      <c r="A18" s="6" t="s">
        <v>20</v>
      </c>
      <c r="B18" s="6" t="str">
        <f>'Detailed Reasoning'!B$58</f>
        <v/>
      </c>
      <c r="C18" s="6" t="str">
        <f>'Detailed Reasoning'!C$58</f>
        <v/>
      </c>
      <c r="D18" s="6" t="str">
        <f>'Detailed Reasoning'!D$58</f>
        <v/>
      </c>
      <c r="E18" s="6" t="str">
        <f>'Detailed Reasoning'!E$58</f>
        <v/>
      </c>
    </row>
    <row r="19">
      <c r="A19" s="10" t="s">
        <v>15</v>
      </c>
      <c r="B19" s="8" t="str">
        <f>'AI#1 (Claude)'!B$58</f>
        <v>++</v>
      </c>
      <c r="C19" s="10" t="str">
        <f>'AI#1 (Claude)'!C58</f>
        <v>하나의 주소 공간에서 직접 프로시저를 호출하므로 직렬화·IPC·네트워크 비용이 거의 없다.</v>
      </c>
      <c r="D19" s="8" t="str">
        <f>'AI#1 (Claude)'!D$58</f>
        <v>-</v>
      </c>
      <c r="E19" s="10" t="str">
        <f>'AI#1 (Claude)'!E58</f>
        <v>복제와 대기 슬레이브 용량이 실제로 쓰이지 않을 때도 CPU·저장소·네트워크를 계속 소비한다.</v>
      </c>
    </row>
    <row r="20">
      <c r="A20" s="10" t="s">
        <v>16</v>
      </c>
      <c r="B20" s="8" t="str">
        <f>'AI#2(Gpt)'!B$58</f>
        <v>++</v>
      </c>
      <c r="C20" s="11" t="str">
        <f>'AI#2(Gpt)'!C$58</f>
        <v>직접 호출하고 정보를 함께 사용하므로 통신과 데이터 복사 비용이 적다.</v>
      </c>
      <c r="D20" s="8" t="str">
        <f>'AI#2(Gpt)'!D$58</f>
        <v>-</v>
      </c>
      <c r="E20" s="11" t="str">
        <f>'AI#2(Gpt)'!E$58</f>
        <v>여러 작업자를 동시에 실행하고 결과를 모으는 데 추가 자원이 든다.</v>
      </c>
    </row>
    <row r="21" ht="15.75" customHeight="1">
      <c r="A21" s="10" t="s">
        <v>17</v>
      </c>
      <c r="B21" s="8" t="str">
        <f>Human!B$58</f>
        <v>++</v>
      </c>
      <c r="C21" s="11" t="str">
        <f>Human!C$58</f>
        <v>직접 호출하고 정보를 함께 사용하므로 통신과 데이터 복사 비용이 적다.</v>
      </c>
      <c r="D21" s="8" t="str">
        <f>Human!D$58</f>
        <v>-</v>
      </c>
      <c r="E21" s="11" t="str">
        <f>Human!E$58</f>
        <v>여러 작업자를 동시에 실행하고 결과를 모으는 데 추가 자원이 든다.</v>
      </c>
    </row>
    <row r="22" ht="15.75" customHeight="1">
      <c r="A22" s="10"/>
      <c r="B22" s="12"/>
      <c r="C22" s="10"/>
      <c r="D22" s="12"/>
      <c r="E22" s="10"/>
    </row>
    <row r="23" ht="15.75" customHeight="1">
      <c r="A23" s="6" t="s">
        <v>21</v>
      </c>
      <c r="B23" s="6" t="str">
        <f>'Detailed Reasoning'!B$59</f>
        <v/>
      </c>
      <c r="C23" s="6" t="str">
        <f>'Detailed Reasoning'!C$59</f>
        <v/>
      </c>
      <c r="D23" s="6" t="str">
        <f>'Detailed Reasoning'!D$59</f>
        <v/>
      </c>
      <c r="E23" s="6" t="str">
        <f>'Detailed Reasoning'!E$59</f>
        <v/>
      </c>
    </row>
    <row r="24" ht="15.75" customHeight="1">
      <c r="A24" s="7" t="s">
        <v>15</v>
      </c>
      <c r="B24" s="8" t="str">
        <f>'AI#1 (Claude)'!B$59</f>
        <v>-</v>
      </c>
      <c r="C24" s="10" t="str">
        <f>'AI#1 (Claude)'!C59</f>
        <v>계층적 호출 의존성과 공유 전역 데이터 때문에 변경의 영향이 여러 모듈로 퍼진다.</v>
      </c>
      <c r="D24" s="8" t="str">
        <f>'AI#1 (Claude)'!D$59</f>
        <v>0</v>
      </c>
      <c r="E24" s="10" t="str">
        <f>'AI#1 (Claude)'!E59</f>
        <v>고정된 계약 뒤에서 슬레이브 구현은 자유롭게 바꿀 수 있지만, 계약이나 분할 전략을 바꾸면 마스터와 모든 슬레이브를 함께 고쳐야 한다.</v>
      </c>
    </row>
    <row r="25" ht="15.75" customHeight="1">
      <c r="A25" s="7" t="s">
        <v>16</v>
      </c>
      <c r="B25" s="8" t="str">
        <f>'AI#2(Gpt)'!B$59</f>
        <v>-</v>
      </c>
      <c r="C25" s="11" t="str">
        <f>'AI#2(Gpt)'!C$59</f>
        <v>기능은 나뉘어 있지만 호출 관계와 공통 데이터 변경이 다른 함수에도 영향을 준다.</v>
      </c>
      <c r="D25" s="8" t="str">
        <f>'AI#2(Gpt)'!D$59</f>
        <v>0</v>
      </c>
      <c r="E25" s="11" t="str">
        <f>'AI#2(Gpt)'!E$59</f>
        <v>작업자는 따로 수정하기 쉽지만 Master의 작업 배분 방식과는 맞춰야 한다.</v>
      </c>
    </row>
    <row r="26" ht="15.75" customHeight="1">
      <c r="A26" s="7" t="s">
        <v>17</v>
      </c>
      <c r="B26" s="8" t="str">
        <f>Human!B$59</f>
        <v>-</v>
      </c>
      <c r="C26" s="11" t="str">
        <f>Human!C$59</f>
        <v>기능은 나뉘어 있지만 호출 관계와 공통 데이터 변경이 다른 함수에도 영향을 준다.</v>
      </c>
      <c r="D26" s="8" t="str">
        <f>Human!D$59</f>
        <v>0</v>
      </c>
      <c r="E26" s="11" t="str">
        <f>Human!E$59</f>
        <v>작업자는 따로 수정하기 쉽지만 Master의 작업 배분 방식과는 맞춰야 한다.</v>
      </c>
    </row>
    <row r="27" ht="15.75" customHeight="1">
      <c r="A27" s="10"/>
      <c r="B27" s="12"/>
      <c r="C27" s="10"/>
      <c r="D27" s="12"/>
      <c r="E27" s="10"/>
    </row>
    <row r="28" ht="15.75" customHeight="1">
      <c r="A28" s="6" t="s">
        <v>22</v>
      </c>
      <c r="B28" s="6" t="str">
        <f>'Detailed Reasoning'!B$60</f>
        <v/>
      </c>
      <c r="C28" s="6" t="str">
        <f>'Detailed Reasoning'!C$60</f>
        <v/>
      </c>
      <c r="D28" s="6" t="str">
        <f>'Detailed Reasoning'!D$60</f>
        <v/>
      </c>
      <c r="E28" s="6" t="str">
        <f>'Detailed Reasoning'!E$60</f>
        <v/>
      </c>
    </row>
    <row r="29" ht="15.75" customHeight="1">
      <c r="A29" s="7" t="s">
        <v>15</v>
      </c>
      <c r="B29" s="8" t="str">
        <f>'AI#1 (Claude)'!B$60</f>
        <v>++</v>
      </c>
      <c r="C29" s="10" t="str">
        <f>'AI#1 (Claude)'!C60</f>
        <v>인프로세스 호출이라 직렬화, 프로세스 간 통신, 네트워크 지연이 아예 없다.</v>
      </c>
      <c r="D29" s="8" t="str">
        <f>'AI#1 (Claude)'!D$60</f>
        <v>+</v>
      </c>
      <c r="E29" s="10" t="str">
        <f>'AI#1 (Claude)'!E60</f>
        <v>슬레이브에 작업을 병렬 분산해 처리량과 읽기 확장성이 올라간다. 반면 마스터가 쓰기·조정 병목이 되고, 복제 지연으로 슬레이브 데이터가 낡는다.</v>
      </c>
    </row>
    <row r="30" ht="15.75" customHeight="1">
      <c r="A30" s="7" t="s">
        <v>16</v>
      </c>
      <c r="B30" s="8" t="str">
        <f>'AI#2(Gpt)'!B$60</f>
        <v>0</v>
      </c>
      <c r="C30" s="11" t="str">
        <f>'AI#2(Gpt)'!C$60</f>
        <v>직접 호출은 빠르지만 순차 실행 때문에 앞 작업이 끝날 때까지 기다려야 한다.</v>
      </c>
      <c r="D30" s="8" t="str">
        <f>'AI#2(Gpt)'!D$60</f>
        <v>++</v>
      </c>
      <c r="E30" s="11" t="str">
        <f>'AI#2(Gpt)'!E$60</f>
        <v>독립적인 작업을 여러 작업자가 동시에 처리하므로 처리량을 높이기 좋다.</v>
      </c>
    </row>
    <row r="31" ht="15.75" customHeight="1">
      <c r="A31" s="7" t="s">
        <v>17</v>
      </c>
      <c r="B31" s="8" t="str">
        <f>Human!B$60</f>
        <v>0</v>
      </c>
      <c r="C31" s="11" t="str">
        <f>Human!C$60</f>
        <v>직접 호출은 빠르지만 순차 실행 때문에 앞 작업이 끝날 때까지 기다려야 한다.</v>
      </c>
      <c r="D31" s="8" t="str">
        <f>Human!D$60</f>
        <v>+</v>
      </c>
      <c r="E31" s="11" t="str">
        <f>Human!E$60</f>
        <v>슬레이브에 작업을 병렬 분산해 처리량과 읽기 확장성이 올라간다. 반면 마스터가 쓰기·조정 병목이 되고, 복제 지연으로 슬레이브 데이터가 낡는다.</v>
      </c>
    </row>
    <row r="32" ht="15.75" customHeight="1">
      <c r="A32" s="10"/>
      <c r="B32" s="12"/>
      <c r="C32" s="10"/>
      <c r="D32" s="12"/>
      <c r="E32" s="10"/>
    </row>
    <row r="33" ht="15.75" customHeight="1">
      <c r="A33" s="6" t="s">
        <v>23</v>
      </c>
      <c r="B33" s="6" t="str">
        <f>'Detailed Reasoning'!B$61</f>
        <v/>
      </c>
      <c r="C33" s="6" t="str">
        <f>'Detailed Reasoning'!C$61</f>
        <v/>
      </c>
      <c r="D33" s="6" t="str">
        <f>'Detailed Reasoning'!D$61</f>
        <v/>
      </c>
      <c r="E33" s="6" t="str">
        <f>'Detailed Reasoning'!E$61</f>
        <v/>
      </c>
    </row>
    <row r="34" ht="15.75" customHeight="1">
      <c r="A34" s="7" t="s">
        <v>15</v>
      </c>
      <c r="B34" s="8" t="str">
        <f>'AI#1 (Claude)'!B$61</f>
        <v>-</v>
      </c>
      <c r="C34" s="10" t="str">
        <f>'AI#1 (Claude)'!C61</f>
        <v>부분 간 격리가 전혀 없어 서브루틴 하나의 결함이 프로세스 전체를 오염시키고 그대로 중단시킨다. 결함 격리나 복구 수단이 없다.</v>
      </c>
      <c r="D34" s="8" t="str">
        <f>'AI#1 (Claude)'!D$61</f>
        <v>+</v>
      </c>
      <c r="E34" s="10" t="str">
        <f>'AI#1 (Claude)'!E61</f>
        <v>중복된 슬레이브로 결과를 비교하고 슬레이브 결함 후에도 동작을 이어갈 수 있다. 다만 마스터가 죽으면 조정이 멈춘다.</v>
      </c>
    </row>
    <row r="35" ht="15.75" customHeight="1">
      <c r="A35" s="7" t="s">
        <v>16</v>
      </c>
      <c r="B35" s="8" t="str">
        <f>'AI#2(Gpt)'!B$61</f>
        <v>+</v>
      </c>
      <c r="C35" s="11" t="str">
        <f>'AI#2(Gpt)'!C$61</f>
        <v>실행 순서가 명확해 위험한 동작을 추적하고 점검하기 쉽다.</v>
      </c>
      <c r="D35" s="8" t="str">
        <f>'AI#2(Gpt)'!D$61</f>
        <v>0</v>
      </c>
      <c r="E35" s="11" t="str">
        <f>'AI#2(Gpt)'!E$61</f>
        <v>작업을 나누어 오류 영향을 줄일 수 있지만 동시 실행과 결과 결합 오류는 점검해야 한다.</v>
      </c>
    </row>
    <row r="36" ht="15.75" customHeight="1">
      <c r="A36" s="7" t="s">
        <v>17</v>
      </c>
      <c r="B36" s="8" t="str">
        <f>Human!B$61</f>
        <v>-</v>
      </c>
      <c r="C36" s="11" t="str">
        <f>Human!C$61</f>
        <v>부분 간 격리가 전혀 없어 서브루틴 하나의 결함이 프로세스 전체를 오염시키고 그대로 중단시킨다. 결함 격리나 복구 수단이 없다.</v>
      </c>
      <c r="D36" s="8" t="str">
        <f>Human!D$61</f>
        <v>+</v>
      </c>
      <c r="E36" s="11" t="str">
        <f>Human!E$61</f>
        <v>작업을 나누어 오류 영향을 줄일 수 있지만 동시 실행과 결과 결합 오류는 점검해야 한다.</v>
      </c>
    </row>
    <row r="37" ht="15.75" customHeight="1">
      <c r="A37" s="10"/>
      <c r="B37" s="12"/>
      <c r="C37" s="10"/>
      <c r="D37" s="12"/>
      <c r="E37" s="10"/>
    </row>
    <row r="38" ht="15.75" customHeight="1">
      <c r="A38" s="6" t="s">
        <v>24</v>
      </c>
      <c r="B38" s="6" t="str">
        <f>'Detailed Reasoning'!B$62</f>
        <v/>
      </c>
      <c r="C38" s="6" t="str">
        <f>'Detailed Reasoning'!C$62</f>
        <v/>
      </c>
      <c r="D38" s="6" t="str">
        <f>'Detailed Reasoning'!D$62</f>
        <v/>
      </c>
      <c r="E38" s="6" t="str">
        <f>'Detailed Reasoning'!E$62</f>
        <v/>
      </c>
    </row>
    <row r="39" ht="15.75" customHeight="1">
      <c r="A39" s="7" t="s">
        <v>15</v>
      </c>
      <c r="B39" s="8" t="str">
        <f>'AI#1 (Claude)'!B$62</f>
        <v>0</v>
      </c>
      <c r="C39" s="10" t="str">
        <f>'AI#1 (Claude)'!C62</f>
        <v>네트워크 노출 없는 단일 프로세스라 공격 표면은 작지만, 내부 권한 분리는 전혀 없다.</v>
      </c>
      <c r="D39" s="8" t="str">
        <f>'AI#1 (Claude)'!D$62</f>
        <v>0</v>
      </c>
      <c r="E39" s="10" t="str">
        <f>'AI#1 (Claude)'!E62</f>
        <v>마스터가 정책을 강제할 단일 지점을 제공하지만, 마스터와 슬레이브 사이의 모든 복제 채널을 인증·암호화해야 한다.</v>
      </c>
    </row>
    <row r="40" ht="15.75" customHeight="1">
      <c r="A40" s="7" t="s">
        <v>16</v>
      </c>
      <c r="B40" s="8" t="str">
        <f>'AI#2(Gpt)'!B$62</f>
        <v>0</v>
      </c>
      <c r="C40" s="11" t="str">
        <f>'AI#2(Gpt)'!C$62</f>
        <v>순서대로 접근을 점검하기 쉽지만 공통 정보가 노출되면 피해가 커질 수 있다.</v>
      </c>
      <c r="D40" s="8" t="str">
        <f>'AI#2(Gpt)'!D$62</f>
        <v>0</v>
      </c>
      <c r="E40" s="11" t="str">
        <f>'AI#2(Gpt)'!E$62</f>
        <v>역할별 권한을 나누기 좋지만 여러 작업자와 통신 경로를 함께 보호해야 한다.</v>
      </c>
    </row>
    <row r="41" ht="15.75" customHeight="1">
      <c r="A41" s="7" t="s">
        <v>17</v>
      </c>
      <c r="B41" s="8" t="str">
        <f>Human!B$62</f>
        <v>0</v>
      </c>
      <c r="C41" s="11" t="str">
        <f>Human!C$62</f>
        <v>순서대로 접근을 점검하기 쉽지만 공통 정보가 노출되면 피해가 커질 수 있다.</v>
      </c>
      <c r="D41" s="8" t="str">
        <f>Human!D$62</f>
        <v>0</v>
      </c>
      <c r="E41" s="11" t="str">
        <f>Human!E$62</f>
        <v>역할별 권한을 나누기 좋지만 여러 작업자와 통신 경로를 함께 보호해야 한다.</v>
      </c>
    </row>
    <row r="42" ht="15.75" customHeight="1">
      <c r="A42" s="10"/>
      <c r="B42" s="12"/>
      <c r="C42" s="10"/>
      <c r="D42" s="12"/>
      <c r="E42" s="10"/>
    </row>
    <row r="43" ht="15.75" customHeight="1">
      <c r="A43" s="6" t="s">
        <v>25</v>
      </c>
      <c r="B43" s="6" t="str">
        <f>'Detailed Reasoning'!B$63</f>
        <v/>
      </c>
      <c r="C43" s="6" t="str">
        <f>'Detailed Reasoning'!C$63</f>
        <v/>
      </c>
      <c r="D43" s="6" t="str">
        <f>'Detailed Reasoning'!D$63</f>
        <v/>
      </c>
      <c r="E43" s="6" t="str">
        <f>'Detailed Reasoning'!E$63</f>
        <v/>
      </c>
    </row>
    <row r="44" ht="15.75" customHeight="1">
      <c r="A44" s="7" t="s">
        <v>15</v>
      </c>
      <c r="B44" s="8" t="str">
        <f>'AI#1 (Claude)'!B$63</f>
        <v>+</v>
      </c>
      <c r="C44" s="10" t="str">
        <f>'AI#1 (Claude)'!C63</f>
        <v>개별 서브루틴 단위 테스트는 쉽지만, 공유 전역 상태 때문에 완전한 격리는 어렵다.</v>
      </c>
      <c r="D44" s="8" t="str">
        <f>'AI#1 (Claude)'!D$63</f>
        <v>+</v>
      </c>
      <c r="E44" s="10" t="str">
        <f>'AI#1 (Claude)'!E63</f>
        <v>슬레이브 로직이 균일해 단독 테스트가 쉽지만, 타이밍과 복제 동작은 분산 테스트 환경이 있어야 검증할 수 있다.</v>
      </c>
    </row>
    <row r="45" ht="15.75" customHeight="1">
      <c r="A45" s="7" t="s">
        <v>16</v>
      </c>
      <c r="B45" s="8" t="str">
        <f>'AI#2(Gpt)'!B$63</f>
        <v>+</v>
      </c>
      <c r="C45" s="11" t="str">
        <f>'AI#2(Gpt)'!C$63</f>
        <v>입력과 실행 순서를 재현하기 쉽지만 연결된 함수를 따로 시험하기는 불편하다.</v>
      </c>
      <c r="D45" s="8" t="str">
        <f>'AI#2(Gpt)'!D$63</f>
        <v>--</v>
      </c>
      <c r="E45" s="11" t="str">
        <f>'AI#2(Gpt)'!E$63</f>
        <v>여러 작업자의 실행 순서와 분산된 결과를 똑같이 재현하기 어렵다.</v>
      </c>
    </row>
    <row r="46" ht="15.75" customHeight="1">
      <c r="A46" s="7" t="s">
        <v>17</v>
      </c>
      <c r="B46" s="8" t="str">
        <f>Human!B$63</f>
        <v>+</v>
      </c>
      <c r="C46" s="11" t="str">
        <f>Human!C$63</f>
        <v>입력과 실행 순서를 재현하기 쉽지만 연결된 함수를 따로 시험하기는 불편하다.</v>
      </c>
      <c r="D46" s="8" t="str">
        <f>Human!D$63</f>
        <v>-</v>
      </c>
      <c r="E46" s="11" t="str">
        <f>Human!E$63</f>
        <v>여러 작업자의 실행 순서와 분산된 결과를 똑같이 재현하기 어렵다.</v>
      </c>
    </row>
    <row r="47" ht="15.0" customHeight="1">
      <c r="A47" s="10"/>
      <c r="B47" s="12"/>
      <c r="C47" s="10"/>
      <c r="D47" s="12"/>
      <c r="E47" s="10"/>
    </row>
    <row r="48" ht="15.75" customHeight="1">
      <c r="A48" s="6" t="s">
        <v>26</v>
      </c>
      <c r="B48" s="6" t="str">
        <f>'Detailed Reasoning'!B$64</f>
        <v/>
      </c>
      <c r="C48" s="6" t="str">
        <f>'Detailed Reasoning'!C$64</f>
        <v/>
      </c>
      <c r="D48" s="6" t="str">
        <f>'Detailed Reasoning'!D$64</f>
        <v/>
      </c>
      <c r="E48" s="6" t="str">
        <f>'Detailed Reasoning'!E$64</f>
        <v/>
      </c>
    </row>
    <row r="49" ht="15.75" customHeight="1">
      <c r="A49" s="7" t="s">
        <v>15</v>
      </c>
      <c r="B49" s="8" t="str">
        <f>'AI#1 (Claude)'!B$64</f>
        <v>0</v>
      </c>
      <c r="C49" s="10" t="str">
        <f>'AI#1 (Claude)'!C64</f>
        <v>사용자가 시스템과 상호작용하는 방식에 본질적인 영향을 주지 않는다.</v>
      </c>
      <c r="D49" s="8" t="str">
        <f>'AI#1 (Claude)'!D$64</f>
        <v>0</v>
      </c>
      <c r="E49" s="10" t="str">
        <f>'AI#1 (Claude)'!E64</f>
        <v>사용자에게는 구조가 보이지 않지만, 갱신 직후 복제 지연이 낡은 조회 결과로 드러날 수 있다.</v>
      </c>
    </row>
    <row r="50" ht="15.75" customHeight="1">
      <c r="A50" s="7" t="s">
        <v>16</v>
      </c>
      <c r="B50" s="8" t="str">
        <f>'AI#2(Gpt)'!B$64</f>
        <v>0</v>
      </c>
      <c r="C50" s="11" t="str">
        <f>'AI#2(Gpt)'!C$64</f>
        <v>공통 정보를 일관되게 보여줄 수 있지만 긴 작업이 사용자 응답을 늦출 수 있다.</v>
      </c>
      <c r="D50" s="8" t="str">
        <f>'AI#2(Gpt)'!D$64</f>
        <v>0</v>
      </c>
      <c r="E50" s="11" t="str">
        <f>'AI#2(Gpt)'!E$64</f>
        <v>병렬 처리로 대기를 줄일 수 있지만 작업자별 상태를 사용자에게 일관되게 보여줘야 한다.</v>
      </c>
    </row>
    <row r="51" ht="15.75" customHeight="1">
      <c r="A51" s="7" t="s">
        <v>17</v>
      </c>
      <c r="B51" s="8" t="str">
        <f>Human!B$64</f>
        <v>0</v>
      </c>
      <c r="C51" s="11" t="str">
        <f>Human!C$64</f>
        <v>공통 정보를 일관되게 보여줄 수 있지만 긴 작업이 사용자 응답을 늦출 수 있다.</v>
      </c>
      <c r="D51" s="8" t="str">
        <f>Human!D$64</f>
        <v>0</v>
      </c>
      <c r="E51" s="11" t="str">
        <f>Human!E$64</f>
        <v>병렬 처리로 대기를 줄일 수 있지만 작업자별 상태를 사용자에게 일관되게 보여줘야 한다.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32.43"/>
    <col customWidth="1" min="4" max="4" width="7.71"/>
    <col customWidth="1" min="5" max="5" width="40.29"/>
    <col customWidth="1" min="6" max="6" width="7.71"/>
    <col customWidth="1" min="7" max="7" width="36.71"/>
  </cols>
  <sheetData>
    <row r="1">
      <c r="A1" s="1" t="s">
        <v>27</v>
      </c>
      <c r="B1" s="2" t="s">
        <v>29</v>
      </c>
      <c r="C1" s="3"/>
      <c r="D1" s="2" t="s">
        <v>31</v>
      </c>
      <c r="E1" s="3"/>
      <c r="F1" s="2" t="s">
        <v>32</v>
      </c>
      <c r="G1" s="3"/>
    </row>
    <row r="2">
      <c r="A2" s="4"/>
      <c r="B2" s="5" t="s">
        <v>7</v>
      </c>
      <c r="C2" s="5" t="s">
        <v>10</v>
      </c>
      <c r="D2" s="5" t="s">
        <v>7</v>
      </c>
      <c r="E2" s="5" t="s">
        <v>10</v>
      </c>
      <c r="F2" s="5" t="s">
        <v>7</v>
      </c>
      <c r="G2" s="5" t="s">
        <v>10</v>
      </c>
    </row>
    <row r="3" ht="15.0" customHeight="1">
      <c r="A3" s="6" t="s">
        <v>11</v>
      </c>
      <c r="B3" s="6" t="str">
        <f>'Detailed Reasoning'!B$68</f>
        <v/>
      </c>
      <c r="C3" s="6" t="str">
        <f>'Detailed Reasoning'!C$68</f>
        <v/>
      </c>
      <c r="D3" s="6" t="str">
        <f>'Detailed Reasoning'!D$68</f>
        <v/>
      </c>
      <c r="E3" s="6" t="str">
        <f>'Detailed Reasoning'!E$68</f>
        <v/>
      </c>
      <c r="F3" s="9" t="str">
        <f>'Detailed Reasoning'!F$68</f>
        <v/>
      </c>
      <c r="G3" s="9" t="str">
        <f>'Detailed Reasoning'!G$68</f>
        <v/>
      </c>
    </row>
    <row r="4">
      <c r="A4" s="14" t="s">
        <v>15</v>
      </c>
      <c r="B4" s="15" t="str">
        <f>'AI#1 (Claude)'!B$68</f>
        <v>-</v>
      </c>
      <c r="C4" s="16" t="str">
        <f>'AI#1 (Claude)'!C68</f>
        <v>하위 계층의 장애가 위로 전파되어 그 위에 쌓인 모든 것을 무력화한다. 상위 계층이 하위를 우회할 수 없기 때문이다.</v>
      </c>
      <c r="D4" s="15" t="str">
        <f>'AI#1 (Claude)'!D$68</f>
        <v>+</v>
      </c>
      <c r="E4" s="16" t="str">
        <f>'AI#1 (Claude)'!E68</f>
        <v>게스트 프로그램이 호스트로부터 격리되어 게스트 장애가 플랫폼을 무너뜨리지 않고, 인스턴스를 재시작하거나 이전할 수 있다.</v>
      </c>
      <c r="F4" s="15" t="str">
        <f>'AI#1 (Claude)'!F$68</f>
        <v>++</v>
      </c>
      <c r="G4" s="16" t="str">
        <f>'AI#1 (Claude)'!G68</f>
        <v>서비스가 커널 밖에서 동작하므로 실패한 서비스만 재시작하면 되고 시스템 전체가 내려가지 않는다.</v>
      </c>
    </row>
    <row r="5">
      <c r="A5" s="14" t="s">
        <v>16</v>
      </c>
      <c r="B5" s="15" t="str">
        <f>'AI#2(Gpt)'!B$68</f>
        <v>0</v>
      </c>
      <c r="C5" s="15" t="str">
        <f>'AI#2(Gpt)'!C$68</f>
        <v>계층을 나누어도 하위 계층의 장애가 다른 계층에 영향을 줄 수 있다.</v>
      </c>
      <c r="D5" s="15" t="str">
        <f>'AI#2(Gpt)'!D$68</f>
        <v>0</v>
      </c>
      <c r="E5" s="15" t="str">
        <f>'AI#2(Gpt)'!E$68</f>
        <v>실행 환경을 분리하기 좋지만 공통 가상 실행 기반의 장애는 여러 기능에 영향을 준다.</v>
      </c>
      <c r="F5" s="15" t="str">
        <f>'AI#2(Gpt)'!F$68</f>
        <v>+</v>
      </c>
      <c r="G5" s="15" t="str">
        <f>'AI#2(Gpt)'!G$68</f>
        <v>부가 기능을 분리해 장애 영향을 줄이기 좋지만 핵심 커널의 장애는 남는다.</v>
      </c>
    </row>
    <row r="6">
      <c r="A6" s="14" t="s">
        <v>17</v>
      </c>
      <c r="B6" s="15" t="str">
        <f>Human!B$68</f>
        <v>-</v>
      </c>
      <c r="C6" s="15" t="str">
        <f>Human!C$68</f>
        <v>하위 계층의 장애가 위로 전파되어 그 위에 쌓인 모든 것을 무력화한다. 상위 계층이 하위를 우회할 수 없기 때문이다.</v>
      </c>
      <c r="D6" s="15" t="str">
        <f>Human!D$68</f>
        <v/>
      </c>
      <c r="E6" s="15" t="str">
        <f>Human!E$68</f>
        <v>Human - Virtual Machine - Availability</v>
      </c>
      <c r="F6" s="15" t="str">
        <f>Human!F$68</f>
        <v/>
      </c>
      <c r="G6" s="15" t="str">
        <f>Human!G$68</f>
        <v>Human - Microkernel - Availability</v>
      </c>
    </row>
    <row r="7">
      <c r="A7" s="16"/>
      <c r="B7" s="16"/>
      <c r="C7" s="16"/>
      <c r="D7" s="16"/>
      <c r="E7" s="16"/>
      <c r="F7" s="16"/>
      <c r="G7" s="16"/>
    </row>
    <row r="8" ht="15.0" customHeight="1">
      <c r="A8" s="6" t="s">
        <v>18</v>
      </c>
      <c r="B8" s="6" t="str">
        <f>'Detailed Reasoning'!B$69</f>
        <v/>
      </c>
      <c r="C8" s="6" t="str">
        <f>'Detailed Reasoning'!C$69</f>
        <v/>
      </c>
      <c r="D8" s="6" t="str">
        <f>'Detailed Reasoning'!D$69</f>
        <v/>
      </c>
      <c r="E8" s="6" t="str">
        <f>'Detailed Reasoning'!E$69</f>
        <v/>
      </c>
      <c r="F8" s="9" t="str">
        <f>'Detailed Reasoning'!F$69</f>
        <v/>
      </c>
      <c r="G8" s="9" t="str">
        <f>'Detailed Reasoning'!G$69</f>
        <v/>
      </c>
    </row>
    <row r="9">
      <c r="A9" s="14" t="s">
        <v>15</v>
      </c>
      <c r="B9" s="15" t="str">
        <f>'AI#1 (Claude)'!B$69</f>
        <v>+</v>
      </c>
      <c r="C9" s="16" t="str">
        <f>'AI#1 (Claude)'!C69</f>
        <v>플랫폼 의존 부분이 하위 계층에 모여 있어 그 계층만 교체하면 다른 환경으로 이식할 수 있다. 다만 엄격한 계층 구조 때문에 배포 시 계층 간 버전 호환성을 맞춰야 한다.</v>
      </c>
      <c r="D9" s="15" t="str">
        <f>'AI#1 (Claude)'!D$69</f>
        <v>++</v>
      </c>
      <c r="E9" s="16" t="str">
        <f>'AI#1 (Claude)'!E69</f>
        <v>가상 머신만 있으면 동일한 이미지가 어디서든 실행되므로 호스트별 설치·설정 작업이 사라진다.</v>
      </c>
      <c r="F9" s="15" t="str">
        <f>'AI#1 (Claude)'!F$69</f>
        <v>++</v>
      </c>
      <c r="G9" s="16" t="str">
        <f>'AI#1 (Claude)'!G69</f>
        <v>플러그인 서비스를 안정된 코어와 무관하게 배포·갱신·제거할 수 있다.</v>
      </c>
    </row>
    <row r="10">
      <c r="A10" s="14" t="s">
        <v>16</v>
      </c>
      <c r="B10" s="15" t="str">
        <f>'AI#2(Gpt)'!B$69</f>
        <v>0</v>
      </c>
      <c r="C10" s="15" t="str">
        <f>'AI#2(Gpt)'!C$69</f>
        <v>계층을 나누어도 각각 따로 배포할 수 있는지는 구현에 따라 달라진다.</v>
      </c>
      <c r="D10" s="15" t="str">
        <f>'AI#2(Gpt)'!D$69</f>
        <v>+</v>
      </c>
      <c r="E10" s="15" t="str">
        <f>'AI#2(Gpt)'!E$69</f>
        <v>실행 환경의 차이를 감춰 같은 프로그램을 다른 환경에 배포하기 좋다.</v>
      </c>
      <c r="F10" s="15" t="str">
        <f>'AI#2(Gpt)'!F$69</f>
        <v>++</v>
      </c>
      <c r="G10" s="15" t="str">
        <f>'AI#2(Gpt)'!G$69</f>
        <v>핵심과 부가 기능의 연결 규칙을 유지하면 필요한 기능만 교체·배포하기 좋다.</v>
      </c>
    </row>
    <row r="11">
      <c r="A11" s="14" t="s">
        <v>17</v>
      </c>
      <c r="B11" s="15" t="str">
        <f>Human!B$69</f>
        <v>0</v>
      </c>
      <c r="C11" s="15" t="str">
        <f>Human!C$69</f>
        <v>계층을 나누어도 각각 따로 배포할 수 있는지는 구현에 따라 달라진다.</v>
      </c>
      <c r="D11" s="15" t="str">
        <f>Human!D$69</f>
        <v/>
      </c>
      <c r="E11" s="15" t="str">
        <f>Human!E$69</f>
        <v>Human - Virtual Machine - Deployability</v>
      </c>
      <c r="F11" s="15" t="str">
        <f>Human!F$69</f>
        <v>++</v>
      </c>
      <c r="G11" s="15" t="str">
        <f>Human!G$69</f>
        <v>핵심과 부가 기능의 연결 규칙을 유지하면 필요한 기능만 교체·배포하기 좋다.</v>
      </c>
    </row>
    <row r="12">
      <c r="A12" s="16"/>
      <c r="B12" s="16"/>
      <c r="C12" s="16"/>
      <c r="D12" s="16"/>
      <c r="E12" s="16"/>
      <c r="F12" s="16"/>
      <c r="G12" s="16"/>
    </row>
    <row r="13" ht="15.0" customHeight="1">
      <c r="A13" s="6" t="s">
        <v>19</v>
      </c>
      <c r="B13" s="6" t="str">
        <f>'Detailed Reasoning'!B$70</f>
        <v/>
      </c>
      <c r="C13" s="6" t="str">
        <f>'Detailed Reasoning'!C$70</f>
        <v/>
      </c>
      <c r="D13" s="6" t="str">
        <f>'Detailed Reasoning'!D$70</f>
        <v/>
      </c>
      <c r="E13" s="6" t="str">
        <f>'Detailed Reasoning'!E$70</f>
        <v/>
      </c>
      <c r="F13" s="9" t="str">
        <f>'Detailed Reasoning'!F$70</f>
        <v/>
      </c>
      <c r="G13" s="9" t="str">
        <f>'Detailed Reasoning'!G$70</f>
        <v/>
      </c>
    </row>
    <row r="14">
      <c r="A14" s="14" t="s">
        <v>15</v>
      </c>
      <c r="B14" s="15" t="str">
        <f>'AI#1 (Claude)'!B$70</f>
        <v>+</v>
      </c>
      <c r="C14" s="16" t="str">
        <f>'AI#1 (Claude)'!C70</f>
        <v>계층 인터페이스가 명확해 외부 컴포넌트를 어디에 붙일지 분명하다. 다만 여러 계층을 가로질러야 하는 통합은 비용이 크다.</v>
      </c>
      <c r="D14" s="15" t="str">
        <f>'AI#1 (Claude)'!D$70</f>
        <v>+</v>
      </c>
      <c r="E14" s="16" t="str">
        <f>'AI#1 (Claude)'!E70</f>
        <v>균일한 실행 인터페이스가 플랫폼 차이를 감춰 이식성 있는 통합이 쉽다. 다만 호스트의 네이티브 서비스와 연동하려면 별도 브리지가 필요하다.</v>
      </c>
      <c r="F14" s="15" t="str">
        <f>'AI#1 (Claude)'!F$70</f>
        <v>++</v>
      </c>
      <c r="G14" s="16" t="str">
        <f>'AI#1 (Claude)'!G70</f>
        <v>새 기능은 커널이 정의한 인터페이스를 따르는 플러그인으로 통합되며 코어를 수정할 필요가 없다.</v>
      </c>
    </row>
    <row r="15">
      <c r="A15" s="14" t="s">
        <v>16</v>
      </c>
      <c r="B15" s="15" t="str">
        <f>'AI#2(Gpt)'!B$70</f>
        <v>+</v>
      </c>
      <c r="C15" s="15" t="str">
        <f>'AI#2(Gpt)'!C$70</f>
        <v>계층 사이의 연결 규칙이 명확하면 새로운 기능을 연결하기 쉽다.</v>
      </c>
      <c r="D15" s="15" t="str">
        <f>'AI#2(Gpt)'!D$70</f>
        <v>+</v>
      </c>
      <c r="E15" s="15" t="str">
        <f>'AI#2(Gpt)'!E$70</f>
        <v>공통 가상 실행 규칙을 따르면 서로 다른 환경의 기능을 연결하기 쉽다.</v>
      </c>
      <c r="F15" s="15" t="str">
        <f>'AI#2(Gpt)'!F$70</f>
        <v>++</v>
      </c>
      <c r="G15" s="15" t="str">
        <f>'AI#2(Gpt)'!G$70</f>
        <v>정해진 확장 규칙을 통해 새로운 부가 기능을 연결하기 매우 쉽다.</v>
      </c>
    </row>
    <row r="16">
      <c r="A16" s="14" t="s">
        <v>17</v>
      </c>
      <c r="B16" s="15" t="str">
        <f>Human!B$70</f>
        <v>+</v>
      </c>
      <c r="C16" s="15" t="str">
        <f>Human!C$70</f>
        <v>계층 사이의 연결 규칙이 명확하면 새로운 기능을 연결하기 쉽다.</v>
      </c>
      <c r="D16" s="15" t="str">
        <f>Human!D$70</f>
        <v>+</v>
      </c>
      <c r="E16" s="15" t="str">
        <f>Human!E$70</f>
        <v>공통 가상 실행 규칙을 따르면 서로 다른 환경의 기능을 연결하기 쉽다.</v>
      </c>
      <c r="F16" s="15" t="str">
        <f>Human!F$70</f>
        <v>++</v>
      </c>
      <c r="G16" s="15" t="str">
        <f>Human!G$70</f>
        <v>정해진 확장 규칙을 통해 새로운 부가 기능을 연결하기 매우 쉽다.</v>
      </c>
    </row>
    <row r="17">
      <c r="A17" s="16"/>
      <c r="B17" s="16"/>
      <c r="C17" s="16"/>
      <c r="D17" s="16"/>
      <c r="E17" s="16"/>
      <c r="F17" s="16"/>
      <c r="G17" s="16"/>
    </row>
    <row r="18">
      <c r="A18" s="6" t="s">
        <v>20</v>
      </c>
      <c r="B18" s="6" t="str">
        <f>'Detailed Reasoning'!B$71</f>
        <v/>
      </c>
      <c r="C18" s="6" t="str">
        <f>'Detailed Reasoning'!C$71</f>
        <v/>
      </c>
      <c r="D18" s="6" t="str">
        <f>'Detailed Reasoning'!D$71</f>
        <v/>
      </c>
      <c r="E18" s="6" t="str">
        <f>'Detailed Reasoning'!E$71</f>
        <v/>
      </c>
      <c r="F18" s="9" t="str">
        <f>'Detailed Reasoning'!F$71</f>
        <v/>
      </c>
      <c r="G18" s="9" t="str">
        <f>'Detailed Reasoning'!G$71</f>
        <v/>
      </c>
    </row>
    <row r="19">
      <c r="A19" s="16" t="s">
        <v>15</v>
      </c>
      <c r="B19" s="15" t="str">
        <f>'AI#1 (Claude)'!B$71</f>
        <v>-</v>
      </c>
      <c r="C19" s="16" t="str">
        <f>'AI#1 (Claude)'!C71</f>
        <v>모든 요청이 여러 계층을 통과하며 계층마다 호출 오버헤드와 데이터 변환 비용을 더한다.</v>
      </c>
      <c r="D19" s="15" t="str">
        <f>'AI#1 (Claude)'!D$71</f>
        <v>--</v>
      </c>
      <c r="E19" s="16" t="str">
        <f>'AI#1 (Claude)'!E71</f>
        <v>해석 또는 에뮬레이션에 런타임 중복까지 더해져 네이티브 실행보다 CPU와 메모리를 훨씬 많이 쓴다.</v>
      </c>
      <c r="F19" s="15" t="str">
        <f>'AI#1 (Claude)'!F$71</f>
        <v>-</v>
      </c>
      <c r="G19" s="16" t="str">
        <f>'AI#1 (Claude)'!G71</f>
        <v>커널과 모든 서비스 사이의 프로세스 간 메시지 전달이 상시 통신 오버헤드를 만든다.</v>
      </c>
    </row>
    <row r="20">
      <c r="A20" s="16" t="s">
        <v>16</v>
      </c>
      <c r="B20" s="15" t="str">
        <f>'AI#2(Gpt)'!B$71</f>
        <v>0</v>
      </c>
      <c r="C20" s="15" t="str">
        <f>'AI#2(Gpt)'!C$71</f>
        <v>계층 수와 호출 방식에 따라 추가 처리 비용이 달라진다.</v>
      </c>
      <c r="D20" s="15" t="str">
        <f>'AI#2(Gpt)'!D$71</f>
        <v>0</v>
      </c>
      <c r="E20" s="15" t="str">
        <f>'AI#2(Gpt)'!E$71</f>
        <v>자원을 함께 쓰는 이점과 가상 실행 계층을 유지하는 비용이 함께 있다.</v>
      </c>
      <c r="F20" s="15" t="str">
        <f>'AI#2(Gpt)'!F$71</f>
        <v>-</v>
      </c>
      <c r="G20" s="15" t="str">
        <f>'AI#2(Gpt)'!G$71</f>
        <v>기능 사이의 간접 호출과 통신에 추가 자원이 든다.</v>
      </c>
    </row>
    <row r="21" ht="15.75" customHeight="1">
      <c r="A21" s="16" t="s">
        <v>17</v>
      </c>
      <c r="B21" s="15" t="str">
        <f>Human!B$71</f>
        <v>0</v>
      </c>
      <c r="C21" s="15" t="str">
        <f>Human!C$71</f>
        <v>계층 수와 호출 방식에 따라 추가 처리 비용이 달라진다.</v>
      </c>
      <c r="D21" s="15" t="str">
        <f>Human!D$71</f>
        <v/>
      </c>
      <c r="E21" s="15" t="str">
        <f>Human!E$71</f>
        <v>Human - Virtual Machine - Energy Efficiency</v>
      </c>
      <c r="F21" s="15" t="str">
        <f>Human!F$71</f>
        <v>-</v>
      </c>
      <c r="G21" s="15" t="str">
        <f>Human!G$71</f>
        <v>기능 사이의 간접 호출과 통신에 추가 자원이 든다.</v>
      </c>
    </row>
    <row r="22" ht="15.75" customHeight="1">
      <c r="A22" s="16"/>
      <c r="B22" s="16"/>
      <c r="C22" s="16"/>
      <c r="D22" s="16"/>
      <c r="E22" s="16"/>
      <c r="F22" s="16"/>
      <c r="G22" s="16"/>
    </row>
    <row r="23" ht="15.75" customHeight="1">
      <c r="A23" s="6" t="s">
        <v>21</v>
      </c>
      <c r="B23" s="6" t="str">
        <f>'Detailed Reasoning'!B$72</f>
        <v/>
      </c>
      <c r="C23" s="6" t="str">
        <f>'Detailed Reasoning'!C$72</f>
        <v/>
      </c>
      <c r="D23" s="6" t="str">
        <f>'Detailed Reasoning'!D$72</f>
        <v/>
      </c>
      <c r="E23" s="6" t="str">
        <f>'Detailed Reasoning'!E$72</f>
        <v/>
      </c>
      <c r="F23" s="9" t="str">
        <f>'Detailed Reasoning'!F$72</f>
        <v/>
      </c>
      <c r="G23" s="6" t="str">
        <f>'Detailed Reasoning'!G$72</f>
        <v/>
      </c>
    </row>
    <row r="24" ht="15.75" customHeight="1">
      <c r="A24" s="14" t="s">
        <v>15</v>
      </c>
      <c r="B24" s="15" t="str">
        <f>'AI#1 (Claude)'!B$72</f>
        <v>++</v>
      </c>
      <c r="C24" s="16" t="str">
        <f>'AI#1 (Claude)'!C72</f>
        <v>인터페이스만 안정적이면 다른 계층에 영향을 주지 않고 한 계층을 재구현하거나 교체할 수 있다.</v>
      </c>
      <c r="D24" s="15" t="str">
        <f>'AI#1 (Claude)'!D$72</f>
        <v>+</v>
      </c>
      <c r="E24" s="16" t="str">
        <f>'AI#1 (Claude)'!E72</f>
        <v>프로그램이 하위 플랫폼과 무관하게 발전할 수 있고, 반대로 플랫폼도 프로그램을 바꾸지 않고 교체할 수 있다.</v>
      </c>
      <c r="F24" s="15" t="str">
        <f>'AI#1 (Claude)'!F$72</f>
        <v>++</v>
      </c>
      <c r="G24" s="16" t="str">
        <f>'AI#1 (Claude)'!G72</f>
        <v>최소한의 코어는 안정적으로 유지되고 서비스만 독립적으로 진화하므로 거의 모든 변경이 국소화된다.</v>
      </c>
    </row>
    <row r="25" ht="15.75" customHeight="1">
      <c r="A25" s="14" t="s">
        <v>16</v>
      </c>
      <c r="B25" s="15" t="str">
        <f>'AI#2(Gpt)'!B$72</f>
        <v>+</v>
      </c>
      <c r="C25" s="15" t="str">
        <f>'AI#2(Gpt)'!C$72</f>
        <v>계층별로 담당하는 기능이 나뉘어 특정 계층을 따로 수정하기 쉽다.</v>
      </c>
      <c r="D25" s="15" t="str">
        <f>'AI#2(Gpt)'!D$72</f>
        <v>+</v>
      </c>
      <c r="E25" s="15" t="str">
        <f>'AI#2(Gpt)'!E$72</f>
        <v>프로그램과 실제 실행 환경을 분리해 한쪽 변경이 다른 쪽에 미치는 영향을 줄인다.</v>
      </c>
      <c r="F25" s="15" t="str">
        <f>'AI#2(Gpt)'!F$72</f>
        <v>++</v>
      </c>
      <c r="G25" s="15" t="str">
        <f>'AI#2(Gpt)'!G$72</f>
        <v>핵심을 크게 바꾸지 않고 부가 기능을 추가하거나 교체하기 매우 쉽다.</v>
      </c>
    </row>
    <row r="26" ht="15.75" customHeight="1">
      <c r="A26" s="14" t="s">
        <v>17</v>
      </c>
      <c r="B26" s="15" t="str">
        <f>Human!B$72</f>
        <v>++</v>
      </c>
      <c r="C26" s="15" t="str">
        <f>Human!C$72</f>
        <v>인터페이스만 안정적이면 다른 계층에 영향을 주지 않고 한 계층을 재구현하거나 교체할 수 있다.</v>
      </c>
      <c r="D26" s="15" t="str">
        <f>Human!D$72</f>
        <v>+</v>
      </c>
      <c r="E26" s="15" t="str">
        <f>Human!E$72</f>
        <v>프로그램과 실제 실행 환경을 분리해 한쪽 변경이 다른 쪽에 미치는 영향을 줄인다.</v>
      </c>
      <c r="F26" s="15" t="str">
        <f>Human!F$72</f>
        <v>++</v>
      </c>
      <c r="G26" s="15" t="str">
        <f>Human!G$72</f>
        <v>핵심을 크게 바꾸지 않고 부가 기능을 추가하거나 교체하기 매우 쉽다.</v>
      </c>
    </row>
    <row r="27" ht="15.75" customHeight="1">
      <c r="A27" s="16"/>
      <c r="B27" s="16"/>
      <c r="C27" s="16"/>
      <c r="D27" s="16"/>
      <c r="E27" s="16"/>
      <c r="F27" s="16"/>
      <c r="G27" s="16"/>
    </row>
    <row r="28" ht="15.75" customHeight="1">
      <c r="A28" s="6" t="s">
        <v>22</v>
      </c>
      <c r="B28" s="6" t="str">
        <f>'Detailed Reasoning'!B$73</f>
        <v/>
      </c>
      <c r="C28" s="6" t="str">
        <f>'Detailed Reasoning'!C$73</f>
        <v/>
      </c>
      <c r="D28" s="6" t="str">
        <f>'Detailed Reasoning'!D$73</f>
        <v/>
      </c>
      <c r="E28" s="6" t="str">
        <f>'Detailed Reasoning'!E$73</f>
        <v/>
      </c>
      <c r="F28" s="6" t="str">
        <f>'Detailed Reasoning'!F$73</f>
        <v/>
      </c>
      <c r="G28" s="6" t="str">
        <f>'Detailed Reasoning'!G$73</f>
        <v/>
      </c>
    </row>
    <row r="29" ht="15.75" customHeight="1">
      <c r="A29" s="14" t="s">
        <v>15</v>
      </c>
      <c r="B29" s="15" t="str">
        <f>'AI#1 (Claude)'!B$73</f>
        <v>-</v>
      </c>
      <c r="C29" s="16" t="str">
        <f>'AI#1 (Claude)'!C73</f>
        <v>계층 통과와 계층별 표현 간 반복 변환이 모든 연산에 지연을 더한다.</v>
      </c>
      <c r="D29" s="15" t="str">
        <f>'AI#1 (Claude)'!D$73</f>
        <v>--</v>
      </c>
      <c r="E29" s="16" t="str">
        <f>'AI#1 (Claude)'!E73</f>
        <v>모든 연산 위에 해석·변환 계층이 하나 더 얹히며, 이것이 이 스타일의 가장 큰 비용이다.</v>
      </c>
      <c r="F29" s="15" t="str">
        <f>'AI#1 (Claude)'!F$73</f>
        <v>-</v>
      </c>
      <c r="G29" s="16" t="str">
        <f>'AI#1 (Claude)'!G73</f>
        <v>모든 서비스 상호작용이 직접 호출이 아니라 프로세스·메시지 경계를 넘어간다.</v>
      </c>
    </row>
    <row r="30" ht="15.75" customHeight="1">
      <c r="A30" s="14" t="s">
        <v>16</v>
      </c>
      <c r="B30" s="15" t="str">
        <f>'AI#2(Gpt)'!B$73</f>
        <v>0</v>
      </c>
      <c r="C30" s="15" t="str">
        <f>'AI#2(Gpt)'!C$73</f>
        <v>여러 계층을 거치는 비용은 있지만 실제 영향은 호출 방식에 따라 달라진다.</v>
      </c>
      <c r="D30" s="15" t="str">
        <f>'AI#2(Gpt)'!D$73</f>
        <v>-</v>
      </c>
      <c r="E30" s="15" t="str">
        <f>'AI#2(Gpt)'!E$73</f>
        <v>실제 실행 사이에 변환이나 중간 처리가 추가되어 응답이 느려질 수 있다.</v>
      </c>
      <c r="F30" s="15" t="str">
        <f>'AI#2(Gpt)'!F$73</f>
        <v>-</v>
      </c>
      <c r="G30" s="15" t="str">
        <f>'AI#2(Gpt)'!G$73</f>
        <v>기능이 커널이나 연결 경계를 거쳐 통신하므로 직접 호출보다 비용이 든다.</v>
      </c>
    </row>
    <row r="31" ht="15.75" customHeight="1">
      <c r="A31" s="14" t="s">
        <v>17</v>
      </c>
      <c r="B31" s="15" t="str">
        <f>Human!B$73</f>
        <v>-</v>
      </c>
      <c r="C31" s="15" t="str">
        <f>Human!C$73</f>
        <v>계층 통과와 계층별 표현 간 반복 변환이 모든 연산에 지연을 더한다.</v>
      </c>
      <c r="D31" s="15" t="str">
        <f>Human!D$73</f>
        <v/>
      </c>
      <c r="E31" s="15" t="str">
        <f>Human!E$73</f>
        <v>Human - Virtual Machine - Performance</v>
      </c>
      <c r="F31" s="15" t="str">
        <f>Human!F$73</f>
        <v>-</v>
      </c>
      <c r="G31" s="15" t="str">
        <f>Human!G$73</f>
        <v>기능이 커널이나 연결 경계를 거쳐 통신하므로 직접 호출보다 비용이 든다.</v>
      </c>
    </row>
    <row r="32" ht="15.75" customHeight="1">
      <c r="A32" s="16"/>
      <c r="B32" s="16"/>
      <c r="C32" s="16"/>
      <c r="D32" s="16"/>
      <c r="E32" s="16"/>
      <c r="F32" s="16"/>
      <c r="G32" s="16"/>
    </row>
    <row r="33" ht="15.75" customHeight="1">
      <c r="A33" s="6" t="s">
        <v>23</v>
      </c>
      <c r="B33" s="6" t="str">
        <f>'Detailed Reasoning'!B$74</f>
        <v/>
      </c>
      <c r="C33" s="6" t="str">
        <f>'Detailed Reasoning'!C$74</f>
        <v/>
      </c>
      <c r="D33" s="6" t="str">
        <f>'Detailed Reasoning'!D$74</f>
        <v/>
      </c>
      <c r="E33" s="6" t="str">
        <f>'Detailed Reasoning'!E$74</f>
        <v/>
      </c>
      <c r="F33" s="6" t="str">
        <f>'Detailed Reasoning'!F$74</f>
        <v/>
      </c>
      <c r="G33" s="6" t="str">
        <f>'Detailed Reasoning'!G$74</f>
        <v/>
      </c>
    </row>
    <row r="34" ht="15.75" customHeight="1">
      <c r="A34" s="14" t="s">
        <v>15</v>
      </c>
      <c r="B34" s="15" t="str">
        <f>'AI#1 (Claude)'!B$74</f>
        <v>0</v>
      </c>
      <c r="C34" s="16" t="str">
        <f>'AI#1 (Claude)'!C74</f>
        <v>계층 경계가 결함의 책임 범위를 분명히 해 원인 파악은 쉽지만, 결함 허용 메커니즘은 없고 하위 계층 장애가 상위로 그대로 전파된다.</v>
      </c>
      <c r="D34" s="15" t="str">
        <f>'AI#1 (Claude)'!D$74</f>
        <v>++</v>
      </c>
      <c r="E34" s="16" t="str">
        <f>'AI#1 (Claude)'!E74</f>
        <v>강한 샌드박싱으로 결함이 VM 경계 안에 갇혀 호스트나 다른 게스트를 손상시키지 못한다.</v>
      </c>
      <c r="F34" s="15" t="str">
        <f>'AI#1 (Claude)'!F$74</f>
        <v>++</v>
      </c>
      <c r="G34" s="16" t="str">
        <f>'AI#1 (Claude)'!G74</f>
        <v>커널과 서비스 간 결함 격리로 문제가 있는 서비스가 신뢰 코어를 오염시키지 못한다.</v>
      </c>
    </row>
    <row r="35" ht="15.75" customHeight="1">
      <c r="A35" s="14" t="s">
        <v>16</v>
      </c>
      <c r="B35" s="15" t="str">
        <f>'AI#2(Gpt)'!B$74</f>
        <v>0</v>
      </c>
      <c r="C35" s="15" t="str">
        <f>'AI#2(Gpt)'!C$74</f>
        <v>계층 구분만으로 오류 전파나 위험한 동작을 막는다고 보기는 어렵다.</v>
      </c>
      <c r="D35" s="15" t="str">
        <f>'AI#2(Gpt)'!D$74</f>
        <v>+</v>
      </c>
      <c r="E35" s="15" t="str">
        <f>'AI#2(Gpt)'!E$74</f>
        <v>실행 경계에서 동작을 검사하고 잘못된 동작의 영향을 제한하기 좋다.</v>
      </c>
      <c r="F35" s="15" t="str">
        <f>'AI#2(Gpt)'!F$74</f>
        <v>+</v>
      </c>
      <c r="G35" s="15" t="str">
        <f>'AI#2(Gpt)'!G$74</f>
        <v>중요한 핵심 기능을 작게 유지하고 부가 기능의 오류 영향을 제한하기 좋다.</v>
      </c>
    </row>
    <row r="36" ht="15.75" customHeight="1">
      <c r="A36" s="14" t="s">
        <v>17</v>
      </c>
      <c r="B36" s="15" t="str">
        <f>Human!B$74</f>
        <v>0</v>
      </c>
      <c r="C36" s="15" t="str">
        <f>Human!C$74</f>
        <v>계층 구분만으로 오류 전파나 위험한 동작을 막는다고 보기는 어렵다.</v>
      </c>
      <c r="D36" s="15" t="str">
        <f>Human!D$74</f>
        <v/>
      </c>
      <c r="E36" s="15" t="str">
        <f>Human!E$74</f>
        <v>Human - Virtual Machine - Safety</v>
      </c>
      <c r="F36" s="15" t="str">
        <f>Human!F$74</f>
        <v/>
      </c>
      <c r="G36" s="15" t="str">
        <f>Human!G$74</f>
        <v>Human - Microkernel - Safety</v>
      </c>
    </row>
    <row r="37" ht="15.75" customHeight="1">
      <c r="A37" s="16"/>
      <c r="B37" s="16"/>
      <c r="C37" s="16"/>
      <c r="D37" s="16"/>
      <c r="E37" s="16"/>
      <c r="F37" s="16"/>
      <c r="G37" s="16"/>
    </row>
    <row r="38" ht="15.75" customHeight="1">
      <c r="A38" s="6" t="s">
        <v>24</v>
      </c>
      <c r="B38" s="6" t="str">
        <f>'Detailed Reasoning'!B$75</f>
        <v/>
      </c>
      <c r="C38" s="6" t="str">
        <f>'Detailed Reasoning'!C$75</f>
        <v/>
      </c>
      <c r="D38" s="6" t="str">
        <f>'Detailed Reasoning'!D$75</f>
        <v/>
      </c>
      <c r="E38" s="6" t="str">
        <f>'Detailed Reasoning'!E$75</f>
        <v/>
      </c>
      <c r="F38" s="9" t="str">
        <f>'Detailed Reasoning'!F$75</f>
        <v/>
      </c>
      <c r="G38" s="9" t="str">
        <f>'Detailed Reasoning'!G$75</f>
        <v/>
      </c>
    </row>
    <row r="39" ht="15.75" customHeight="1">
      <c r="A39" s="14" t="s">
        <v>15</v>
      </c>
      <c r="B39" s="15" t="str">
        <f>'AI#1 (Claude)'!B$75</f>
        <v>++</v>
      </c>
      <c r="C39" s="16" t="str">
        <f>'AI#1 (Claude)'!C75</f>
        <v>계층이 자연스러운 다층 방어 경계가 되어 검증·인증·접근 제어를 단계적으로 강제할 수 있다.</v>
      </c>
      <c r="D39" s="15" t="str">
        <f>'AI#1 (Claude)'!D$75</f>
        <v>++</v>
      </c>
      <c r="E39" s="16" t="str">
        <f>'AI#1 (Claude)'!E75</f>
        <v>격리 덕분에 침해된 게스트가 호스트 시스템에서 접근할 수 있는 범위가 엄격히 제한된다.</v>
      </c>
      <c r="F39" s="15" t="str">
        <f>'AI#1 (Claude)'!F$75</f>
        <v>++</v>
      </c>
      <c r="G39" s="16" t="str">
        <f>'AI#1 (Claude)'!G75</f>
        <v>신뢰 컴퓨팅 기반(TCB)이 최소화되고 서비스가 최소 권한으로 동작해 공격 표면이 크게 줄어든다.</v>
      </c>
    </row>
    <row r="40" ht="15.75" customHeight="1">
      <c r="A40" s="14" t="s">
        <v>16</v>
      </c>
      <c r="B40" s="15" t="str">
        <f>'AI#2(Gpt)'!B$75</f>
        <v>0</v>
      </c>
      <c r="C40" s="15" t="str">
        <f>'AI#2(Gpt)'!C$75</f>
        <v>계층별 접근 통제를 둘 수 있지만 계층을 나눈 것만으로 보안이 높아지지는 않는다.</v>
      </c>
      <c r="D40" s="15" t="str">
        <f>'AI#2(Gpt)'!D$75</f>
        <v>+</v>
      </c>
      <c r="E40" s="15" t="str">
        <f>'AI#2(Gpt)'!E$75</f>
        <v>가상 실행 경계를 통해 자원 접근을 제한하고 관리하기 좋다.</v>
      </c>
      <c r="F40" s="15" t="str">
        <f>'AI#2(Gpt)'!F$75</f>
        <v>+</v>
      </c>
      <c r="G40" s="15" t="str">
        <f>'AI#2(Gpt)'!G$75</f>
        <v>핵심 기능과 부가 기능의 접근 경계를 나누어 권한을 관리하기 좋다.</v>
      </c>
    </row>
    <row r="41" ht="15.75" customHeight="1">
      <c r="A41" s="14" t="s">
        <v>17</v>
      </c>
      <c r="B41" s="15" t="str">
        <f>Human!B$75</f>
        <v>+</v>
      </c>
      <c r="C41" s="15" t="str">
        <f>Human!C$75</f>
        <v>계층이 자연스러운 다층 방어 경계가 되어 검증·인증·접근 제어를 단계적으로 강제할 수 있다.</v>
      </c>
      <c r="D41" s="15" t="str">
        <f>Human!D$75</f>
        <v/>
      </c>
      <c r="E41" s="15" t="str">
        <f>Human!E$75</f>
        <v>Human - Virtual Machine - Security</v>
      </c>
      <c r="F41" s="15" t="str">
        <f>Human!F$75</f>
        <v/>
      </c>
      <c r="G41" s="15" t="str">
        <f>Human!G$75</f>
        <v>Human - Microkernel - Security</v>
      </c>
    </row>
    <row r="42" ht="15.75" customHeight="1">
      <c r="A42" s="16"/>
      <c r="B42" s="16"/>
      <c r="C42" s="16"/>
      <c r="D42" s="16"/>
      <c r="E42" s="16"/>
      <c r="F42" s="16"/>
      <c r="G42" s="16"/>
    </row>
    <row r="43" ht="15.75" customHeight="1">
      <c r="A43" s="6" t="s">
        <v>25</v>
      </c>
      <c r="B43" s="6" t="str">
        <f>'Detailed Reasoning'!B$76</f>
        <v/>
      </c>
      <c r="C43" s="6" t="str">
        <f>'Detailed Reasoning'!C$76</f>
        <v/>
      </c>
      <c r="D43" s="6" t="str">
        <f>'Detailed Reasoning'!D$76</f>
        <v/>
      </c>
      <c r="E43" s="6" t="str">
        <f>'Detailed Reasoning'!E$76</f>
        <v/>
      </c>
      <c r="F43" s="6" t="str">
        <f>'Detailed Reasoning'!F$76</f>
        <v/>
      </c>
      <c r="G43" s="9" t="str">
        <f>'Detailed Reasoning'!G$76</f>
        <v/>
      </c>
    </row>
    <row r="44" ht="15.75" customHeight="1">
      <c r="A44" s="14" t="s">
        <v>15</v>
      </c>
      <c r="B44" s="15" t="str">
        <f>'AI#1 (Claude)'!B$76</f>
        <v>++</v>
      </c>
      <c r="C44" s="16" t="str">
        <f>'AI#1 (Claude)'!C76</f>
        <v>하위 계층을 목(mock)으로 대체해 각 계층을 독립적으로 테스트할 수 있고, 계층 인터페이스가 좋은 테스트 이음새가 된다.</v>
      </c>
      <c r="D44" s="15" t="str">
        <f>'AI#1 (Claude)'!D$76</f>
        <v>++</v>
      </c>
      <c r="E44" s="16" t="str">
        <f>'AI#1 (Claude)'!E76</f>
        <v>스냅샷이 가능한 완전 재현 환경이라 테스트가 결정적이고 초기화가 쉽다.</v>
      </c>
      <c r="F44" s="15" t="str">
        <f>'AI#1 (Claude)'!F$76</f>
        <v>++</v>
      </c>
      <c r="G44" s="16" t="str">
        <f>'AI#1 (Claude)'!G76</f>
        <v>서비스가 작고, 좁고 안정적인 커널 인터페이스를 기준으로 독립 테스트가 가능하다.</v>
      </c>
    </row>
    <row r="45" ht="15.75" customHeight="1">
      <c r="A45" s="14" t="s">
        <v>16</v>
      </c>
      <c r="B45" s="15" t="str">
        <f>'AI#2(Gpt)'!B$76</f>
        <v>+</v>
      </c>
      <c r="C45" s="15" t="str">
        <f>'AI#2(Gpt)'!C$76</f>
        <v>계층 사이의 연결 규칙이 명확하면 각 계층을 따로 시험하기 쉽다.</v>
      </c>
      <c r="D45" s="15" t="str">
        <f>'AI#2(Gpt)'!D$76</f>
        <v>0</v>
      </c>
      <c r="E45" s="15" t="str">
        <f>'AI#2(Gpt)'!E$76</f>
        <v>공통 실행 환경은 시험을 돕지만 동시 실행과 가상 계층의 영향도 확인해야 한다.</v>
      </c>
      <c r="F45" s="15" t="str">
        <f>'AI#2(Gpt)'!F$76</f>
        <v>0</v>
      </c>
      <c r="G45" s="15" t="str">
        <f>'AI#2(Gpt)'!G$76</f>
        <v>부가 기능은 따로 시험하기 쉽지만 동시에 연결된 전체 동작은 복잡해진다.</v>
      </c>
    </row>
    <row r="46" ht="15.75" customHeight="1">
      <c r="A46" s="14" t="s">
        <v>17</v>
      </c>
      <c r="B46" s="15" t="str">
        <f>Human!B$76</f>
        <v>0</v>
      </c>
      <c r="C46" s="15" t="str">
        <f>Human!C$76</f>
        <v>계층 사이의 연결 규칙이 명확하면 각 계층을 따로 시험하기 쉽다(단위 테스트). 다만 통합 테스트의 경우 어려움이 존재한다.</v>
      </c>
      <c r="D46" s="15" t="str">
        <f>Human!D$76</f>
        <v/>
      </c>
      <c r="E46" s="15" t="str">
        <f>Human!E$76</f>
        <v>Human - Virtual Machine - Testability</v>
      </c>
      <c r="F46" s="15" t="str">
        <f>Human!F$76</f>
        <v/>
      </c>
      <c r="G46" s="15" t="str">
        <f>Human!G$76</f>
        <v>Human - Microkernel - Testability</v>
      </c>
    </row>
    <row r="47" ht="15.0" customHeight="1">
      <c r="A47" s="16"/>
      <c r="B47" s="16"/>
      <c r="C47" s="16"/>
      <c r="D47" s="16"/>
      <c r="E47" s="16"/>
      <c r="F47" s="16"/>
      <c r="G47" s="16"/>
    </row>
    <row r="48" ht="15.75" customHeight="1">
      <c r="A48" s="6" t="s">
        <v>26</v>
      </c>
      <c r="B48" s="6" t="str">
        <f>'Detailed Reasoning'!B$77</f>
        <v/>
      </c>
      <c r="C48" s="6" t="str">
        <f>'Detailed Reasoning'!C$77</f>
        <v/>
      </c>
      <c r="D48" s="6" t="str">
        <f>'Detailed Reasoning'!D$77</f>
        <v/>
      </c>
      <c r="E48" s="6" t="str">
        <f>'Detailed Reasoning'!E$77</f>
        <v/>
      </c>
      <c r="F48" s="6" t="str">
        <f>'Detailed Reasoning'!F$77</f>
        <v/>
      </c>
      <c r="G48" s="9" t="str">
        <f>'Detailed Reasoning'!G$77</f>
        <v/>
      </c>
    </row>
    <row r="49" ht="15.75" customHeight="1">
      <c r="A49" s="14" t="s">
        <v>15</v>
      </c>
      <c r="B49" s="15" t="str">
        <f>'AI#1 (Claude)'!B$77</f>
        <v>0</v>
      </c>
      <c r="C49" s="16" t="str">
        <f>'AI#1 (Claude)'!C77</f>
        <v>사용자에게 직접적인 영향은 없으나, 일관된 계층 구조가 인터페이스 전반의 균일한 동작을 뒷받침한다.</v>
      </c>
      <c r="D49" s="15" t="str">
        <f>'AI#1 (Claude)'!D$77</f>
        <v>0</v>
      </c>
      <c r="E49" s="16" t="str">
        <f>'AI#1 (Claude)'!E77</f>
        <v>최종 사용자에게는 투명하지만, 동일 애플리케이션을 여러 플랫폼에 배포하기가 훨씬 쉬워진다.</v>
      </c>
      <c r="F49" s="15" t="str">
        <f>'AI#1 (Claude)'!F$77</f>
        <v>+</v>
      </c>
      <c r="G49" s="16" t="str">
        <f>'AI#1 (Claude)'!G77</f>
        <v>사용자와 통합 개발자가 재빌드 없이 플러그인으로 시스템을 확장하거나 맞춤화할 수 있다.</v>
      </c>
    </row>
    <row r="50" ht="15.75" customHeight="1">
      <c r="A50" s="14" t="s">
        <v>16</v>
      </c>
      <c r="B50" s="15" t="str">
        <f>'AI#2(Gpt)'!B$77</f>
        <v>0</v>
      </c>
      <c r="C50" s="15" t="str">
        <f>'AI#2(Gpt)'!C$77</f>
        <v>계층 구조 자체가 화면의 편리함이나 사용자 응답을 직접 결정하지는 않는다.</v>
      </c>
      <c r="D50" s="15" t="str">
        <f>'AI#2(Gpt)'!D$77</f>
        <v>+</v>
      </c>
      <c r="E50" s="15" t="str">
        <f>'AI#2(Gpt)'!E$77</f>
        <v>환경 차이를 감춰 여러 환경에서 비슷한 사용 경험을 제공하기 좋다.</v>
      </c>
      <c r="F50" s="15" t="str">
        <f>'AI#2(Gpt)'!F$77</f>
        <v>+</v>
      </c>
      <c r="G50" s="15" t="str">
        <f>'AI#2(Gpt)'!G$77</f>
        <v>공통 핵심 위에 필요한 사용자 기능을 추가해 일관된 사용 환경을 만들기 좋다.</v>
      </c>
    </row>
    <row r="51" ht="15.75" customHeight="1">
      <c r="A51" s="14" t="s">
        <v>17</v>
      </c>
      <c r="B51" s="15" t="str">
        <f>Human!B$77</f>
        <v>0</v>
      </c>
      <c r="C51" s="15" t="str">
        <f>Human!C$77</f>
        <v>계층 구조 자체가 화면의 편리함이나 사용자 응답을 직접 결정하지는 않는다.</v>
      </c>
      <c r="D51" s="15" t="str">
        <f>Human!D$77</f>
        <v/>
      </c>
      <c r="E51" s="15" t="str">
        <f>Human!E$77</f>
        <v>Human - Virtual Machine - Usability</v>
      </c>
      <c r="F51" s="15" t="str">
        <f>Human!F$77</f>
        <v>+</v>
      </c>
      <c r="G51" s="15" t="str">
        <f>Human!G$77</f>
        <v>공통 핵심 위에 필요한 사용자 기능을 추가해 일관된 사용 환경을 만들기 좋다.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34.29"/>
    <col customWidth="1" min="4" max="4" width="7.71"/>
    <col customWidth="1" min="5" max="5" width="37.71"/>
  </cols>
  <sheetData>
    <row r="1">
      <c r="A1" s="1" t="s">
        <v>33</v>
      </c>
      <c r="B1" s="2" t="s">
        <v>34</v>
      </c>
      <c r="C1" s="3"/>
      <c r="D1" s="2" t="s">
        <v>35</v>
      </c>
      <c r="E1" s="3"/>
    </row>
    <row r="2">
      <c r="A2" s="4"/>
      <c r="B2" s="5" t="s">
        <v>7</v>
      </c>
      <c r="C2" s="5" t="s">
        <v>10</v>
      </c>
      <c r="D2" s="5" t="s">
        <v>7</v>
      </c>
      <c r="E2" s="5" t="s">
        <v>10</v>
      </c>
    </row>
    <row r="3" ht="15.0" customHeight="1">
      <c r="A3" s="6" t="s">
        <v>11</v>
      </c>
      <c r="B3" s="6">
        <v>0.0</v>
      </c>
      <c r="C3" s="6">
        <v>0.0</v>
      </c>
      <c r="D3" s="6">
        <v>0.0</v>
      </c>
      <c r="E3" s="6">
        <v>0.0</v>
      </c>
    </row>
    <row r="4">
      <c r="A4" s="16" t="s">
        <v>15</v>
      </c>
      <c r="B4" s="16">
        <v>0.0</v>
      </c>
      <c r="C4" s="16" t="str">
        <f>'AI#1 (Claude)'!C81</f>
        <v>각 티어를 독립적으로 복제하고 로드밸런싱할 수 있다. 다만 체인 중 한 티어라도 죽으면 요청은 실패한다.</v>
      </c>
      <c r="D4" s="16">
        <v>0.0</v>
      </c>
      <c r="E4" s="16" t="str">
        <f>'AI#1 (Claude)'!E81</f>
        <v>서버를 로드밸런서 뒤에 복제해 가용성을 높일 수 있지만, 기본 형태에서는 서버 한 대의 장애가 모든 클라이언트를 동시에 마비시킨다.</v>
      </c>
    </row>
    <row r="5">
      <c r="A5" s="16" t="s">
        <v>16</v>
      </c>
      <c r="B5" s="16">
        <v>0.0</v>
      </c>
      <c r="C5" s="16" t="str">
        <f>'AI#2(Gpt)'!C81</f>
        <v>역할별 장애를 나누기 좋지만 공통 데이터 계층이 멈추면 여러 기능이 영향을 받는다.</v>
      </c>
      <c r="D5" s="16">
        <v>0.0</v>
      </c>
      <c r="E5" s="16" t="str">
        <f>'AI#2(Gpt)'!E81</f>
        <v>Client의 장애는 분리하기 좋지만 공통 Server가 멈추면 여러 사용자가 영향을 받는다.</v>
      </c>
    </row>
    <row r="6">
      <c r="A6" s="16" t="s">
        <v>17</v>
      </c>
      <c r="B6" s="16">
        <v>0.0</v>
      </c>
      <c r="C6" s="16" t="str">
        <f>Human!C81</f>
        <v>역할별 장애를 나누기 좋지만 공통 데이터 계층이 멈추면 여러 기능이 영향을 받는다.</v>
      </c>
      <c r="D6" s="16">
        <v>0.0</v>
      </c>
      <c r="E6" s="16" t="str">
        <f>Human!E81</f>
        <v>Client의 장애는 분리하기 좋지만 공통 Server가 멈추면 여러 사용자가 영향을 받는다.</v>
      </c>
    </row>
    <row r="7">
      <c r="A7" s="16"/>
      <c r="B7" s="16"/>
      <c r="C7" s="16"/>
      <c r="D7" s="16"/>
      <c r="E7" s="16"/>
    </row>
    <row r="8" ht="15.0" customHeight="1">
      <c r="A8" s="6" t="s">
        <v>18</v>
      </c>
      <c r="B8" s="6">
        <v>0.0</v>
      </c>
      <c r="C8" s="6">
        <v>0.0</v>
      </c>
      <c r="D8" s="6">
        <v>0.0</v>
      </c>
      <c r="E8" s="6">
        <v>0.0</v>
      </c>
    </row>
    <row r="9">
      <c r="A9" s="16" t="s">
        <v>15</v>
      </c>
      <c r="B9" s="16">
        <v>0.0</v>
      </c>
      <c r="C9" s="16" t="str">
        <f>'AI#1 (Claude)'!C82</f>
        <v>티어별로 별도 인프라에서 독립적으로 배포·확장·업그레이드할 수 있다.</v>
      </c>
      <c r="D9" s="16">
        <v>0.0</v>
      </c>
      <c r="E9" s="16" t="str">
        <f>'AI#1 (Claude)'!E82</f>
        <v>서버 측 변경은 한 번 배포하면 모든 클라이언트에 즉시 반영된다. 별도 배포가 필요한 것은 진짜 클라이언트 측 변경뿐이다.</v>
      </c>
    </row>
    <row r="10">
      <c r="A10" s="16" t="s">
        <v>16</v>
      </c>
      <c r="B10" s="16">
        <v>0.0</v>
      </c>
      <c r="C10" s="16" t="str">
        <f>'AI#2(Gpt)'!C82</f>
        <v>역할별 실행 단위가 나뉘어 필요한 Tier를 따로 교체·배포하기 좋다.</v>
      </c>
      <c r="D10" s="16">
        <v>0.0</v>
      </c>
      <c r="E10" s="16" t="str">
        <f>'AI#2(Gpt)'!E82</f>
        <v>연결 규칙을 유지하면 Client와 Server를 각각 교체·배포하기 좋다.</v>
      </c>
    </row>
    <row r="11">
      <c r="A11" s="16" t="s">
        <v>17</v>
      </c>
      <c r="B11" s="16">
        <v>0.0</v>
      </c>
      <c r="C11" s="16" t="str">
        <f>Human!C82</f>
        <v>티어별로 별도 인프라에서 독립적으로 배포·확장·업그레이드할 수 있다.</v>
      </c>
      <c r="D11" s="16">
        <v>0.0</v>
      </c>
      <c r="E11" s="16" t="str">
        <f>Human!E82</f>
        <v>서버 측 변경은 한 번 배포하면 모든 클라이언트에 즉시 반영된다. 별도 배포가 필요한 것은 진짜 클라이언트 측 변경뿐이다.</v>
      </c>
    </row>
    <row r="12">
      <c r="A12" s="16"/>
      <c r="B12" s="16"/>
      <c r="C12" s="16"/>
      <c r="D12" s="16"/>
      <c r="E12" s="16"/>
    </row>
    <row r="13" ht="15.0" customHeight="1">
      <c r="A13" s="6" t="s">
        <v>19</v>
      </c>
      <c r="B13" s="6">
        <v>0.0</v>
      </c>
      <c r="C13" s="6">
        <v>0.0</v>
      </c>
      <c r="D13" s="6">
        <v>0.0</v>
      </c>
      <c r="E13" s="6">
        <v>0.0</v>
      </c>
    </row>
    <row r="14">
      <c r="A14" s="16" t="s">
        <v>15</v>
      </c>
      <c r="B14" s="16">
        <v>0.0</v>
      </c>
      <c r="C14" s="16" t="str">
        <f>'AI#1 (Claude)'!C83</f>
        <v>티어 경계가 명확해 통합 지점이 잘 정의된다. 반면 여러 티어를 가로지르는 통합은 인프로세스보다 손이 많이 간다.</v>
      </c>
      <c r="D14" s="16">
        <v>0.0</v>
      </c>
      <c r="E14" s="16" t="str">
        <f>'AI#1 (Claude)'!E83</f>
        <v>공개된 서버 API가 잘 문서화된 자연스러운 통합 지점이 되어 다양한 종류의 클라이언트가 붙을 수 있다.</v>
      </c>
    </row>
    <row r="15">
      <c r="A15" s="16" t="s">
        <v>16</v>
      </c>
      <c r="B15" s="16">
        <v>0.0</v>
      </c>
      <c r="C15" s="16" t="str">
        <f>'AI#2(Gpt)'!C83</f>
        <v>Tier 사이의 연결 규칙이 정해져 있어 새로운 기능을 연결하기 좋다.</v>
      </c>
      <c r="D15" s="16">
        <v>0.0</v>
      </c>
      <c r="E15" s="16" t="str">
        <f>'AI#2(Gpt)'!E83</f>
        <v>Server의 공개된 연결 규칙을 따르면 새로운 Client를 연결하기 쉽다.</v>
      </c>
    </row>
    <row r="16">
      <c r="A16" s="16" t="s">
        <v>17</v>
      </c>
      <c r="B16" s="16">
        <v>0.0</v>
      </c>
      <c r="C16" s="16" t="str">
        <f>Human!C83</f>
        <v>Tier 사이의 연결 규칙이 정해져 있어 새로운 기능을 연결하기 좋다.</v>
      </c>
      <c r="D16" s="16">
        <v>0.0</v>
      </c>
      <c r="E16" s="16" t="str">
        <f>Human!E83</f>
        <v>공개된 서버 API가 잘 문서화된 자연스러운 통합 지점이 되어 다양한 종류의 클라이언트가 붙을 수 있다.</v>
      </c>
    </row>
    <row r="17">
      <c r="A17" s="16"/>
      <c r="B17" s="16"/>
      <c r="C17" s="16"/>
      <c r="D17" s="16"/>
      <c r="E17" s="16"/>
    </row>
    <row r="18">
      <c r="A18" s="6" t="s">
        <v>20</v>
      </c>
      <c r="B18" s="6">
        <v>0.0</v>
      </c>
      <c r="C18" s="6">
        <v>0.0</v>
      </c>
      <c r="D18" s="6">
        <v>0.0</v>
      </c>
      <c r="E18" s="6">
        <v>0.0</v>
      </c>
    </row>
    <row r="19">
      <c r="A19" s="16" t="s">
        <v>15</v>
      </c>
      <c r="B19" s="16">
        <v>0.0</v>
      </c>
      <c r="C19" s="16" t="str">
        <f>'AI#1 (Claude)'!C84</f>
        <v>모든 요청이 티어 사이의 네트워크 경계를 넘으면서 직렬화와 전송 비용을 더한다.</v>
      </c>
      <c r="D19" s="16">
        <v>0.0</v>
      </c>
      <c r="E19" s="16" t="str">
        <f>'AI#1 (Claude)'!E84</f>
        <v>무거운 연산을 효율적인 공용 서버에 집중시키고 씬 클라이언트는 전력을 거의 쓰지 않는다. 다만 상시 네트워크 통신 자체가 에너지를 소모한다.</v>
      </c>
    </row>
    <row r="20">
      <c r="A20" s="16" t="s">
        <v>16</v>
      </c>
      <c r="B20" s="16">
        <v>0.0</v>
      </c>
      <c r="C20" s="16" t="str">
        <f>'AI#2(Gpt)'!C84</f>
        <v>여러 Tier를 운영하고 서로 통신하는 데 추가 자원이 든다.</v>
      </c>
      <c r="D20" s="16">
        <v>0.0</v>
      </c>
      <c r="E20" s="16" t="str">
        <f>'AI#2(Gpt)'!E84</f>
        <v>Client와 Server를 따로 실행하고 통신하는 데 추가 자원이 든다.</v>
      </c>
    </row>
    <row r="21" ht="15.75" customHeight="1">
      <c r="A21" s="16" t="s">
        <v>17</v>
      </c>
      <c r="B21" s="16">
        <v>0.0</v>
      </c>
      <c r="C21" s="16" t="str">
        <f>Human!C84</f>
        <v>여러 Tier를 운영하고 서로 통신하는 데 추가 자원이 든다.</v>
      </c>
      <c r="D21" s="16">
        <v>0.0</v>
      </c>
      <c r="E21" s="16" t="str">
        <f>Human!E84</f>
        <v>무거운 연산을 효율적인 공용 서버에 집중시키고 씬 클라이언트는 전력을 거의 쓰지 않는다. 다만 상시 네트워크 통신 자체가 에너지를 소모한다.</v>
      </c>
    </row>
    <row r="22" ht="15.75" customHeight="1">
      <c r="A22" s="16"/>
      <c r="B22" s="16"/>
      <c r="C22" s="16"/>
      <c r="D22" s="16"/>
      <c r="E22" s="16"/>
    </row>
    <row r="23" ht="15.75" customHeight="1">
      <c r="A23" s="6" t="s">
        <v>21</v>
      </c>
      <c r="B23" s="6">
        <v>0.0</v>
      </c>
      <c r="C23" s="6">
        <v>0.0</v>
      </c>
      <c r="D23" s="6">
        <v>0.0</v>
      </c>
      <c r="E23" s="6">
        <v>0.0</v>
      </c>
    </row>
    <row r="24" ht="15.75" customHeight="1">
      <c r="A24" s="16" t="s">
        <v>15</v>
      </c>
      <c r="B24" s="16">
        <v>0.0</v>
      </c>
      <c r="C24" s="16" t="str">
        <f>'AI#1 (Claude)'!C85</f>
        <v>티어 내부는 인터페이스 뒤에서 자유롭게 바꿀 수 있지만, 모든 티어를 관통하는 변경은 조율 비용이 크다.</v>
      </c>
      <c r="D24" s="16">
        <v>0.0</v>
      </c>
      <c r="E24" s="16" t="str">
        <f>'AI#1 (Claude)'!E85</f>
        <v>비즈니스 로직이 서버에 집중되어 API 계약만 안정적이면 클라이언트를 건드리지 않고 바꿀 수 있다.</v>
      </c>
    </row>
    <row r="25" ht="15.75" customHeight="1">
      <c r="A25" s="16" t="s">
        <v>16</v>
      </c>
      <c r="B25" s="16">
        <v>0.0</v>
      </c>
      <c r="C25" s="16" t="str">
        <f>'AI#2(Gpt)'!C85</f>
        <v>화면·업무·데이터 역할을 나누어 특정 역할의 기능을 따로 수정하기 좋다.</v>
      </c>
      <c r="D25" s="16">
        <v>0.0</v>
      </c>
      <c r="E25" s="16" t="str">
        <f>'AI#2(Gpt)'!E85</f>
        <v>화면과 서버 처리를 나누어 한쪽 기능을 비교적 독립적으로 수정하기 좋다.</v>
      </c>
    </row>
    <row r="26" ht="15.75" customHeight="1">
      <c r="A26" s="16" t="s">
        <v>17</v>
      </c>
      <c r="B26" s="16">
        <v>0.0</v>
      </c>
      <c r="C26" s="16" t="str">
        <f>Human!C85</f>
        <v>화면·업무·데이터 역할을 나누어 특정 역할의 기능을 따로 수정하기 좋다.</v>
      </c>
      <c r="D26" s="16">
        <v>0.0</v>
      </c>
      <c r="E26" s="16" t="str">
        <f>Human!E85</f>
        <v>화면과 서버 처리를 나누어 한쪽 기능을 비교적 독립적으로 수정하기 좋다.</v>
      </c>
    </row>
    <row r="27" ht="15.75" customHeight="1">
      <c r="A27" s="16"/>
      <c r="B27" s="16"/>
      <c r="C27" s="16"/>
      <c r="D27" s="16"/>
      <c r="E27" s="16"/>
    </row>
    <row r="28" ht="15.75" customHeight="1">
      <c r="A28" s="6" t="s">
        <v>22</v>
      </c>
      <c r="B28" s="6">
        <v>0.0</v>
      </c>
      <c r="C28" s="6">
        <v>0.0</v>
      </c>
      <c r="D28" s="6">
        <v>0.0</v>
      </c>
      <c r="E28" s="6">
        <v>0.0</v>
      </c>
    </row>
    <row r="29" ht="15.75" customHeight="1">
      <c r="A29" s="16" t="s">
        <v>15</v>
      </c>
      <c r="B29" s="16">
        <v>0.0</v>
      </c>
      <c r="C29" s="16" t="str">
        <f>'AI#1 (Claude)'!C86</f>
        <v>병목이 되는 티어만 독립적으로 확장해 처리량을 올릴 수 있으나, 티어 간 네트워크 홉이 요청당 지연을 늘린다.</v>
      </c>
      <c r="D29" s="16">
        <v>0.0</v>
      </c>
      <c r="E29" s="16" t="str">
        <f>'AI#1 (Claude)'!E86</f>
        <v>서버 자원을 증설해 부하를 감당할 수 있지만, 모든 상호작용이 네트워크 왕복 비용을 치르고 서버가 병목이 될 수 있다.</v>
      </c>
    </row>
    <row r="30" ht="15.75" customHeight="1">
      <c r="A30" s="16" t="s">
        <v>16</v>
      </c>
      <c r="B30" s="16">
        <v>0.0</v>
      </c>
      <c r="C30" s="16" t="str">
        <f>'AI#2(Gpt)'!C86</f>
        <v>Tier별 동시 처리로 처리량을 높일 수 있지만 통신 지연과 데이터 병목이 생길 수 있다.</v>
      </c>
      <c r="D30" s="16">
        <v>0.0</v>
      </c>
      <c r="E30" s="16" t="str">
        <f>'AI#2(Gpt)'!E86</f>
        <v>여러 요청을 동시에 처리할 수 있지만 통신 지연과 Server 병목이 생길 수 있다.</v>
      </c>
    </row>
    <row r="31" ht="15.75" customHeight="1">
      <c r="A31" s="16" t="s">
        <v>17</v>
      </c>
      <c r="B31" s="16">
        <v>0.0</v>
      </c>
      <c r="C31" s="16" t="str">
        <f>Human!C86</f>
        <v>Tier별 동시 처리로 처리량을 높일 수 있지만 통신 지연과 데이터 병목이 생길 수 있다.</v>
      </c>
      <c r="D31" s="16">
        <v>0.0</v>
      </c>
      <c r="E31" s="16" t="str">
        <f>Human!E86</f>
        <v>여러 요청을 동시에 처리할 수 있지만 통신 지연과 Server 병목이 생길 수 있다.</v>
      </c>
    </row>
    <row r="32" ht="15.75" customHeight="1">
      <c r="A32" s="16"/>
      <c r="B32" s="16"/>
      <c r="C32" s="16"/>
      <c r="D32" s="16"/>
      <c r="E32" s="16"/>
    </row>
    <row r="33" ht="15.75" customHeight="1">
      <c r="A33" s="6" t="s">
        <v>23</v>
      </c>
      <c r="B33" s="6">
        <v>0.0</v>
      </c>
      <c r="C33" s="6">
        <v>0.0</v>
      </c>
      <c r="D33" s="6">
        <v>0.0</v>
      </c>
      <c r="E33" s="6">
        <v>0.0</v>
      </c>
    </row>
    <row r="34" ht="15.75" customHeight="1">
      <c r="A34" s="16" t="s">
        <v>15</v>
      </c>
      <c r="B34" s="16">
        <v>0.0</v>
      </c>
      <c r="C34" s="16" t="str">
        <f>'AI#1 (Claude)'!C87</f>
        <v>티어 격리가 결함 전파를 제한해 한 티어의 장애가 다른 티어를 직접 손상시키지 않는다.</v>
      </c>
      <c r="D34" s="16">
        <v>0.0</v>
      </c>
      <c r="E34" s="16" t="str">
        <f>'AI#1 (Claude)'!E87</f>
        <v>중요한 로직을 서버에서 일관되게 통제해 잘못 동작하는 클라이언트가 피해를 일으키는 것을 막을 수 있다. 다만 서버가 실패하면 모든 클라이언트가 동시에 멈추고 자체 복구 수단은 없다.</v>
      </c>
    </row>
    <row r="35" ht="15.75" customHeight="1">
      <c r="A35" s="16" t="s">
        <v>16</v>
      </c>
      <c r="B35" s="16">
        <v>0.0</v>
      </c>
      <c r="C35" s="16" t="str">
        <f>'AI#2(Gpt)'!C87</f>
        <v>역할 분리는 오류 격리에 유리하지만 동시 처리와 공통 데이터 오류는 점검해야 한다.</v>
      </c>
      <c r="D35" s="16">
        <v>0.0</v>
      </c>
      <c r="E35" s="16" t="str">
        <f>'AI#2(Gpt)'!E87</f>
        <v>역할별 검증은 쉽지만 잘못된 서버 데이터가 여러 Client에 영향을 줄 수 있다.</v>
      </c>
    </row>
    <row r="36" ht="15.75" customHeight="1">
      <c r="A36" s="16" t="s">
        <v>17</v>
      </c>
      <c r="B36" s="16">
        <v>0.0</v>
      </c>
      <c r="C36" s="16" t="str">
        <f>Human!C87</f>
        <v>티어 격리가 결함 전파를 제한해 한 티어의 장애가 다른 티어를 직접 손상시키지 않는다.</v>
      </c>
      <c r="D36" s="16">
        <v>0.0</v>
      </c>
      <c r="E36" s="16" t="str">
        <f>Human!E87</f>
        <v>역할별 검증은 쉽지만 잘못된 서버 데이터가 여러 Client에 영향을 줄 수 있다.</v>
      </c>
    </row>
    <row r="37" ht="15.75" customHeight="1">
      <c r="A37" s="16"/>
      <c r="B37" s="16"/>
      <c r="C37" s="16"/>
      <c r="D37" s="16"/>
      <c r="E37" s="16"/>
    </row>
    <row r="38" ht="15.75" customHeight="1">
      <c r="A38" s="6" t="s">
        <v>24</v>
      </c>
      <c r="B38" s="6">
        <v>0.0</v>
      </c>
      <c r="C38" s="6">
        <v>0.0</v>
      </c>
      <c r="D38" s="6">
        <v>0.0</v>
      </c>
      <c r="E38" s="6">
        <v>0.0</v>
      </c>
    </row>
    <row r="39" ht="15.75" customHeight="1">
      <c r="A39" s="16" t="s">
        <v>15</v>
      </c>
      <c r="B39" s="16">
        <v>0.0</v>
      </c>
      <c r="C39" s="16" t="str">
        <f>'AI#1 (Claude)'!C88</f>
        <v>티어 경계에 방화벽과 DMZ를 두고 데이터 티어로 갈수록 권한을 점진적으로 줄일 수 있다.</v>
      </c>
      <c r="D39" s="16">
        <v>0.0</v>
      </c>
      <c r="E39" s="16" t="str">
        <f>'AI#1 (Claude)'!E88</f>
        <v>민감 데이터와 인가 로직이 서버에만 있고 클라이언트를 신뢰하지 않는다. 대신 서버가 집중된 고가치 표적이 된다.</v>
      </c>
    </row>
    <row r="40" ht="15.75" customHeight="1">
      <c r="A40" s="16" t="s">
        <v>16</v>
      </c>
      <c r="B40" s="16">
        <v>0.0</v>
      </c>
      <c r="C40" s="16" t="str">
        <f>'AI#2(Gpt)'!C88</f>
        <v>Tier별 접근 통제는 쉽지만 중앙 데이터와 여러 통신 경로를 함께 보호해야 한다.</v>
      </c>
      <c r="D40" s="16">
        <v>0.0</v>
      </c>
      <c r="E40" s="16" t="str">
        <f>'AI#2(Gpt)'!E88</f>
        <v>Server에서 권한을 관리하기 쉽지만 정보 집중과 통신 경로의 위험도 있다.</v>
      </c>
    </row>
    <row r="41" ht="15.75" customHeight="1">
      <c r="A41" s="16" t="s">
        <v>17</v>
      </c>
      <c r="B41" s="16">
        <v>0.0</v>
      </c>
      <c r="C41" s="16" t="str">
        <f>Human!C88</f>
        <v>티어 경계에 방화벽과 DMZ를 두고 데이터 티어로 갈수록 권한을 점진적으로 줄일 수 있다.</v>
      </c>
      <c r="D41" s="16">
        <v>0.0</v>
      </c>
      <c r="E41" s="16" t="str">
        <f>Human!E88</f>
        <v>Server에서 권한을 관리하기 쉽지만 정보 집중과 통신 경로의 위험도 있다.</v>
      </c>
    </row>
    <row r="42" ht="15.75" customHeight="1">
      <c r="A42" s="16"/>
      <c r="B42" s="16"/>
      <c r="C42" s="16"/>
      <c r="D42" s="16"/>
      <c r="E42" s="16"/>
    </row>
    <row r="43" ht="15.75" customHeight="1">
      <c r="A43" s="6" t="s">
        <v>25</v>
      </c>
      <c r="B43" s="6">
        <v>0.0</v>
      </c>
      <c r="C43" s="6">
        <v>0.0</v>
      </c>
      <c r="D43" s="6">
        <v>0.0</v>
      </c>
      <c r="E43" s="6">
        <v>0.0</v>
      </c>
    </row>
    <row r="44" ht="15.75" customHeight="1">
      <c r="A44" s="16" t="s">
        <v>15</v>
      </c>
      <c r="B44" s="16">
        <v>0.0</v>
      </c>
      <c r="C44" s="16" t="str">
        <f>'AI#1 (Claude)'!C89</f>
        <v>티어별로 스텁을 두고 개별 테스트가 가능하지만, 종단 간 테스트는 전체 스택이 떠 있어야 한다.</v>
      </c>
      <c r="D44" s="16">
        <v>0.0</v>
      </c>
      <c r="E44" s="16" t="str">
        <f>'AI#1 (Claude)'!E89</f>
        <v>서버 API를 클라이언트와 무관하게 테스트할 수 있고, 클라이언트는 스텁 서버로 검증할 수 있다.</v>
      </c>
    </row>
    <row r="45" ht="15.75" customHeight="1">
      <c r="A45" s="16" t="s">
        <v>16</v>
      </c>
      <c r="B45" s="16">
        <v>0.0</v>
      </c>
      <c r="C45" s="16" t="str">
        <f>'AI#2(Gpt)'!C89</f>
        <v>Tier별 시험은 쉽지만 여러 Tier가 동시에 연결된 동작을 재현하기는 어렵다.</v>
      </c>
      <c r="D45" s="16">
        <v>0.0</v>
      </c>
      <c r="E45" s="16" t="str">
        <f>'AI#2(Gpt)'!E89</f>
        <v>양쪽을 따로 시험하기 쉽지만 통신 장애와 동시 요청까지 재현해야 한다.</v>
      </c>
    </row>
    <row r="46" ht="15.75" customHeight="1">
      <c r="A46" s="16" t="s">
        <v>17</v>
      </c>
      <c r="B46" s="16">
        <v>0.0</v>
      </c>
      <c r="C46" s="16" t="str">
        <f>Human!C89</f>
        <v>Tier별 시험은 쉽지만 여러 Tier가 동시에 연결된 동작을 재현하기는 어렵다.</v>
      </c>
      <c r="D46" s="16">
        <v>0.0</v>
      </c>
      <c r="E46" s="16" t="str">
        <f>Human!E89</f>
        <v>양쪽을 따로 시험하기 쉽지만 통신 장애와 동시 요청까지 재현해야 한다.</v>
      </c>
    </row>
    <row r="47" ht="15.0" customHeight="1">
      <c r="A47" s="16"/>
      <c r="B47" s="16"/>
      <c r="C47" s="16"/>
      <c r="D47" s="16"/>
      <c r="E47" s="16"/>
    </row>
    <row r="48" ht="15.75" customHeight="1">
      <c r="A48" s="6" t="s">
        <v>26</v>
      </c>
      <c r="B48" s="6">
        <v>0.0</v>
      </c>
      <c r="C48" s="6">
        <v>0.0</v>
      </c>
      <c r="D48" s="6">
        <v>0.0</v>
      </c>
      <c r="E48" s="6">
        <v>0.0</v>
      </c>
    </row>
    <row r="49" ht="15.75" customHeight="1">
      <c r="A49" s="16" t="s">
        <v>15</v>
      </c>
      <c r="B49" s="16">
        <v>0.0</v>
      </c>
      <c r="C49" s="16" t="str">
        <f>'AI#1 (Claude)'!C90</f>
        <v>사용자에게 직접적인 영향은 없으나, 누적된 티어 간 지연이 체감 응답성을 좌우한다.</v>
      </c>
      <c r="D49" s="16">
        <v>0.0</v>
      </c>
      <c r="E49" s="16" t="str">
        <f>'AI#1 (Claude)'!E90</f>
        <v>공용 서버에서 항상 일관되고 최신인 동작을 제공한다. 다만 네트워크 상태가 나쁘면 사용성이 크게 떨어진다.</v>
      </c>
    </row>
    <row r="50" ht="15.75" customHeight="1">
      <c r="A50" s="16" t="s">
        <v>16</v>
      </c>
      <c r="B50" s="16">
        <v>0.0</v>
      </c>
      <c r="C50" s="16" t="str">
        <f>'AI#2(Gpt)'!C90</f>
        <v>공통 데이터를 활용하고 화면 처리를 분리해 일관되고 반응성 있는 화면을 만들기 좋다.</v>
      </c>
      <c r="D50" s="16">
        <v>0.0</v>
      </c>
      <c r="E50" s="16" t="str">
        <f>'AI#2(Gpt)'!E90</f>
        <v>공통 Server의 정보를 여러 Client에서 일관되게 보여주기 좋다.</v>
      </c>
    </row>
    <row r="51" ht="15.75" customHeight="1">
      <c r="A51" s="16" t="s">
        <v>17</v>
      </c>
      <c r="B51" s="16">
        <v>0.0</v>
      </c>
      <c r="C51" s="16" t="str">
        <f>Human!C90</f>
        <v>사용자에게 직접적인 영향은 없으나, 누적된 티어 간 지연이 체감 응답성을 좌우한다.</v>
      </c>
      <c r="D51" s="16">
        <v>0.0</v>
      </c>
      <c r="E51" s="16" t="str">
        <f>Human!E90</f>
        <v>공통 Server의 정보를 여러 Client에서 일관되게 보여주기 좋다.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31.14"/>
    <col customWidth="1" min="4" max="4" width="7.71"/>
    <col customWidth="1" min="5" max="5" width="35.14"/>
  </cols>
  <sheetData>
    <row r="1">
      <c r="A1" s="17" t="s">
        <v>33</v>
      </c>
      <c r="B1" s="18" t="s">
        <v>36</v>
      </c>
      <c r="C1" s="19"/>
      <c r="D1" s="18" t="s">
        <v>37</v>
      </c>
      <c r="E1" s="19"/>
    </row>
    <row r="2">
      <c r="A2" s="20"/>
      <c r="B2" s="21" t="s">
        <v>7</v>
      </c>
      <c r="C2" s="21" t="s">
        <v>10</v>
      </c>
      <c r="D2" s="21" t="s">
        <v>7</v>
      </c>
      <c r="E2" s="21" t="s">
        <v>10</v>
      </c>
    </row>
    <row r="3" ht="15.0" customHeight="1">
      <c r="A3" s="22" t="s">
        <v>11</v>
      </c>
      <c r="B3" s="22">
        <v>0.0</v>
      </c>
      <c r="C3" s="22">
        <v>0.0</v>
      </c>
      <c r="D3" s="22">
        <v>0.0</v>
      </c>
      <c r="E3" s="22">
        <v>0.0</v>
      </c>
    </row>
    <row r="4">
      <c r="A4" s="23" t="s">
        <v>15</v>
      </c>
      <c r="B4" s="23">
        <v>0.0</v>
      </c>
      <c r="C4" s="23" t="str">
        <f>'AI#1 (Claude)'!C94</f>
        <v>브로커가 클라이언트를 가용한 서버 인스턴스로 재바인딩해 개별 장애를 감춘다. 다만 브로커 자체가 별도 이중화가 필요한 단일 장애점이다.</v>
      </c>
      <c r="D4" s="23">
        <v>0.0</v>
      </c>
      <c r="E4" s="23" t="str">
        <f>'AI#1 (Claude)'!E94</f>
        <v>요청을 실패했거나 비정상인 인스턴스에서 정상 인스턴스로 우회시켜 인스턴스 장애가 클라이언트에 보이지 않는다.</v>
      </c>
    </row>
    <row r="5">
      <c r="A5" s="23" t="s">
        <v>16</v>
      </c>
      <c r="B5" s="23">
        <v>0.0</v>
      </c>
      <c r="C5" s="23" t="str">
        <f>'AI#2(Gpt)'!C94</f>
        <v>요청자와 처리자를 분리해 교체하기 좋지만 Broker 자체의 장애는 대비해야 한다.</v>
      </c>
      <c r="D5" s="23">
        <v>0.0</v>
      </c>
      <c r="E5" s="23" t="str">
        <f>'AI#2(Gpt)'!E94</f>
        <v>여러 처리기로 작업을 나눌 수 있지만 Dispatcher 장애가 전체 요청에 영향을 줄 수 있다.</v>
      </c>
    </row>
    <row r="6">
      <c r="A6" s="23" t="s">
        <v>17</v>
      </c>
      <c r="B6" s="23">
        <v>0.0</v>
      </c>
      <c r="C6" s="23" t="str">
        <f>Human!C94</f>
        <v>요청자와 처리자를 분리해 교체하기 좋지만 Broker 자체의 장애는 대비해야 한다.</v>
      </c>
      <c r="D6" s="23">
        <v>0.0</v>
      </c>
      <c r="E6" s="23" t="str">
        <f>Human!E94</f>
        <v>여러 처리기로 작업을 나눌 수 있지만 Dispatcher 장애가 전체 요청에 영향을 줄 수 있다.</v>
      </c>
    </row>
    <row r="7">
      <c r="A7" s="23"/>
      <c r="B7" s="23"/>
      <c r="C7" s="23"/>
      <c r="D7" s="23"/>
      <c r="E7" s="23"/>
    </row>
    <row r="8" ht="15.0" customHeight="1">
      <c r="A8" s="22" t="s">
        <v>18</v>
      </c>
      <c r="B8" s="22">
        <v>0.0</v>
      </c>
      <c r="C8" s="22">
        <v>0.0</v>
      </c>
      <c r="D8" s="22">
        <v>0.0</v>
      </c>
      <c r="E8" s="22">
        <v>0.0</v>
      </c>
    </row>
    <row r="9">
      <c r="A9" s="23" t="s">
        <v>15</v>
      </c>
      <c r="B9" s="23">
        <v>0.0</v>
      </c>
      <c r="C9" s="23" t="str">
        <f>'AI#1 (Claude)'!C95</f>
        <v>서버가 런타임에 브로커에 등록되므로 클라이언트 설정을 바꾸지 않고 인스턴스를 추가·이동·교체할 수 있다.</v>
      </c>
      <c r="D9" s="23">
        <v>0.0</v>
      </c>
      <c r="E9" s="23" t="str">
        <f>'AI#1 (Claude)'!E95</f>
        <v>디스패처 뒤에서 인스턴스를 배제·교체·추가할 수 있어 롤링 배포와 블루그린 배포가 가능해진다.</v>
      </c>
    </row>
    <row r="10">
      <c r="A10" s="23" t="s">
        <v>16</v>
      </c>
      <c r="B10" s="23">
        <v>0.0</v>
      </c>
      <c r="C10" s="23" t="str">
        <f>'AI#2(Gpt)'!C95</f>
        <v>Broker와의 연결 규칙을 유지하면 처리 기능을 따로 배포하기 좋다.</v>
      </c>
      <c r="D10" s="23">
        <v>0.0</v>
      </c>
      <c r="E10" s="23" t="str">
        <f>'AI#2(Gpt)'!E95</f>
        <v>처리기 역할은 나뉘지만 강한 연결 때문에 Dispatcher와 함께 배포해야 할 수 있다.</v>
      </c>
    </row>
    <row r="11">
      <c r="A11" s="23" t="s">
        <v>17</v>
      </c>
      <c r="B11" s="23">
        <v>0.0</v>
      </c>
      <c r="C11" s="23" t="str">
        <f>Human!C95</f>
        <v>서버가 런타임에 브로커에 등록되므로 클라이언트 설정을 바꾸지 않고 인스턴스를 추가·이동·교체할 수 있다.</v>
      </c>
      <c r="D11" s="23">
        <v>0.0</v>
      </c>
      <c r="E11" s="23" t="str">
        <f>Human!E95</f>
        <v>처리기 역할은 나뉘지만 강한 연결 때문에 Dispatcher와 함께 배포해야 할 수 있다.</v>
      </c>
    </row>
    <row r="12">
      <c r="A12" s="23"/>
      <c r="B12" s="23"/>
      <c r="C12" s="23"/>
      <c r="D12" s="23"/>
      <c r="E12" s="23"/>
    </row>
    <row r="13" ht="15.0" customHeight="1">
      <c r="A13" s="22" t="s">
        <v>19</v>
      </c>
      <c r="B13" s="22">
        <v>0.0</v>
      </c>
      <c r="C13" s="22">
        <v>0.0</v>
      </c>
      <c r="D13" s="22">
        <v>0.0</v>
      </c>
      <c r="E13" s="22">
        <v>0.0</v>
      </c>
    </row>
    <row r="14">
      <c r="A14" s="23" t="s">
        <v>15</v>
      </c>
      <c r="B14" s="23">
        <v>0.0</v>
      </c>
      <c r="C14" s="23" t="str">
        <f>'AI#1 (Claude)'!C96</f>
        <v>클라이언트와 서버가 브로커 인터페이스만 알면 되므로 서로 다른 언어로 작성된 이기종 컴포넌트도 쉽게 통합된다.</v>
      </c>
      <c r="D14" s="23">
        <v>0.0</v>
      </c>
      <c r="E14" s="23" t="str">
        <f>'AI#1 (Claude)'!E96</f>
        <v>백엔드 구성과 무관하게 클라이언트에 하나의 안정된 진입점을 준다. 다만 디스패처가 모든 라우팅 대상을 알고 있어야 한다.</v>
      </c>
    </row>
    <row r="15">
      <c r="A15" s="23" t="s">
        <v>16</v>
      </c>
      <c r="B15" s="23">
        <v>0.0</v>
      </c>
      <c r="C15" s="23" t="str">
        <f>'AI#2(Gpt)'!C96</f>
        <v>Broker가 연결을 중개하므로 서로 다른 구성요소를 추가·연결하기 매우 좋다.</v>
      </c>
      <c r="D15" s="23">
        <v>0.0</v>
      </c>
      <c r="E15" s="23" t="str">
        <f>'AI#2(Gpt)'!E96</f>
        <v>새 처리기를 연결할 때 Dispatcher의 배분 규칙과 직접 연결을 함께 맞춰야 한다.</v>
      </c>
    </row>
    <row r="16">
      <c r="A16" s="23" t="s">
        <v>17</v>
      </c>
      <c r="B16" s="23">
        <v>0.0</v>
      </c>
      <c r="C16" s="23" t="str">
        <f>Human!C96</f>
        <v>Broker가 연결을 중개하므로 서로 다른 구성요소를 추가·연결하기 매우 좋다.</v>
      </c>
      <c r="D16" s="23">
        <v>0.0</v>
      </c>
      <c r="E16" s="23" t="str">
        <f>Human!E96</f>
        <v>새 처리기를 연결할 때 Dispatcher의 배분 규칙과 직접 연결을 함께 맞춰야 한다.</v>
      </c>
    </row>
    <row r="17">
      <c r="A17" s="23"/>
      <c r="B17" s="23"/>
      <c r="C17" s="23"/>
      <c r="D17" s="23"/>
      <c r="E17" s="23"/>
    </row>
    <row r="18">
      <c r="A18" s="22" t="s">
        <v>20</v>
      </c>
      <c r="B18" s="22">
        <v>0.0</v>
      </c>
      <c r="C18" s="22">
        <v>0.0</v>
      </c>
      <c r="D18" s="22">
        <v>0.0</v>
      </c>
      <c r="E18" s="22">
        <v>0.0</v>
      </c>
    </row>
    <row r="19">
      <c r="A19" s="23" t="s">
        <v>15</v>
      </c>
      <c r="B19" s="23">
        <v>0.0</v>
      </c>
      <c r="C19" s="23" t="str">
        <f>'AI#1 (Claude)'!C97</f>
        <v>모든 호출이 중간자에서 마샬링·전달·언마샬링을 거쳐 직접 호출보다 자원을 낭비한다.</v>
      </c>
      <c r="D19" s="23">
        <v>0.0</v>
      </c>
      <c r="E19" s="23" t="str">
        <f>'AI#1 (Claude)'!E97</f>
        <v>부하 분산 덕분에 유휴 인스턴스를 통합하거나 축소할 수 있다. 디스패처 홉 자체는 약간의 자원을 소비한다.</v>
      </c>
    </row>
    <row r="20">
      <c r="A20" s="23" t="s">
        <v>16</v>
      </c>
      <c r="B20" s="23">
        <v>0.0</v>
      </c>
      <c r="C20" s="23" t="str">
        <f>'AI#2(Gpt)'!C97</f>
        <v>역할을 나누어 운영하는 비용에 중개와 데이터 변환 비용까지 더해진다.</v>
      </c>
      <c r="D20" s="23">
        <v>0.0</v>
      </c>
      <c r="E20" s="23" t="str">
        <f>'AI#2(Gpt)'!E97</f>
        <v>직접 연결 비용은 적지만 여러 처리기를 동시에 운영하는 비용이 있다.</v>
      </c>
    </row>
    <row r="21" ht="15.75" customHeight="1">
      <c r="A21" s="23" t="s">
        <v>17</v>
      </c>
      <c r="B21" s="23">
        <v>0.0</v>
      </c>
      <c r="C21" s="23" t="str">
        <f>Human!C97</f>
        <v>역할을 나누어 운영하는 비용에 중개와 데이터 변환 비용까지 더해진다.</v>
      </c>
      <c r="D21" s="23">
        <v>0.0</v>
      </c>
      <c r="E21" s="23" t="str">
        <f>Human!E97</f>
        <v>직접 연결 비용은 적지만 여러 처리기를 동시에 운영하는 비용이 있다.</v>
      </c>
    </row>
    <row r="22" ht="15.75" customHeight="1">
      <c r="A22" s="23"/>
      <c r="B22" s="23"/>
      <c r="C22" s="23"/>
      <c r="D22" s="23"/>
      <c r="E22" s="23"/>
    </row>
    <row r="23" ht="15.75" customHeight="1">
      <c r="A23" s="22" t="s">
        <v>21</v>
      </c>
      <c r="B23" s="22">
        <v>0.0</v>
      </c>
      <c r="C23" s="22">
        <v>0.0</v>
      </c>
      <c r="D23" s="22">
        <v>0.0</v>
      </c>
      <c r="E23" s="22">
        <v>0.0</v>
      </c>
    </row>
    <row r="24" ht="15.75" customHeight="1">
      <c r="A24" s="23" t="s">
        <v>15</v>
      </c>
      <c r="B24" s="23">
        <v>0.0</v>
      </c>
      <c r="C24" s="23" t="str">
        <f>'AI#1 (Claude)'!C98</f>
        <v>위치 투명성과 구현 투명성 덕분에 클라이언트 변경 없이 서버를 옮기거나 다시 구현할 수 있다.</v>
      </c>
      <c r="D24" s="23">
        <v>0.0</v>
      </c>
      <c r="E24" s="23" t="str">
        <f>'AI#1 (Claude)'!E98</f>
        <v>라우팅 규칙과 백엔드 토폴로지를 클라이언트 변경 없이 한 곳에서 바꿀 수 있다.</v>
      </c>
    </row>
    <row r="25" ht="15.75" customHeight="1">
      <c r="A25" s="23" t="s">
        <v>16</v>
      </c>
      <c r="B25" s="23">
        <v>0.0</v>
      </c>
      <c r="C25" s="23" t="str">
        <f>'AI#2(Gpt)'!C98</f>
        <v>상대의 내부 구현을 직접 알 필요가 없어 각 기능을 따로 수정하기 좋다.</v>
      </c>
      <c r="D25" s="23">
        <v>0.0</v>
      </c>
      <c r="E25" s="23" t="str">
        <f>'AI#2(Gpt)'!E98</f>
        <v>처리기나 배분 방식을 바꾸면 강하게 연결된 Dispatcher도 수정해야 할 수 있다.</v>
      </c>
    </row>
    <row r="26" ht="15.75" customHeight="1">
      <c r="A26" s="23" t="s">
        <v>17</v>
      </c>
      <c r="B26" s="23">
        <v>0.0</v>
      </c>
      <c r="C26" s="23" t="str">
        <f>Human!C98</f>
        <v>상대의 내부 구현을 직접 알 필요가 없어 각 기능을 따로 수정하기 좋다.</v>
      </c>
      <c r="D26" s="23">
        <v>0.0</v>
      </c>
      <c r="E26" s="23" t="str">
        <f>Human!E98</f>
        <v>처리기나 배분 방식을 바꾸면 강하게 연결된 Dispatcher도 수정해야 할 수 있다.</v>
      </c>
    </row>
    <row r="27" ht="15.75" customHeight="1">
      <c r="A27" s="23"/>
      <c r="B27" s="23"/>
      <c r="C27" s="23"/>
      <c r="D27" s="23"/>
      <c r="E27" s="23"/>
    </row>
    <row r="28" ht="15.75" customHeight="1">
      <c r="A28" s="22" t="s">
        <v>22</v>
      </c>
      <c r="B28" s="22">
        <v>0.0</v>
      </c>
      <c r="C28" s="22">
        <v>0.0</v>
      </c>
      <c r="D28" s="22">
        <v>0.0</v>
      </c>
      <c r="E28" s="22">
        <v>0.0</v>
      </c>
    </row>
    <row r="29" ht="15.75" customHeight="1">
      <c r="A29" s="23" t="s">
        <v>15</v>
      </c>
      <c r="B29" s="23">
        <v>0.0</v>
      </c>
      <c r="C29" s="23" t="str">
        <f>'AI#1 (Claude)'!C99</f>
        <v>브로커를 거치는 간접 호출이 매번 지연을 더하고, 브로커가 처리량 병목이 된다.</v>
      </c>
      <c r="D29" s="23">
        <v>0.0</v>
      </c>
      <c r="E29" s="23" t="str">
        <f>'AI#1 (Claude)'!E99</f>
        <v>여러 인스턴스에 부하를 분산해 전체 처리량을 높인다. 대신 홉이 하나 늘어 지연이 생기고 디스패처가 포화될 위험이 있다.</v>
      </c>
    </row>
    <row r="30" ht="15.75" customHeight="1">
      <c r="A30" s="23" t="s">
        <v>16</v>
      </c>
      <c r="B30" s="23">
        <v>0.0</v>
      </c>
      <c r="C30" s="23" t="str">
        <f>'AI#2(Gpt)'!C99</f>
        <v>여러 처리를 동시에 진행할 수 있지만 Broker를 거치는 비용과 병목이 생길 수 있다.</v>
      </c>
      <c r="D30" s="23">
        <v>0.0</v>
      </c>
      <c r="E30" s="23" t="str">
        <f>'AI#2(Gpt)'!E99</f>
        <v>요청을 여러 처리기로 나누고 직접 전달하므로 처리량을 높이기 좋다.</v>
      </c>
    </row>
    <row r="31" ht="15.75" customHeight="1">
      <c r="A31" s="23" t="s">
        <v>17</v>
      </c>
      <c r="B31" s="23">
        <v>0.0</v>
      </c>
      <c r="C31" s="23" t="str">
        <f>Human!C99</f>
        <v>브로커를 거치는 간접 호출이 매번 지연을 더하고, 브로커가 처리량 병목이 된다.</v>
      </c>
      <c r="D31" s="23">
        <v>0.0</v>
      </c>
      <c r="E31" s="23" t="str">
        <f>Human!E99</f>
        <v>요청을 여러 처리기로 나누고 직접 전달하므로 처리량을 높이기 좋다.</v>
      </c>
    </row>
    <row r="32" ht="15.75" customHeight="1">
      <c r="A32" s="23"/>
      <c r="B32" s="23"/>
      <c r="C32" s="23"/>
      <c r="D32" s="23"/>
      <c r="E32" s="23"/>
    </row>
    <row r="33" ht="15.75" customHeight="1">
      <c r="A33" s="22" t="s">
        <v>23</v>
      </c>
      <c r="B33" s="22">
        <v>0.0</v>
      </c>
      <c r="C33" s="22">
        <v>0.0</v>
      </c>
      <c r="D33" s="22">
        <v>0.0</v>
      </c>
      <c r="E33" s="22">
        <v>0.0</v>
      </c>
    </row>
    <row r="34" ht="15.75" customHeight="1">
      <c r="A34" s="23" t="s">
        <v>15</v>
      </c>
      <c r="B34" s="23">
        <v>0.0</v>
      </c>
      <c r="C34" s="23" t="str">
        <f>'AI#1 (Claude)'!C100</f>
        <v>브로커가 실패한 서버 인스턴스를 우회해 다른 인스턴스로 재바인딩하므로 장애가 클라이언트에 노출되지 않는다. 다만 브로커 자체가 죽으면 시스템의 모든 상호작용이 멈춘다.</v>
      </c>
      <c r="D34" s="23">
        <v>0.0</v>
      </c>
      <c r="E34" s="23" t="str">
        <f>'AI#1 (Claude)'!E100</f>
        <v>헬스 체크로 장애 조짐이 있는 컴포넌트에서 트래픽을 미리 빼내 사용자 영향을 막는다.</v>
      </c>
    </row>
    <row r="35" ht="15.75" customHeight="1">
      <c r="A35" s="23" t="s">
        <v>16</v>
      </c>
      <c r="B35" s="23">
        <v>0.0</v>
      </c>
      <c r="C35" s="23" t="str">
        <f>'AI#2(Gpt)'!C100</f>
        <v>기능 분리는 오류 격리에 유리하지만 중개 오류와 동시 처리 순서는 점검해야 한다.</v>
      </c>
      <c r="D35" s="23">
        <v>0.0</v>
      </c>
      <c r="E35" s="23" t="str">
        <f>'AI#2(Gpt)'!E100</f>
        <v>동시 처리 오류와 강한 연결로 인한 오류 전파가 위험한 동작으로 이어질 수 있다.</v>
      </c>
    </row>
    <row r="36" ht="15.75" customHeight="1">
      <c r="A36" s="23" t="s">
        <v>17</v>
      </c>
      <c r="B36" s="23">
        <v>0.0</v>
      </c>
      <c r="C36" s="23" t="str">
        <f>Human!C100</f>
        <v>기능 분리는 오류 격리에 유리하지만 중개 오류와 동시 처리 순서는 점검해야 한다.</v>
      </c>
      <c r="D36" s="23">
        <v>0.0</v>
      </c>
      <c r="E36" s="23" t="str">
        <f>Human!E100</f>
        <v>동시 처리 오류와 강한 연결로 인한 오류 전파가 위험한 동작으로 이어질 수 있다.</v>
      </c>
    </row>
    <row r="37" ht="15.75" customHeight="1">
      <c r="A37" s="23"/>
      <c r="B37" s="23"/>
      <c r="C37" s="23"/>
      <c r="D37" s="23"/>
      <c r="E37" s="23"/>
    </row>
    <row r="38" ht="15.75" customHeight="1">
      <c r="A38" s="22" t="s">
        <v>24</v>
      </c>
      <c r="B38" s="22">
        <v>0.0</v>
      </c>
      <c r="C38" s="22">
        <v>0.0</v>
      </c>
      <c r="D38" s="22">
        <v>0.0</v>
      </c>
      <c r="E38" s="22">
        <v>0.0</v>
      </c>
    </row>
    <row r="39" ht="15.75" customHeight="1">
      <c r="A39" s="23" t="s">
        <v>15</v>
      </c>
      <c r="B39" s="23">
        <v>0.0</v>
      </c>
      <c r="C39" s="23" t="str">
        <f>'AI#1 (Claude)'!C101</f>
        <v>인증과 인가를 브로커에서 중앙 집중 적용할 수 있다. 반대로 브로커가 침해되면 모든 트래픽이 노출된다.</v>
      </c>
      <c r="D39" s="23">
        <v>0.0</v>
      </c>
      <c r="E39" s="23" t="str">
        <f>'AI#1 (Claude)'!E101</f>
        <v>TLS 종단, 속도 제한, 필터링을 적용할 단일 관문이 된다. 동시에 그 지점 하나가 침해 표적이 된다.</v>
      </c>
    </row>
    <row r="40" ht="15.75" customHeight="1">
      <c r="A40" s="23" t="s">
        <v>16</v>
      </c>
      <c r="B40" s="23">
        <v>0.0</v>
      </c>
      <c r="C40" s="23" t="str">
        <f>'AI#2(Gpt)'!C101</f>
        <v>중개 지점에서 접근 규칙을 관리하기 좋지만 실제 인증과 권한 설정은 필요하다.</v>
      </c>
      <c r="D40" s="23">
        <v>0.0</v>
      </c>
      <c r="E40" s="23" t="str">
        <f>'AI#2(Gpt)'!E101</f>
        <v>여러 처리 경로를 보호해야 하며 강한 연결로 침해 영향이 번질 수 있다.</v>
      </c>
    </row>
    <row r="41" ht="15.75" customHeight="1">
      <c r="A41" s="23" t="s">
        <v>17</v>
      </c>
      <c r="B41" s="23">
        <v>0.0</v>
      </c>
      <c r="C41" s="23" t="str">
        <f>Human!C101</f>
        <v>중개 지점에서 접근 규칙을 관리하기 좋지만 실제 인증과 권한 설정은 필요하다.</v>
      </c>
      <c r="D41" s="23">
        <v>0.0</v>
      </c>
      <c r="E41" s="23" t="str">
        <f>Human!E101</f>
        <v>여러 처리 경로를 보호해야 하며 강한 연결로 침해 영향이 번질 수 있다.</v>
      </c>
    </row>
    <row r="42" ht="15.75" customHeight="1">
      <c r="A42" s="23"/>
      <c r="B42" s="23"/>
      <c r="C42" s="23"/>
      <c r="D42" s="23"/>
      <c r="E42" s="23"/>
    </row>
    <row r="43" ht="15.75" customHeight="1">
      <c r="A43" s="22" t="s">
        <v>25</v>
      </c>
      <c r="B43" s="22">
        <v>0.0</v>
      </c>
      <c r="C43" s="22">
        <v>0.0</v>
      </c>
      <c r="D43" s="22">
        <v>0.0</v>
      </c>
      <c r="E43" s="22">
        <v>0.0</v>
      </c>
    </row>
    <row r="44" ht="15.75" customHeight="1">
      <c r="A44" s="23" t="s">
        <v>15</v>
      </c>
      <c r="B44" s="23">
        <v>0.0</v>
      </c>
      <c r="C44" s="23" t="str">
        <f>'AI#1 (Claude)'!C102</f>
        <v>목 브로커로 컴포넌트를 테스트할 수 있지만, 런타임 동적 바인딩 때문에 전체 시스템 테스트의 재현성은 떨어진다.</v>
      </c>
      <c r="D44" s="23">
        <v>0.0</v>
      </c>
      <c r="E44" s="23" t="str">
        <f>'AI#1 (Claude)'!E102</f>
        <v>개별 인스턴스는 평범하게 테스트되지만, 라우팅·페일오버·세션 고정 동작은 별도 테스트가 필요하다.</v>
      </c>
    </row>
    <row r="45" ht="15.75" customHeight="1">
      <c r="A45" s="23" t="s">
        <v>16</v>
      </c>
      <c r="B45" s="23">
        <v>0.0</v>
      </c>
      <c r="C45" s="23" t="str">
        <f>'AI#2(Gpt)'!C102</f>
        <v>Broker를 거치는 여러 기능의 동시 실행을 따라가며 재현하기 어렵다.</v>
      </c>
      <c r="D45" s="23">
        <v>0.0</v>
      </c>
      <c r="E45" s="23" t="str">
        <f>'AI#2(Gpt)'!E102</f>
        <v>여러 처리기의 실행 순서를 재현하기 어렵고 직접 연결된 기능을 따로 시험하기도 불편하다.</v>
      </c>
    </row>
    <row r="46" ht="15.75" customHeight="1">
      <c r="A46" s="23" t="s">
        <v>17</v>
      </c>
      <c r="B46" s="23">
        <v>0.0</v>
      </c>
      <c r="C46" s="23" t="str">
        <f>Human!C102</f>
        <v>Broker를 거치는 여러 기능의 동시 실행을 따라가며 재현하기 어렵다.</v>
      </c>
      <c r="D46" s="23">
        <v>0.0</v>
      </c>
      <c r="E46" s="23" t="str">
        <f>Human!E102</f>
        <v>여러 처리기의 실행 순서를 재현하기 어렵고 직접 연결된 기능을 따로 시험하기도 불편하다.</v>
      </c>
    </row>
    <row r="47" ht="15.0" customHeight="1">
      <c r="A47" s="23"/>
      <c r="B47" s="23"/>
      <c r="C47" s="23"/>
      <c r="D47" s="23"/>
      <c r="E47" s="23"/>
    </row>
    <row r="48" ht="15.75" customHeight="1">
      <c r="A48" s="22" t="s">
        <v>26</v>
      </c>
      <c r="B48" s="22">
        <v>0.0</v>
      </c>
      <c r="C48" s="22">
        <v>0.0</v>
      </c>
      <c r="D48" s="22">
        <v>0.0</v>
      </c>
      <c r="E48" s="22">
        <v>0.0</v>
      </c>
    </row>
    <row r="49" ht="15.75" customHeight="1">
      <c r="A49" s="23" t="s">
        <v>15</v>
      </c>
      <c r="B49" s="23">
        <v>0.0</v>
      </c>
      <c r="C49" s="23" t="str">
        <f>'AI#1 (Claude)'!C103</f>
        <v>최종 사용자에게는 투명하며, 브로커가 연결해주는 서비스만 보인다.</v>
      </c>
      <c r="D49" s="23">
        <v>0.0</v>
      </c>
      <c r="E49" s="23" t="str">
        <f>'AI#1 (Claude)'!E103</f>
        <v>사용자에게는 보이지 않지만 체감 신뢰성과 응답 일관성을 높여준다.</v>
      </c>
    </row>
    <row r="50" ht="15.75" customHeight="1">
      <c r="A50" s="23" t="s">
        <v>16</v>
      </c>
      <c r="B50" s="23">
        <v>0.0</v>
      </c>
      <c r="C50" s="23" t="str">
        <f>'AI#2(Gpt)'!C103</f>
        <v>여러 처리를 동시에 진행해 응답성을 높이기 좋지만 중개 지연은 관리해야 한다.</v>
      </c>
      <c r="D50" s="23">
        <v>0.0</v>
      </c>
      <c r="E50" s="23" t="str">
        <f>'AI#2(Gpt)'!E103</f>
        <v>여러 요청을 나누어 처리하므로 한 작업 때문에 다른 사용자가 기다리는 일을 줄이기 좋다.</v>
      </c>
    </row>
    <row r="51" ht="15.75" customHeight="1">
      <c r="A51" s="23" t="s">
        <v>17</v>
      </c>
      <c r="B51" s="23">
        <v>0.0</v>
      </c>
      <c r="C51" s="23" t="str">
        <f>Human!C103</f>
        <v>여러 처리를 동시에 진행해 응답성을 높이기 좋지만 중개 지연은 관리해야 한다.</v>
      </c>
      <c r="D51" s="23">
        <v>0.0</v>
      </c>
      <c r="E51" s="23" t="str">
        <f>Human!E103</f>
        <v>여러 요청을 나누어 처리하므로 한 작업 때문에 다른 사용자가 기다리는 일을 줄이기 좋다.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7.71"/>
    <col customWidth="1" min="3" max="3" width="28.71"/>
    <col customWidth="1" min="4" max="4" width="7.71"/>
    <col customWidth="1" min="5" max="5" width="37.43"/>
    <col customWidth="1" min="6" max="26" width="8.71"/>
  </cols>
  <sheetData>
    <row r="1">
      <c r="A1" s="17" t="s">
        <v>33</v>
      </c>
      <c r="B1" s="18" t="s">
        <v>38</v>
      </c>
      <c r="C1" s="19"/>
      <c r="D1" s="18" t="s">
        <v>39</v>
      </c>
      <c r="E1" s="19"/>
    </row>
    <row r="2">
      <c r="A2" s="20"/>
      <c r="B2" s="21" t="s">
        <v>7</v>
      </c>
      <c r="C2" s="21" t="s">
        <v>10</v>
      </c>
      <c r="D2" s="21" t="s">
        <v>7</v>
      </c>
      <c r="E2" s="21" t="s">
        <v>10</v>
      </c>
    </row>
    <row r="3">
      <c r="A3" s="22" t="s">
        <v>11</v>
      </c>
      <c r="B3" s="22">
        <v>0.0</v>
      </c>
      <c r="C3" s="22">
        <v>0.0</v>
      </c>
      <c r="D3" s="22">
        <v>0.0</v>
      </c>
      <c r="E3" s="22">
        <v>0.0</v>
      </c>
    </row>
    <row r="4">
      <c r="A4" s="23" t="s">
        <v>15</v>
      </c>
      <c r="B4" s="23">
        <v>0.0</v>
      </c>
      <c r="C4" s="23" t="str">
        <f>'AI#1 (Claude)'!C107</f>
        <v>서비스가 독립 배포되고 이중화도 가능하지만, 중앙 버스나 레지스트리에 크게 의존하면 공유 의존성이 다시 생긴다.</v>
      </c>
      <c r="D4" s="23">
        <v>0.0</v>
      </c>
      <c r="E4" s="23" t="str">
        <f>'AI#1 (Claude)'!E107</f>
        <v>장애가 서비스 단위로 격리되고 각 서비스를 독립 복제하므로 부분 장애가 전체 정지가 아니라 성능 저하로 끝난다. 다만 서킷 브레이커와 타임아웃이 없으면 서비스 간 의존성이 연쇄 장애를 일으킬 수 있다.</v>
      </c>
    </row>
    <row r="5">
      <c r="A5" s="23" t="s">
        <v>16</v>
      </c>
      <c r="B5" s="23">
        <v>0.0</v>
      </c>
      <c r="C5" s="23" t="str">
        <f>'AI#2(Gpt)'!C107</f>
        <v>서비스별 역할을 나누고 의존성을 줄여 한 서비스의 장애가 다른 서비스로 번지는 것을 줄이기 좋다.</v>
      </c>
      <c r="D5" s="23">
        <v>0.0</v>
      </c>
      <c r="E5" s="23" t="str">
        <f>'AI#2(Gpt)'!E107</f>
        <v>역할과 정보를 나누고 약하게 연결해 일부 서비스의 장애 영향을 제한하기 매우 좋다.</v>
      </c>
    </row>
    <row r="6">
      <c r="A6" s="23" t="s">
        <v>17</v>
      </c>
      <c r="B6" s="23">
        <v>0.0</v>
      </c>
      <c r="C6" s="23" t="str">
        <f>Human!C107</f>
        <v>서비스별 역할을 나누고 의존성을 줄여 한 서비스의 장애가 다른 서비스로 번지는 것을 줄이기 좋다.</v>
      </c>
      <c r="D6" s="23">
        <v>0.0</v>
      </c>
      <c r="E6" s="23" t="str">
        <f>Human!E107</f>
        <v>역할과 정보를 나누고 약하게 연결해 일부 서비스의 장애 영향을 제한하기 매우 좋다.</v>
      </c>
    </row>
    <row r="7">
      <c r="A7" s="23"/>
      <c r="B7" s="23"/>
      <c r="C7" s="23"/>
      <c r="D7" s="23"/>
      <c r="E7" s="23"/>
    </row>
    <row r="8">
      <c r="A8" s="22" t="s">
        <v>18</v>
      </c>
      <c r="B8" s="22">
        <v>0.0</v>
      </c>
      <c r="C8" s="22">
        <v>0.0</v>
      </c>
      <c r="D8" s="22">
        <v>0.0</v>
      </c>
      <c r="E8" s="22">
        <v>0.0</v>
      </c>
    </row>
    <row r="9">
      <c r="A9" s="23" t="s">
        <v>15</v>
      </c>
      <c r="B9" s="23">
        <v>0.0</v>
      </c>
      <c r="C9" s="23" t="str">
        <f>'AI#1 (Claude)'!C108</f>
        <v>서비스는 서로 독립적으로 배포되지만, 공유 미들웨어와 전사 거버넌스가 릴리스 주기를 늦춘다.</v>
      </c>
      <c r="D9" s="23">
        <v>0.0</v>
      </c>
      <c r="E9" s="23" t="str">
        <f>'AI#1 (Claude)'!E108</f>
        <v>각 서비스가 독립적으로 배포·릴리스 가능해 지속적 배포가 실현된다. 대신 필요한 운영 도구가 상당히 무겁다.</v>
      </c>
    </row>
    <row r="10">
      <c r="A10" s="23" t="s">
        <v>16</v>
      </c>
      <c r="B10" s="23">
        <v>0.0</v>
      </c>
      <c r="C10" s="23" t="str">
        <f>'AI#2(Gpt)'!C108</f>
        <v>서비스 간 연결 규칙을 유지하면 개별 서비스를 따로 교체하거나 배포하기 좋다.</v>
      </c>
      <c r="D10" s="23">
        <v>0.0</v>
      </c>
      <c r="E10" s="23" t="str">
        <f>'AI#2(Gpt)'!E108</f>
        <v>서비스별 책임과 데이터가 나뉘어 필요한 서비스만 따로 배포하기 매우 좋다.</v>
      </c>
    </row>
    <row r="11">
      <c r="A11" s="23" t="s">
        <v>17</v>
      </c>
      <c r="B11" s="23">
        <v>0.0</v>
      </c>
      <c r="C11" s="23" t="str">
        <f>Human!C108</f>
        <v>서비스 간 연결 규칙을 유지하면 개별 서비스를 따로 교체하거나 배포하기 좋다.</v>
      </c>
      <c r="D11" s="23">
        <v>0.0</v>
      </c>
      <c r="E11" s="23" t="str">
        <f>Human!E108</f>
        <v>서비스별 책임과 데이터가 나뉘어 필요한 서비스만 따로 배포하기 매우 좋다.</v>
      </c>
    </row>
    <row r="12">
      <c r="A12" s="23"/>
      <c r="B12" s="23"/>
      <c r="C12" s="23"/>
      <c r="D12" s="23"/>
      <c r="E12" s="23"/>
    </row>
    <row r="13">
      <c r="A13" s="22" t="s">
        <v>19</v>
      </c>
      <c r="B13" s="22">
        <v>0.0</v>
      </c>
      <c r="C13" s="22">
        <v>0.0</v>
      </c>
      <c r="D13" s="22">
        <v>0.0</v>
      </c>
      <c r="E13" s="22">
        <v>0.0</v>
      </c>
    </row>
    <row r="14">
      <c r="A14" s="23" t="s">
        <v>15</v>
      </c>
      <c r="B14" s="23">
        <v>0.0</v>
      </c>
      <c r="C14" s="23" t="str">
        <f>'AI#1 (Claude)'!C109</f>
        <v>통합을 위해 만들어진 스타일이다. 계약 기반 서비스, 탐색, 프로토콜 중재로 이기종 레거시 시스템을 함께 동작시킨다.</v>
      </c>
      <c r="D14" s="23">
        <v>0.0</v>
      </c>
      <c r="E14" s="23" t="str">
        <f>'AI#1 (Claude)'!E109</f>
        <v>작고 명시적인 API라 서비스 조합이 쉽지만, 서비스 수가 늘수록 인터페이스 개수와 버전 관리 부담이 빠르게 커진다.</v>
      </c>
    </row>
    <row r="15">
      <c r="A15" s="23" t="s">
        <v>16</v>
      </c>
      <c r="B15" s="23">
        <v>0.0</v>
      </c>
      <c r="C15" s="23" t="str">
        <f>'AI#2(Gpt)'!C109</f>
        <v>공통 서비스 규칙을 통해 서로 다른 시스템의 기능을 연결하기 쉽다.</v>
      </c>
      <c r="D15" s="23">
        <v>0.0</v>
      </c>
      <c r="E15" s="23" t="str">
        <f>'AI#2(Gpt)'!E109</f>
        <v>서비스 계약으로 새 기능을 연결하기 좋지만 분산된 데이터의 형식과 의미를 맞춰야 한다.</v>
      </c>
    </row>
    <row r="16">
      <c r="A16" s="23" t="s">
        <v>17</v>
      </c>
      <c r="B16" s="23">
        <v>0.0</v>
      </c>
      <c r="C16" s="23" t="str">
        <f>Human!C109</f>
        <v>공통 서비스 규칙을 통해 서로 다른 시스템의 기능을 연결하기 쉽다.</v>
      </c>
      <c r="D16" s="23">
        <v>0.0</v>
      </c>
      <c r="E16" s="23" t="str">
        <f>Human!E109</f>
        <v>서비스 계약으로 새 기능을 연결하기 좋지만 분산된 데이터의 형식과 의미를 맞춰야 한다.</v>
      </c>
    </row>
    <row r="17">
      <c r="A17" s="23"/>
      <c r="B17" s="23"/>
      <c r="C17" s="23"/>
      <c r="D17" s="23"/>
      <c r="E17" s="23"/>
    </row>
    <row r="18">
      <c r="A18" s="22" t="s">
        <v>20</v>
      </c>
      <c r="B18" s="22">
        <v>0.0</v>
      </c>
      <c r="C18" s="22">
        <v>0.0</v>
      </c>
      <c r="D18" s="22">
        <v>0.0</v>
      </c>
      <c r="E18" s="22">
        <v>0.0</v>
      </c>
    </row>
    <row r="19">
      <c r="A19" s="23" t="s">
        <v>15</v>
      </c>
      <c r="B19" s="23">
        <v>0.0</v>
      </c>
      <c r="C19" s="23" t="str">
        <f>'AI#1 (Claude)'!C110</f>
        <v>버스를 통한 메시지 중재·변환·오케스트레이션이 요청마다 상당한 CPU와 메모리를 소비한다.</v>
      </c>
      <c r="D19" s="23">
        <v>0.0</v>
      </c>
      <c r="E19" s="23" t="str">
        <f>'AI#1 (Claude)'!E110</f>
        <v>런타임 중복, 서비스별 인프라, 끊임없는 네트워크 호출 때문에 동일 기능의 모놀리식보다 훨씬 많은 자원을 소비한다.</v>
      </c>
    </row>
    <row r="20">
      <c r="A20" s="23" t="s">
        <v>16</v>
      </c>
      <c r="B20" s="23">
        <v>0.0</v>
      </c>
      <c r="C20" s="23" t="str">
        <f>'AI#2(Gpt)'!C110</f>
        <v>여러 서비스를 따로 실행하고 서로 통신하는 데 추가 자원이 든다.</v>
      </c>
      <c r="D20" s="23">
        <v>0.0</v>
      </c>
      <c r="E20" s="23" t="str">
        <f>'AI#2(Gpt)'!E110</f>
        <v>많은 서비스를 따로 운영하고 분산된 데이터를 주고받아 자원 소모가 커진다.</v>
      </c>
    </row>
    <row r="21" ht="15.75" customHeight="1">
      <c r="A21" s="23" t="s">
        <v>17</v>
      </c>
      <c r="B21" s="23">
        <v>0.0</v>
      </c>
      <c r="C21" s="23" t="str">
        <f>Human!C110</f>
        <v>여러 서비스를 따로 실행하고 서로 통신하는 데 추가 자원이 든다.</v>
      </c>
      <c r="D21" s="23">
        <v>0.0</v>
      </c>
      <c r="E21" s="23" t="str">
        <f>Human!E110</f>
        <v>많은 서비스를 따로 운영하고 분산된 데이터를 주고받아 자원 소모가 커진다.</v>
      </c>
    </row>
    <row r="22" ht="15.75" customHeight="1">
      <c r="A22" s="23"/>
      <c r="B22" s="23"/>
      <c r="C22" s="23"/>
      <c r="D22" s="23"/>
      <c r="E22" s="23"/>
    </row>
    <row r="23" ht="15.75" customHeight="1">
      <c r="A23" s="22" t="s">
        <v>21</v>
      </c>
      <c r="B23" s="22">
        <v>0.0</v>
      </c>
      <c r="C23" s="22">
        <v>0.0</v>
      </c>
      <c r="D23" s="22">
        <v>0.0</v>
      </c>
      <c r="E23" s="22">
        <v>0.0</v>
      </c>
    </row>
    <row r="24" ht="15.75" customHeight="1">
      <c r="A24" s="23" t="s">
        <v>15</v>
      </c>
      <c r="B24" s="23">
        <v>0.0</v>
      </c>
      <c r="C24" s="23" t="str">
        <f>'AI#1 (Claude)'!C111</f>
        <v>서비스가 안정적으로 공표된 계약 뒤에서 진화한다. 다만 전사 거버넌스 때문에 계약 변경이 느리다.</v>
      </c>
      <c r="D24" s="23">
        <v>0.0</v>
      </c>
      <c r="E24" s="23" t="str">
        <f>'AI#1 (Claude)'!E111</f>
        <v>각 서비스가 작고 소유 주체가 명확해 대부분의 변경이 서비스 하나 안에서 끝난다. 반면 여러 서비스에 걸친 변경은 모놀리식보다 어렵다.</v>
      </c>
    </row>
    <row r="25" ht="15.75" customHeight="1">
      <c r="A25" s="23" t="s">
        <v>16</v>
      </c>
      <c r="B25" s="23">
        <v>0.0</v>
      </c>
      <c r="C25" s="23" t="str">
        <f>'AI#2(Gpt)'!C111</f>
        <v>서비스 간 연결 규칙을 유지하면 다른 서비스를 크게 바꾸지 않고 내부 기능을 수정하기 쉽다.</v>
      </c>
      <c r="D25" s="23">
        <v>0.0</v>
      </c>
      <c r="E25" s="23" t="str">
        <f>'AI#2(Gpt)'!E111</f>
        <v>서비스별 책임과 데이터가 분리되어 한 서비스의 기능을 독립적으로 바꾸기 매우 쉽다.</v>
      </c>
    </row>
    <row r="26" ht="15.75" customHeight="1">
      <c r="A26" s="23" t="s">
        <v>17</v>
      </c>
      <c r="B26" s="23">
        <v>0.0</v>
      </c>
      <c r="C26" s="23" t="str">
        <f>Human!C111</f>
        <v>서비스 간 연결 규칙을 유지하면 다른 서비스를 크게 바꾸지 않고 내부 기능을 수정하기 쉽다.</v>
      </c>
      <c r="D26" s="23">
        <v>0.0</v>
      </c>
      <c r="E26" s="23" t="str">
        <f>Human!E111</f>
        <v>서비스별 책임과 데이터가 분리되어 한 서비스의 기능을 독립적으로 바꾸기 매우 쉽다.</v>
      </c>
    </row>
    <row r="27" ht="15.75" customHeight="1">
      <c r="A27" s="23"/>
      <c r="B27" s="23"/>
      <c r="C27" s="23"/>
      <c r="D27" s="23"/>
      <c r="E27" s="23"/>
    </row>
    <row r="28" ht="15.75" customHeight="1">
      <c r="A28" s="22" t="s">
        <v>22</v>
      </c>
      <c r="B28" s="22">
        <v>0.0</v>
      </c>
      <c r="C28" s="22">
        <v>0.0</v>
      </c>
      <c r="D28" s="22">
        <v>0.0</v>
      </c>
      <c r="E28" s="22">
        <v>0.0</v>
      </c>
    </row>
    <row r="29" ht="15.75" customHeight="1">
      <c r="A29" s="23" t="s">
        <v>15</v>
      </c>
      <c r="B29" s="23">
        <v>0.0</v>
      </c>
      <c r="C29" s="23" t="str">
        <f>'AI#1 (Claude)'!C112</f>
        <v>버스 중재, 장황한 메시지 포맷, 오케스트레이션 홉이 모든 상호작용에 눈에 띄는 지연을 더한다.</v>
      </c>
      <c r="D29" s="23">
        <v>0.0</v>
      </c>
      <c r="E29" s="23" t="str">
        <f>'AI#1 (Claude)'!E112</f>
        <v>병목 지점만 골라 독립적으로 확장해 높은 처리량을 낼 수 있으나, 서비스 간 네트워크 호출이 요청마다 지연을 더한다.</v>
      </c>
    </row>
    <row r="30" ht="15.75" customHeight="1">
      <c r="A30" s="23" t="s">
        <v>16</v>
      </c>
      <c r="B30" s="23">
        <v>0.0</v>
      </c>
      <c r="C30" s="23" t="str">
        <f>'AI#2(Gpt)'!C112</f>
        <v>서비스를 원격으로 호출하고 데이터를 변환하는 과정에서 지연이 늘어날 수 있다.</v>
      </c>
      <c r="D30" s="23">
        <v>0.0</v>
      </c>
      <c r="E30" s="23" t="str">
        <f>'AI#2(Gpt)'!E112</f>
        <v>동시 처리는 가능하지만 여러 서비스 호출과 데이터 조정으로 개별 요청의 지연이 늘 수 있다.</v>
      </c>
    </row>
    <row r="31" ht="15.75" customHeight="1">
      <c r="A31" s="23" t="s">
        <v>17</v>
      </c>
      <c r="B31" s="23">
        <v>0.0</v>
      </c>
      <c r="C31" s="23" t="str">
        <f>Human!C112</f>
        <v>서비스를 원격으로 호출하고 데이터를 변환하는 과정에서 지연이 늘어날 수 있다.</v>
      </c>
      <c r="D31" s="23">
        <v>0.0</v>
      </c>
      <c r="E31" s="23" t="str">
        <f>Human!E112</f>
        <v>동시 처리는 가능하지만 여러 서비스 호출과 데이터 조정으로 개별 요청의 지연이 늘 수 있다.</v>
      </c>
    </row>
    <row r="32" ht="15.75" customHeight="1">
      <c r="A32" s="23"/>
      <c r="B32" s="23"/>
      <c r="C32" s="23"/>
      <c r="D32" s="23"/>
      <c r="E32" s="23"/>
    </row>
    <row r="33" ht="15.75" customHeight="1">
      <c r="A33" s="22" t="s">
        <v>23</v>
      </c>
      <c r="B33" s="22">
        <v>0.0</v>
      </c>
      <c r="C33" s="22">
        <v>0.0</v>
      </c>
      <c r="D33" s="22">
        <v>0.0</v>
      </c>
      <c r="E33" s="22">
        <v>0.0</v>
      </c>
    </row>
    <row r="34" ht="15.75" customHeight="1">
      <c r="A34" s="23" t="s">
        <v>15</v>
      </c>
      <c r="B34" s="23">
        <v>0.0</v>
      </c>
      <c r="C34" s="23" t="str">
        <f>'AI#1 (Claude)'!C113</f>
        <v>느슨한 결합이 결함을 서비스 안에 가두지만, 서비스에 걸친 분산 트랜잭션의 일관성 유지가 어렵다.</v>
      </c>
      <c r="D34" s="23">
        <v>0.0</v>
      </c>
      <c r="E34" s="23" t="str">
        <f>'AI#1 (Claude)'!E113</f>
        <v>격벽(bulkhead)과 프로세스 격리가 결함 전파를 막는다. 다만 데이터가 분산되어 강한 일관성과 서비스 간 정합성 확보가 어렵다.</v>
      </c>
    </row>
    <row r="35" ht="15.75" customHeight="1">
      <c r="A35" s="23" t="s">
        <v>16</v>
      </c>
      <c r="B35" s="23">
        <v>0.0</v>
      </c>
      <c r="C35" s="23" t="str">
        <f>'AI#2(Gpt)'!C113</f>
        <v>서비스 분리로 오류 영향을 줄이기 좋지만 여러 서비스의 처리 순서는 따로 검증해야 한다.</v>
      </c>
      <c r="D35" s="23">
        <v>0.0</v>
      </c>
      <c r="E35" s="23" t="str">
        <f>'AI#2(Gpt)'!E113</f>
        <v>작은 서비스별로 중요한 동작을 검증하고 오류 영향을 제한하기 좋다.</v>
      </c>
    </row>
    <row r="36" ht="15.75" customHeight="1">
      <c r="A36" s="23" t="s">
        <v>17</v>
      </c>
      <c r="B36" s="23">
        <v>0.0</v>
      </c>
      <c r="C36" s="23" t="str">
        <f>Human!C113</f>
        <v>서비스 분리로 오류 영향을 줄이기 좋지만 여러 서비스의 처리 순서는 따로 검증해야 한다.</v>
      </c>
      <c r="D36" s="23">
        <v>0.0</v>
      </c>
      <c r="E36" s="23" t="str">
        <f>Human!E113</f>
        <v>작은 서비스별로 중요한 동작을 검증하고 오류 영향을 제한하기 좋다.</v>
      </c>
    </row>
    <row r="37" ht="15.75" customHeight="1">
      <c r="A37" s="23"/>
      <c r="B37" s="23"/>
      <c r="C37" s="23"/>
      <c r="D37" s="23"/>
      <c r="E37" s="23"/>
    </row>
    <row r="38" ht="15.75" customHeight="1">
      <c r="A38" s="22" t="s">
        <v>24</v>
      </c>
      <c r="B38" s="22">
        <v>0.0</v>
      </c>
      <c r="C38" s="22">
        <v>0.0</v>
      </c>
      <c r="D38" s="22">
        <v>0.0</v>
      </c>
      <c r="E38" s="22">
        <v>0.0</v>
      </c>
    </row>
    <row r="39" ht="15.75" customHeight="1">
      <c r="A39" s="23" t="s">
        <v>15</v>
      </c>
      <c r="B39" s="23">
        <v>0.0</v>
      </c>
      <c r="C39" s="23" t="str">
        <f>'AI#1 (Claude)'!C114</f>
        <v>게이트웨이나 버스에서 모든 서비스에 보안 정책을 균일하게 강제할 수 있다. 그 지점이 고가치 표적이라는 점은 부담이다.</v>
      </c>
      <c r="D39" s="23">
        <v>0.0</v>
      </c>
      <c r="E39" s="23" t="str">
        <f>'AI#1 (Claude)'!E114</f>
        <v>서비스별 세분화된 인가가 가능하지만, 네트워크 엔드포인트가 많아져 공격 표면이 크게 넓어진다.</v>
      </c>
    </row>
    <row r="40" ht="15.75" customHeight="1">
      <c r="A40" s="23" t="s">
        <v>16</v>
      </c>
      <c r="B40" s="23">
        <v>0.0</v>
      </c>
      <c r="C40" s="23" t="str">
        <f>'AI#2(Gpt)'!C114</f>
        <v>서비스별 접근 권한을 나누기 좋지만 보호해야 할 통신 지점도 늘어난다.</v>
      </c>
      <c r="D40" s="23">
        <v>0.0</v>
      </c>
      <c r="E40" s="23" t="str">
        <f>'AI#2(Gpt)'!E114</f>
        <v>서비스별 정보와 접근 권한을 나누기 좋지만 많은 통신 지점의 보호는 필요하다.</v>
      </c>
    </row>
    <row r="41" ht="15.75" customHeight="1">
      <c r="A41" s="23" t="s">
        <v>17</v>
      </c>
      <c r="B41" s="23">
        <v>0.0</v>
      </c>
      <c r="C41" s="23" t="str">
        <f>Human!C114</f>
        <v>서비스별 접근 권한을 나누기 좋지만 보호해야 할 통신 지점도 늘어난다.</v>
      </c>
      <c r="D41" s="23">
        <v>0.0</v>
      </c>
      <c r="E41" s="23" t="str">
        <f>Human!E114</f>
        <v>서비스별 세분화된 인가가 가능하지만, 네트워크 엔드포인트가 많아져 공격 표면이 크게 넓어진다.</v>
      </c>
    </row>
    <row r="42" ht="15.75" customHeight="1">
      <c r="A42" s="23"/>
      <c r="B42" s="23"/>
      <c r="C42" s="23"/>
      <c r="D42" s="23"/>
      <c r="E42" s="23"/>
    </row>
    <row r="43" ht="15.75" customHeight="1">
      <c r="A43" s="22" t="s">
        <v>25</v>
      </c>
      <c r="B43" s="22">
        <v>0.0</v>
      </c>
      <c r="C43" s="22">
        <v>0.0</v>
      </c>
      <c r="D43" s="22">
        <v>0.0</v>
      </c>
      <c r="E43" s="22">
        <v>0.0</v>
      </c>
    </row>
    <row r="44" ht="15.75" customHeight="1">
      <c r="A44" s="23" t="s">
        <v>15</v>
      </c>
      <c r="B44" s="23">
        <v>0.0</v>
      </c>
      <c r="C44" s="23" t="str">
        <f>'AI#1 (Claude)'!C115</f>
        <v>서비스별로는 계약 기준 테스트가 가능하지만, 종단 간 오케스트레이션 테스트에는 시스템 대부분이 가용해야 한다.</v>
      </c>
      <c r="D44" s="23">
        <v>0.0</v>
      </c>
      <c r="E44" s="23" t="str">
        <f>'AI#1 (Claude)'!E115</f>
        <v>서비스별 단위 테스트는 쉽지만, 다수 서비스에 걸친 계약 테스트와 종단 간 테스트는 복잡하고 느리다.</v>
      </c>
    </row>
    <row r="45" ht="15.75" customHeight="1">
      <c r="A45" s="23" t="s">
        <v>16</v>
      </c>
      <c r="B45" s="23">
        <v>0.0</v>
      </c>
      <c r="C45" s="23" t="str">
        <f>'AI#2(Gpt)'!C115</f>
        <v>여러 서비스에 걸친 처리 순서와 통신 상태를 같은 조건으로 재현하기 어렵다.</v>
      </c>
      <c r="D45" s="23">
        <v>0.0</v>
      </c>
      <c r="E45" s="23" t="str">
        <f>'AI#2(Gpt)'!E115</f>
        <v>여러 서비스의 실행 순서와 분산된 데이터 상태를 함께 재현하기 매우 어렵다.</v>
      </c>
    </row>
    <row r="46" ht="15.75" customHeight="1">
      <c r="A46" s="23" t="s">
        <v>17</v>
      </c>
      <c r="B46" s="23">
        <v>0.0</v>
      </c>
      <c r="C46" s="23" t="str">
        <f>Human!C115</f>
        <v>여러 서비스에 걸친 처리 순서와 통신 상태를 같은 조건으로 재현하기 어렵다.</v>
      </c>
      <c r="D46" s="23">
        <v>0.0</v>
      </c>
      <c r="E46" s="23" t="str">
        <f>Human!E115</f>
        <v>여러 서비스의 실행 순서와 분산된 데이터 상태를 함께 재현하기 매우 어렵다.</v>
      </c>
    </row>
    <row r="47" ht="15.75" customHeight="1">
      <c r="A47" s="23"/>
      <c r="B47" s="23"/>
      <c r="C47" s="23"/>
      <c r="D47" s="23"/>
      <c r="E47" s="23"/>
    </row>
    <row r="48" ht="15.75" customHeight="1">
      <c r="A48" s="22" t="s">
        <v>26</v>
      </c>
      <c r="B48" s="22">
        <v>0.0</v>
      </c>
      <c r="C48" s="22">
        <v>0.0</v>
      </c>
      <c r="D48" s="22">
        <v>0.0</v>
      </c>
      <c r="E48" s="22">
        <v>0.0</v>
      </c>
    </row>
    <row r="49" ht="15.75" customHeight="1">
      <c r="A49" s="23" t="s">
        <v>15</v>
      </c>
      <c r="B49" s="23">
        <v>0.0</v>
      </c>
      <c r="C49" s="23" t="str">
        <f>'AI#1 (Claude)'!C116</f>
        <v>사용자에게 직접 영향은 없으나, 기존 서비스를 조합해 새로운 사용자 기능을 만들 수 있게 해준다.</v>
      </c>
      <c r="D49" s="23">
        <v>0.0</v>
      </c>
      <c r="E49" s="23" t="str">
        <f>'AI#1 (Claude)'!E116</f>
        <v>사용자에게 보이지는 않으나, 독립적인 빠른 릴리스 덕분에 기능이 더 일찍 전달된다.</v>
      </c>
    </row>
    <row r="50" ht="15.75" customHeight="1">
      <c r="A50" s="23" t="s">
        <v>16</v>
      </c>
      <c r="B50" s="23">
        <v>0.0</v>
      </c>
      <c r="C50" s="23" t="str">
        <f>'AI#2(Gpt)'!C116</f>
        <v>서비스 연결 방식 자체가 화면의 편리함에 미치는 직접적인 영향은 적다.</v>
      </c>
      <c r="D50" s="23">
        <v>0.0</v>
      </c>
      <c r="E50" s="23" t="str">
        <f>'AI#2(Gpt)'!E116</f>
        <v>각 기능은 독립적으로 반응하기 좋지만 화면에 보이는 데이터 상태가 서로 다를 수 있다.</v>
      </c>
    </row>
    <row r="51" ht="15.75" customHeight="1">
      <c r="A51" s="23" t="s">
        <v>17</v>
      </c>
      <c r="B51" s="23">
        <v>0.0</v>
      </c>
      <c r="C51" s="23" t="str">
        <f>Human!C116</f>
        <v>서비스 연결 방식 자체가 화면의 편리함에 미치는 직접적인 영향은 적다.</v>
      </c>
      <c r="D51" s="23">
        <v>0.0</v>
      </c>
      <c r="E51" s="23" t="str">
        <f>Human!E116</f>
        <v>각 기능은 독립적으로 반응하기 좋지만 화면에 보이는 데이터 상태가 서로 다를 수 있다.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41.14"/>
    <col customWidth="1" min="4" max="4" width="7.71"/>
    <col customWidth="1" min="5" max="5" width="37.14"/>
    <col customWidth="1" min="6" max="6" width="7.71"/>
    <col customWidth="1" min="7" max="7" width="36.14"/>
  </cols>
  <sheetData>
    <row r="1">
      <c r="A1" s="17" t="s">
        <v>40</v>
      </c>
      <c r="B1" s="18" t="s">
        <v>41</v>
      </c>
      <c r="C1" s="19"/>
      <c r="D1" s="18" t="s">
        <v>42</v>
      </c>
      <c r="E1" s="19"/>
      <c r="F1" s="18" t="s">
        <v>43</v>
      </c>
      <c r="G1" s="19"/>
    </row>
    <row r="2">
      <c r="A2" s="20"/>
      <c r="B2" s="21" t="s">
        <v>7</v>
      </c>
      <c r="C2" s="21" t="s">
        <v>10</v>
      </c>
      <c r="D2" s="21" t="s">
        <v>7</v>
      </c>
      <c r="E2" s="21" t="s">
        <v>10</v>
      </c>
      <c r="F2" s="21" t="s">
        <v>7</v>
      </c>
      <c r="G2" s="21" t="s">
        <v>10</v>
      </c>
    </row>
    <row r="3" ht="15.0" customHeight="1">
      <c r="A3" s="22" t="s">
        <v>11</v>
      </c>
      <c r="B3" s="22">
        <v>0.0</v>
      </c>
      <c r="C3" s="22">
        <v>0.0</v>
      </c>
      <c r="D3" s="22">
        <v>0.0</v>
      </c>
      <c r="E3" s="22">
        <v>0.0</v>
      </c>
      <c r="F3" s="22">
        <v>0.0</v>
      </c>
      <c r="G3" s="22">
        <v>0.0</v>
      </c>
    </row>
    <row r="4">
      <c r="A4" s="23" t="s">
        <v>15</v>
      </c>
      <c r="B4" s="23">
        <v>0.0</v>
      </c>
      <c r="C4" s="23" t="str">
        <f>'AI#1 (Claude)'!C120</f>
        <v>오케스트레이터가 실패한 컨테이너를 자동으로 재시작·재배치·복제하므로 복구가 빠르고 대체로 무인으로 이뤄진다.</v>
      </c>
      <c r="D4" s="23">
        <v>0.0</v>
      </c>
      <c r="E4" s="23" t="str">
        <f>'AI#1 (Claude)'!E120</f>
        <v>다중 가용영역·리전 이중화와 관리형 페일오버로 적은 노력에 높은 가용성을 얻는다. 대신 제공자의 장애를 그대로 떠안는다.</v>
      </c>
      <c r="F4" s="23">
        <v>0.0</v>
      </c>
      <c r="G4" s="23" t="str">
        <f>'AI#1 (Claude)'!G120</f>
        <v>클라우드와 연결이 끊겨도 엣지 노드가 계속 동작해 로컬 서비스가 유지된다. 다만 분산된 다수 노드의 가동률을 관리하기는 더 어렵다.</v>
      </c>
    </row>
    <row r="5">
      <c r="A5" s="23" t="s">
        <v>16</v>
      </c>
      <c r="B5" s="23">
        <v>0.0</v>
      </c>
      <c r="C5" s="23" t="str">
        <f>'AI#2(Gpt)'!C120</f>
        <v>컨테이너별로 실행 환경이 나뉘어 장애 영향을 줄일 수 있지만 공통 호스트의 장애는 함께 영향을 준다.</v>
      </c>
      <c r="D5" s="23">
        <v>0.0</v>
      </c>
      <c r="E5" s="23" t="str">
        <f>'AI#2(Gpt)'!E120</f>
        <v>필요한 자원을 빠르게 확보해 장애 복구를 돕지만 자동 복구 기능은 따로 구성해야 한다.</v>
      </c>
      <c r="F5" s="23">
        <v>0.0</v>
      </c>
      <c r="G5" s="23" t="str">
        <f>'AI#2(Gpt)'!G120</f>
        <v>정보와 처리를 현장에 나누면 일부 연결 장애 중에도 현장 기능을 유지하기 좋다.</v>
      </c>
    </row>
    <row r="6">
      <c r="A6" s="23" t="s">
        <v>17</v>
      </c>
      <c r="B6" s="23">
        <v>0.0</v>
      </c>
      <c r="C6" s="23" t="str">
        <f>Human!C120</f>
        <v>Human - Container-based - Availability</v>
      </c>
      <c r="D6" s="23">
        <v>0.0</v>
      </c>
      <c r="E6" s="23" t="str">
        <f>Human!E120</f>
        <v>Human - Cloud-based - Availability</v>
      </c>
      <c r="F6" s="23">
        <v>0.0</v>
      </c>
      <c r="G6" s="23" t="str">
        <f>Human!G120</f>
        <v>정보와 처리를 현장에 나누면 일부 연결 장애 중에도 현장 기능을 유지하기 좋다.</v>
      </c>
    </row>
    <row r="7">
      <c r="A7" s="23"/>
      <c r="B7" s="23"/>
      <c r="C7" s="23"/>
      <c r="D7" s="23"/>
      <c r="E7" s="23"/>
      <c r="F7" s="23"/>
      <c r="G7" s="23"/>
    </row>
    <row r="8" ht="15.0" customHeight="1">
      <c r="A8" s="22" t="s">
        <v>18</v>
      </c>
      <c r="B8" s="22">
        <v>0.0</v>
      </c>
      <c r="C8" s="22">
        <v>0.0</v>
      </c>
      <c r="D8" s="22">
        <v>0.0</v>
      </c>
      <c r="E8" s="22">
        <v>0.0</v>
      </c>
      <c r="F8" s="22">
        <v>0.0</v>
      </c>
      <c r="G8" s="22">
        <v>0.0</v>
      </c>
    </row>
    <row r="9">
      <c r="A9" s="23" t="s">
        <v>15</v>
      </c>
      <c r="B9" s="23">
        <v>0.0</v>
      </c>
      <c r="C9" s="23" t="str">
        <f>'AI#1 (Claude)'!C121</f>
        <v>불변 이미지가 어디서나 동일한 환경을 보장해 롤아웃과 롤백이 빠르고 반복 가능하다.</v>
      </c>
      <c r="D9" s="23">
        <v>0.0</v>
      </c>
      <c r="E9" s="23" t="str">
        <f>'AI#1 (Claude)'!E121</f>
        <v>인프라를 API로 온디맨드 프로비저닝하므로 환경을 몇 분 만에 만들고 반납할 수 있다.</v>
      </c>
      <c r="F9" s="23">
        <v>0.0</v>
      </c>
      <c r="G9" s="23" t="str">
        <f>'AI#1 (Claude)'!G121</f>
        <v>이기종이고 간헐적으로만 연결되는 대규모 기기 집합을 갱신하는 일은 느리고 위험하며 롤백도 어렵다.</v>
      </c>
    </row>
    <row r="10">
      <c r="A10" s="23" t="s">
        <v>16</v>
      </c>
      <c r="B10" s="23">
        <v>0.0</v>
      </c>
      <c r="C10" s="23" t="str">
        <f>'AI#2(Gpt)'!C121</f>
        <v>프로그램과 실행 환경을 함께 묶어 같은 환경으로 반복해서 배포하기 쉽다.</v>
      </c>
      <c r="D10" s="23">
        <v>0.0</v>
      </c>
      <c r="E10" s="23" t="str">
        <f>'AI#2(Gpt)'!E121</f>
        <v>필요한 실행 자원을 빠르게 준비할 수 있어 배포 환경을 만들기 쉽다.</v>
      </c>
      <c r="F10" s="23">
        <v>0.0</v>
      </c>
      <c r="G10" s="23" t="str">
        <f>'AI#2(Gpt)'!G121</f>
        <v>현장별 실행 단위가 나뉘어 필요한 장치를 따로 갱신하기 좋지만 통신 제약은 남는다.</v>
      </c>
    </row>
    <row r="11">
      <c r="A11" s="23" t="s">
        <v>17</v>
      </c>
      <c r="B11" s="23">
        <v>0.0</v>
      </c>
      <c r="C11" s="23" t="str">
        <f>Human!C121</f>
        <v>프로그램과 실행 환경을 함께 묶어 같은 환경으로 반복해서 배포하기 쉽다.</v>
      </c>
      <c r="D11" s="23">
        <v>0.0</v>
      </c>
      <c r="E11" s="23" t="str">
        <f>Human!E121</f>
        <v>Human - Cloud-based - Deployability</v>
      </c>
      <c r="F11" s="23">
        <v>0.0</v>
      </c>
      <c r="G11" s="23" t="str">
        <f>Human!G121</f>
        <v>이기종이고 간헐적으로만 연결되는 대규모 기기 집합을 갱신하는 일은 느리고 위험하며 롤백도 어렵다.</v>
      </c>
    </row>
    <row r="12">
      <c r="A12" s="23"/>
      <c r="B12" s="23"/>
      <c r="C12" s="23"/>
      <c r="D12" s="23"/>
      <c r="E12" s="23"/>
      <c r="F12" s="23"/>
      <c r="G12" s="23"/>
    </row>
    <row r="13" ht="15.0" customHeight="1">
      <c r="A13" s="22" t="s">
        <v>19</v>
      </c>
      <c r="B13" s="22">
        <v>0.0</v>
      </c>
      <c r="C13" s="22">
        <v>0.0</v>
      </c>
      <c r="D13" s="22">
        <v>0.0</v>
      </c>
      <c r="E13" s="22">
        <v>0.0</v>
      </c>
      <c r="F13" s="22">
        <v>0.0</v>
      </c>
      <c r="G13" s="22">
        <v>0.0</v>
      </c>
    </row>
    <row r="14">
      <c r="A14" s="23" t="s">
        <v>15</v>
      </c>
      <c r="B14" s="23">
        <v>0.0</v>
      </c>
      <c r="C14" s="23" t="str">
        <f>'AI#1 (Claude)'!C122</f>
        <v>표준 이미지·네트워크·볼륨 인터페이스 덕분에 이기종 컴포넌트를 한 플랫폼에서 쉽게 조합할 수 있다.</v>
      </c>
      <c r="D14" s="23">
        <v>0.0</v>
      </c>
      <c r="E14" s="23" t="str">
        <f>'AI#1 (Claude)'!E122</f>
        <v>풍부한 관리형 서비스와 API 덕분에 통합이 빠르다. 다만 제공자 고유 서비스는 종속(lock-in)을 만든다.</v>
      </c>
      <c r="F14" s="23">
        <v>0.0</v>
      </c>
      <c r="G14" s="23" t="str">
        <f>'AI#1 (Claude)'!G122</f>
        <v>로컬 처리가 센서·기기와 직접 연동되어 유리하지만, 엣지 하드웨어가 이기종이라 균일한 통합이 어렵다.</v>
      </c>
    </row>
    <row r="15">
      <c r="A15" s="23" t="s">
        <v>16</v>
      </c>
      <c r="B15" s="23">
        <v>0.0</v>
      </c>
      <c r="C15" s="23" t="str">
        <f>'AI#2(Gpt)'!C122</f>
        <v>실행 환경은 맞추기 쉽지만 서비스 사이의 데이터와 연결 규칙까지 자동으로 맞춰지지는 않는다.</v>
      </c>
      <c r="D15" s="23">
        <v>0.0</v>
      </c>
      <c r="E15" s="23" t="str">
        <f>'AI#2(Gpt)'!E122</f>
        <v>외부 연결 기능을 활용할 수 있지만 제공 업체별 연결 방식에 대한 의존성도 생긴다.</v>
      </c>
      <c r="F15" s="23">
        <v>0.0</v>
      </c>
      <c r="G15" s="23" t="str">
        <f>'AI#2(Gpt)'!G122</f>
        <v>현장마다 데이터와 장치 환경이 달라 전체 시스템과 연결할 때 조정이 필요하다.</v>
      </c>
    </row>
    <row r="16">
      <c r="A16" s="23" t="s">
        <v>17</v>
      </c>
      <c r="B16" s="23">
        <v>0.0</v>
      </c>
      <c r="C16" s="23" t="str">
        <f>Human!C122</f>
        <v>Human - Container-based - Integrability</v>
      </c>
      <c r="D16" s="23">
        <v>0.0</v>
      </c>
      <c r="E16" s="23" t="str">
        <f>Human!E122</f>
        <v>Human - Cloud-based - Integrability</v>
      </c>
      <c r="F16" s="23">
        <v>0.0</v>
      </c>
      <c r="G16" s="23" t="str">
        <f>Human!G122</f>
        <v>현장마다 데이터와 장치 환경이 달라 전체 시스템과 연결할 때 조정이 필요하다.</v>
      </c>
    </row>
    <row r="17">
      <c r="A17" s="23"/>
      <c r="B17" s="23"/>
      <c r="C17" s="23"/>
      <c r="D17" s="23"/>
      <c r="E17" s="23"/>
      <c r="F17" s="23"/>
      <c r="G17" s="23"/>
    </row>
    <row r="18">
      <c r="A18" s="22" t="s">
        <v>20</v>
      </c>
      <c r="B18" s="22">
        <v>0.0</v>
      </c>
      <c r="C18" s="22">
        <v>0.0</v>
      </c>
      <c r="D18" s="22">
        <v>0.0</v>
      </c>
      <c r="E18" s="22">
        <v>0.0</v>
      </c>
      <c r="F18" s="22">
        <v>0.0</v>
      </c>
      <c r="G18" s="22">
        <v>0.0</v>
      </c>
    </row>
    <row r="19">
      <c r="A19" s="23" t="s">
        <v>15</v>
      </c>
      <c r="B19" s="23">
        <v>0.0</v>
      </c>
      <c r="C19" s="23" t="str">
        <f>'AI#1 (Claude)'!C123</f>
        <v>호스트 커널을 공유해 VM보다 집적도가 훨씬 높다. 다만 유휴 컨테이너를 많이 띄워두면 여전히 용량이 낭비된다.</v>
      </c>
      <c r="D19" s="23">
        <v>0.0</v>
      </c>
      <c r="E19" s="23" t="str">
        <f>'AI#1 (Claude)'!E123</f>
        <v>고가동률의 공유 데이터센터와 탄력적 축소가 유휴 온프레미스 설비보다 효율적이다. 다만 과다 프로비저닝된 인스턴스는 여전히 에너지를 낭비한다.</v>
      </c>
      <c r="F19" s="23">
        <v>0.0</v>
      </c>
      <c r="G19" s="23" t="str">
        <f>'AI#1 (Claude)'!G123</f>
        <v>로컬에서 처리해 원시 데이터를 네트워크로 보내지 않으므로 전송 에너지를 크게 아낀다. 다만 기기 자체의 전력 예산이 빠듯하다.</v>
      </c>
    </row>
    <row r="20">
      <c r="A20" s="23" t="s">
        <v>16</v>
      </c>
      <c r="B20" s="23">
        <v>0.0</v>
      </c>
      <c r="C20" s="23" t="str">
        <f>'AI#2(Gpt)'!C123</f>
        <v>운영체제를 함께 사용하므로 실행 환경마다 중복으로 쓰는 자원을 줄일 수 있다.</v>
      </c>
      <c r="D20" s="23">
        <v>0.0</v>
      </c>
      <c r="E20" s="23" t="str">
        <f>'AI#2(Gpt)'!E123</f>
        <v>자원 공동 사용의 이점과 원격 통신 비용이 함께 있어 실제 전력 절감은 조건에 따라 다르다.</v>
      </c>
      <c r="F20" s="23">
        <v>0.0</v>
      </c>
      <c r="G20" s="23" t="str">
        <f>'AI#2(Gpt)'!G123</f>
        <v>분산된 장치를 계속 운영하고 데이터를 맞추는 비용이 있어 에너지 효율에 불리할 수 있다.</v>
      </c>
    </row>
    <row r="21" ht="15.75" customHeight="1">
      <c r="A21" s="23" t="s">
        <v>17</v>
      </c>
      <c r="B21" s="23">
        <v>0.0</v>
      </c>
      <c r="C21" s="23" t="str">
        <f>Human!C123</f>
        <v>운영체제를 함께 사용하므로 실행 환경마다 중복으로 쓰는 자원을 줄일 수 있다.</v>
      </c>
      <c r="D21" s="23">
        <v>0.0</v>
      </c>
      <c r="E21" s="23" t="str">
        <f>Human!E123</f>
        <v>Human - Cloud-based - Energy Efficiency</v>
      </c>
      <c r="F21" s="23">
        <v>0.0</v>
      </c>
      <c r="G21" s="23" t="str">
        <f>Human!G123</f>
        <v>분산된 장치를 계속 운영하고 데이터를 맞추는 비용이 있어 에너지 효율에 불리할 수 있다.</v>
      </c>
    </row>
    <row r="22" ht="15.75" customHeight="1">
      <c r="A22" s="23"/>
      <c r="B22" s="23"/>
      <c r="C22" s="23"/>
      <c r="D22" s="23"/>
      <c r="E22" s="23"/>
      <c r="F22" s="23"/>
      <c r="G22" s="23"/>
    </row>
    <row r="23" ht="15.75" customHeight="1">
      <c r="A23" s="22" t="s">
        <v>21</v>
      </c>
      <c r="B23" s="22">
        <v>0.0</v>
      </c>
      <c r="C23" s="22">
        <v>0.0</v>
      </c>
      <c r="D23" s="22">
        <v>0.0</v>
      </c>
      <c r="E23" s="22">
        <v>0.0</v>
      </c>
      <c r="F23" s="22">
        <v>0.0</v>
      </c>
      <c r="G23" s="22">
        <v>0.0</v>
      </c>
    </row>
    <row r="24" ht="15.75" customHeight="1">
      <c r="A24" s="23" t="s">
        <v>15</v>
      </c>
      <c r="B24" s="23">
        <v>0.0</v>
      </c>
      <c r="C24" s="23" t="str">
        <f>'AI#1 (Claude)'!C124</f>
        <v>개별 컨테이너를 다시 빌드해 나머지를 건드리지 않고 교체할 수 있다.</v>
      </c>
      <c r="D24" s="23">
        <v>0.0</v>
      </c>
      <c r="E24" s="23" t="str">
        <f>'AI#1 (Claude)'!E124</f>
        <v>용량과 구성을 조달 절차 없이 설정만으로 바꿀 수 있다. 반면 독자적 관리형 서비스에서 벗어나는 마이그레이션 비용은 크다.</v>
      </c>
      <c r="F24" s="23">
        <v>0.0</v>
      </c>
      <c r="G24" s="23" t="str">
        <f>'AI#1 (Claude)'!G124</f>
        <v>로직이 다수 기기에 분산되어 있어 모든 변경을 전체 기기 집합에 배포하고 검증해야 한다.</v>
      </c>
    </row>
    <row r="25" ht="15.75" customHeight="1">
      <c r="A25" s="23" t="s">
        <v>16</v>
      </c>
      <c r="B25" s="23">
        <v>0.0</v>
      </c>
      <c r="C25" s="23" t="str">
        <f>'AI#2(Gpt)'!C124</f>
        <v>실행 환경이 분리되어 다른 기능의 환경을 건드리지 않고 구성요소를 교체하기 좋다.</v>
      </c>
      <c r="D25" s="23">
        <v>0.0</v>
      </c>
      <c r="E25" s="23" t="str">
        <f>'AI#2(Gpt)'!E124</f>
        <v>기능 변경에 맞춰 필요한 실행 자원을 쉽게 늘리거나 바꿀 수 있다.</v>
      </c>
      <c r="F25" s="23">
        <v>0.0</v>
      </c>
      <c r="G25" s="23" t="str">
        <f>'AI#2(Gpt)'!G124</f>
        <v>현장별 역할과 정보가 나뉘어 특정 현장의 기능을 따로 수정하기 좋다.</v>
      </c>
    </row>
    <row r="26" ht="15.75" customHeight="1">
      <c r="A26" s="23" t="s">
        <v>17</v>
      </c>
      <c r="B26" s="23">
        <v>0.0</v>
      </c>
      <c r="C26" s="23" t="str">
        <f>Human!C124</f>
        <v>실행 환경이 분리되어 다른 기능의 환경을 건드리지 않고 구성요소를 교체하기 좋다.</v>
      </c>
      <c r="D26" s="23">
        <v>0.0</v>
      </c>
      <c r="E26" s="23" t="str">
        <f>Human!E124</f>
        <v>기능 변경에 맞춰 필요한 실행 자원을 쉽게 늘리거나 바꿀 수 있다.</v>
      </c>
      <c r="F26" s="23">
        <v>0.0</v>
      </c>
      <c r="G26" s="23" t="str">
        <f>Human!G124</f>
        <v>로직이 다수 기기에 분산되어 있어 모든 변경을 전체 기기 집합에 배포하고 검증해야 한다.</v>
      </c>
    </row>
    <row r="27" ht="15.75" customHeight="1">
      <c r="A27" s="23"/>
      <c r="B27" s="23"/>
      <c r="C27" s="23"/>
      <c r="D27" s="23"/>
      <c r="E27" s="23"/>
      <c r="F27" s="23"/>
      <c r="G27" s="23"/>
    </row>
    <row r="28" ht="15.75" customHeight="1">
      <c r="A28" s="22" t="s">
        <v>22</v>
      </c>
      <c r="B28" s="22">
        <v>0.0</v>
      </c>
      <c r="C28" s="22">
        <v>0.0</v>
      </c>
      <c r="D28" s="22">
        <v>0.0</v>
      </c>
      <c r="E28" s="22">
        <v>0.0</v>
      </c>
      <c r="F28" s="22">
        <v>0.0</v>
      </c>
      <c r="G28" s="22">
        <v>0.0</v>
      </c>
    </row>
    <row r="29" ht="15.75" customHeight="1">
      <c r="A29" s="23" t="s">
        <v>15</v>
      </c>
      <c r="B29" s="23">
        <v>0.0</v>
      </c>
      <c r="C29" s="23" t="str">
        <f>'AI#1 (Claude)'!C125</f>
        <v>가상화 오버헤드가 적어 거의 네이티브에 가까운 성능을 낸다. 다만 컨테이너 네트워킹과 스토리지 계층이 약간의 비용을 더한다.</v>
      </c>
      <c r="D29" s="23">
        <v>0.0</v>
      </c>
      <c r="E29" s="23" t="str">
        <f>'AI#1 (Claude)'!E125</f>
        <v>탄력적 확장이 부하 급증을 잘 흡수한다. 다만 지연은 리전 거리와 공유 테넌트 변동성에 좌우된다.</v>
      </c>
      <c r="F29" s="23">
        <v>0.0</v>
      </c>
      <c r="G29" s="23" t="str">
        <f>'AI#1 (Claude)'!G125</f>
        <v>데이터 발생 지점 옆에서 처리해 네트워크 왕복이 사라지고 지연이 매우 낮다. 다만 개별 엣지 노드의 연산 능력은 제한적이다.</v>
      </c>
    </row>
    <row r="30" ht="15.75" customHeight="1">
      <c r="A30" s="23" t="s">
        <v>16</v>
      </c>
      <c r="B30" s="23">
        <v>0.0</v>
      </c>
      <c r="C30" s="23" t="str">
        <f>'AI#2(Gpt)'!C125</f>
        <v>실행 비용은 비교적 적지만 자원 경쟁과 컨테이너 간 통신 비용은 남는다.</v>
      </c>
      <c r="D30" s="23">
        <v>0.0</v>
      </c>
      <c r="E30" s="23" t="str">
        <f>'AI#2(Gpt)'!E125</f>
        <v>자원을 늘려 처리량을 높일 수 있지만 원격 통신 지연까지 없어지는 것은 아니다.</v>
      </c>
      <c r="F30" s="23">
        <v>0.0</v>
      </c>
      <c r="G30" s="23" t="str">
        <f>'AI#2(Gpt)'!G125</f>
        <v>정보가 생기는 현장에서 처리하므로 원격 왕복 지연을 줄이고 동시에 처리하기 좋다.</v>
      </c>
    </row>
    <row r="31" ht="15.75" customHeight="1">
      <c r="A31" s="23" t="s">
        <v>17</v>
      </c>
      <c r="B31" s="23">
        <v>0.0</v>
      </c>
      <c r="C31" s="23" t="str">
        <f>Human!C125</f>
        <v>Human - Container-based - Performance</v>
      </c>
      <c r="D31" s="23">
        <v>0.0</v>
      </c>
      <c r="E31" s="23" t="str">
        <f>Human!E125</f>
        <v>Human - Cloud-based - Performance</v>
      </c>
      <c r="F31" s="23">
        <v>0.0</v>
      </c>
      <c r="G31" s="23" t="str">
        <f>Human!G125</f>
        <v>데이터 발생 지점 옆에서 처리해 네트워크 왕복이 사라지고 지연이 매우 낮다. 다만 개별 엣지 노드의 연산 능력은 제한적이다.</v>
      </c>
    </row>
    <row r="32" ht="15.75" customHeight="1">
      <c r="A32" s="23"/>
      <c r="B32" s="23"/>
      <c r="C32" s="23"/>
      <c r="D32" s="23"/>
      <c r="E32" s="23"/>
      <c r="F32" s="23"/>
      <c r="G32" s="23"/>
    </row>
    <row r="33" ht="15.75" customHeight="1">
      <c r="A33" s="22" t="s">
        <v>23</v>
      </c>
      <c r="B33" s="22">
        <v>0.0</v>
      </c>
      <c r="C33" s="22">
        <v>0.0</v>
      </c>
      <c r="D33" s="22">
        <v>0.0</v>
      </c>
      <c r="E33" s="22">
        <v>0.0</v>
      </c>
      <c r="F33" s="22">
        <v>0.0</v>
      </c>
      <c r="G33" s="22">
        <v>0.0</v>
      </c>
    </row>
    <row r="34" ht="15.75" customHeight="1">
      <c r="A34" s="23" t="s">
        <v>15</v>
      </c>
      <c r="B34" s="23">
        <v>0.0</v>
      </c>
      <c r="C34" s="23" t="str">
        <f>'AI#1 (Claude)'!C126</f>
        <v>오케스트레이터가 실패한 컨테이너를 자동으로 감지해 재시작·재배치하고, 자원 제한이 폭주하는 컨테이너가 다른 컨테이너를 해치지 못하게 막는다.</v>
      </c>
      <c r="D34" s="23">
        <v>0.0</v>
      </c>
      <c r="E34" s="23" t="str">
        <f>'AI#1 (Claude)'!E126</f>
        <v>다중 가용영역 이중화, 관리형 페일오버, 자동 백업이 결함 허용을 기본으로 제공한다. 다만 장애 처리 방식에 대한 통제권 일부를 제공자에게 넘긴다.</v>
      </c>
      <c r="F34" s="23">
        <v>0.0</v>
      </c>
      <c r="G34" s="23" t="str">
        <f>'AI#1 (Claude)'!G126</f>
        <v>연결이 끊겨도 로컬 제어가 계속되므로 실시간·안전 필수 기능에 필수적인 특성이다.</v>
      </c>
    </row>
    <row r="35" ht="15.75" customHeight="1">
      <c r="A35" s="23" t="s">
        <v>16</v>
      </c>
      <c r="B35" s="23">
        <v>0.0</v>
      </c>
      <c r="C35" s="23" t="str">
        <f>'AI#2(Gpt)'!C126</f>
        <v>실행 환경을 나누는 것만으로 위험한 업무 동작이나 안전 시한을 보장하지는 않는다.</v>
      </c>
      <c r="D35" s="23">
        <v>0.0</v>
      </c>
      <c r="E35" s="23" t="str">
        <f>'AI#2(Gpt)'!E126</f>
        <v>클라우드 배치만으로 위험한 동작이나 안전 대응 시간을 보장하지는 않는다.</v>
      </c>
      <c r="F35" s="23">
        <v>0.0</v>
      </c>
      <c r="G35" s="23" t="str">
        <f>'AI#2(Gpt)'!G126</f>
        <v>현장 대응은 빠르지만 여러 장치의 동작과 데이터 상태가 어긋날 위험은 남는다.</v>
      </c>
    </row>
    <row r="36" ht="15.75" customHeight="1">
      <c r="A36" s="23" t="s">
        <v>17</v>
      </c>
      <c r="B36" s="23">
        <v>0.0</v>
      </c>
      <c r="C36" s="23" t="str">
        <f>Human!C126</f>
        <v>Human - Container-based - Safety</v>
      </c>
      <c r="D36" s="23">
        <v>0.0</v>
      </c>
      <c r="E36" s="23" t="str">
        <f>Human!E126</f>
        <v>Human - Cloud-based - Safety</v>
      </c>
      <c r="F36" s="23">
        <v>0.0</v>
      </c>
      <c r="G36" s="23" t="str">
        <f>Human!G126</f>
        <v>연결이 끊겨도 로컬 제어가 계속되므로 실시간·안전 필수 기능에 필수적인 특성이다.</v>
      </c>
    </row>
    <row r="37" ht="15.75" customHeight="1">
      <c r="A37" s="23"/>
      <c r="B37" s="23"/>
      <c r="C37" s="23"/>
      <c r="D37" s="23"/>
      <c r="E37" s="23"/>
      <c r="F37" s="23"/>
      <c r="G37" s="23"/>
    </row>
    <row r="38" ht="15.75" customHeight="1">
      <c r="A38" s="22" t="s">
        <v>24</v>
      </c>
      <c r="B38" s="22">
        <v>0.0</v>
      </c>
      <c r="C38" s="22">
        <v>0.0</v>
      </c>
      <c r="D38" s="22">
        <v>0.0</v>
      </c>
      <c r="E38" s="22">
        <v>0.0</v>
      </c>
      <c r="F38" s="22">
        <v>0.0</v>
      </c>
      <c r="G38" s="22">
        <v>0.0</v>
      </c>
    </row>
    <row r="39" ht="15.75" customHeight="1">
      <c r="A39" s="23" t="s">
        <v>15</v>
      </c>
      <c r="B39" s="23">
        <v>0.0</v>
      </c>
      <c r="C39" s="23" t="str">
        <f>'AI#1 (Claude)'!C127</f>
        <v>격리가 침해 범위를 제한하지만, 커널을 공유하므로 VM보다 경계가 약하고 이미지 공급망을 신뢰할 수 있어야 한다.</v>
      </c>
      <c r="D39" s="23">
        <v>0.0</v>
      </c>
      <c r="E39" s="23" t="str">
        <f>'AI#1 (Claude)'!E127</f>
        <v>제공자가 강력한 기본 통제와 컴플라이언스 인증을 제공하지만, 데이터가 외부로 나가며 설정 오류가 가장 큰 위험 요인이 된다.</v>
      </c>
      <c r="F39" s="23">
        <v>0.0</v>
      </c>
      <c r="G39" s="23" t="str">
        <f>'AI#1 (Claude)'!G127</f>
        <v>신뢰할 수 없는 장소에 놓인, 물리적으로 접근 가능하고 자원이 제한된 기기들이 공격 표면을 크게 넓힌다.</v>
      </c>
    </row>
    <row r="40" ht="15.75" customHeight="1">
      <c r="A40" s="23" t="s">
        <v>16</v>
      </c>
      <c r="B40" s="23">
        <v>0.0</v>
      </c>
      <c r="C40" s="23" t="str">
        <f>'AI#2(Gpt)'!C127</f>
        <v>컨테이너별 접근을 제한할 수 있지만 커널을 공유하므로 커널이 침해되면 함께 영향을 받을 수 있다.</v>
      </c>
      <c r="D40" s="23">
        <v>0.0</v>
      </c>
      <c r="E40" s="23" t="str">
        <f>'AI#2(Gpt)'!E127</f>
        <v>보안 관리 기능을 활용할 수 있지만 외부 연결과 권한 설정에 따른 위험도 있다.</v>
      </c>
      <c r="F40" s="23">
        <v>0.0</v>
      </c>
      <c r="G40" s="23" t="str">
        <f>'AI#2(Gpt)'!G127</f>
        <v>여러 현장 장치와 통신 경로를 각각 보호해야 하므로 관리할 지점이 많다.</v>
      </c>
    </row>
    <row r="41" ht="15.75" customHeight="1">
      <c r="A41" s="23" t="s">
        <v>17</v>
      </c>
      <c r="B41" s="23">
        <v>0.0</v>
      </c>
      <c r="C41" s="23" t="str">
        <f>Human!C127</f>
        <v>컨테이너별 접근을 제한할 수 있지만 커널을 공유하므로 커널이 침해되면 함께 영향을 받을 수 있다.</v>
      </c>
      <c r="D41" s="23">
        <v>0.0</v>
      </c>
      <c r="E41" s="23" t="str">
        <f>Human!E127</f>
        <v>보안 관리 기능을 활용할 수 있지만 외부 연결과 권한 설정에 따른 위험도 있다.</v>
      </c>
      <c r="F41" s="23">
        <v>0.0</v>
      </c>
      <c r="G41" s="23" t="str">
        <f>Human!G127</f>
        <v>여러 현장 장치와 통신 경로를 각각 보호해야 하므로 관리할 지점이 많다.</v>
      </c>
    </row>
    <row r="42" ht="15.75" customHeight="1">
      <c r="A42" s="23"/>
      <c r="B42" s="23"/>
      <c r="C42" s="23"/>
      <c r="D42" s="23"/>
      <c r="E42" s="23"/>
      <c r="F42" s="23"/>
      <c r="G42" s="23"/>
    </row>
    <row r="43" ht="15.75" customHeight="1">
      <c r="A43" s="22" t="s">
        <v>25</v>
      </c>
      <c r="B43" s="22">
        <v>0.0</v>
      </c>
      <c r="C43" s="22">
        <v>0.0</v>
      </c>
      <c r="D43" s="22">
        <v>0.0</v>
      </c>
      <c r="E43" s="22">
        <v>0.0</v>
      </c>
      <c r="F43" s="22">
        <v>0.0</v>
      </c>
      <c r="G43" s="22">
        <v>0.0</v>
      </c>
    </row>
    <row r="44" ht="15.75" customHeight="1">
      <c r="A44" s="23" t="s">
        <v>15</v>
      </c>
      <c r="B44" s="23">
        <v>0.0</v>
      </c>
      <c r="C44" s="23" t="str">
        <f>'AI#1 (Claude)'!C128</f>
        <v>테스트한 이미지가 그대로 운영에서 실행되어 환경 차이로 인한 장애 원인이 사라진다.</v>
      </c>
      <c r="D44" s="23">
        <v>0.0</v>
      </c>
      <c r="E44" s="23" t="str">
        <f>'AI#1 (Claude)'!E128</f>
        <v>운영과 유사한 전체 환경을 필요할 때 만들고 없앨 수 있어 현실적인 테스트가 가능하다. 제약은 비용과 쿼터다.</v>
      </c>
      <c r="F44" s="23">
        <v>0.0</v>
      </c>
      <c r="G44" s="23" t="str">
        <f>'AI#1 (Claude)'!G128</f>
        <v>현장 조건, 기기 이기종성, 간헐적 연결을 실험실에서 충실히 재현하기 어렵다.</v>
      </c>
    </row>
    <row r="45" ht="15.75" customHeight="1">
      <c r="A45" s="23" t="s">
        <v>16</v>
      </c>
      <c r="B45" s="23">
        <v>0.0</v>
      </c>
      <c r="C45" s="23" t="str">
        <f>'AI#2(Gpt)'!C128</f>
        <v>같은 프로그램과 실행 환경을 반복해서 구성할 수 있어 시험 결과를 재현하기 쉽다.</v>
      </c>
      <c r="D45" s="23">
        <v>0.0</v>
      </c>
      <c r="E45" s="23" t="str">
        <f>'AI#2(Gpt)'!E128</f>
        <v>시험 자원은 쉽게 만들 수 있지만 원격 장애와 공동 자원 경쟁은 재현하기 어렵다.</v>
      </c>
      <c r="F45" s="23">
        <v>0.0</v>
      </c>
      <c r="G45" s="23" t="str">
        <f>'AI#2(Gpt)'!G128</f>
        <v>여러 현장의 장치 상태와 통신 상황을 같은 조건으로 재현하기 매우 어렵다.</v>
      </c>
    </row>
    <row r="46" ht="15.75" customHeight="1">
      <c r="A46" s="23" t="s">
        <v>17</v>
      </c>
      <c r="B46" s="23">
        <v>0.0</v>
      </c>
      <c r="C46" s="23" t="str">
        <f>Human!C128</f>
        <v>Human - Container-based - Testability</v>
      </c>
      <c r="D46" s="23">
        <v>0.0</v>
      </c>
      <c r="E46" s="23" t="str">
        <f>Human!E128</f>
        <v>Human - Cloud-based - Testability</v>
      </c>
      <c r="F46" s="23">
        <v>0.0</v>
      </c>
      <c r="G46" s="23" t="str">
        <f>Human!G128</f>
        <v>여러 현장의 장치 상태와 통신 상황을 같은 조건으로 재현하기 매우 어렵다.</v>
      </c>
    </row>
    <row r="47" ht="15.0" customHeight="1">
      <c r="A47" s="23"/>
      <c r="B47" s="23"/>
      <c r="C47" s="23"/>
      <c r="D47" s="23"/>
      <c r="E47" s="23"/>
      <c r="F47" s="23"/>
      <c r="G47" s="23"/>
    </row>
    <row r="48" ht="15.75" customHeight="1">
      <c r="A48" s="22" t="s">
        <v>26</v>
      </c>
      <c r="B48" s="22">
        <v>0.0</v>
      </c>
      <c r="C48" s="22">
        <v>0.0</v>
      </c>
      <c r="D48" s="22">
        <v>0.0</v>
      </c>
      <c r="E48" s="22">
        <v>0.0</v>
      </c>
      <c r="F48" s="22">
        <v>0.0</v>
      </c>
      <c r="G48" s="22">
        <v>0.0</v>
      </c>
    </row>
    <row r="49" ht="15.75" customHeight="1">
      <c r="A49" s="23" t="s">
        <v>15</v>
      </c>
      <c r="B49" s="23">
        <v>0.0</v>
      </c>
      <c r="C49" s="23" t="str">
        <f>'AI#1 (Claude)'!C129</f>
        <v>최종 사용자에게는 보이지 않고 시스템의 빌드·운영 방식에만 영향을 준다.</v>
      </c>
      <c r="D49" s="23">
        <v>0.0</v>
      </c>
      <c r="E49" s="23" t="str">
        <f>'AI#1 (Claude)'!E129</f>
        <v>전 세계 분산 배치로 지리적으로 흩어진 사용자의 응답성을 개선할 수 있다.</v>
      </c>
      <c r="F49" s="23">
        <v>0.0</v>
      </c>
      <c r="G49" s="23" t="str">
        <f>'AI#1 (Claude)'!G129</f>
        <v>낮은 지연과 오프라인에서도 이어지는 동작 덕분에 사용자가 시스템을 빠르고 믿음직하게 느낀다.</v>
      </c>
    </row>
    <row r="50" ht="15.75" customHeight="1">
      <c r="A50" s="23" t="s">
        <v>16</v>
      </c>
      <c r="B50" s="23">
        <v>0.0</v>
      </c>
      <c r="C50" s="23" t="str">
        <f>'AI#2(Gpt)'!C129</f>
        <v>컨테이너 배치 방식만으로 사용자가 느끼는 화면의 편리함이 달라지지는 않는다.</v>
      </c>
      <c r="D50" s="23">
        <v>0.0</v>
      </c>
      <c r="E50" s="23" t="str">
        <f>'AI#2(Gpt)'!E129</f>
        <v>네트워크가 연결된 곳에서 공통 서비스에 접근할 수 있어 이용 장소의 제약이 적다.</v>
      </c>
      <c r="F50" s="23">
        <v>0.0</v>
      </c>
      <c r="G50" s="23" t="str">
        <f>'AI#2(Gpt)'!G129</f>
        <v>현장 응답은 빨라지지만 장소별로 보이는 데이터가 달라 사용자 혼란이 생길 수 있다.</v>
      </c>
    </row>
    <row r="51" ht="15.75" customHeight="1">
      <c r="A51" s="23" t="s">
        <v>17</v>
      </c>
      <c r="B51" s="23">
        <v>0.0</v>
      </c>
      <c r="C51" s="23" t="str">
        <f>Human!C129</f>
        <v>컨테이너 배치 방식만으로 사용자가 느끼는 화면의 편리함이 달라지지는 않는다.</v>
      </c>
      <c r="D51" s="23">
        <v>0.0</v>
      </c>
      <c r="E51" s="23" t="str">
        <f>Human!E129</f>
        <v>Human - Cloud-based - Usability</v>
      </c>
      <c r="F51" s="23">
        <v>0.0</v>
      </c>
      <c r="G51" s="23" t="str">
        <f>Human!G129</f>
        <v>낮은 지연과 오프라인에서도 이어지는 동작 덕분에 사용자가 시스템을 빠르고 믿음직하게 느낀다.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57"/>
    <col customWidth="1" min="2" max="2" width="14.71"/>
    <col customWidth="1" min="3" max="3" width="73.86"/>
    <col customWidth="1" min="4" max="4" width="9.86"/>
    <col customWidth="1" min="5" max="5" width="64.43"/>
    <col customWidth="1" min="6" max="6" width="11.43"/>
    <col customWidth="1" min="7" max="7" width="61.57"/>
    <col customWidth="1" min="8" max="8" width="8.86"/>
    <col customWidth="1" min="9" max="9" width="64.14"/>
  </cols>
  <sheetData>
    <row r="1">
      <c r="A1" s="24" t="s">
        <v>44</v>
      </c>
      <c r="B1" s="25" t="s">
        <v>2</v>
      </c>
      <c r="C1" s="19"/>
      <c r="D1" s="25" t="s">
        <v>8</v>
      </c>
      <c r="E1" s="19"/>
      <c r="F1" s="25" t="s">
        <v>9</v>
      </c>
      <c r="G1" s="19"/>
    </row>
    <row r="2">
      <c r="A2" s="20"/>
      <c r="B2" s="26" t="s">
        <v>7</v>
      </c>
      <c r="C2" s="26" t="s">
        <v>10</v>
      </c>
      <c r="D2" s="26" t="s">
        <v>7</v>
      </c>
      <c r="E2" s="26" t="s">
        <v>10</v>
      </c>
      <c r="F2" s="26" t="s">
        <v>7</v>
      </c>
      <c r="G2" s="26" t="s">
        <v>10</v>
      </c>
    </row>
    <row r="3" ht="16.5" customHeight="1">
      <c r="A3" s="27" t="s">
        <v>11</v>
      </c>
      <c r="B3" s="28"/>
      <c r="C3" s="29"/>
      <c r="D3" s="28"/>
      <c r="E3" s="27"/>
      <c r="F3" s="30"/>
      <c r="G3" s="31"/>
    </row>
    <row r="4" ht="16.5" customHeight="1">
      <c r="A4" s="27" t="s">
        <v>18</v>
      </c>
      <c r="B4" s="28"/>
      <c r="C4" s="29"/>
      <c r="D4" s="28"/>
      <c r="E4" s="27"/>
      <c r="F4" s="30"/>
      <c r="G4" s="31"/>
    </row>
    <row r="5" ht="16.5" customHeight="1">
      <c r="A5" s="27" t="s">
        <v>19</v>
      </c>
      <c r="B5" s="28"/>
      <c r="C5" s="29"/>
      <c r="D5" s="28"/>
      <c r="E5" s="32"/>
      <c r="F5" s="30"/>
      <c r="G5" s="33"/>
    </row>
    <row r="6" ht="16.5" customHeight="1">
      <c r="A6" s="27" t="s">
        <v>20</v>
      </c>
      <c r="B6" s="28"/>
      <c r="C6" s="29"/>
      <c r="D6" s="28"/>
      <c r="E6" s="29"/>
      <c r="F6" s="30"/>
      <c r="G6" s="31"/>
    </row>
    <row r="7" ht="16.5" customHeight="1">
      <c r="A7" s="27" t="s">
        <v>21</v>
      </c>
      <c r="B7" s="28"/>
      <c r="C7" s="29"/>
      <c r="D7" s="28"/>
      <c r="E7" s="27"/>
      <c r="F7" s="28"/>
      <c r="G7" s="31"/>
    </row>
    <row r="8" ht="16.5" customHeight="1">
      <c r="A8" s="27" t="s">
        <v>22</v>
      </c>
      <c r="B8" s="28"/>
      <c r="C8" s="27"/>
      <c r="D8" s="28"/>
      <c r="E8" s="27"/>
      <c r="F8" s="30"/>
      <c r="G8" s="29"/>
    </row>
    <row r="9" ht="16.5" customHeight="1">
      <c r="A9" s="27" t="s">
        <v>23</v>
      </c>
      <c r="B9" s="28"/>
      <c r="C9" s="29"/>
      <c r="D9" s="28"/>
      <c r="E9" s="29"/>
      <c r="F9" s="30"/>
      <c r="G9" s="31"/>
    </row>
    <row r="10" ht="16.5" customHeight="1">
      <c r="A10" s="27" t="s">
        <v>24</v>
      </c>
      <c r="B10" s="28"/>
      <c r="C10" s="29"/>
      <c r="D10" s="28"/>
      <c r="E10" s="29"/>
      <c r="F10" s="28"/>
      <c r="G10" s="29"/>
    </row>
    <row r="11" ht="16.5" customHeight="1">
      <c r="A11" s="27" t="s">
        <v>25</v>
      </c>
      <c r="B11" s="28"/>
      <c r="C11" s="29"/>
      <c r="D11" s="28"/>
      <c r="E11" s="27"/>
      <c r="F11" s="28"/>
      <c r="G11" s="29"/>
    </row>
    <row r="12" ht="16.5" customHeight="1">
      <c r="A12" s="27" t="s">
        <v>26</v>
      </c>
      <c r="B12" s="28"/>
      <c r="C12" s="29"/>
      <c r="D12" s="28"/>
      <c r="E12" s="29"/>
      <c r="F12" s="28"/>
      <c r="G12" s="29"/>
    </row>
    <row r="13">
      <c r="A13" s="34"/>
      <c r="B13" s="34"/>
      <c r="C13" s="34"/>
      <c r="D13" s="34"/>
      <c r="E13" s="34"/>
      <c r="F13" s="34"/>
      <c r="G13" s="34"/>
    </row>
    <row r="14" ht="36.0" customHeight="1">
      <c r="A14" s="35" t="s">
        <v>1</v>
      </c>
      <c r="B14" s="25" t="s">
        <v>45</v>
      </c>
      <c r="C14" s="19"/>
      <c r="D14" s="25" t="s">
        <v>5</v>
      </c>
      <c r="E14" s="19"/>
      <c r="F14" s="34"/>
      <c r="G14" s="34"/>
    </row>
    <row r="15">
      <c r="A15" s="36"/>
      <c r="B15" s="37" t="s">
        <v>7</v>
      </c>
      <c r="C15" s="37" t="s">
        <v>10</v>
      </c>
      <c r="D15" s="37" t="s">
        <v>7</v>
      </c>
      <c r="E15" s="37" t="s">
        <v>10</v>
      </c>
      <c r="F15" s="34"/>
      <c r="G15" s="34"/>
    </row>
    <row r="16" ht="16.5" customHeight="1">
      <c r="A16" s="27" t="s">
        <v>11</v>
      </c>
      <c r="B16" s="28"/>
      <c r="C16" s="29"/>
      <c r="D16" s="28"/>
      <c r="E16" s="29"/>
      <c r="F16" s="34"/>
      <c r="G16" s="34"/>
    </row>
    <row r="17" ht="16.5" customHeight="1">
      <c r="A17" s="27" t="s">
        <v>18</v>
      </c>
      <c r="B17" s="28"/>
      <c r="C17" s="29"/>
      <c r="D17" s="28"/>
      <c r="E17" s="29"/>
      <c r="F17" s="34"/>
      <c r="G17" s="34"/>
    </row>
    <row r="18" ht="16.5" customHeight="1">
      <c r="A18" s="27" t="s">
        <v>19</v>
      </c>
      <c r="B18" s="28"/>
      <c r="C18" s="29"/>
      <c r="D18" s="28"/>
      <c r="E18" s="27"/>
      <c r="F18" s="34"/>
      <c r="G18" s="34"/>
    </row>
    <row r="19" ht="16.5" customHeight="1">
      <c r="A19" s="27" t="s">
        <v>20</v>
      </c>
      <c r="B19" s="28"/>
      <c r="C19" s="29"/>
      <c r="D19" s="28"/>
      <c r="E19" s="29"/>
      <c r="F19" s="34"/>
      <c r="G19" s="34"/>
    </row>
    <row r="20" ht="16.5" customHeight="1">
      <c r="A20" s="27" t="s">
        <v>21</v>
      </c>
      <c r="B20" s="28"/>
      <c r="C20" s="38"/>
      <c r="D20" s="28"/>
      <c r="E20" s="38"/>
      <c r="F20" s="34"/>
      <c r="G20" s="34"/>
    </row>
    <row r="21" ht="16.5" customHeight="1">
      <c r="A21" s="27" t="s">
        <v>22</v>
      </c>
      <c r="B21" s="28"/>
      <c r="C21" s="27"/>
      <c r="D21" s="28"/>
      <c r="E21" s="27"/>
      <c r="F21" s="34"/>
      <c r="G21" s="34"/>
    </row>
    <row r="22" ht="16.5" customHeight="1">
      <c r="A22" s="27" t="s">
        <v>23</v>
      </c>
      <c r="B22" s="28"/>
      <c r="C22" s="29"/>
      <c r="D22" s="28"/>
      <c r="E22" s="27"/>
      <c r="F22" s="34"/>
      <c r="G22" s="34"/>
    </row>
    <row r="23" ht="16.5" customHeight="1">
      <c r="A23" s="27" t="s">
        <v>24</v>
      </c>
      <c r="B23" s="28"/>
      <c r="C23" s="29"/>
      <c r="D23" s="28"/>
      <c r="E23" s="29"/>
      <c r="F23" s="34"/>
      <c r="G23" s="34"/>
    </row>
    <row r="24" ht="16.5" customHeight="1">
      <c r="A24" s="27" t="s">
        <v>25</v>
      </c>
      <c r="B24" s="28"/>
      <c r="C24" s="29"/>
      <c r="D24" s="28"/>
      <c r="E24" s="29"/>
      <c r="F24" s="34"/>
      <c r="G24" s="34"/>
    </row>
    <row r="25" ht="16.5" customHeight="1">
      <c r="A25" s="27" t="s">
        <v>26</v>
      </c>
      <c r="B25" s="28"/>
      <c r="C25" s="29"/>
      <c r="D25" s="28"/>
      <c r="E25" s="29"/>
      <c r="F25" s="34"/>
      <c r="G25" s="34"/>
    </row>
    <row r="26" ht="15.75" customHeight="1">
      <c r="A26" s="34"/>
      <c r="B26" s="34"/>
      <c r="C26" s="34"/>
      <c r="D26" s="34"/>
      <c r="E26" s="34"/>
      <c r="F26" s="34"/>
      <c r="G26" s="34"/>
    </row>
    <row r="27" ht="15.75" customHeight="1">
      <c r="A27" s="35" t="s">
        <v>0</v>
      </c>
      <c r="B27" s="25" t="s">
        <v>4</v>
      </c>
      <c r="C27" s="19"/>
      <c r="D27" s="25" t="s">
        <v>6</v>
      </c>
      <c r="E27" s="19"/>
      <c r="F27" s="34"/>
      <c r="G27" s="34"/>
    </row>
    <row r="28" ht="15.75" customHeight="1">
      <c r="A28" s="39"/>
      <c r="B28" s="26" t="s">
        <v>7</v>
      </c>
      <c r="C28" s="26" t="s">
        <v>10</v>
      </c>
      <c r="D28" s="26" t="s">
        <v>7</v>
      </c>
      <c r="E28" s="26" t="s">
        <v>10</v>
      </c>
      <c r="F28" s="34"/>
      <c r="G28" s="34"/>
    </row>
    <row r="29" ht="16.5" customHeight="1">
      <c r="A29" s="27" t="s">
        <v>11</v>
      </c>
      <c r="B29" s="26"/>
      <c r="C29" s="27"/>
      <c r="D29" s="28"/>
      <c r="E29" s="27"/>
      <c r="F29" s="34"/>
      <c r="G29" s="34"/>
    </row>
    <row r="30" ht="16.5" customHeight="1">
      <c r="A30" s="27" t="s">
        <v>18</v>
      </c>
      <c r="B30" s="26"/>
      <c r="C30" s="27"/>
      <c r="D30" s="28"/>
      <c r="E30" s="27"/>
      <c r="F30" s="34"/>
      <c r="G30" s="34"/>
    </row>
    <row r="31" ht="16.5" customHeight="1">
      <c r="A31" s="27" t="s">
        <v>19</v>
      </c>
      <c r="B31" s="26"/>
      <c r="C31" s="29"/>
      <c r="D31" s="28"/>
      <c r="E31" s="29"/>
      <c r="F31" s="34"/>
      <c r="G31" s="34"/>
    </row>
    <row r="32" ht="16.5" customHeight="1">
      <c r="A32" s="27" t="s">
        <v>20</v>
      </c>
      <c r="B32" s="26"/>
      <c r="C32" s="29"/>
      <c r="D32" s="28"/>
      <c r="E32" s="29"/>
      <c r="F32" s="34"/>
      <c r="G32" s="34"/>
    </row>
    <row r="33" ht="16.5" customHeight="1">
      <c r="A33" s="27" t="s">
        <v>21</v>
      </c>
      <c r="B33" s="28"/>
      <c r="C33" s="27"/>
      <c r="D33" s="28"/>
      <c r="E33" s="27"/>
      <c r="F33" s="34"/>
      <c r="G33" s="34"/>
    </row>
    <row r="34" ht="16.5" customHeight="1">
      <c r="A34" s="27" t="s">
        <v>22</v>
      </c>
      <c r="B34" s="26"/>
      <c r="C34" s="27"/>
      <c r="D34" s="28"/>
      <c r="E34" s="27"/>
      <c r="F34" s="34"/>
      <c r="G34" s="34"/>
    </row>
    <row r="35" ht="16.5" customHeight="1">
      <c r="A35" s="27" t="s">
        <v>23</v>
      </c>
      <c r="B35" s="26"/>
      <c r="C35" s="29"/>
      <c r="D35" s="26"/>
      <c r="E35" s="29"/>
      <c r="F35" s="34"/>
      <c r="G35" s="34"/>
    </row>
    <row r="36" ht="16.5" customHeight="1">
      <c r="A36" s="27" t="s">
        <v>24</v>
      </c>
      <c r="B36" s="26"/>
      <c r="C36" s="27"/>
      <c r="D36" s="28"/>
      <c r="E36" s="27"/>
      <c r="F36" s="34"/>
      <c r="G36" s="34"/>
    </row>
    <row r="37" ht="15.75" customHeight="1">
      <c r="A37" s="27" t="s">
        <v>25</v>
      </c>
      <c r="B37" s="26"/>
      <c r="C37" s="27"/>
      <c r="D37" s="26"/>
      <c r="E37" s="27"/>
      <c r="F37" s="34"/>
      <c r="G37" s="34"/>
    </row>
    <row r="38" ht="16.5" customHeight="1">
      <c r="A38" s="27" t="s">
        <v>26</v>
      </c>
      <c r="B38" s="28"/>
      <c r="C38" s="27"/>
      <c r="D38" s="26"/>
      <c r="E38" s="27"/>
      <c r="F38" s="34"/>
      <c r="G38" s="34"/>
    </row>
    <row r="39" ht="15.75" customHeight="1">
      <c r="A39" s="34"/>
      <c r="B39" s="34"/>
      <c r="C39" s="34"/>
      <c r="D39" s="34"/>
      <c r="E39" s="34"/>
      <c r="F39" s="34"/>
      <c r="G39" s="34"/>
    </row>
    <row r="40" ht="15.75" customHeight="1">
      <c r="A40" s="35" t="s">
        <v>12</v>
      </c>
      <c r="B40" s="25" t="s">
        <v>13</v>
      </c>
      <c r="C40" s="19"/>
      <c r="D40" s="25" t="s">
        <v>14</v>
      </c>
      <c r="E40" s="19"/>
      <c r="F40" s="34"/>
      <c r="G40" s="34"/>
    </row>
    <row r="41" ht="16.5" customHeight="1">
      <c r="A41" s="39"/>
      <c r="B41" s="26" t="s">
        <v>7</v>
      </c>
      <c r="C41" s="26" t="s">
        <v>10</v>
      </c>
      <c r="D41" s="26" t="s">
        <v>7</v>
      </c>
      <c r="E41" s="26" t="s">
        <v>10</v>
      </c>
      <c r="F41" s="34"/>
      <c r="G41" s="34"/>
      <c r="H41" s="40"/>
    </row>
    <row r="42" ht="16.5" customHeight="1">
      <c r="A42" s="27" t="s">
        <v>11</v>
      </c>
      <c r="B42" s="28"/>
      <c r="C42" s="29"/>
      <c r="D42" s="28"/>
      <c r="E42" s="29"/>
      <c r="F42" s="34"/>
      <c r="G42" s="34"/>
    </row>
    <row r="43" ht="16.5" customHeight="1">
      <c r="A43" s="27" t="s">
        <v>18</v>
      </c>
      <c r="B43" s="28"/>
      <c r="C43" s="29"/>
      <c r="D43" s="28"/>
      <c r="E43" s="27"/>
      <c r="F43" s="34"/>
      <c r="G43" s="34"/>
      <c r="H43" s="34"/>
    </row>
    <row r="44" ht="16.5" customHeight="1">
      <c r="A44" s="27" t="s">
        <v>19</v>
      </c>
      <c r="B44" s="28"/>
      <c r="C44" s="29"/>
      <c r="D44" s="28"/>
      <c r="E44" s="27"/>
      <c r="F44" s="34"/>
      <c r="G44" s="34"/>
      <c r="H44" s="34"/>
    </row>
    <row r="45" ht="16.5" customHeight="1">
      <c r="A45" s="27" t="s">
        <v>20</v>
      </c>
      <c r="B45" s="28"/>
      <c r="C45" s="29"/>
      <c r="D45" s="28"/>
      <c r="E45" s="29"/>
      <c r="F45" s="34"/>
      <c r="G45" s="34"/>
      <c r="H45" s="34"/>
    </row>
    <row r="46" ht="16.5" customHeight="1">
      <c r="A46" s="27" t="s">
        <v>21</v>
      </c>
      <c r="B46" s="28"/>
      <c r="C46" s="38"/>
      <c r="D46" s="28"/>
      <c r="E46" s="29"/>
      <c r="F46" s="34"/>
      <c r="G46" s="34"/>
      <c r="H46" s="34"/>
    </row>
    <row r="47" ht="16.5" customHeight="1">
      <c r="A47" s="27" t="s">
        <v>22</v>
      </c>
      <c r="B47" s="28"/>
      <c r="C47" s="29"/>
      <c r="D47" s="28"/>
      <c r="E47" s="38"/>
      <c r="F47" s="34"/>
      <c r="G47" s="34"/>
      <c r="H47" s="34"/>
    </row>
    <row r="48" ht="16.5" customHeight="1">
      <c r="A48" s="27" t="s">
        <v>23</v>
      </c>
      <c r="B48" s="28"/>
      <c r="C48" s="29"/>
      <c r="D48" s="28"/>
      <c r="E48" s="29"/>
      <c r="F48" s="34"/>
      <c r="G48" s="34"/>
      <c r="H48" s="34"/>
    </row>
    <row r="49" ht="16.5" customHeight="1">
      <c r="A49" s="27" t="s">
        <v>24</v>
      </c>
      <c r="B49" s="28"/>
      <c r="C49" s="29"/>
      <c r="D49" s="28"/>
      <c r="E49" s="29"/>
      <c r="F49" s="34"/>
      <c r="G49" s="34"/>
      <c r="H49" s="34"/>
    </row>
    <row r="50" ht="16.5" customHeight="1">
      <c r="A50" s="27" t="s">
        <v>25</v>
      </c>
      <c r="B50" s="28"/>
      <c r="C50" s="29"/>
      <c r="D50" s="28"/>
      <c r="E50" s="29"/>
      <c r="F50" s="34"/>
      <c r="G50" s="34"/>
      <c r="H50" s="41"/>
      <c r="I50" s="41"/>
    </row>
    <row r="51" ht="16.5" customHeight="1">
      <c r="A51" s="27" t="s">
        <v>26</v>
      </c>
      <c r="B51" s="28"/>
      <c r="C51" s="29"/>
      <c r="D51" s="28"/>
      <c r="E51" s="29"/>
      <c r="F51" s="34"/>
      <c r="G51" s="42"/>
      <c r="H51" s="40"/>
    </row>
    <row r="52" ht="15.75" customHeight="1">
      <c r="A52" s="34"/>
      <c r="B52" s="34"/>
      <c r="C52" s="34"/>
      <c r="D52" s="34"/>
      <c r="E52" s="34"/>
      <c r="F52" s="34"/>
      <c r="G52" s="34"/>
    </row>
    <row r="53" ht="15.75" customHeight="1">
      <c r="A53" s="35" t="s">
        <v>27</v>
      </c>
      <c r="B53" s="25" t="s">
        <v>28</v>
      </c>
      <c r="C53" s="19"/>
      <c r="D53" s="25" t="s">
        <v>30</v>
      </c>
      <c r="E53" s="19"/>
      <c r="F53" s="34"/>
      <c r="G53" s="34"/>
      <c r="H53" s="34"/>
    </row>
    <row r="54" ht="15.75" customHeight="1">
      <c r="A54" s="39"/>
      <c r="B54" s="26" t="s">
        <v>7</v>
      </c>
      <c r="C54" s="26" t="s">
        <v>10</v>
      </c>
      <c r="D54" s="26" t="s">
        <v>7</v>
      </c>
      <c r="E54" s="26" t="s">
        <v>10</v>
      </c>
      <c r="F54" s="34"/>
      <c r="G54" s="42"/>
      <c r="H54" s="34"/>
    </row>
    <row r="55" ht="16.5" customHeight="1">
      <c r="A55" s="27" t="s">
        <v>11</v>
      </c>
      <c r="B55" s="26"/>
      <c r="C55" s="27"/>
      <c r="D55" s="28"/>
      <c r="E55" s="27"/>
      <c r="F55" s="34"/>
      <c r="G55" s="42"/>
      <c r="H55" s="34"/>
    </row>
    <row r="56" ht="15.75" customHeight="1">
      <c r="A56" s="27" t="s">
        <v>18</v>
      </c>
      <c r="B56" s="26"/>
      <c r="C56" s="32"/>
      <c r="D56" s="26"/>
      <c r="E56" s="27"/>
      <c r="F56" s="34"/>
      <c r="G56" s="42"/>
      <c r="H56" s="34"/>
    </row>
    <row r="57" ht="16.5" customHeight="1">
      <c r="A57" s="27" t="s">
        <v>19</v>
      </c>
      <c r="B57" s="26"/>
      <c r="C57" s="29"/>
      <c r="D57" s="26"/>
      <c r="E57" s="27"/>
      <c r="F57" s="34"/>
      <c r="G57" s="42"/>
      <c r="H57" s="34"/>
    </row>
    <row r="58" ht="16.5" customHeight="1">
      <c r="A58" s="27" t="s">
        <v>20</v>
      </c>
      <c r="B58" s="28"/>
      <c r="C58" s="29"/>
      <c r="D58" s="26"/>
      <c r="E58" s="29"/>
      <c r="F58" s="34"/>
      <c r="G58" s="42"/>
      <c r="H58" s="34"/>
    </row>
    <row r="59" ht="16.5" customHeight="1">
      <c r="A59" s="27" t="s">
        <v>21</v>
      </c>
      <c r="B59" s="26"/>
      <c r="C59" s="27"/>
      <c r="D59" s="28"/>
      <c r="E59" s="27"/>
      <c r="F59" s="34"/>
      <c r="G59" s="42"/>
      <c r="H59" s="34"/>
    </row>
    <row r="60" ht="16.5" customHeight="1">
      <c r="A60" s="27" t="s">
        <v>22</v>
      </c>
      <c r="B60" s="26"/>
      <c r="C60" s="27"/>
      <c r="D60" s="28"/>
      <c r="E60" s="27"/>
      <c r="F60" s="34"/>
      <c r="G60" s="42"/>
      <c r="H60" s="41"/>
      <c r="I60" s="41"/>
    </row>
    <row r="61" ht="16.5" customHeight="1">
      <c r="A61" s="27" t="s">
        <v>23</v>
      </c>
      <c r="B61" s="26"/>
      <c r="C61" s="29"/>
      <c r="D61" s="26"/>
      <c r="E61" s="27"/>
      <c r="F61" s="34"/>
      <c r="G61" s="42"/>
      <c r="H61" s="40"/>
    </row>
    <row r="62" ht="15.75" customHeight="1">
      <c r="A62" s="27" t="s">
        <v>24</v>
      </c>
      <c r="B62" s="26"/>
      <c r="C62" s="27"/>
      <c r="D62" s="26"/>
      <c r="E62" s="27"/>
      <c r="F62" s="34"/>
      <c r="G62" s="42"/>
    </row>
    <row r="63" ht="16.5" customHeight="1">
      <c r="A63" s="27" t="s">
        <v>25</v>
      </c>
      <c r="B63" s="28"/>
      <c r="C63" s="27"/>
      <c r="D63" s="26"/>
      <c r="E63" s="27"/>
      <c r="F63" s="34"/>
      <c r="G63" s="34"/>
      <c r="H63" s="34"/>
    </row>
    <row r="64" ht="15.75" customHeight="1">
      <c r="A64" s="27" t="s">
        <v>26</v>
      </c>
      <c r="B64" s="26"/>
      <c r="C64" s="27"/>
      <c r="D64" s="26"/>
      <c r="E64" s="27"/>
      <c r="F64" s="34"/>
      <c r="G64" s="34"/>
      <c r="H64" s="34"/>
    </row>
    <row r="65" ht="15.75" customHeight="1">
      <c r="A65" s="34"/>
      <c r="B65" s="34"/>
      <c r="C65" s="34"/>
      <c r="D65" s="34"/>
      <c r="E65" s="34"/>
      <c r="F65" s="34"/>
      <c r="G65" s="42"/>
      <c r="H65" s="34"/>
    </row>
    <row r="66" ht="15.75" customHeight="1">
      <c r="A66" s="35" t="s">
        <v>27</v>
      </c>
      <c r="B66" s="25" t="s">
        <v>29</v>
      </c>
      <c r="C66" s="19"/>
      <c r="D66" s="25" t="s">
        <v>31</v>
      </c>
      <c r="E66" s="19"/>
      <c r="F66" s="43" t="s">
        <v>32</v>
      </c>
      <c r="G66" s="19"/>
      <c r="H66" s="34"/>
    </row>
    <row r="67" ht="15.75" customHeight="1">
      <c r="A67" s="39"/>
      <c r="B67" s="26" t="s">
        <v>7</v>
      </c>
      <c r="C67" s="26" t="s">
        <v>10</v>
      </c>
      <c r="D67" s="26" t="s">
        <v>7</v>
      </c>
      <c r="E67" s="26" t="s">
        <v>10</v>
      </c>
      <c r="F67" s="44" t="s">
        <v>7</v>
      </c>
      <c r="G67" s="44" t="s">
        <v>10</v>
      </c>
      <c r="H67" s="34"/>
    </row>
    <row r="68" ht="15.75" customHeight="1">
      <c r="A68" s="27" t="s">
        <v>11</v>
      </c>
      <c r="B68" s="26"/>
      <c r="C68" s="27"/>
      <c r="D68" s="26"/>
      <c r="E68" s="27"/>
      <c r="F68" s="44"/>
      <c r="G68" s="33"/>
      <c r="H68" s="34"/>
    </row>
    <row r="69" ht="16.5" customHeight="1">
      <c r="A69" s="27" t="s">
        <v>18</v>
      </c>
      <c r="B69" s="26"/>
      <c r="C69" s="27"/>
      <c r="D69" s="28"/>
      <c r="E69" s="32"/>
      <c r="F69" s="44"/>
      <c r="G69" s="33"/>
      <c r="H69" s="34"/>
    </row>
    <row r="70" ht="16.5" customHeight="1">
      <c r="A70" s="27" t="s">
        <v>19</v>
      </c>
      <c r="B70" s="28"/>
      <c r="C70" s="29"/>
      <c r="D70" s="28"/>
      <c r="E70" s="27"/>
      <c r="F70" s="44"/>
      <c r="G70" s="33"/>
    </row>
    <row r="71" ht="16.5" customHeight="1">
      <c r="A71" s="27" t="s">
        <v>20</v>
      </c>
      <c r="B71" s="26"/>
      <c r="C71" s="29"/>
      <c r="D71" s="26"/>
      <c r="E71" s="29"/>
      <c r="F71" s="44"/>
      <c r="G71" s="31"/>
    </row>
    <row r="72" ht="16.5" customHeight="1">
      <c r="A72" s="27" t="s">
        <v>21</v>
      </c>
      <c r="B72" s="28"/>
      <c r="C72" s="27"/>
      <c r="D72" s="28"/>
      <c r="E72" s="27"/>
      <c r="F72" s="44"/>
      <c r="G72" s="27"/>
    </row>
    <row r="73" ht="15.75" customHeight="1">
      <c r="A73" s="27" t="s">
        <v>22</v>
      </c>
      <c r="B73" s="26"/>
      <c r="C73" s="27"/>
      <c r="D73" s="26"/>
      <c r="E73" s="27"/>
      <c r="F73" s="26"/>
      <c r="G73" s="27"/>
    </row>
    <row r="74" ht="16.5" customHeight="1">
      <c r="A74" s="27" t="s">
        <v>23</v>
      </c>
      <c r="B74" s="28"/>
      <c r="C74" s="29"/>
      <c r="D74" s="26"/>
      <c r="E74" s="29"/>
      <c r="F74" s="26"/>
      <c r="G74" s="29"/>
    </row>
    <row r="75" ht="16.5" customHeight="1">
      <c r="A75" s="27" t="s">
        <v>24</v>
      </c>
      <c r="B75" s="28"/>
      <c r="C75" s="27"/>
      <c r="D75" s="28"/>
      <c r="E75" s="27"/>
      <c r="F75" s="44"/>
      <c r="G75" s="31"/>
    </row>
    <row r="76" ht="16.5" customHeight="1">
      <c r="A76" s="27" t="s">
        <v>25</v>
      </c>
      <c r="B76" s="28"/>
      <c r="C76" s="27"/>
      <c r="D76" s="28"/>
      <c r="E76" s="27"/>
      <c r="F76" s="28"/>
      <c r="G76" s="31"/>
    </row>
    <row r="77" ht="16.5" customHeight="1">
      <c r="A77" s="27" t="s">
        <v>26</v>
      </c>
      <c r="B77" s="28"/>
      <c r="C77" s="27"/>
      <c r="D77" s="28"/>
      <c r="E77" s="27"/>
      <c r="F77" s="28"/>
      <c r="G77" s="33"/>
    </row>
    <row r="78" ht="15.75" customHeight="1">
      <c r="A78" s="34"/>
      <c r="B78" s="34"/>
      <c r="C78" s="34"/>
      <c r="D78" s="34"/>
      <c r="E78" s="34"/>
      <c r="F78" s="42"/>
      <c r="G78" s="42"/>
    </row>
    <row r="79" ht="15.75" customHeight="1">
      <c r="A79" s="24" t="s">
        <v>33</v>
      </c>
      <c r="B79" s="25" t="s">
        <v>46</v>
      </c>
      <c r="C79" s="19"/>
      <c r="D79" s="25" t="s">
        <v>35</v>
      </c>
      <c r="E79" s="19"/>
      <c r="F79" s="43" t="s">
        <v>36</v>
      </c>
      <c r="G79" s="19"/>
    </row>
    <row r="80" ht="15.75" customHeight="1">
      <c r="A80" s="20"/>
      <c r="B80" s="26" t="s">
        <v>7</v>
      </c>
      <c r="C80" s="26" t="s">
        <v>10</v>
      </c>
      <c r="D80" s="26" t="s">
        <v>7</v>
      </c>
      <c r="E80" s="26" t="s">
        <v>10</v>
      </c>
      <c r="F80" s="44" t="s">
        <v>7</v>
      </c>
      <c r="G80" s="44" t="s">
        <v>10</v>
      </c>
    </row>
    <row r="81" ht="15.75" customHeight="1">
      <c r="A81" s="27" t="s">
        <v>11</v>
      </c>
      <c r="B81" s="26"/>
      <c r="C81" s="27"/>
      <c r="D81" s="26"/>
      <c r="E81" s="27"/>
      <c r="F81" s="44"/>
      <c r="G81" s="33"/>
    </row>
    <row r="82" ht="16.5" customHeight="1">
      <c r="A82" s="27" t="s">
        <v>18</v>
      </c>
      <c r="B82" s="26"/>
      <c r="C82" s="29"/>
      <c r="D82" s="26"/>
      <c r="E82" s="32"/>
      <c r="F82" s="28"/>
      <c r="G82" s="27"/>
    </row>
    <row r="83" ht="16.5" customHeight="1">
      <c r="A83" s="27" t="s">
        <v>19</v>
      </c>
      <c r="B83" s="28"/>
      <c r="C83" s="27"/>
      <c r="D83" s="28"/>
      <c r="E83" s="29"/>
      <c r="F83" s="44"/>
      <c r="G83" s="27"/>
    </row>
    <row r="84" ht="16.5" customHeight="1">
      <c r="A84" s="27" t="s">
        <v>20</v>
      </c>
      <c r="B84" s="26"/>
      <c r="C84" s="29"/>
      <c r="D84" s="26"/>
      <c r="E84" s="29"/>
      <c r="F84" s="26"/>
      <c r="G84" s="29"/>
    </row>
    <row r="85" ht="16.5" customHeight="1">
      <c r="A85" s="27" t="s">
        <v>21</v>
      </c>
      <c r="B85" s="28"/>
      <c r="C85" s="27"/>
      <c r="D85" s="28"/>
      <c r="E85" s="27"/>
      <c r="F85" s="44"/>
      <c r="G85" s="27"/>
    </row>
    <row r="86" ht="16.5" customHeight="1">
      <c r="A86" s="27" t="s">
        <v>22</v>
      </c>
      <c r="B86" s="26"/>
      <c r="C86" s="27"/>
      <c r="D86" s="28"/>
      <c r="E86" s="27"/>
      <c r="F86" s="26"/>
      <c r="G86" s="27"/>
    </row>
    <row r="87" ht="16.5" customHeight="1">
      <c r="A87" s="27" t="s">
        <v>23</v>
      </c>
      <c r="B87" s="26"/>
      <c r="C87" s="29"/>
      <c r="D87" s="26"/>
      <c r="E87" s="29"/>
      <c r="F87" s="26"/>
      <c r="G87" s="29"/>
    </row>
    <row r="88" ht="16.5" customHeight="1">
      <c r="A88" s="27" t="s">
        <v>24</v>
      </c>
      <c r="B88" s="28"/>
      <c r="C88" s="27"/>
      <c r="D88" s="26"/>
      <c r="E88" s="27"/>
      <c r="F88" s="26"/>
      <c r="G88" s="27"/>
    </row>
    <row r="89" ht="15.75" customHeight="1">
      <c r="A89" s="27" t="s">
        <v>25</v>
      </c>
      <c r="B89" s="26"/>
      <c r="C89" s="27"/>
      <c r="D89" s="26"/>
      <c r="E89" s="27"/>
      <c r="F89" s="26"/>
      <c r="G89" s="27"/>
    </row>
    <row r="90" ht="16.5" customHeight="1">
      <c r="A90" s="27" t="s">
        <v>26</v>
      </c>
      <c r="B90" s="28"/>
      <c r="C90" s="27"/>
      <c r="D90" s="28"/>
      <c r="E90" s="27"/>
      <c r="F90" s="26"/>
      <c r="G90" s="27"/>
    </row>
    <row r="91" ht="15.75" customHeight="1">
      <c r="A91" s="34"/>
      <c r="B91" s="34"/>
      <c r="C91" s="34"/>
      <c r="D91" s="34"/>
      <c r="E91" s="34"/>
      <c r="F91" s="34"/>
      <c r="G91" s="34"/>
    </row>
    <row r="92" ht="15.75" customHeight="1">
      <c r="A92" s="24" t="s">
        <v>33</v>
      </c>
      <c r="B92" s="25" t="s">
        <v>37</v>
      </c>
      <c r="C92" s="19"/>
      <c r="D92" s="25" t="s">
        <v>47</v>
      </c>
      <c r="E92" s="19"/>
      <c r="F92" s="45"/>
    </row>
    <row r="93" ht="15.75" customHeight="1">
      <c r="A93" s="20"/>
      <c r="B93" s="26" t="s">
        <v>7</v>
      </c>
      <c r="C93" s="26" t="s">
        <v>10</v>
      </c>
      <c r="D93" s="26" t="s">
        <v>7</v>
      </c>
      <c r="E93" s="26" t="s">
        <v>10</v>
      </c>
      <c r="F93" s="34"/>
      <c r="G93" s="34"/>
    </row>
    <row r="94" ht="16.5" customHeight="1">
      <c r="A94" s="27" t="s">
        <v>11</v>
      </c>
      <c r="B94" s="26"/>
      <c r="C94" s="27"/>
      <c r="D94" s="28"/>
      <c r="E94" s="27"/>
      <c r="F94" s="34"/>
      <c r="G94" s="34"/>
    </row>
    <row r="95" ht="16.5" customHeight="1">
      <c r="A95" s="27" t="s">
        <v>18</v>
      </c>
      <c r="B95" s="28"/>
      <c r="C95" s="27"/>
      <c r="D95" s="44"/>
      <c r="E95" s="27"/>
      <c r="F95" s="34"/>
      <c r="G95" s="34"/>
    </row>
    <row r="96" ht="16.5" customHeight="1">
      <c r="A96" s="27" t="s">
        <v>19</v>
      </c>
      <c r="B96" s="28"/>
      <c r="C96" s="27"/>
      <c r="D96" s="44"/>
      <c r="E96" s="29"/>
      <c r="F96" s="34"/>
      <c r="G96" s="34"/>
    </row>
    <row r="97" ht="16.5" customHeight="1">
      <c r="A97" s="27" t="s">
        <v>20</v>
      </c>
      <c r="B97" s="26"/>
      <c r="C97" s="29"/>
      <c r="D97" s="26"/>
      <c r="E97" s="29"/>
      <c r="F97" s="34"/>
      <c r="G97" s="34"/>
    </row>
    <row r="98" ht="16.5" customHeight="1">
      <c r="A98" s="27" t="s">
        <v>21</v>
      </c>
      <c r="B98" s="26"/>
      <c r="C98" s="27"/>
      <c r="D98" s="28"/>
      <c r="E98" s="27"/>
      <c r="F98" s="34"/>
      <c r="G98" s="34"/>
    </row>
    <row r="99" ht="15.75" customHeight="1">
      <c r="A99" s="27" t="s">
        <v>22</v>
      </c>
      <c r="B99" s="26"/>
      <c r="C99" s="27"/>
      <c r="D99" s="26"/>
      <c r="E99" s="27"/>
      <c r="F99" s="34"/>
      <c r="G99" s="34"/>
    </row>
    <row r="100" ht="16.5" customHeight="1">
      <c r="A100" s="27" t="s">
        <v>23</v>
      </c>
      <c r="B100" s="26"/>
      <c r="C100" s="29"/>
      <c r="D100" s="26"/>
      <c r="E100" s="27"/>
      <c r="F100" s="34"/>
      <c r="G100" s="34"/>
    </row>
    <row r="101" ht="16.5" customHeight="1">
      <c r="A101" s="27" t="s">
        <v>24</v>
      </c>
      <c r="B101" s="26"/>
      <c r="C101" s="27"/>
      <c r="D101" s="28"/>
      <c r="E101" s="27"/>
      <c r="F101" s="34"/>
      <c r="G101" s="34"/>
    </row>
    <row r="102" ht="15.75" customHeight="1">
      <c r="A102" s="27" t="s">
        <v>25</v>
      </c>
      <c r="B102" s="26"/>
      <c r="C102" s="27"/>
      <c r="D102" s="26"/>
      <c r="E102" s="27"/>
      <c r="F102" s="34"/>
      <c r="G102" s="34"/>
    </row>
    <row r="103" ht="16.5" customHeight="1">
      <c r="A103" s="27" t="s">
        <v>26</v>
      </c>
      <c r="B103" s="26"/>
      <c r="C103" s="27"/>
      <c r="D103" s="28"/>
      <c r="E103" s="27"/>
      <c r="F103" s="34"/>
      <c r="G103" s="34"/>
    </row>
    <row r="104" ht="15.75" customHeight="1">
      <c r="A104" s="34"/>
      <c r="B104" s="34"/>
      <c r="C104" s="34"/>
      <c r="D104" s="34"/>
      <c r="E104" s="34"/>
      <c r="F104" s="34"/>
      <c r="G104" s="34"/>
    </row>
    <row r="105" ht="15.75" customHeight="1">
      <c r="A105" s="24" t="s">
        <v>40</v>
      </c>
      <c r="B105" s="25" t="s">
        <v>41</v>
      </c>
      <c r="C105" s="19"/>
      <c r="D105" s="25" t="s">
        <v>42</v>
      </c>
      <c r="E105" s="19"/>
      <c r="F105" s="25" t="s">
        <v>43</v>
      </c>
      <c r="G105" s="19"/>
    </row>
    <row r="106" ht="15.75" customHeight="1">
      <c r="A106" s="20"/>
      <c r="B106" s="26" t="s">
        <v>7</v>
      </c>
      <c r="C106" s="26" t="s">
        <v>10</v>
      </c>
      <c r="D106" s="26" t="s">
        <v>7</v>
      </c>
      <c r="E106" s="26" t="s">
        <v>10</v>
      </c>
      <c r="F106" s="26" t="s">
        <v>7</v>
      </c>
      <c r="G106" s="26" t="s">
        <v>10</v>
      </c>
    </row>
    <row r="107" ht="16.5" customHeight="1">
      <c r="A107" s="27" t="s">
        <v>11</v>
      </c>
      <c r="B107" s="28"/>
      <c r="C107" s="29"/>
      <c r="D107" s="44"/>
      <c r="E107" s="29"/>
      <c r="F107" s="28"/>
      <c r="G107" s="27"/>
    </row>
    <row r="108" ht="15.75" customHeight="1">
      <c r="A108" s="27" t="s">
        <v>18</v>
      </c>
      <c r="B108" s="44"/>
      <c r="C108" s="27"/>
      <c r="D108" s="44"/>
      <c r="E108" s="27"/>
      <c r="F108" s="26"/>
      <c r="G108" s="27"/>
    </row>
    <row r="109" ht="15.75" customHeight="1">
      <c r="A109" s="27" t="s">
        <v>19</v>
      </c>
      <c r="B109" s="44"/>
      <c r="C109" s="27"/>
      <c r="D109" s="44"/>
      <c r="E109" s="27"/>
      <c r="F109" s="26"/>
      <c r="G109" s="27"/>
    </row>
    <row r="110" ht="16.5" customHeight="1">
      <c r="A110" s="27" t="s">
        <v>20</v>
      </c>
      <c r="B110" s="28"/>
      <c r="C110" s="27"/>
      <c r="D110" s="26"/>
      <c r="E110" s="29"/>
      <c r="F110" s="26"/>
      <c r="G110" s="29"/>
    </row>
    <row r="111" ht="16.5" customHeight="1">
      <c r="A111" s="27" t="s">
        <v>21</v>
      </c>
      <c r="B111" s="44"/>
      <c r="C111" s="29"/>
      <c r="D111" s="28"/>
      <c r="E111" s="29"/>
      <c r="F111" s="26"/>
      <c r="G111" s="29"/>
    </row>
    <row r="112" ht="16.5" customHeight="1">
      <c r="A112" s="27" t="s">
        <v>22</v>
      </c>
      <c r="B112" s="26"/>
      <c r="C112" s="27"/>
      <c r="D112" s="28"/>
      <c r="E112" s="29"/>
      <c r="F112" s="28"/>
      <c r="G112" s="29"/>
    </row>
    <row r="113" ht="16.5" customHeight="1">
      <c r="A113" s="27" t="s">
        <v>23</v>
      </c>
      <c r="B113" s="28"/>
      <c r="C113" s="29"/>
      <c r="D113" s="26"/>
      <c r="E113" s="29"/>
      <c r="F113" s="26"/>
      <c r="G113" s="27"/>
    </row>
    <row r="114" ht="16.5" customHeight="1">
      <c r="A114" s="27" t="s">
        <v>24</v>
      </c>
      <c r="B114" s="26"/>
      <c r="C114" s="29"/>
      <c r="D114" s="28"/>
      <c r="E114" s="27"/>
      <c r="F114" s="26"/>
      <c r="G114" s="29"/>
    </row>
    <row r="115" ht="16.5" customHeight="1">
      <c r="A115" s="27" t="s">
        <v>25</v>
      </c>
      <c r="B115" s="28"/>
      <c r="C115" s="29"/>
      <c r="D115" s="28"/>
      <c r="E115" s="27"/>
      <c r="F115" s="26"/>
      <c r="G115" s="27"/>
    </row>
    <row r="116" ht="16.5" customHeight="1">
      <c r="A116" s="27" t="s">
        <v>26</v>
      </c>
      <c r="B116" s="26"/>
      <c r="C116" s="29"/>
      <c r="D116" s="28"/>
      <c r="E116" s="27"/>
      <c r="F116" s="28"/>
      <c r="G116" s="27"/>
    </row>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A2"/>
    <mergeCell ref="B1:C1"/>
    <mergeCell ref="D1:E1"/>
    <mergeCell ref="F1:G1"/>
    <mergeCell ref="B14:C14"/>
    <mergeCell ref="D14:E14"/>
    <mergeCell ref="D27:E27"/>
    <mergeCell ref="B27:C27"/>
    <mergeCell ref="B40:C40"/>
    <mergeCell ref="D40:E40"/>
    <mergeCell ref="H41:I41"/>
    <mergeCell ref="H51:I51"/>
    <mergeCell ref="D53:E53"/>
    <mergeCell ref="H61:I61"/>
    <mergeCell ref="B53:C53"/>
    <mergeCell ref="B66:C66"/>
    <mergeCell ref="D66:E66"/>
    <mergeCell ref="F66:G66"/>
    <mergeCell ref="B79:C79"/>
    <mergeCell ref="D79:E79"/>
    <mergeCell ref="F79:G79"/>
    <mergeCell ref="D105:E105"/>
    <mergeCell ref="F105:G105"/>
    <mergeCell ref="A79:A80"/>
    <mergeCell ref="A92:A93"/>
    <mergeCell ref="B92:C92"/>
    <mergeCell ref="D92:E92"/>
    <mergeCell ref="F92:G92"/>
    <mergeCell ref="A105:A106"/>
    <mergeCell ref="B105:C105"/>
  </mergeCells>
  <dataValidations>
    <dataValidation type="list" allowBlank="1" showErrorMessage="1" sqref="H43:H50 H53:H60 H63:H69">
      <formula1>"++,+,N,-,--"</formula1>
    </dataValidation>
    <dataValidation type="list" allowBlank="1" showErrorMessage="1" sqref="F3:F6 F8:F9 F66:F72 F75 F78:F81 F83 F85 D95:D96 B108:B109 D107:D109 B111">
      <formula1>"'++,'+,'0,'-,'--"</formula1>
    </dataValidation>
  </dataValidation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137.14"/>
    <col customWidth="1" min="4" max="4" width="9.86"/>
    <col customWidth="1" min="5" max="5" width="176.57"/>
    <col customWidth="1" min="6" max="6" width="16.0"/>
    <col customWidth="1" min="7" max="7" width="124.0"/>
    <col customWidth="1" min="8" max="8" width="8.86"/>
    <col customWidth="1" min="9" max="9" width="64.14"/>
  </cols>
  <sheetData>
    <row r="1" ht="16.5" customHeight="1">
      <c r="A1" s="24" t="s">
        <v>44</v>
      </c>
      <c r="B1" s="46" t="s">
        <v>2</v>
      </c>
      <c r="C1" s="19"/>
      <c r="D1" s="46" t="s">
        <v>8</v>
      </c>
      <c r="E1" s="19"/>
      <c r="F1" s="46" t="s">
        <v>9</v>
      </c>
      <c r="G1" s="19"/>
    </row>
    <row r="2" ht="16.5" customHeight="1">
      <c r="A2" s="20"/>
      <c r="B2" s="26" t="s">
        <v>7</v>
      </c>
      <c r="C2" s="26" t="s">
        <v>10</v>
      </c>
      <c r="D2" s="26" t="s">
        <v>7</v>
      </c>
      <c r="E2" s="26" t="s">
        <v>10</v>
      </c>
      <c r="F2" s="26" t="s">
        <v>7</v>
      </c>
      <c r="G2" s="26" t="s">
        <v>10</v>
      </c>
    </row>
    <row r="3">
      <c r="A3" s="47" t="s">
        <v>11</v>
      </c>
      <c r="B3" s="48" t="s">
        <v>48</v>
      </c>
      <c r="C3" s="49" t="s">
        <v>50</v>
      </c>
      <c r="D3" s="48" t="s">
        <v>51</v>
      </c>
      <c r="E3" s="50" t="s">
        <v>53</v>
      </c>
      <c r="F3" s="51" t="s">
        <v>55</v>
      </c>
      <c r="G3" s="50" t="s">
        <v>57</v>
      </c>
    </row>
    <row r="4">
      <c r="A4" s="47" t="s">
        <v>18</v>
      </c>
      <c r="B4" s="51" t="s">
        <v>54</v>
      </c>
      <c r="C4" s="52" t="s">
        <v>59</v>
      </c>
      <c r="D4" s="51" t="s">
        <v>54</v>
      </c>
      <c r="E4" s="50" t="s">
        <v>61</v>
      </c>
      <c r="F4" s="48" t="s">
        <v>48</v>
      </c>
      <c r="G4" s="50" t="s">
        <v>63</v>
      </c>
    </row>
    <row r="5">
      <c r="A5" s="47" t="s">
        <v>19</v>
      </c>
      <c r="B5" s="51" t="s">
        <v>54</v>
      </c>
      <c r="C5" s="49" t="s">
        <v>65</v>
      </c>
      <c r="D5" s="51" t="s">
        <v>55</v>
      </c>
      <c r="E5" s="53" t="s">
        <v>68</v>
      </c>
      <c r="F5" s="48" t="s">
        <v>48</v>
      </c>
      <c r="G5" s="50" t="s">
        <v>69</v>
      </c>
    </row>
    <row r="6">
      <c r="A6" s="47" t="s">
        <v>20</v>
      </c>
      <c r="B6" s="51" t="s">
        <v>54</v>
      </c>
      <c r="C6" s="52" t="s">
        <v>71</v>
      </c>
      <c r="D6" s="48" t="s">
        <v>51</v>
      </c>
      <c r="E6" s="50" t="s">
        <v>74</v>
      </c>
      <c r="F6" s="51" t="s">
        <v>54</v>
      </c>
      <c r="G6" s="50" t="s">
        <v>76</v>
      </c>
    </row>
    <row r="7">
      <c r="A7" s="47" t="s">
        <v>21</v>
      </c>
      <c r="B7" s="51" t="s">
        <v>54</v>
      </c>
      <c r="C7" s="52" t="s">
        <v>78</v>
      </c>
      <c r="D7" s="51" t="s">
        <v>55</v>
      </c>
      <c r="E7" s="50" t="s">
        <v>80</v>
      </c>
      <c r="F7" s="48" t="s">
        <v>48</v>
      </c>
      <c r="G7" s="50" t="s">
        <v>83</v>
      </c>
    </row>
    <row r="8">
      <c r="A8" s="47" t="s">
        <v>22</v>
      </c>
      <c r="B8" s="48" t="s">
        <v>51</v>
      </c>
      <c r="C8" s="52" t="s">
        <v>86</v>
      </c>
      <c r="D8" s="51" t="s">
        <v>54</v>
      </c>
      <c r="E8" s="50" t="s">
        <v>88</v>
      </c>
      <c r="F8" s="51" t="s">
        <v>54</v>
      </c>
      <c r="G8" s="50" t="s">
        <v>89</v>
      </c>
    </row>
    <row r="9">
      <c r="A9" s="47" t="s">
        <v>23</v>
      </c>
      <c r="B9" s="48" t="s">
        <v>51</v>
      </c>
      <c r="C9" s="49" t="s">
        <v>92</v>
      </c>
      <c r="D9" s="48" t="s">
        <v>51</v>
      </c>
      <c r="E9" s="50" t="s">
        <v>94</v>
      </c>
      <c r="F9" s="51" t="s">
        <v>55</v>
      </c>
      <c r="G9" s="50" t="s">
        <v>96</v>
      </c>
    </row>
    <row r="10" ht="16.5" customHeight="1">
      <c r="A10" s="47" t="s">
        <v>24</v>
      </c>
      <c r="B10" s="51" t="s">
        <v>54</v>
      </c>
      <c r="C10" s="52" t="s">
        <v>98</v>
      </c>
      <c r="D10" s="48" t="s">
        <v>51</v>
      </c>
      <c r="E10" s="50" t="s">
        <v>100</v>
      </c>
      <c r="F10" s="48" t="s">
        <v>51</v>
      </c>
      <c r="G10" s="50" t="s">
        <v>102</v>
      </c>
    </row>
    <row r="11" ht="16.5" customHeight="1">
      <c r="A11" s="47" t="s">
        <v>25</v>
      </c>
      <c r="B11" s="51" t="s">
        <v>55</v>
      </c>
      <c r="C11" s="52" t="s">
        <v>105</v>
      </c>
      <c r="D11" s="51" t="s">
        <v>55</v>
      </c>
      <c r="E11" s="50" t="s">
        <v>107</v>
      </c>
      <c r="F11" s="48" t="s">
        <v>48</v>
      </c>
      <c r="G11" s="50" t="s">
        <v>109</v>
      </c>
    </row>
    <row r="12" ht="16.5" customHeight="1">
      <c r="A12" s="47" t="s">
        <v>26</v>
      </c>
      <c r="B12" s="48" t="s">
        <v>81</v>
      </c>
      <c r="C12" s="52" t="s">
        <v>110</v>
      </c>
      <c r="D12" s="48" t="s">
        <v>48</v>
      </c>
      <c r="E12" s="50" t="s">
        <v>111</v>
      </c>
      <c r="F12" s="48" t="s">
        <v>51</v>
      </c>
      <c r="G12" s="50" t="s">
        <v>112</v>
      </c>
    </row>
    <row r="13" ht="16.5" customHeight="1">
      <c r="A13" s="54"/>
      <c r="B13" s="55"/>
      <c r="C13" s="55"/>
      <c r="D13" s="55"/>
      <c r="E13" s="55"/>
      <c r="F13" s="55"/>
      <c r="G13" s="54"/>
    </row>
    <row r="14" ht="16.5" customHeight="1">
      <c r="A14" s="56" t="s">
        <v>1</v>
      </c>
      <c r="B14" s="57" t="s">
        <v>45</v>
      </c>
      <c r="C14" s="19"/>
      <c r="D14" s="57" t="s">
        <v>5</v>
      </c>
      <c r="E14" s="19"/>
      <c r="F14" s="54"/>
      <c r="G14" s="54"/>
    </row>
    <row r="15" ht="16.5" customHeight="1">
      <c r="A15" s="58"/>
      <c r="B15" s="60" t="s">
        <v>7</v>
      </c>
      <c r="C15" s="62" t="s">
        <v>10</v>
      </c>
      <c r="D15" s="60" t="s">
        <v>7</v>
      </c>
      <c r="E15" s="62" t="s">
        <v>10</v>
      </c>
      <c r="F15" s="54"/>
      <c r="G15" s="54"/>
    </row>
    <row r="16" ht="16.5" customHeight="1">
      <c r="A16" s="47" t="s">
        <v>11</v>
      </c>
      <c r="B16" s="48" t="s">
        <v>48</v>
      </c>
      <c r="C16" s="50" t="s">
        <v>115</v>
      </c>
      <c r="D16" s="48" t="s">
        <v>48</v>
      </c>
      <c r="E16" s="50" t="s">
        <v>116</v>
      </c>
      <c r="F16" s="54"/>
      <c r="G16" s="54"/>
    </row>
    <row r="17" ht="16.5" customHeight="1">
      <c r="A17" s="47" t="s">
        <v>18</v>
      </c>
      <c r="B17" s="48" t="s">
        <v>51</v>
      </c>
      <c r="C17" s="50" t="s">
        <v>119</v>
      </c>
      <c r="D17" s="48" t="s">
        <v>51</v>
      </c>
      <c r="E17" s="50" t="s">
        <v>121</v>
      </c>
      <c r="F17" s="54"/>
      <c r="G17" s="54"/>
    </row>
    <row r="18" ht="16.5" customHeight="1">
      <c r="A18" s="47" t="s">
        <v>19</v>
      </c>
      <c r="B18" s="51" t="s">
        <v>55</v>
      </c>
      <c r="C18" s="50" t="s">
        <v>124</v>
      </c>
      <c r="D18" s="51" t="s">
        <v>55</v>
      </c>
      <c r="E18" s="50" t="s">
        <v>126</v>
      </c>
      <c r="F18" s="54"/>
      <c r="G18" s="54"/>
    </row>
    <row r="19" ht="16.5" customHeight="1">
      <c r="A19" s="47" t="s">
        <v>20</v>
      </c>
      <c r="B19" s="48" t="s">
        <v>51</v>
      </c>
      <c r="C19" s="50" t="s">
        <v>128</v>
      </c>
      <c r="D19" s="48" t="s">
        <v>81</v>
      </c>
      <c r="E19" s="50" t="s">
        <v>131</v>
      </c>
      <c r="F19" s="54"/>
      <c r="G19" s="54"/>
    </row>
    <row r="20" ht="16.5" customHeight="1">
      <c r="A20" s="47" t="s">
        <v>21</v>
      </c>
      <c r="B20" s="51" t="s">
        <v>54</v>
      </c>
      <c r="C20" s="64" t="s">
        <v>134</v>
      </c>
      <c r="D20" s="51" t="s">
        <v>55</v>
      </c>
      <c r="E20" s="50" t="s">
        <v>137</v>
      </c>
      <c r="F20" s="54"/>
      <c r="G20" s="54"/>
    </row>
    <row r="21" ht="16.5" customHeight="1">
      <c r="A21" s="47" t="s">
        <v>22</v>
      </c>
      <c r="B21" s="48" t="s">
        <v>51</v>
      </c>
      <c r="C21" s="50" t="s">
        <v>139</v>
      </c>
      <c r="D21" s="48" t="s">
        <v>48</v>
      </c>
      <c r="E21" s="50" t="s">
        <v>141</v>
      </c>
      <c r="F21" s="54"/>
      <c r="G21" s="54"/>
    </row>
    <row r="22" ht="16.5" customHeight="1">
      <c r="A22" s="47" t="s">
        <v>23</v>
      </c>
      <c r="B22" s="48" t="s">
        <v>51</v>
      </c>
      <c r="C22" s="50" t="s">
        <v>144</v>
      </c>
      <c r="D22" s="48" t="s">
        <v>48</v>
      </c>
      <c r="E22" s="50" t="s">
        <v>146</v>
      </c>
      <c r="F22" s="54"/>
      <c r="G22" s="54"/>
    </row>
    <row r="23" ht="16.5" customHeight="1">
      <c r="A23" s="47" t="s">
        <v>24</v>
      </c>
      <c r="B23" s="51" t="s">
        <v>54</v>
      </c>
      <c r="C23" s="50" t="s">
        <v>148</v>
      </c>
      <c r="D23" s="48" t="s">
        <v>48</v>
      </c>
      <c r="E23" s="50" t="s">
        <v>149</v>
      </c>
      <c r="F23" s="54"/>
      <c r="G23" s="54"/>
    </row>
    <row r="24" ht="16.5" customHeight="1">
      <c r="A24" s="47" t="s">
        <v>25</v>
      </c>
      <c r="B24" s="51" t="s">
        <v>54</v>
      </c>
      <c r="C24" s="50" t="s">
        <v>150</v>
      </c>
      <c r="D24" s="48" t="s">
        <v>81</v>
      </c>
      <c r="E24" s="50" t="s">
        <v>151</v>
      </c>
      <c r="F24" s="54"/>
      <c r="G24" s="54"/>
    </row>
    <row r="25" ht="16.5" customHeight="1">
      <c r="A25" s="47" t="s">
        <v>26</v>
      </c>
      <c r="B25" s="48" t="s">
        <v>51</v>
      </c>
      <c r="C25" s="50" t="s">
        <v>152</v>
      </c>
      <c r="D25" s="48" t="s">
        <v>51</v>
      </c>
      <c r="E25" s="50" t="s">
        <v>153</v>
      </c>
      <c r="F25" s="54"/>
      <c r="G25" s="54"/>
    </row>
    <row r="26" ht="16.5" customHeight="1">
      <c r="A26" s="54"/>
      <c r="B26" s="55"/>
      <c r="C26" s="55"/>
      <c r="D26" s="55"/>
      <c r="E26" s="55"/>
      <c r="F26" s="54"/>
      <c r="G26" s="54"/>
    </row>
    <row r="27" ht="16.5" customHeight="1">
      <c r="A27" s="56" t="s">
        <v>0</v>
      </c>
      <c r="B27" s="57" t="s">
        <v>4</v>
      </c>
      <c r="C27" s="19"/>
      <c r="D27" s="57" t="s">
        <v>6</v>
      </c>
      <c r="E27" s="19"/>
      <c r="F27" s="54"/>
      <c r="G27" s="54"/>
    </row>
    <row r="28" ht="16.5" customHeight="1">
      <c r="A28" s="67"/>
      <c r="B28" s="59" t="s">
        <v>7</v>
      </c>
      <c r="C28" s="61" t="s">
        <v>10</v>
      </c>
      <c r="D28" s="59" t="s">
        <v>7</v>
      </c>
      <c r="E28" s="61" t="s">
        <v>10</v>
      </c>
      <c r="F28" s="54"/>
      <c r="G28" s="54"/>
    </row>
    <row r="29" ht="16.5" customHeight="1">
      <c r="A29" s="47" t="s">
        <v>11</v>
      </c>
      <c r="B29" s="48" t="s">
        <v>48</v>
      </c>
      <c r="C29" s="50" t="s">
        <v>156</v>
      </c>
      <c r="D29" s="51" t="s">
        <v>55</v>
      </c>
      <c r="E29" s="50" t="s">
        <v>157</v>
      </c>
      <c r="F29" s="54"/>
      <c r="G29" s="54"/>
    </row>
    <row r="30" ht="16.5" customHeight="1">
      <c r="A30" s="47" t="s">
        <v>18</v>
      </c>
      <c r="B30" s="51" t="s">
        <v>54</v>
      </c>
      <c r="C30" s="50" t="s">
        <v>158</v>
      </c>
      <c r="D30" s="51" t="s">
        <v>55</v>
      </c>
      <c r="E30" s="50" t="s">
        <v>159</v>
      </c>
      <c r="F30" s="54"/>
      <c r="G30" s="54"/>
    </row>
    <row r="31" ht="16.5" customHeight="1">
      <c r="A31" s="47" t="s">
        <v>19</v>
      </c>
      <c r="B31" s="51" t="s">
        <v>55</v>
      </c>
      <c r="C31" s="50" t="s">
        <v>160</v>
      </c>
      <c r="D31" s="51" t="s">
        <v>55</v>
      </c>
      <c r="E31" s="50" t="s">
        <v>161</v>
      </c>
      <c r="F31" s="54"/>
      <c r="G31" s="54"/>
    </row>
    <row r="32" ht="16.5" customHeight="1">
      <c r="A32" s="47" t="s">
        <v>20</v>
      </c>
      <c r="B32" s="51" t="s">
        <v>54</v>
      </c>
      <c r="C32" s="50" t="s">
        <v>163</v>
      </c>
      <c r="D32" s="48" t="s">
        <v>51</v>
      </c>
      <c r="E32" s="50" t="s">
        <v>164</v>
      </c>
      <c r="F32" s="54"/>
      <c r="G32" s="54"/>
    </row>
    <row r="33" ht="16.5" customHeight="1">
      <c r="A33" s="47" t="s">
        <v>21</v>
      </c>
      <c r="B33" s="51" t="s">
        <v>55</v>
      </c>
      <c r="C33" s="50" t="s">
        <v>165</v>
      </c>
      <c r="D33" s="51" t="s">
        <v>55</v>
      </c>
      <c r="E33" s="50" t="s">
        <v>166</v>
      </c>
      <c r="F33" s="54"/>
      <c r="G33" s="54"/>
    </row>
    <row r="34" ht="16.5" customHeight="1">
      <c r="A34" s="47" t="s">
        <v>22</v>
      </c>
      <c r="B34" s="51" t="s">
        <v>54</v>
      </c>
      <c r="C34" s="50" t="s">
        <v>167</v>
      </c>
      <c r="D34" s="51" t="s">
        <v>54</v>
      </c>
      <c r="E34" s="50" t="s">
        <v>168</v>
      </c>
      <c r="F34" s="54"/>
      <c r="G34" s="54"/>
    </row>
    <row r="35" ht="16.5" customHeight="1">
      <c r="A35" s="47" t="s">
        <v>23</v>
      </c>
      <c r="B35" s="48" t="s">
        <v>48</v>
      </c>
      <c r="C35" s="50" t="s">
        <v>169</v>
      </c>
      <c r="D35" s="51" t="s">
        <v>54</v>
      </c>
      <c r="E35" s="50" t="s">
        <v>170</v>
      </c>
      <c r="F35" s="54"/>
      <c r="G35" s="54"/>
    </row>
    <row r="36" ht="16.5" customHeight="1">
      <c r="A36" s="47" t="s">
        <v>24</v>
      </c>
      <c r="B36" s="48" t="s">
        <v>48</v>
      </c>
      <c r="C36" s="50" t="s">
        <v>172</v>
      </c>
      <c r="D36" s="48" t="s">
        <v>51</v>
      </c>
      <c r="E36" s="50" t="s">
        <v>173</v>
      </c>
      <c r="F36" s="54"/>
      <c r="G36" s="54"/>
    </row>
    <row r="37" ht="16.5" customHeight="1">
      <c r="A37" s="47" t="s">
        <v>25</v>
      </c>
      <c r="B37" s="48" t="s">
        <v>81</v>
      </c>
      <c r="C37" s="50" t="s">
        <v>174</v>
      </c>
      <c r="D37" s="48" t="s">
        <v>48</v>
      </c>
      <c r="E37" s="50" t="s">
        <v>175</v>
      </c>
      <c r="F37" s="54"/>
      <c r="G37" s="54"/>
    </row>
    <row r="38" ht="16.5" customHeight="1">
      <c r="A38" s="47" t="s">
        <v>26</v>
      </c>
      <c r="B38" s="51" t="s">
        <v>54</v>
      </c>
      <c r="C38" s="50" t="s">
        <v>176</v>
      </c>
      <c r="D38" s="48" t="s">
        <v>51</v>
      </c>
      <c r="E38" s="50" t="s">
        <v>177</v>
      </c>
      <c r="F38" s="54"/>
      <c r="G38" s="54"/>
    </row>
    <row r="39" ht="16.5" customHeight="1">
      <c r="A39" s="54"/>
      <c r="B39" s="55"/>
      <c r="C39" s="55"/>
      <c r="D39" s="55"/>
      <c r="E39" s="55"/>
      <c r="F39" s="54"/>
      <c r="G39" s="54"/>
    </row>
    <row r="40" ht="16.5" customHeight="1">
      <c r="A40" s="56" t="s">
        <v>12</v>
      </c>
      <c r="B40" s="70" t="s">
        <v>13</v>
      </c>
      <c r="C40" s="19"/>
      <c r="D40" s="70" t="s">
        <v>14</v>
      </c>
      <c r="E40" s="19"/>
      <c r="F40" s="54"/>
      <c r="G40" s="54"/>
      <c r="H40" s="34"/>
    </row>
    <row r="41" ht="16.5" customHeight="1">
      <c r="A41" s="67"/>
      <c r="B41" s="59" t="s">
        <v>7</v>
      </c>
      <c r="C41" s="59" t="s">
        <v>10</v>
      </c>
      <c r="D41" s="59" t="s">
        <v>7</v>
      </c>
      <c r="E41" s="59" t="s">
        <v>10</v>
      </c>
      <c r="F41" s="54"/>
      <c r="G41" s="54"/>
      <c r="H41" s="34"/>
      <c r="I41" s="40"/>
    </row>
    <row r="42" ht="16.5" customHeight="1">
      <c r="A42" s="47" t="s">
        <v>11</v>
      </c>
      <c r="B42" s="48" t="s">
        <v>51</v>
      </c>
      <c r="C42" s="50" t="s">
        <v>181</v>
      </c>
      <c r="D42" s="51" t="s">
        <v>54</v>
      </c>
      <c r="E42" s="50" t="s">
        <v>182</v>
      </c>
      <c r="F42" s="54"/>
      <c r="G42" s="54"/>
      <c r="H42" s="34"/>
    </row>
    <row r="43" ht="16.5" customHeight="1">
      <c r="A43" s="47" t="s">
        <v>18</v>
      </c>
      <c r="B43" s="51" t="s">
        <v>54</v>
      </c>
      <c r="C43" s="50" t="s">
        <v>183</v>
      </c>
      <c r="D43" s="51" t="s">
        <v>54</v>
      </c>
      <c r="E43" s="50" t="s">
        <v>184</v>
      </c>
      <c r="F43" s="54"/>
      <c r="G43" s="54"/>
      <c r="H43" s="34"/>
    </row>
    <row r="44" ht="16.5" customHeight="1">
      <c r="A44" s="47" t="s">
        <v>19</v>
      </c>
      <c r="B44" s="51" t="s">
        <v>54</v>
      </c>
      <c r="C44" s="50" t="s">
        <v>185</v>
      </c>
      <c r="D44" s="51" t="s">
        <v>54</v>
      </c>
      <c r="E44" s="50" t="s">
        <v>186</v>
      </c>
      <c r="F44" s="54"/>
      <c r="G44" s="54"/>
      <c r="H44" s="34"/>
    </row>
    <row r="45" ht="16.5" customHeight="1">
      <c r="A45" s="47" t="s">
        <v>20</v>
      </c>
      <c r="B45" s="48" t="s">
        <v>48</v>
      </c>
      <c r="C45" s="50" t="s">
        <v>187</v>
      </c>
      <c r="D45" s="48" t="s">
        <v>48</v>
      </c>
      <c r="E45" s="50" t="s">
        <v>188</v>
      </c>
      <c r="F45" s="54"/>
      <c r="G45" s="54"/>
      <c r="H45" s="34"/>
    </row>
    <row r="46" ht="16.5" customHeight="1">
      <c r="A46" s="47" t="s">
        <v>21</v>
      </c>
      <c r="B46" s="51" t="s">
        <v>55</v>
      </c>
      <c r="C46" s="50" t="s">
        <v>190</v>
      </c>
      <c r="D46" s="51" t="s">
        <v>55</v>
      </c>
      <c r="E46" s="50" t="s">
        <v>191</v>
      </c>
      <c r="F46" s="54"/>
      <c r="G46" s="54"/>
      <c r="H46" s="34"/>
    </row>
    <row r="47" ht="16.5" customHeight="1">
      <c r="A47" s="47" t="s">
        <v>22</v>
      </c>
      <c r="B47" s="48" t="s">
        <v>48</v>
      </c>
      <c r="C47" s="50" t="s">
        <v>192</v>
      </c>
      <c r="D47" s="48" t="s">
        <v>48</v>
      </c>
      <c r="E47" s="50" t="s">
        <v>193</v>
      </c>
      <c r="F47" s="54"/>
      <c r="G47" s="54"/>
      <c r="H47" s="34"/>
    </row>
    <row r="48" ht="16.5" customHeight="1">
      <c r="A48" s="47" t="s">
        <v>23</v>
      </c>
      <c r="B48" s="48" t="s">
        <v>51</v>
      </c>
      <c r="C48" s="50" t="s">
        <v>195</v>
      </c>
      <c r="D48" s="51" t="s">
        <v>54</v>
      </c>
      <c r="E48" s="50" t="s">
        <v>196</v>
      </c>
      <c r="F48" s="54"/>
      <c r="G48" s="54"/>
      <c r="H48" s="34"/>
    </row>
    <row r="49" ht="16.5" customHeight="1">
      <c r="A49" s="47" t="s">
        <v>24</v>
      </c>
      <c r="B49" s="51" t="s">
        <v>54</v>
      </c>
      <c r="C49" s="50" t="s">
        <v>198</v>
      </c>
      <c r="D49" s="51" t="s">
        <v>54</v>
      </c>
      <c r="E49" s="50" t="s">
        <v>200</v>
      </c>
      <c r="F49" s="54"/>
      <c r="G49" s="54"/>
      <c r="H49" s="34"/>
    </row>
    <row r="50" ht="16.5" customHeight="1">
      <c r="A50" s="47" t="s">
        <v>25</v>
      </c>
      <c r="B50" s="51" t="s">
        <v>55</v>
      </c>
      <c r="C50" s="50" t="s">
        <v>201</v>
      </c>
      <c r="D50" s="51" t="s">
        <v>54</v>
      </c>
      <c r="E50" s="50" t="s">
        <v>202</v>
      </c>
      <c r="F50" s="54"/>
      <c r="G50" s="55"/>
      <c r="H50" s="34"/>
      <c r="I50" s="41"/>
    </row>
    <row r="51" ht="16.5" customHeight="1">
      <c r="A51" s="47" t="s">
        <v>26</v>
      </c>
      <c r="B51" s="51" t="s">
        <v>55</v>
      </c>
      <c r="C51" s="50" t="s">
        <v>203</v>
      </c>
      <c r="D51" s="51" t="s">
        <v>55</v>
      </c>
      <c r="E51" s="50" t="s">
        <v>204</v>
      </c>
      <c r="F51" s="54"/>
      <c r="G51" s="55"/>
      <c r="H51" s="34"/>
      <c r="I51" s="40"/>
    </row>
    <row r="52" ht="16.5" customHeight="1">
      <c r="A52" s="54"/>
      <c r="B52" s="55"/>
      <c r="C52" s="54"/>
      <c r="D52" s="55"/>
      <c r="E52" s="54"/>
      <c r="F52" s="54"/>
      <c r="G52" s="54"/>
    </row>
    <row r="53" ht="16.5" customHeight="1">
      <c r="A53" s="56" t="s">
        <v>27</v>
      </c>
      <c r="B53" s="57" t="s">
        <v>28</v>
      </c>
      <c r="C53" s="19"/>
      <c r="D53" s="57" t="s">
        <v>30</v>
      </c>
      <c r="E53" s="19"/>
      <c r="F53" s="54"/>
      <c r="G53" s="55"/>
      <c r="H53" s="34"/>
    </row>
    <row r="54" ht="16.5" customHeight="1">
      <c r="A54" s="67"/>
      <c r="B54" s="59" t="s">
        <v>7</v>
      </c>
      <c r="C54" s="61" t="s">
        <v>10</v>
      </c>
      <c r="D54" s="59" t="s">
        <v>7</v>
      </c>
      <c r="E54" s="61" t="s">
        <v>10</v>
      </c>
      <c r="F54" s="54"/>
      <c r="G54" s="55"/>
      <c r="H54" s="34"/>
    </row>
    <row r="55" ht="16.5" customHeight="1">
      <c r="A55" s="47" t="s">
        <v>11</v>
      </c>
      <c r="B55" s="48" t="s">
        <v>81</v>
      </c>
      <c r="C55" s="50" t="s">
        <v>210</v>
      </c>
      <c r="D55" s="51" t="s">
        <v>54</v>
      </c>
      <c r="E55" s="50" t="s">
        <v>212</v>
      </c>
      <c r="F55" s="54"/>
      <c r="G55" s="55"/>
      <c r="H55" s="34"/>
    </row>
    <row r="56" ht="16.5" customHeight="1">
      <c r="A56" s="47" t="s">
        <v>18</v>
      </c>
      <c r="B56" s="48" t="s">
        <v>51</v>
      </c>
      <c r="C56" s="53" t="s">
        <v>213</v>
      </c>
      <c r="D56" s="48" t="s">
        <v>51</v>
      </c>
      <c r="E56" s="50" t="s">
        <v>215</v>
      </c>
      <c r="F56" s="54"/>
      <c r="G56" s="55"/>
      <c r="H56" s="34"/>
    </row>
    <row r="57" ht="16.5" customHeight="1">
      <c r="A57" s="47" t="s">
        <v>19</v>
      </c>
      <c r="B57" s="48" t="s">
        <v>48</v>
      </c>
      <c r="C57" s="50" t="s">
        <v>216</v>
      </c>
      <c r="D57" s="48" t="s">
        <v>51</v>
      </c>
      <c r="E57" s="50" t="s">
        <v>217</v>
      </c>
      <c r="F57" s="54"/>
      <c r="G57" s="55"/>
      <c r="H57" s="34"/>
    </row>
    <row r="58" ht="16.5" customHeight="1">
      <c r="A58" s="47" t="s">
        <v>20</v>
      </c>
      <c r="B58" s="51" t="s">
        <v>55</v>
      </c>
      <c r="C58" s="50" t="s">
        <v>218</v>
      </c>
      <c r="D58" s="48" t="s">
        <v>48</v>
      </c>
      <c r="E58" s="50" t="s">
        <v>219</v>
      </c>
      <c r="F58" s="54"/>
      <c r="G58" s="55"/>
      <c r="H58" s="34"/>
    </row>
    <row r="59" ht="16.5" customHeight="1">
      <c r="A59" s="47" t="s">
        <v>21</v>
      </c>
      <c r="B59" s="48" t="s">
        <v>48</v>
      </c>
      <c r="C59" s="50" t="s">
        <v>221</v>
      </c>
      <c r="D59" s="48" t="s">
        <v>51</v>
      </c>
      <c r="E59" s="50" t="s">
        <v>222</v>
      </c>
      <c r="F59" s="54"/>
      <c r="G59" s="55"/>
      <c r="H59" s="34"/>
    </row>
    <row r="60" ht="16.5" customHeight="1">
      <c r="A60" s="47" t="s">
        <v>22</v>
      </c>
      <c r="B60" s="51" t="s">
        <v>55</v>
      </c>
      <c r="C60" s="50" t="s">
        <v>224</v>
      </c>
      <c r="D60" s="51" t="s">
        <v>54</v>
      </c>
      <c r="E60" s="50" t="s">
        <v>226</v>
      </c>
      <c r="F60" s="54"/>
      <c r="G60" s="55"/>
      <c r="H60" s="34"/>
      <c r="I60" s="41"/>
    </row>
    <row r="61" ht="16.5" customHeight="1">
      <c r="A61" s="47" t="s">
        <v>23</v>
      </c>
      <c r="B61" s="48" t="s">
        <v>48</v>
      </c>
      <c r="C61" s="50" t="s">
        <v>227</v>
      </c>
      <c r="D61" s="51" t="s">
        <v>54</v>
      </c>
      <c r="E61" s="50" t="s">
        <v>228</v>
      </c>
      <c r="F61" s="54"/>
      <c r="G61" s="55"/>
      <c r="H61" s="34"/>
      <c r="I61" s="40"/>
    </row>
    <row r="62" ht="16.5" customHeight="1">
      <c r="A62" s="47" t="s">
        <v>24</v>
      </c>
      <c r="B62" s="48" t="s">
        <v>51</v>
      </c>
      <c r="C62" s="50" t="s">
        <v>229</v>
      </c>
      <c r="D62" s="48" t="s">
        <v>51</v>
      </c>
      <c r="E62" s="50" t="s">
        <v>230</v>
      </c>
      <c r="F62" s="54"/>
      <c r="G62" s="55"/>
      <c r="H62" s="34"/>
    </row>
    <row r="63" ht="16.5" customHeight="1">
      <c r="A63" s="47" t="s">
        <v>25</v>
      </c>
      <c r="B63" s="51" t="s">
        <v>54</v>
      </c>
      <c r="C63" s="50" t="s">
        <v>232</v>
      </c>
      <c r="D63" s="51" t="s">
        <v>54</v>
      </c>
      <c r="E63" s="50" t="s">
        <v>233</v>
      </c>
      <c r="F63" s="54"/>
      <c r="G63" s="55"/>
      <c r="H63" s="34"/>
    </row>
    <row r="64" ht="16.5" customHeight="1">
      <c r="A64" s="47" t="s">
        <v>26</v>
      </c>
      <c r="B64" s="48" t="s">
        <v>51</v>
      </c>
      <c r="C64" s="50" t="s">
        <v>235</v>
      </c>
      <c r="D64" s="48" t="s">
        <v>51</v>
      </c>
      <c r="E64" s="50" t="s">
        <v>236</v>
      </c>
      <c r="F64" s="54"/>
      <c r="G64" s="55"/>
      <c r="H64" s="34"/>
    </row>
    <row r="65" ht="16.5" customHeight="1">
      <c r="A65" s="54"/>
      <c r="B65" s="55"/>
      <c r="C65" s="55"/>
      <c r="D65" s="55"/>
      <c r="E65" s="55"/>
      <c r="F65" s="54"/>
      <c r="G65" s="55"/>
      <c r="H65" s="34"/>
    </row>
    <row r="66" ht="16.5" customHeight="1">
      <c r="A66" s="56" t="s">
        <v>27</v>
      </c>
      <c r="B66" s="57" t="s">
        <v>29</v>
      </c>
      <c r="C66" s="19"/>
      <c r="D66" s="57" t="s">
        <v>31</v>
      </c>
      <c r="E66" s="19"/>
      <c r="F66" s="57" t="s">
        <v>32</v>
      </c>
      <c r="G66" s="19"/>
      <c r="H66" s="34"/>
    </row>
    <row r="67" ht="16.5" customHeight="1">
      <c r="A67" s="67"/>
      <c r="B67" s="59" t="s">
        <v>7</v>
      </c>
      <c r="C67" s="61" t="s">
        <v>10</v>
      </c>
      <c r="D67" s="59" t="s">
        <v>7</v>
      </c>
      <c r="E67" s="61" t="s">
        <v>10</v>
      </c>
      <c r="F67" s="59" t="s">
        <v>7</v>
      </c>
      <c r="G67" s="61" t="s">
        <v>10</v>
      </c>
      <c r="H67" s="34"/>
    </row>
    <row r="68" ht="16.5" customHeight="1">
      <c r="A68" s="47" t="s">
        <v>11</v>
      </c>
      <c r="B68" s="48" t="s">
        <v>48</v>
      </c>
      <c r="C68" s="50" t="s">
        <v>244</v>
      </c>
      <c r="D68" s="51" t="s">
        <v>54</v>
      </c>
      <c r="E68" s="50" t="s">
        <v>247</v>
      </c>
      <c r="F68" s="51" t="s">
        <v>55</v>
      </c>
      <c r="G68" s="50" t="s">
        <v>252</v>
      </c>
      <c r="H68" s="34"/>
    </row>
    <row r="69" ht="16.5" customHeight="1">
      <c r="A69" s="47" t="s">
        <v>18</v>
      </c>
      <c r="B69" s="51" t="s">
        <v>54</v>
      </c>
      <c r="C69" s="50" t="s">
        <v>256</v>
      </c>
      <c r="D69" s="51" t="s">
        <v>55</v>
      </c>
      <c r="E69" s="53" t="s">
        <v>259</v>
      </c>
      <c r="F69" s="51" t="s">
        <v>55</v>
      </c>
      <c r="G69" s="50" t="s">
        <v>261</v>
      </c>
      <c r="H69" s="34"/>
    </row>
    <row r="70" ht="16.5" customHeight="1">
      <c r="A70" s="47" t="s">
        <v>19</v>
      </c>
      <c r="B70" s="51" t="s">
        <v>54</v>
      </c>
      <c r="C70" s="50" t="s">
        <v>265</v>
      </c>
      <c r="D70" s="51" t="s">
        <v>54</v>
      </c>
      <c r="E70" s="50" t="s">
        <v>268</v>
      </c>
      <c r="F70" s="51" t="s">
        <v>55</v>
      </c>
      <c r="G70" s="50" t="s">
        <v>270</v>
      </c>
      <c r="H70" s="34"/>
    </row>
    <row r="71" ht="16.5" customHeight="1">
      <c r="A71" s="47" t="s">
        <v>20</v>
      </c>
      <c r="B71" s="48" t="s">
        <v>48</v>
      </c>
      <c r="C71" s="50" t="s">
        <v>275</v>
      </c>
      <c r="D71" s="48" t="s">
        <v>81</v>
      </c>
      <c r="E71" s="50" t="s">
        <v>276</v>
      </c>
      <c r="F71" s="48" t="s">
        <v>48</v>
      </c>
      <c r="G71" s="50" t="s">
        <v>281</v>
      </c>
      <c r="H71" s="34"/>
    </row>
    <row r="72" ht="16.5" customHeight="1">
      <c r="A72" s="47" t="s">
        <v>21</v>
      </c>
      <c r="B72" s="51" t="s">
        <v>55</v>
      </c>
      <c r="C72" s="50" t="s">
        <v>284</v>
      </c>
      <c r="D72" s="51" t="s">
        <v>54</v>
      </c>
      <c r="E72" s="50" t="s">
        <v>286</v>
      </c>
      <c r="F72" s="51" t="s">
        <v>55</v>
      </c>
      <c r="G72" s="50" t="s">
        <v>288</v>
      </c>
      <c r="H72" s="34"/>
    </row>
    <row r="73" ht="16.5" customHeight="1">
      <c r="A73" s="47" t="s">
        <v>22</v>
      </c>
      <c r="B73" s="48" t="s">
        <v>48</v>
      </c>
      <c r="C73" s="50" t="s">
        <v>291</v>
      </c>
      <c r="D73" s="48" t="s">
        <v>81</v>
      </c>
      <c r="E73" s="50" t="s">
        <v>293</v>
      </c>
      <c r="F73" s="48" t="s">
        <v>48</v>
      </c>
      <c r="G73" s="50" t="s">
        <v>294</v>
      </c>
      <c r="H73" s="34"/>
    </row>
    <row r="74" ht="16.5" customHeight="1">
      <c r="A74" s="47" t="s">
        <v>23</v>
      </c>
      <c r="B74" s="48" t="s">
        <v>51</v>
      </c>
      <c r="C74" s="50" t="s">
        <v>298</v>
      </c>
      <c r="D74" s="51" t="s">
        <v>55</v>
      </c>
      <c r="E74" s="50" t="s">
        <v>300</v>
      </c>
      <c r="F74" s="51" t="s">
        <v>55</v>
      </c>
      <c r="G74" s="50" t="s">
        <v>302</v>
      </c>
    </row>
    <row r="75" ht="16.5" customHeight="1">
      <c r="A75" s="47" t="s">
        <v>24</v>
      </c>
      <c r="B75" s="51" t="s">
        <v>55</v>
      </c>
      <c r="C75" s="50" t="s">
        <v>304</v>
      </c>
      <c r="D75" s="51" t="s">
        <v>55</v>
      </c>
      <c r="E75" s="50" t="s">
        <v>307</v>
      </c>
      <c r="F75" s="51" t="s">
        <v>55</v>
      </c>
      <c r="G75" s="50" t="s">
        <v>308</v>
      </c>
    </row>
    <row r="76" ht="16.5" customHeight="1">
      <c r="A76" s="47" t="s">
        <v>25</v>
      </c>
      <c r="B76" s="51" t="s">
        <v>55</v>
      </c>
      <c r="C76" s="50" t="s">
        <v>311</v>
      </c>
      <c r="D76" s="51" t="s">
        <v>55</v>
      </c>
      <c r="E76" s="50" t="s">
        <v>313</v>
      </c>
      <c r="F76" s="51" t="s">
        <v>55</v>
      </c>
      <c r="G76" s="50" t="s">
        <v>315</v>
      </c>
    </row>
    <row r="77" ht="16.5" customHeight="1">
      <c r="A77" s="47" t="s">
        <v>26</v>
      </c>
      <c r="B77" s="48" t="s">
        <v>51</v>
      </c>
      <c r="C77" s="50" t="s">
        <v>318</v>
      </c>
      <c r="D77" s="48" t="s">
        <v>51</v>
      </c>
      <c r="E77" s="50" t="s">
        <v>320</v>
      </c>
      <c r="F77" s="51" t="s">
        <v>54</v>
      </c>
      <c r="G77" s="50" t="s">
        <v>322</v>
      </c>
    </row>
    <row r="78" ht="16.5" customHeight="1">
      <c r="A78" s="54"/>
      <c r="B78" s="55"/>
      <c r="C78" s="55"/>
      <c r="D78" s="55"/>
      <c r="E78" s="55"/>
      <c r="F78" s="55"/>
      <c r="G78" s="55"/>
    </row>
    <row r="79" ht="16.5" customHeight="1">
      <c r="A79" s="56" t="s">
        <v>33</v>
      </c>
      <c r="B79" s="57" t="s">
        <v>46</v>
      </c>
      <c r="C79" s="19"/>
      <c r="D79" s="57" t="s">
        <v>35</v>
      </c>
      <c r="E79" s="19"/>
      <c r="F79" s="54"/>
      <c r="G79" s="54"/>
    </row>
    <row r="80" ht="16.5" customHeight="1">
      <c r="A80" s="20"/>
      <c r="B80" s="59" t="s">
        <v>7</v>
      </c>
      <c r="C80" s="59" t="s">
        <v>10</v>
      </c>
      <c r="D80" s="59" t="s">
        <v>7</v>
      </c>
      <c r="E80" s="59" t="s">
        <v>10</v>
      </c>
      <c r="F80" s="54"/>
      <c r="G80" s="54"/>
    </row>
    <row r="81" ht="16.5" customHeight="1">
      <c r="A81" s="47" t="s">
        <v>11</v>
      </c>
      <c r="B81" s="51" t="s">
        <v>54</v>
      </c>
      <c r="C81" s="50" t="s">
        <v>239</v>
      </c>
      <c r="D81" s="48" t="s">
        <v>51</v>
      </c>
      <c r="E81" s="50" t="s">
        <v>241</v>
      </c>
      <c r="F81" s="54"/>
      <c r="G81" s="54"/>
    </row>
    <row r="82" ht="16.5" customHeight="1">
      <c r="A82" s="47" t="s">
        <v>18</v>
      </c>
      <c r="B82" s="51" t="s">
        <v>55</v>
      </c>
      <c r="C82" s="50" t="s">
        <v>248</v>
      </c>
      <c r="D82" s="51" t="s">
        <v>55</v>
      </c>
      <c r="E82" s="50" t="s">
        <v>250</v>
      </c>
      <c r="F82" s="54"/>
      <c r="G82" s="54"/>
    </row>
    <row r="83" ht="16.5" customHeight="1">
      <c r="A83" s="47" t="s">
        <v>19</v>
      </c>
      <c r="B83" s="51" t="s">
        <v>54</v>
      </c>
      <c r="C83" s="50" t="s">
        <v>254</v>
      </c>
      <c r="D83" s="51" t="s">
        <v>55</v>
      </c>
      <c r="E83" s="50" t="s">
        <v>257</v>
      </c>
      <c r="F83" s="54"/>
      <c r="G83" s="54"/>
    </row>
    <row r="84" ht="16.5" customHeight="1">
      <c r="A84" s="47" t="s">
        <v>20</v>
      </c>
      <c r="B84" s="48" t="s">
        <v>48</v>
      </c>
      <c r="C84" s="50" t="s">
        <v>264</v>
      </c>
      <c r="D84" s="51" t="s">
        <v>54</v>
      </c>
      <c r="E84" s="50" t="s">
        <v>266</v>
      </c>
      <c r="F84" s="54"/>
      <c r="G84" s="54"/>
    </row>
    <row r="85" ht="16.5" customHeight="1">
      <c r="A85" s="47" t="s">
        <v>21</v>
      </c>
      <c r="B85" s="51" t="s">
        <v>54</v>
      </c>
      <c r="C85" s="50" t="s">
        <v>271</v>
      </c>
      <c r="D85" s="51" t="s">
        <v>54</v>
      </c>
      <c r="E85" s="50" t="s">
        <v>274</v>
      </c>
      <c r="F85" s="54"/>
      <c r="G85" s="54"/>
    </row>
    <row r="86" ht="16.5" customHeight="1">
      <c r="A86" s="47" t="s">
        <v>22</v>
      </c>
      <c r="B86" s="48" t="s">
        <v>51</v>
      </c>
      <c r="C86" s="50" t="s">
        <v>277</v>
      </c>
      <c r="D86" s="48" t="s">
        <v>51</v>
      </c>
      <c r="E86" s="50" t="s">
        <v>279</v>
      </c>
      <c r="F86" s="54"/>
      <c r="G86" s="54"/>
    </row>
    <row r="87" ht="16.5" customHeight="1">
      <c r="A87" s="47" t="s">
        <v>23</v>
      </c>
      <c r="B87" s="51" t="s">
        <v>54</v>
      </c>
      <c r="C87" s="50" t="s">
        <v>282</v>
      </c>
      <c r="D87" s="48" t="s">
        <v>51</v>
      </c>
      <c r="E87" s="50" t="s">
        <v>283</v>
      </c>
      <c r="F87" s="54"/>
      <c r="G87" s="54"/>
    </row>
    <row r="88" ht="16.5" customHeight="1">
      <c r="A88" s="47" t="s">
        <v>24</v>
      </c>
      <c r="B88" s="51" t="s">
        <v>55</v>
      </c>
      <c r="C88" s="50" t="s">
        <v>287</v>
      </c>
      <c r="D88" s="51" t="s">
        <v>55</v>
      </c>
      <c r="E88" s="50" t="s">
        <v>289</v>
      </c>
      <c r="F88" s="54"/>
      <c r="G88" s="54"/>
    </row>
    <row r="89" ht="16.5" customHeight="1">
      <c r="A89" s="47" t="s">
        <v>25</v>
      </c>
      <c r="B89" s="51" t="s">
        <v>54</v>
      </c>
      <c r="C89" s="50" t="s">
        <v>290</v>
      </c>
      <c r="D89" s="51" t="s">
        <v>54</v>
      </c>
      <c r="E89" s="50" t="s">
        <v>292</v>
      </c>
      <c r="F89" s="54"/>
      <c r="G89" s="54"/>
    </row>
    <row r="90" ht="16.5" customHeight="1">
      <c r="A90" s="47" t="s">
        <v>26</v>
      </c>
      <c r="B90" s="48" t="s">
        <v>51</v>
      </c>
      <c r="C90" s="50" t="s">
        <v>295</v>
      </c>
      <c r="D90" s="51" t="s">
        <v>54</v>
      </c>
      <c r="E90" s="50" t="s">
        <v>296</v>
      </c>
      <c r="F90" s="54"/>
      <c r="G90" s="54"/>
    </row>
    <row r="91" ht="16.5" customHeight="1">
      <c r="A91" s="54"/>
      <c r="B91" s="55"/>
      <c r="C91" s="54"/>
      <c r="D91" s="55"/>
      <c r="E91" s="54"/>
      <c r="F91" s="55"/>
      <c r="G91" s="54"/>
    </row>
    <row r="92" ht="16.5" customHeight="1">
      <c r="A92" s="56" t="s">
        <v>33</v>
      </c>
      <c r="B92" s="57" t="s">
        <v>36</v>
      </c>
      <c r="C92" s="19"/>
      <c r="D92" s="70" t="s">
        <v>37</v>
      </c>
      <c r="E92" s="19"/>
      <c r="F92" s="54"/>
      <c r="G92" s="54"/>
    </row>
    <row r="93" ht="16.5" customHeight="1">
      <c r="A93" s="20"/>
      <c r="B93" s="59" t="s">
        <v>7</v>
      </c>
      <c r="C93" s="59" t="s">
        <v>10</v>
      </c>
      <c r="D93" s="59" t="s">
        <v>7</v>
      </c>
      <c r="E93" s="59" t="s">
        <v>10</v>
      </c>
      <c r="F93" s="54"/>
      <c r="G93" s="54"/>
    </row>
    <row r="94" ht="16.5" customHeight="1">
      <c r="A94" s="47" t="s">
        <v>11</v>
      </c>
      <c r="B94" s="51" t="s">
        <v>54</v>
      </c>
      <c r="C94" s="50" t="s">
        <v>395</v>
      </c>
      <c r="D94" s="51" t="s">
        <v>55</v>
      </c>
      <c r="E94" s="50" t="s">
        <v>396</v>
      </c>
      <c r="F94" s="54"/>
      <c r="G94" s="54"/>
    </row>
    <row r="95" ht="16.5" customHeight="1">
      <c r="A95" s="47" t="s">
        <v>18</v>
      </c>
      <c r="B95" s="51" t="s">
        <v>55</v>
      </c>
      <c r="C95" s="50" t="s">
        <v>397</v>
      </c>
      <c r="D95" s="51" t="s">
        <v>55</v>
      </c>
      <c r="E95" s="50" t="s">
        <v>398</v>
      </c>
      <c r="F95" s="54"/>
      <c r="G95" s="54"/>
    </row>
    <row r="96" ht="16.5" customHeight="1">
      <c r="A96" s="47" t="s">
        <v>19</v>
      </c>
      <c r="B96" s="51" t="s">
        <v>55</v>
      </c>
      <c r="C96" s="50" t="s">
        <v>399</v>
      </c>
      <c r="D96" s="51" t="s">
        <v>54</v>
      </c>
      <c r="E96" s="50" t="s">
        <v>400</v>
      </c>
      <c r="F96" s="54"/>
      <c r="G96" s="54"/>
    </row>
    <row r="97" ht="16.5" customHeight="1">
      <c r="A97" s="47" t="s">
        <v>20</v>
      </c>
      <c r="B97" s="48" t="s">
        <v>48</v>
      </c>
      <c r="C97" s="50" t="s">
        <v>401</v>
      </c>
      <c r="D97" s="51" t="s">
        <v>54</v>
      </c>
      <c r="E97" s="50" t="s">
        <v>402</v>
      </c>
      <c r="F97" s="54"/>
      <c r="G97" s="54"/>
    </row>
    <row r="98" ht="16.5" customHeight="1">
      <c r="A98" s="47" t="s">
        <v>21</v>
      </c>
      <c r="B98" s="51" t="s">
        <v>55</v>
      </c>
      <c r="C98" s="50" t="s">
        <v>403</v>
      </c>
      <c r="D98" s="51" t="s">
        <v>54</v>
      </c>
      <c r="E98" s="50" t="s">
        <v>404</v>
      </c>
      <c r="F98" s="54"/>
      <c r="G98" s="54"/>
    </row>
    <row r="99" ht="16.5" customHeight="1">
      <c r="A99" s="47" t="s">
        <v>22</v>
      </c>
      <c r="B99" s="48" t="s">
        <v>48</v>
      </c>
      <c r="C99" s="50" t="s">
        <v>405</v>
      </c>
      <c r="D99" s="51" t="s">
        <v>54</v>
      </c>
      <c r="E99" s="50" t="s">
        <v>406</v>
      </c>
      <c r="F99" s="54"/>
      <c r="G99" s="54"/>
    </row>
    <row r="100" ht="16.5" customHeight="1">
      <c r="A100" s="47" t="s">
        <v>23</v>
      </c>
      <c r="B100" s="51" t="s">
        <v>54</v>
      </c>
      <c r="C100" s="50" t="s">
        <v>407</v>
      </c>
      <c r="D100" s="51" t="s">
        <v>54</v>
      </c>
      <c r="E100" s="50" t="s">
        <v>408</v>
      </c>
      <c r="F100" s="54"/>
      <c r="G100" s="54"/>
    </row>
    <row r="101" ht="16.5" customHeight="1">
      <c r="A101" s="47" t="s">
        <v>24</v>
      </c>
      <c r="B101" s="51" t="s">
        <v>54</v>
      </c>
      <c r="C101" s="50" t="s">
        <v>410</v>
      </c>
      <c r="D101" s="51" t="s">
        <v>54</v>
      </c>
      <c r="E101" s="75" t="s">
        <v>413</v>
      </c>
      <c r="F101" s="54"/>
      <c r="G101" s="54"/>
    </row>
    <row r="102" ht="16.5" customHeight="1">
      <c r="A102" s="47" t="s">
        <v>25</v>
      </c>
      <c r="B102" s="51" t="s">
        <v>54</v>
      </c>
      <c r="C102" s="50" t="s">
        <v>417</v>
      </c>
      <c r="D102" s="48" t="s">
        <v>51</v>
      </c>
      <c r="E102" s="50" t="s">
        <v>420</v>
      </c>
      <c r="F102" s="54"/>
      <c r="G102" s="54"/>
    </row>
    <row r="103" ht="16.5" customHeight="1">
      <c r="A103" s="47" t="s">
        <v>26</v>
      </c>
      <c r="B103" s="48" t="s">
        <v>51</v>
      </c>
      <c r="C103" s="50" t="s">
        <v>423</v>
      </c>
      <c r="D103" s="48" t="s">
        <v>51</v>
      </c>
      <c r="E103" s="50" t="s">
        <v>425</v>
      </c>
      <c r="F103" s="54"/>
      <c r="G103" s="54"/>
    </row>
    <row r="104" ht="16.5" customHeight="1">
      <c r="A104" s="54"/>
      <c r="B104" s="55"/>
      <c r="C104" s="54"/>
      <c r="D104" s="55"/>
      <c r="E104" s="54"/>
      <c r="F104" s="54"/>
      <c r="G104" s="54"/>
    </row>
    <row r="105" ht="16.5" customHeight="1">
      <c r="A105" s="56" t="s">
        <v>33</v>
      </c>
      <c r="B105" s="57" t="s">
        <v>38</v>
      </c>
      <c r="C105" s="19"/>
      <c r="D105" s="70" t="s">
        <v>431</v>
      </c>
      <c r="E105" s="19"/>
      <c r="F105" s="54"/>
      <c r="G105" s="54"/>
    </row>
    <row r="106" ht="16.5" customHeight="1">
      <c r="A106" s="20"/>
      <c r="B106" s="59" t="s">
        <v>7</v>
      </c>
      <c r="C106" s="59" t="s">
        <v>10</v>
      </c>
      <c r="D106" s="59" t="s">
        <v>7</v>
      </c>
      <c r="E106" s="59" t="s">
        <v>10</v>
      </c>
      <c r="F106" s="54"/>
      <c r="G106" s="54"/>
    </row>
    <row r="107" ht="16.5" customHeight="1">
      <c r="A107" s="47" t="s">
        <v>11</v>
      </c>
      <c r="B107" s="51" t="s">
        <v>54</v>
      </c>
      <c r="C107" s="50" t="s">
        <v>436</v>
      </c>
      <c r="D107" s="51" t="s">
        <v>55</v>
      </c>
      <c r="E107" s="50" t="s">
        <v>437</v>
      </c>
      <c r="F107" s="54"/>
      <c r="G107" s="54"/>
    </row>
    <row r="108" ht="16.5" customHeight="1">
      <c r="A108" s="47" t="s">
        <v>18</v>
      </c>
      <c r="B108" s="51" t="s">
        <v>54</v>
      </c>
      <c r="C108" s="50" t="s">
        <v>438</v>
      </c>
      <c r="D108" s="51" t="s">
        <v>55</v>
      </c>
      <c r="E108" s="50" t="s">
        <v>439</v>
      </c>
      <c r="F108" s="54"/>
      <c r="G108" s="54"/>
    </row>
    <row r="109" ht="16.5" customHeight="1">
      <c r="A109" s="47" t="s">
        <v>19</v>
      </c>
      <c r="B109" s="51" t="s">
        <v>55</v>
      </c>
      <c r="C109" s="50" t="s">
        <v>440</v>
      </c>
      <c r="D109" s="51" t="s">
        <v>54</v>
      </c>
      <c r="E109" s="50" t="s">
        <v>443</v>
      </c>
      <c r="F109" s="54"/>
      <c r="G109" s="54"/>
    </row>
    <row r="110" ht="16.5" customHeight="1">
      <c r="A110" s="47" t="s">
        <v>20</v>
      </c>
      <c r="B110" s="48" t="s">
        <v>48</v>
      </c>
      <c r="C110" s="50" t="s">
        <v>446</v>
      </c>
      <c r="D110" s="48" t="s">
        <v>81</v>
      </c>
      <c r="E110" s="50" t="s">
        <v>448</v>
      </c>
      <c r="F110" s="54"/>
      <c r="G110" s="54"/>
    </row>
    <row r="111" ht="16.5" customHeight="1">
      <c r="A111" s="47" t="s">
        <v>21</v>
      </c>
      <c r="B111" s="51" t="s">
        <v>54</v>
      </c>
      <c r="C111" s="50" t="s">
        <v>451</v>
      </c>
      <c r="D111" s="51" t="s">
        <v>55</v>
      </c>
      <c r="E111" s="50" t="s">
        <v>453</v>
      </c>
      <c r="F111" s="54"/>
      <c r="G111" s="54"/>
    </row>
    <row r="112" ht="16.5" customHeight="1">
      <c r="A112" s="47" t="s">
        <v>22</v>
      </c>
      <c r="B112" s="48" t="s">
        <v>48</v>
      </c>
      <c r="C112" s="50" t="s">
        <v>457</v>
      </c>
      <c r="D112" s="48" t="s">
        <v>51</v>
      </c>
      <c r="E112" s="50" t="s">
        <v>459</v>
      </c>
      <c r="F112" s="54"/>
      <c r="G112" s="54"/>
    </row>
    <row r="113" ht="16.5" customHeight="1">
      <c r="A113" s="47" t="s">
        <v>23</v>
      </c>
      <c r="B113" s="48" t="s">
        <v>51</v>
      </c>
      <c r="C113" s="50" t="s">
        <v>462</v>
      </c>
      <c r="D113" s="51" t="s">
        <v>54</v>
      </c>
      <c r="E113" s="50" t="s">
        <v>465</v>
      </c>
      <c r="F113" s="54"/>
      <c r="G113" s="54"/>
    </row>
    <row r="114" ht="16.5" customHeight="1">
      <c r="A114" s="47" t="s">
        <v>24</v>
      </c>
      <c r="B114" s="51" t="s">
        <v>54</v>
      </c>
      <c r="C114" s="50" t="s">
        <v>468</v>
      </c>
      <c r="D114" s="48" t="s">
        <v>51</v>
      </c>
      <c r="E114" s="50" t="s">
        <v>471</v>
      </c>
      <c r="F114" s="54"/>
      <c r="G114" s="54"/>
    </row>
    <row r="115" ht="16.5" customHeight="1">
      <c r="A115" s="47" t="s">
        <v>25</v>
      </c>
      <c r="B115" s="48" t="s">
        <v>51</v>
      </c>
      <c r="C115" s="50" t="s">
        <v>472</v>
      </c>
      <c r="D115" s="48" t="s">
        <v>51</v>
      </c>
      <c r="E115" s="50" t="s">
        <v>473</v>
      </c>
      <c r="F115" s="54"/>
      <c r="G115" s="54"/>
    </row>
    <row r="116" ht="16.5" customHeight="1">
      <c r="A116" s="47" t="s">
        <v>26</v>
      </c>
      <c r="B116" s="48" t="s">
        <v>51</v>
      </c>
      <c r="C116" s="50" t="s">
        <v>474</v>
      </c>
      <c r="D116" s="48" t="s">
        <v>51</v>
      </c>
      <c r="E116" s="50" t="s">
        <v>475</v>
      </c>
      <c r="F116" s="54"/>
      <c r="G116" s="54"/>
    </row>
    <row r="117" ht="16.5" customHeight="1">
      <c r="A117" s="54"/>
      <c r="B117" s="55"/>
      <c r="C117" s="54"/>
      <c r="D117" s="55"/>
      <c r="E117" s="54"/>
      <c r="F117" s="54"/>
      <c r="G117" s="54"/>
    </row>
    <row r="118" ht="16.5" customHeight="1">
      <c r="A118" s="56" t="s">
        <v>40</v>
      </c>
      <c r="B118" s="70" t="s">
        <v>41</v>
      </c>
      <c r="C118" s="19"/>
      <c r="D118" s="70" t="s">
        <v>42</v>
      </c>
      <c r="E118" s="19"/>
      <c r="F118" s="70" t="s">
        <v>43</v>
      </c>
      <c r="G118" s="19"/>
    </row>
    <row r="119" ht="16.5" customHeight="1">
      <c r="A119" s="20"/>
      <c r="B119" s="59" t="s">
        <v>7</v>
      </c>
      <c r="C119" s="59" t="s">
        <v>10</v>
      </c>
      <c r="D119" s="59" t="s">
        <v>7</v>
      </c>
      <c r="E119" s="59" t="s">
        <v>10</v>
      </c>
      <c r="F119" s="59" t="s">
        <v>7</v>
      </c>
      <c r="G119" s="59" t="s">
        <v>10</v>
      </c>
    </row>
    <row r="120" ht="16.5" customHeight="1">
      <c r="A120" s="47" t="s">
        <v>11</v>
      </c>
      <c r="B120" s="51" t="s">
        <v>55</v>
      </c>
      <c r="C120" s="50" t="s">
        <v>489</v>
      </c>
      <c r="D120" s="51" t="s">
        <v>55</v>
      </c>
      <c r="E120" s="50" t="s">
        <v>490</v>
      </c>
      <c r="F120" s="51" t="s">
        <v>55</v>
      </c>
      <c r="G120" s="50" t="s">
        <v>493</v>
      </c>
    </row>
    <row r="121" ht="16.5" customHeight="1">
      <c r="A121" s="47" t="s">
        <v>18</v>
      </c>
      <c r="B121" s="51" t="s">
        <v>55</v>
      </c>
      <c r="C121" s="50" t="s">
        <v>496</v>
      </c>
      <c r="D121" s="51" t="s">
        <v>55</v>
      </c>
      <c r="E121" s="50" t="s">
        <v>498</v>
      </c>
      <c r="F121" s="48" t="s">
        <v>81</v>
      </c>
      <c r="G121" s="50" t="s">
        <v>500</v>
      </c>
    </row>
    <row r="122" ht="16.5" customHeight="1">
      <c r="A122" s="47" t="s">
        <v>19</v>
      </c>
      <c r="B122" s="51" t="s">
        <v>54</v>
      </c>
      <c r="C122" s="50" t="s">
        <v>503</v>
      </c>
      <c r="D122" s="51" t="s">
        <v>54</v>
      </c>
      <c r="E122" s="50" t="s">
        <v>506</v>
      </c>
      <c r="F122" s="48" t="s">
        <v>51</v>
      </c>
      <c r="G122" s="50" t="s">
        <v>508</v>
      </c>
    </row>
    <row r="123" ht="16.5" customHeight="1">
      <c r="A123" s="47" t="s">
        <v>20</v>
      </c>
      <c r="B123" s="51" t="s">
        <v>54</v>
      </c>
      <c r="C123" s="50" t="s">
        <v>511</v>
      </c>
      <c r="D123" s="51" t="s">
        <v>54</v>
      </c>
      <c r="E123" s="50" t="s">
        <v>513</v>
      </c>
      <c r="F123" s="51" t="s">
        <v>54</v>
      </c>
      <c r="G123" s="50" t="s">
        <v>516</v>
      </c>
    </row>
    <row r="124" ht="16.5" customHeight="1">
      <c r="A124" s="47" t="s">
        <v>21</v>
      </c>
      <c r="B124" s="51" t="s">
        <v>54</v>
      </c>
      <c r="C124" s="50" t="s">
        <v>518</v>
      </c>
      <c r="D124" s="51" t="s">
        <v>54</v>
      </c>
      <c r="E124" s="50" t="s">
        <v>519</v>
      </c>
      <c r="F124" s="48" t="s">
        <v>48</v>
      </c>
      <c r="G124" s="50" t="s">
        <v>520</v>
      </c>
    </row>
    <row r="125" ht="16.5" customHeight="1">
      <c r="A125" s="47" t="s">
        <v>22</v>
      </c>
      <c r="B125" s="51" t="s">
        <v>54</v>
      </c>
      <c r="C125" s="50" t="s">
        <v>521</v>
      </c>
      <c r="D125" s="51" t="s">
        <v>54</v>
      </c>
      <c r="E125" s="50" t="s">
        <v>522</v>
      </c>
      <c r="F125" s="51" t="s">
        <v>55</v>
      </c>
      <c r="G125" s="50" t="s">
        <v>523</v>
      </c>
    </row>
    <row r="126" ht="16.5" customHeight="1">
      <c r="A126" s="47" t="s">
        <v>23</v>
      </c>
      <c r="B126" s="51" t="s">
        <v>55</v>
      </c>
      <c r="C126" s="50" t="s">
        <v>524</v>
      </c>
      <c r="D126" s="51" t="s">
        <v>55</v>
      </c>
      <c r="E126" s="50" t="s">
        <v>525</v>
      </c>
      <c r="F126" s="51" t="s">
        <v>55</v>
      </c>
      <c r="G126" s="50" t="s">
        <v>526</v>
      </c>
    </row>
    <row r="127" ht="16.5" customHeight="1">
      <c r="A127" s="47" t="s">
        <v>24</v>
      </c>
      <c r="B127" s="48" t="s">
        <v>51</v>
      </c>
      <c r="C127" s="50" t="s">
        <v>527</v>
      </c>
      <c r="D127" s="48" t="s">
        <v>51</v>
      </c>
      <c r="E127" s="50" t="s">
        <v>528</v>
      </c>
      <c r="F127" s="48" t="s">
        <v>48</v>
      </c>
      <c r="G127" s="50" t="s">
        <v>529</v>
      </c>
    </row>
    <row r="128" ht="16.5" customHeight="1">
      <c r="A128" s="47" t="s">
        <v>25</v>
      </c>
      <c r="B128" s="51" t="s">
        <v>55</v>
      </c>
      <c r="C128" s="50" t="s">
        <v>530</v>
      </c>
      <c r="D128" s="51" t="s">
        <v>54</v>
      </c>
      <c r="E128" s="50" t="s">
        <v>531</v>
      </c>
      <c r="F128" s="48" t="s">
        <v>48</v>
      </c>
      <c r="G128" s="50" t="s">
        <v>532</v>
      </c>
    </row>
    <row r="129" ht="16.5" customHeight="1">
      <c r="A129" s="47" t="s">
        <v>26</v>
      </c>
      <c r="B129" s="48" t="s">
        <v>51</v>
      </c>
      <c r="C129" s="50" t="s">
        <v>533</v>
      </c>
      <c r="D129" s="48" t="s">
        <v>51</v>
      </c>
      <c r="E129" s="50" t="s">
        <v>534</v>
      </c>
      <c r="F129" s="51" t="s">
        <v>54</v>
      </c>
      <c r="G129" s="50" t="s">
        <v>535</v>
      </c>
    </row>
    <row r="130" ht="16.5" customHeight="1">
      <c r="B130" s="42"/>
      <c r="D130" s="42"/>
      <c r="F130" s="42"/>
    </row>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253.0"/>
    <col customWidth="1" min="4" max="4" width="9.86"/>
    <col customWidth="1" min="5" max="5" width="205.71"/>
    <col customWidth="1" min="6" max="6" width="16.0"/>
    <col customWidth="1" min="7" max="7" width="157.43"/>
    <col customWidth="1" min="8" max="8" width="8.86"/>
    <col customWidth="1" min="9" max="9" width="64.14"/>
  </cols>
  <sheetData>
    <row r="1" ht="16.5" customHeight="1">
      <c r="A1" s="24" t="s">
        <v>44</v>
      </c>
      <c r="B1" s="46" t="s">
        <v>2</v>
      </c>
      <c r="C1" s="19"/>
      <c r="D1" s="46" t="s">
        <v>8</v>
      </c>
      <c r="E1" s="19"/>
      <c r="F1" s="46" t="s">
        <v>9</v>
      </c>
      <c r="G1" s="19"/>
    </row>
    <row r="2" ht="16.5" customHeight="1">
      <c r="A2" s="20"/>
      <c r="B2" s="26" t="s">
        <v>7</v>
      </c>
      <c r="C2" s="26" t="s">
        <v>10</v>
      </c>
      <c r="D2" s="26" t="s">
        <v>7</v>
      </c>
      <c r="E2" s="26" t="s">
        <v>10</v>
      </c>
      <c r="F2" s="26" t="s">
        <v>7</v>
      </c>
      <c r="G2" s="26" t="s">
        <v>10</v>
      </c>
    </row>
    <row r="3" ht="16.5" customHeight="1">
      <c r="A3" s="47" t="s">
        <v>11</v>
      </c>
      <c r="B3" s="48" t="s">
        <v>48</v>
      </c>
      <c r="C3" s="49" t="s">
        <v>49</v>
      </c>
      <c r="D3" s="48" t="s">
        <v>51</v>
      </c>
      <c r="E3" s="50" t="s">
        <v>52</v>
      </c>
      <c r="F3" s="51" t="s">
        <v>54</v>
      </c>
      <c r="G3" s="50" t="s">
        <v>56</v>
      </c>
    </row>
    <row r="4" ht="16.5" customHeight="1">
      <c r="A4" s="47" t="s">
        <v>18</v>
      </c>
      <c r="B4" s="51" t="s">
        <v>54</v>
      </c>
      <c r="C4" s="52" t="s">
        <v>58</v>
      </c>
      <c r="D4" s="51" t="s">
        <v>54</v>
      </c>
      <c r="E4" s="50" t="s">
        <v>60</v>
      </c>
      <c r="F4" s="48" t="s">
        <v>48</v>
      </c>
      <c r="G4" s="50" t="s">
        <v>62</v>
      </c>
    </row>
    <row r="5" ht="16.5" customHeight="1">
      <c r="A5" s="47" t="s">
        <v>19</v>
      </c>
      <c r="B5" s="51" t="s">
        <v>54</v>
      </c>
      <c r="C5" s="49" t="s">
        <v>64</v>
      </c>
      <c r="D5" s="51" t="s">
        <v>55</v>
      </c>
      <c r="E5" s="53" t="s">
        <v>66</v>
      </c>
      <c r="F5" s="48" t="s">
        <v>48</v>
      </c>
      <c r="G5" s="50" t="s">
        <v>67</v>
      </c>
    </row>
    <row r="6" ht="16.5" customHeight="1">
      <c r="A6" s="47" t="s">
        <v>20</v>
      </c>
      <c r="B6" s="51" t="s">
        <v>54</v>
      </c>
      <c r="C6" s="52" t="s">
        <v>70</v>
      </c>
      <c r="D6" s="48" t="s">
        <v>51</v>
      </c>
      <c r="E6" s="50" t="s">
        <v>72</v>
      </c>
      <c r="F6" s="51" t="s">
        <v>54</v>
      </c>
      <c r="G6" s="50" t="s">
        <v>73</v>
      </c>
    </row>
    <row r="7" ht="16.5" customHeight="1">
      <c r="A7" s="47" t="s">
        <v>21</v>
      </c>
      <c r="B7" s="51" t="s">
        <v>54</v>
      </c>
      <c r="C7" s="52" t="s">
        <v>75</v>
      </c>
      <c r="D7" s="51" t="s">
        <v>55</v>
      </c>
      <c r="E7" s="50" t="s">
        <v>77</v>
      </c>
      <c r="F7" s="48" t="s">
        <v>48</v>
      </c>
      <c r="G7" s="50" t="s">
        <v>79</v>
      </c>
    </row>
    <row r="8" ht="16.5" customHeight="1">
      <c r="A8" s="47" t="s">
        <v>22</v>
      </c>
      <c r="B8" s="48" t="s">
        <v>81</v>
      </c>
      <c r="C8" s="52" t="s">
        <v>82</v>
      </c>
      <c r="D8" s="51" t="s">
        <v>54</v>
      </c>
      <c r="E8" s="50" t="s">
        <v>84</v>
      </c>
      <c r="F8" s="51" t="s">
        <v>55</v>
      </c>
      <c r="G8" s="50" t="s">
        <v>85</v>
      </c>
    </row>
    <row r="9" ht="16.5" customHeight="1">
      <c r="A9" s="47" t="s">
        <v>23</v>
      </c>
      <c r="B9" s="51" t="s">
        <v>54</v>
      </c>
      <c r="C9" s="49" t="s">
        <v>87</v>
      </c>
      <c r="D9" s="51" t="s">
        <v>54</v>
      </c>
      <c r="E9" s="50" t="s">
        <v>90</v>
      </c>
      <c r="F9" s="51" t="s">
        <v>55</v>
      </c>
      <c r="G9" s="50" t="s">
        <v>91</v>
      </c>
    </row>
    <row r="10" ht="16.5" customHeight="1">
      <c r="A10" s="47" t="s">
        <v>24</v>
      </c>
      <c r="B10" s="48" t="s">
        <v>51</v>
      </c>
      <c r="C10" s="49" t="s">
        <v>93</v>
      </c>
      <c r="D10" s="48" t="s">
        <v>51</v>
      </c>
      <c r="E10" s="50" t="s">
        <v>95</v>
      </c>
      <c r="F10" s="48" t="s">
        <v>48</v>
      </c>
      <c r="G10" s="50" t="s">
        <v>97</v>
      </c>
    </row>
    <row r="11" ht="16.5" customHeight="1">
      <c r="A11" s="47" t="s">
        <v>25</v>
      </c>
      <c r="B11" s="51" t="s">
        <v>55</v>
      </c>
      <c r="C11" s="52" t="s">
        <v>99</v>
      </c>
      <c r="D11" s="51" t="s">
        <v>55</v>
      </c>
      <c r="E11" s="50" t="s">
        <v>101</v>
      </c>
      <c r="F11" s="48" t="s">
        <v>48</v>
      </c>
      <c r="G11" s="50" t="s">
        <v>103</v>
      </c>
    </row>
    <row r="12" ht="16.5" customHeight="1">
      <c r="A12" s="47" t="s">
        <v>26</v>
      </c>
      <c r="B12" s="48" t="s">
        <v>81</v>
      </c>
      <c r="C12" s="52" t="s">
        <v>104</v>
      </c>
      <c r="D12" s="51" t="s">
        <v>54</v>
      </c>
      <c r="E12" s="50" t="s">
        <v>106</v>
      </c>
      <c r="F12" s="48" t="s">
        <v>51</v>
      </c>
      <c r="G12" s="50" t="s">
        <v>108</v>
      </c>
    </row>
    <row r="13" ht="16.5" customHeight="1">
      <c r="A13" s="54"/>
      <c r="B13" s="55" t="s">
        <v>113</v>
      </c>
      <c r="C13" s="55" t="s">
        <v>113</v>
      </c>
      <c r="D13" s="55" t="s">
        <v>113</v>
      </c>
      <c r="E13" s="55" t="s">
        <v>113</v>
      </c>
      <c r="F13" s="55" t="s">
        <v>113</v>
      </c>
      <c r="G13" s="54"/>
    </row>
    <row r="14" ht="16.5" customHeight="1">
      <c r="A14" s="56" t="s">
        <v>1</v>
      </c>
      <c r="B14" s="57" t="s">
        <v>45</v>
      </c>
      <c r="C14" s="19"/>
      <c r="D14" s="57" t="s">
        <v>5</v>
      </c>
      <c r="E14" s="19"/>
      <c r="F14" s="54"/>
      <c r="G14" s="54"/>
    </row>
    <row r="15" ht="16.5" customHeight="1">
      <c r="A15" s="58"/>
      <c r="B15" s="59" t="s">
        <v>7</v>
      </c>
      <c r="C15" s="61" t="s">
        <v>10</v>
      </c>
      <c r="D15" s="59" t="s">
        <v>7</v>
      </c>
      <c r="E15" s="61" t="s">
        <v>10</v>
      </c>
      <c r="F15" s="54"/>
      <c r="G15" s="54"/>
    </row>
    <row r="16" ht="16.5" customHeight="1">
      <c r="A16" s="47" t="s">
        <v>11</v>
      </c>
      <c r="B16" s="48" t="s">
        <v>48</v>
      </c>
      <c r="C16" s="63" t="s">
        <v>114</v>
      </c>
      <c r="D16" s="48" t="s">
        <v>48</v>
      </c>
      <c r="E16" s="63" t="s">
        <v>117</v>
      </c>
      <c r="F16" s="54"/>
      <c r="G16" s="54"/>
    </row>
    <row r="17" ht="16.5" customHeight="1">
      <c r="A17" s="47" t="s">
        <v>18</v>
      </c>
      <c r="B17" s="48" t="s">
        <v>51</v>
      </c>
      <c r="C17" s="63" t="s">
        <v>118</v>
      </c>
      <c r="D17" s="48" t="s">
        <v>51</v>
      </c>
      <c r="E17" s="63" t="s">
        <v>120</v>
      </c>
      <c r="F17" s="54"/>
      <c r="G17" s="54"/>
    </row>
    <row r="18" ht="16.5" customHeight="1">
      <c r="A18" s="47" t="s">
        <v>19</v>
      </c>
      <c r="B18" s="51" t="s">
        <v>55</v>
      </c>
      <c r="C18" s="63" t="s">
        <v>122</v>
      </c>
      <c r="D18" s="51" t="s">
        <v>54</v>
      </c>
      <c r="E18" s="63" t="s">
        <v>123</v>
      </c>
      <c r="F18" s="54"/>
      <c r="G18" s="54"/>
    </row>
    <row r="19" ht="16.5" customHeight="1">
      <c r="A19" s="47" t="s">
        <v>20</v>
      </c>
      <c r="B19" s="48" t="s">
        <v>51</v>
      </c>
      <c r="C19" s="63" t="s">
        <v>125</v>
      </c>
      <c r="D19" s="48" t="s">
        <v>48</v>
      </c>
      <c r="E19" s="63" t="s">
        <v>127</v>
      </c>
      <c r="F19" s="54"/>
      <c r="G19" s="54"/>
    </row>
    <row r="20" ht="16.5" customHeight="1">
      <c r="A20" s="47" t="s">
        <v>21</v>
      </c>
      <c r="B20" s="48" t="s">
        <v>48</v>
      </c>
      <c r="C20" s="63" t="s">
        <v>129</v>
      </c>
      <c r="D20" s="51" t="s">
        <v>54</v>
      </c>
      <c r="E20" s="63" t="s">
        <v>130</v>
      </c>
      <c r="F20" s="54"/>
      <c r="G20" s="54"/>
    </row>
    <row r="21" ht="16.5" customHeight="1">
      <c r="A21" s="47" t="s">
        <v>22</v>
      </c>
      <c r="B21" s="48" t="s">
        <v>48</v>
      </c>
      <c r="C21" s="63" t="s">
        <v>132</v>
      </c>
      <c r="D21" s="48" t="s">
        <v>48</v>
      </c>
      <c r="E21" s="63" t="s">
        <v>133</v>
      </c>
      <c r="F21" s="54"/>
      <c r="G21" s="54"/>
    </row>
    <row r="22" ht="16.5" customHeight="1">
      <c r="A22" s="47" t="s">
        <v>23</v>
      </c>
      <c r="B22" s="51" t="s">
        <v>54</v>
      </c>
      <c r="C22" s="63" t="s">
        <v>135</v>
      </c>
      <c r="D22" s="48" t="s">
        <v>51</v>
      </c>
      <c r="E22" s="63" t="s">
        <v>136</v>
      </c>
      <c r="F22" s="54"/>
      <c r="G22" s="54"/>
    </row>
    <row r="23" ht="16.5" customHeight="1">
      <c r="A23" s="47" t="s">
        <v>24</v>
      </c>
      <c r="B23" s="51" t="s">
        <v>54</v>
      </c>
      <c r="C23" s="63" t="s">
        <v>138</v>
      </c>
      <c r="D23" s="48" t="s">
        <v>48</v>
      </c>
      <c r="E23" s="63" t="s">
        <v>140</v>
      </c>
      <c r="F23" s="54"/>
      <c r="G23" s="54"/>
    </row>
    <row r="24" ht="16.5" customHeight="1">
      <c r="A24" s="47" t="s">
        <v>25</v>
      </c>
      <c r="B24" s="48" t="s">
        <v>51</v>
      </c>
      <c r="C24" s="63" t="s">
        <v>142</v>
      </c>
      <c r="D24" s="48" t="s">
        <v>48</v>
      </c>
      <c r="E24" s="63" t="s">
        <v>143</v>
      </c>
      <c r="F24" s="54"/>
      <c r="G24" s="54"/>
    </row>
    <row r="25" ht="16.5" customHeight="1">
      <c r="A25" s="47" t="s">
        <v>26</v>
      </c>
      <c r="B25" s="48" t="s">
        <v>51</v>
      </c>
      <c r="C25" s="63" t="s">
        <v>145</v>
      </c>
      <c r="D25" s="48" t="s">
        <v>51</v>
      </c>
      <c r="E25" s="63" t="s">
        <v>147</v>
      </c>
      <c r="F25" s="54"/>
      <c r="G25" s="54"/>
    </row>
    <row r="26" ht="16.5" customHeight="1">
      <c r="A26" s="54"/>
      <c r="B26" s="55" t="s">
        <v>113</v>
      </c>
      <c r="C26" s="55" t="s">
        <v>113</v>
      </c>
      <c r="D26" s="55" t="s">
        <v>113</v>
      </c>
      <c r="E26" s="55" t="s">
        <v>113</v>
      </c>
      <c r="F26" s="54"/>
      <c r="G26" s="54"/>
    </row>
    <row r="27" ht="16.5" customHeight="1">
      <c r="A27" s="56" t="s">
        <v>0</v>
      </c>
      <c r="B27" s="57" t="s">
        <v>4</v>
      </c>
      <c r="C27" s="19"/>
      <c r="D27" s="57" t="s">
        <v>6</v>
      </c>
      <c r="E27" s="19"/>
      <c r="F27" s="54"/>
      <c r="G27" s="54"/>
    </row>
    <row r="28" ht="16.5" customHeight="1">
      <c r="A28" s="58"/>
      <c r="B28" s="65" t="s">
        <v>7</v>
      </c>
      <c r="C28" s="66" t="s">
        <v>154</v>
      </c>
      <c r="D28" s="59" t="s">
        <v>7</v>
      </c>
      <c r="E28" s="61" t="s">
        <v>10</v>
      </c>
      <c r="F28" s="54"/>
      <c r="G28" s="54"/>
    </row>
    <row r="29" ht="16.5" customHeight="1">
      <c r="A29" s="47" t="s">
        <v>11</v>
      </c>
      <c r="B29" s="48" t="s">
        <v>48</v>
      </c>
      <c r="C29" s="68" t="s">
        <v>155</v>
      </c>
      <c r="D29" s="69" t="s">
        <v>54</v>
      </c>
      <c r="E29" s="68" t="s">
        <v>162</v>
      </c>
      <c r="F29" s="54"/>
      <c r="G29" s="54"/>
    </row>
    <row r="30" ht="16.5" customHeight="1">
      <c r="A30" s="47" t="s">
        <v>18</v>
      </c>
      <c r="B30" s="48" t="s">
        <v>51</v>
      </c>
      <c r="C30" s="68" t="s">
        <v>171</v>
      </c>
      <c r="D30" s="69" t="s">
        <v>54</v>
      </c>
      <c r="E30" s="68" t="s">
        <v>178</v>
      </c>
      <c r="F30" s="54"/>
      <c r="G30" s="54"/>
    </row>
    <row r="31" ht="16.5" customHeight="1">
      <c r="A31" s="47" t="s">
        <v>19</v>
      </c>
      <c r="B31" s="51" t="s">
        <v>54</v>
      </c>
      <c r="C31" s="68" t="s">
        <v>179</v>
      </c>
      <c r="D31" s="69" t="s">
        <v>55</v>
      </c>
      <c r="E31" s="68" t="s">
        <v>180</v>
      </c>
      <c r="F31" s="54"/>
      <c r="G31" s="54"/>
    </row>
    <row r="32" ht="16.5" customHeight="1">
      <c r="A32" s="47" t="s">
        <v>20</v>
      </c>
      <c r="B32" s="48" t="s">
        <v>51</v>
      </c>
      <c r="C32" s="68" t="s">
        <v>189</v>
      </c>
      <c r="D32" s="71" t="s">
        <v>51</v>
      </c>
      <c r="E32" s="68" t="s">
        <v>194</v>
      </c>
      <c r="F32" s="54"/>
      <c r="G32" s="54"/>
    </row>
    <row r="33" ht="16.5" customHeight="1">
      <c r="A33" s="47" t="s">
        <v>21</v>
      </c>
      <c r="B33" s="51" t="s">
        <v>55</v>
      </c>
      <c r="C33" s="68" t="s">
        <v>197</v>
      </c>
      <c r="D33" s="69" t="s">
        <v>55</v>
      </c>
      <c r="E33" s="68" t="s">
        <v>199</v>
      </c>
      <c r="F33" s="54"/>
      <c r="G33" s="54"/>
    </row>
    <row r="34" ht="16.5" customHeight="1">
      <c r="A34" s="47" t="s">
        <v>22</v>
      </c>
      <c r="B34" s="48" t="s">
        <v>51</v>
      </c>
      <c r="C34" s="68" t="s">
        <v>205</v>
      </c>
      <c r="D34" s="71" t="s">
        <v>51</v>
      </c>
      <c r="E34" s="68" t="s">
        <v>206</v>
      </c>
      <c r="F34" s="54"/>
      <c r="G34" s="54"/>
    </row>
    <row r="35" ht="16.5" customHeight="1">
      <c r="A35" s="47" t="s">
        <v>23</v>
      </c>
      <c r="B35" s="48" t="s">
        <v>48</v>
      </c>
      <c r="C35" s="68" t="s">
        <v>207</v>
      </c>
      <c r="D35" s="71" t="s">
        <v>48</v>
      </c>
      <c r="E35" s="68" t="s">
        <v>208</v>
      </c>
      <c r="F35" s="54"/>
      <c r="G35" s="54"/>
    </row>
    <row r="36" ht="16.5" customHeight="1">
      <c r="A36" s="47" t="s">
        <v>24</v>
      </c>
      <c r="B36" s="48" t="s">
        <v>51</v>
      </c>
      <c r="C36" s="63" t="s">
        <v>209</v>
      </c>
      <c r="D36" s="71" t="s">
        <v>51</v>
      </c>
      <c r="E36" s="68" t="s">
        <v>211</v>
      </c>
      <c r="F36" s="54"/>
      <c r="G36" s="54"/>
    </row>
    <row r="37" ht="16.5" customHeight="1">
      <c r="A37" s="47" t="s">
        <v>25</v>
      </c>
      <c r="B37" s="48" t="s">
        <v>48</v>
      </c>
      <c r="C37" s="68" t="s">
        <v>214</v>
      </c>
      <c r="D37" s="71" t="s">
        <v>48</v>
      </c>
      <c r="E37" s="68" t="s">
        <v>220</v>
      </c>
      <c r="F37" s="54"/>
      <c r="G37" s="54"/>
    </row>
    <row r="38" ht="16.5" customHeight="1">
      <c r="A38" s="47" t="s">
        <v>26</v>
      </c>
      <c r="B38" s="51" t="s">
        <v>54</v>
      </c>
      <c r="C38" s="68" t="s">
        <v>223</v>
      </c>
      <c r="D38" s="71" t="s">
        <v>51</v>
      </c>
      <c r="E38" s="68" t="s">
        <v>225</v>
      </c>
      <c r="F38" s="54"/>
      <c r="G38" s="54"/>
    </row>
    <row r="39" ht="16.5" customHeight="1">
      <c r="A39" s="54"/>
      <c r="B39" s="55" t="s">
        <v>113</v>
      </c>
      <c r="C39" s="55" t="s">
        <v>113</v>
      </c>
      <c r="D39" s="55" t="s">
        <v>113</v>
      </c>
      <c r="E39" s="55" t="s">
        <v>113</v>
      </c>
      <c r="F39" s="54"/>
      <c r="G39" s="54"/>
    </row>
    <row r="40" ht="16.5" customHeight="1">
      <c r="A40" s="56" t="s">
        <v>12</v>
      </c>
      <c r="B40" s="70" t="s">
        <v>13</v>
      </c>
      <c r="C40" s="19"/>
      <c r="D40" s="70" t="s">
        <v>14</v>
      </c>
      <c r="E40" s="19"/>
      <c r="F40" s="54"/>
      <c r="G40" s="54"/>
      <c r="H40" s="34"/>
    </row>
    <row r="41" ht="16.5" customHeight="1">
      <c r="A41" s="72"/>
      <c r="B41" s="65" t="s">
        <v>7</v>
      </c>
      <c r="C41" s="65" t="s">
        <v>154</v>
      </c>
      <c r="D41" s="59" t="s">
        <v>7</v>
      </c>
      <c r="E41" s="59" t="s">
        <v>10</v>
      </c>
      <c r="F41" s="54"/>
      <c r="G41" s="54"/>
      <c r="H41" s="34"/>
      <c r="I41" s="40"/>
    </row>
    <row r="42" ht="16.5" customHeight="1">
      <c r="A42" s="47" t="s">
        <v>11</v>
      </c>
      <c r="B42" s="48" t="s">
        <v>51</v>
      </c>
      <c r="C42" s="63" t="s">
        <v>238</v>
      </c>
      <c r="D42" s="69" t="s">
        <v>55</v>
      </c>
      <c r="E42" s="63" t="s">
        <v>240</v>
      </c>
      <c r="F42" s="54"/>
      <c r="G42" s="54"/>
      <c r="H42" s="34"/>
    </row>
    <row r="43" ht="16.5" customHeight="1">
      <c r="A43" s="47" t="s">
        <v>18</v>
      </c>
      <c r="B43" s="48" t="s">
        <v>51</v>
      </c>
      <c r="C43" s="63" t="s">
        <v>242</v>
      </c>
      <c r="D43" s="69" t="s">
        <v>55</v>
      </c>
      <c r="E43" s="63" t="s">
        <v>243</v>
      </c>
      <c r="F43" s="54"/>
      <c r="G43" s="54"/>
      <c r="H43" s="34"/>
    </row>
    <row r="44" ht="16.5" customHeight="1">
      <c r="A44" s="47" t="s">
        <v>19</v>
      </c>
      <c r="B44" s="51" t="s">
        <v>55</v>
      </c>
      <c r="C44" s="63" t="s">
        <v>245</v>
      </c>
      <c r="D44" s="69" t="s">
        <v>55</v>
      </c>
      <c r="E44" s="63" t="s">
        <v>246</v>
      </c>
      <c r="F44" s="54"/>
      <c r="G44" s="54"/>
      <c r="H44" s="34"/>
    </row>
    <row r="45" ht="16.5" customHeight="1">
      <c r="A45" s="47" t="s">
        <v>20</v>
      </c>
      <c r="B45" s="51" t="s">
        <v>54</v>
      </c>
      <c r="C45" s="63" t="s">
        <v>249</v>
      </c>
      <c r="D45" s="48" t="s">
        <v>81</v>
      </c>
      <c r="E45" s="63" t="s">
        <v>251</v>
      </c>
      <c r="F45" s="54"/>
      <c r="G45" s="54"/>
      <c r="H45" s="34"/>
    </row>
    <row r="46" ht="16.5" customHeight="1">
      <c r="A46" s="47" t="s">
        <v>21</v>
      </c>
      <c r="B46" s="51" t="s">
        <v>54</v>
      </c>
      <c r="C46" s="63" t="s">
        <v>253</v>
      </c>
      <c r="D46" s="69" t="s">
        <v>55</v>
      </c>
      <c r="E46" s="63" t="s">
        <v>255</v>
      </c>
      <c r="F46" s="54"/>
      <c r="G46" s="54"/>
      <c r="H46" s="34"/>
    </row>
    <row r="47" ht="16.5" customHeight="1">
      <c r="A47" s="47" t="s">
        <v>22</v>
      </c>
      <c r="B47" s="51" t="s">
        <v>54</v>
      </c>
      <c r="C47" s="63" t="s">
        <v>258</v>
      </c>
      <c r="D47" s="48" t="s">
        <v>51</v>
      </c>
      <c r="E47" s="63" t="s">
        <v>260</v>
      </c>
      <c r="F47" s="54"/>
      <c r="G47" s="54"/>
      <c r="H47" s="34"/>
    </row>
    <row r="48" ht="16.5" customHeight="1">
      <c r="A48" s="47" t="s">
        <v>23</v>
      </c>
      <c r="B48" s="51" t="s">
        <v>54</v>
      </c>
      <c r="C48" s="63" t="s">
        <v>262</v>
      </c>
      <c r="D48" s="69" t="s">
        <v>54</v>
      </c>
      <c r="E48" s="63" t="s">
        <v>263</v>
      </c>
      <c r="F48" s="54"/>
      <c r="G48" s="54"/>
      <c r="H48" s="34"/>
    </row>
    <row r="49" ht="16.5" customHeight="1">
      <c r="A49" s="47" t="s">
        <v>24</v>
      </c>
      <c r="B49" s="48" t="s">
        <v>51</v>
      </c>
      <c r="C49" s="63" t="s">
        <v>267</v>
      </c>
      <c r="D49" s="69" t="s">
        <v>54</v>
      </c>
      <c r="E49" s="63" t="s">
        <v>269</v>
      </c>
      <c r="F49" s="54"/>
      <c r="G49" s="54"/>
      <c r="H49" s="34"/>
    </row>
    <row r="50" ht="16.5" customHeight="1">
      <c r="A50" s="47" t="s">
        <v>25</v>
      </c>
      <c r="B50" s="51" t="s">
        <v>55</v>
      </c>
      <c r="C50" s="63" t="s">
        <v>272</v>
      </c>
      <c r="D50" s="48" t="s">
        <v>51</v>
      </c>
      <c r="E50" s="63" t="s">
        <v>273</v>
      </c>
      <c r="F50" s="54"/>
      <c r="G50" s="55" t="s">
        <v>113</v>
      </c>
      <c r="H50" s="34"/>
      <c r="I50" s="41"/>
    </row>
    <row r="51" ht="16.5" customHeight="1">
      <c r="A51" s="47" t="s">
        <v>26</v>
      </c>
      <c r="B51" s="51" t="s">
        <v>54</v>
      </c>
      <c r="C51" s="63" t="s">
        <v>278</v>
      </c>
      <c r="D51" s="48" t="s">
        <v>51</v>
      </c>
      <c r="E51" s="63" t="s">
        <v>280</v>
      </c>
      <c r="F51" s="54"/>
      <c r="G51" s="55" t="s">
        <v>113</v>
      </c>
      <c r="H51" s="34"/>
      <c r="I51" s="40"/>
    </row>
    <row r="52" ht="16.5" customHeight="1">
      <c r="A52" s="54"/>
      <c r="B52" s="55" t="s">
        <v>113</v>
      </c>
      <c r="C52" s="54"/>
      <c r="D52" s="55" t="s">
        <v>113</v>
      </c>
      <c r="E52" s="54"/>
      <c r="F52" s="54"/>
      <c r="G52" s="54"/>
    </row>
    <row r="53" ht="16.5" customHeight="1">
      <c r="A53" s="56" t="s">
        <v>27</v>
      </c>
      <c r="B53" s="57" t="s">
        <v>28</v>
      </c>
      <c r="C53" s="19"/>
      <c r="D53" s="57" t="s">
        <v>30</v>
      </c>
      <c r="E53" s="19"/>
      <c r="F53" s="54"/>
      <c r="G53" s="55" t="s">
        <v>113</v>
      </c>
      <c r="H53" s="34"/>
    </row>
    <row r="54" ht="16.5" customHeight="1">
      <c r="A54" s="67"/>
      <c r="B54" s="59" t="s">
        <v>7</v>
      </c>
      <c r="C54" s="61" t="s">
        <v>10</v>
      </c>
      <c r="D54" s="59" t="s">
        <v>7</v>
      </c>
      <c r="E54" s="61" t="s">
        <v>10</v>
      </c>
      <c r="F54" s="54"/>
      <c r="G54" s="55" t="s">
        <v>113</v>
      </c>
      <c r="H54" s="34"/>
    </row>
    <row r="55" ht="16.5" customHeight="1">
      <c r="A55" s="47" t="s">
        <v>11</v>
      </c>
      <c r="B55" s="48" t="s">
        <v>48</v>
      </c>
      <c r="C55" s="63" t="s">
        <v>297</v>
      </c>
      <c r="D55" s="48" t="s">
        <v>54</v>
      </c>
      <c r="E55" s="50" t="s">
        <v>299</v>
      </c>
      <c r="F55" s="54"/>
      <c r="G55" s="55" t="s">
        <v>113</v>
      </c>
      <c r="H55" s="34"/>
    </row>
    <row r="56" ht="16.5" customHeight="1">
      <c r="A56" s="47" t="s">
        <v>18</v>
      </c>
      <c r="B56" s="48" t="s">
        <v>48</v>
      </c>
      <c r="C56" s="63" t="s">
        <v>301</v>
      </c>
      <c r="D56" s="48" t="s">
        <v>54</v>
      </c>
      <c r="E56" s="50" t="s">
        <v>303</v>
      </c>
      <c r="F56" s="54"/>
      <c r="G56" s="55" t="s">
        <v>113</v>
      </c>
      <c r="H56" s="34"/>
    </row>
    <row r="57" ht="16.5" customHeight="1">
      <c r="A57" s="47" t="s">
        <v>19</v>
      </c>
      <c r="B57" s="48" t="s">
        <v>51</v>
      </c>
      <c r="C57" s="63" t="s">
        <v>305</v>
      </c>
      <c r="D57" s="48" t="s">
        <v>51</v>
      </c>
      <c r="E57" s="50" t="s">
        <v>306</v>
      </c>
      <c r="F57" s="54"/>
      <c r="G57" s="55" t="s">
        <v>113</v>
      </c>
      <c r="H57" s="34"/>
    </row>
    <row r="58" ht="16.5" customHeight="1">
      <c r="A58" s="47" t="s">
        <v>20</v>
      </c>
      <c r="B58" s="48" t="s">
        <v>55</v>
      </c>
      <c r="C58" s="63" t="s">
        <v>309</v>
      </c>
      <c r="D58" s="48" t="s">
        <v>48</v>
      </c>
      <c r="E58" s="50" t="s">
        <v>310</v>
      </c>
      <c r="F58" s="54"/>
      <c r="G58" s="55" t="s">
        <v>113</v>
      </c>
      <c r="H58" s="34"/>
    </row>
    <row r="59" ht="16.5" customHeight="1">
      <c r="A59" s="47" t="s">
        <v>21</v>
      </c>
      <c r="B59" s="48" t="s">
        <v>48</v>
      </c>
      <c r="C59" s="63" t="s">
        <v>312</v>
      </c>
      <c r="D59" s="48" t="s">
        <v>51</v>
      </c>
      <c r="E59" s="50" t="s">
        <v>314</v>
      </c>
      <c r="F59" s="54"/>
      <c r="G59" s="55" t="s">
        <v>113</v>
      </c>
      <c r="H59" s="34"/>
    </row>
    <row r="60" ht="16.5" customHeight="1">
      <c r="A60" s="47" t="s">
        <v>22</v>
      </c>
      <c r="B60" s="48" t="s">
        <v>51</v>
      </c>
      <c r="C60" s="63" t="s">
        <v>316</v>
      </c>
      <c r="D60" s="48" t="s">
        <v>55</v>
      </c>
      <c r="E60" s="50" t="s">
        <v>317</v>
      </c>
      <c r="F60" s="54"/>
      <c r="G60" s="55" t="s">
        <v>113</v>
      </c>
      <c r="H60" s="34"/>
      <c r="I60" s="41"/>
    </row>
    <row r="61" ht="16.5" customHeight="1">
      <c r="A61" s="47" t="s">
        <v>23</v>
      </c>
      <c r="B61" s="48" t="s">
        <v>54</v>
      </c>
      <c r="C61" s="63" t="s">
        <v>319</v>
      </c>
      <c r="D61" s="48" t="s">
        <v>51</v>
      </c>
      <c r="E61" s="50" t="s">
        <v>321</v>
      </c>
      <c r="F61" s="54"/>
      <c r="G61" s="55" t="s">
        <v>113</v>
      </c>
      <c r="H61" s="34"/>
      <c r="I61" s="40"/>
    </row>
    <row r="62" ht="16.5" customHeight="1">
      <c r="A62" s="47" t="s">
        <v>24</v>
      </c>
      <c r="B62" s="48" t="s">
        <v>51</v>
      </c>
      <c r="C62" s="63" t="s">
        <v>323</v>
      </c>
      <c r="D62" s="48" t="s">
        <v>51</v>
      </c>
      <c r="E62" s="50" t="s">
        <v>324</v>
      </c>
      <c r="F62" s="54"/>
      <c r="G62" s="55" t="s">
        <v>113</v>
      </c>
      <c r="H62" s="34"/>
    </row>
    <row r="63" ht="16.5" customHeight="1">
      <c r="A63" s="47" t="s">
        <v>25</v>
      </c>
      <c r="B63" s="48" t="s">
        <v>54</v>
      </c>
      <c r="C63" s="63" t="s">
        <v>326</v>
      </c>
      <c r="D63" s="48" t="s">
        <v>81</v>
      </c>
      <c r="E63" s="50" t="s">
        <v>327</v>
      </c>
      <c r="F63" s="54"/>
      <c r="G63" s="55" t="s">
        <v>113</v>
      </c>
      <c r="H63" s="34"/>
    </row>
    <row r="64" ht="16.5" customHeight="1">
      <c r="A64" s="47" t="s">
        <v>26</v>
      </c>
      <c r="B64" s="48" t="s">
        <v>51</v>
      </c>
      <c r="C64" s="63" t="s">
        <v>329</v>
      </c>
      <c r="D64" s="48" t="s">
        <v>51</v>
      </c>
      <c r="E64" s="50" t="s">
        <v>330</v>
      </c>
      <c r="F64" s="54"/>
      <c r="G64" s="55" t="s">
        <v>113</v>
      </c>
      <c r="H64" s="34"/>
    </row>
    <row r="65" ht="16.5" customHeight="1">
      <c r="A65" s="54"/>
      <c r="B65" s="55" t="s">
        <v>113</v>
      </c>
      <c r="C65" s="55" t="s">
        <v>113</v>
      </c>
      <c r="D65" s="55" t="s">
        <v>113</v>
      </c>
      <c r="E65" s="55" t="s">
        <v>113</v>
      </c>
      <c r="F65" s="54"/>
      <c r="G65" s="55" t="s">
        <v>113</v>
      </c>
      <c r="H65" s="34"/>
    </row>
    <row r="66" ht="16.5" customHeight="1">
      <c r="A66" s="56" t="s">
        <v>27</v>
      </c>
      <c r="B66" s="57" t="s">
        <v>29</v>
      </c>
      <c r="C66" s="19"/>
      <c r="D66" s="57" t="s">
        <v>31</v>
      </c>
      <c r="E66" s="19"/>
      <c r="F66" s="57" t="s">
        <v>32</v>
      </c>
      <c r="G66" s="19"/>
      <c r="H66" s="34"/>
    </row>
    <row r="67" ht="16.5" customHeight="1">
      <c r="A67" s="67"/>
      <c r="B67" s="59" t="s">
        <v>7</v>
      </c>
      <c r="C67" s="61" t="s">
        <v>10</v>
      </c>
      <c r="D67" s="59" t="s">
        <v>7</v>
      </c>
      <c r="E67" s="61" t="s">
        <v>10</v>
      </c>
      <c r="F67" s="59" t="s">
        <v>7</v>
      </c>
      <c r="G67" s="61" t="s">
        <v>10</v>
      </c>
      <c r="H67" s="34"/>
    </row>
    <row r="68" ht="16.5" customHeight="1">
      <c r="A68" s="47" t="s">
        <v>11</v>
      </c>
      <c r="B68" s="48" t="s">
        <v>51</v>
      </c>
      <c r="C68" s="50" t="s">
        <v>340</v>
      </c>
      <c r="D68" s="48" t="s">
        <v>51</v>
      </c>
      <c r="E68" s="50" t="s">
        <v>342</v>
      </c>
      <c r="F68" s="48" t="s">
        <v>54</v>
      </c>
      <c r="G68" s="50" t="s">
        <v>345</v>
      </c>
      <c r="H68" s="34"/>
    </row>
    <row r="69" ht="16.5" customHeight="1">
      <c r="A69" s="47" t="s">
        <v>18</v>
      </c>
      <c r="B69" s="48" t="s">
        <v>51</v>
      </c>
      <c r="C69" s="50" t="s">
        <v>346</v>
      </c>
      <c r="D69" s="48" t="s">
        <v>54</v>
      </c>
      <c r="E69" s="53" t="s">
        <v>347</v>
      </c>
      <c r="F69" s="48" t="s">
        <v>55</v>
      </c>
      <c r="G69" s="50" t="s">
        <v>349</v>
      </c>
      <c r="H69" s="34"/>
    </row>
    <row r="70" ht="16.5" customHeight="1">
      <c r="A70" s="47" t="s">
        <v>19</v>
      </c>
      <c r="B70" s="48" t="s">
        <v>54</v>
      </c>
      <c r="C70" s="50" t="s">
        <v>351</v>
      </c>
      <c r="D70" s="48" t="s">
        <v>54</v>
      </c>
      <c r="E70" s="50" t="s">
        <v>354</v>
      </c>
      <c r="F70" s="48" t="s">
        <v>55</v>
      </c>
      <c r="G70" s="50" t="s">
        <v>355</v>
      </c>
      <c r="H70" s="34"/>
    </row>
    <row r="71" ht="16.5" customHeight="1">
      <c r="A71" s="47" t="s">
        <v>20</v>
      </c>
      <c r="B71" s="48" t="s">
        <v>51</v>
      </c>
      <c r="C71" s="50" t="s">
        <v>358</v>
      </c>
      <c r="D71" s="48" t="s">
        <v>51</v>
      </c>
      <c r="E71" s="50" t="s">
        <v>360</v>
      </c>
      <c r="F71" s="48" t="s">
        <v>48</v>
      </c>
      <c r="G71" s="50" t="s">
        <v>362</v>
      </c>
      <c r="H71" s="34"/>
    </row>
    <row r="72" ht="16.5" customHeight="1">
      <c r="A72" s="47" t="s">
        <v>21</v>
      </c>
      <c r="B72" s="48" t="s">
        <v>54</v>
      </c>
      <c r="C72" s="50" t="s">
        <v>364</v>
      </c>
      <c r="D72" s="48" t="s">
        <v>54</v>
      </c>
      <c r="E72" s="50" t="s">
        <v>366</v>
      </c>
      <c r="F72" s="48" t="s">
        <v>55</v>
      </c>
      <c r="G72" s="50" t="s">
        <v>368</v>
      </c>
      <c r="H72" s="34"/>
    </row>
    <row r="73" ht="16.5" customHeight="1">
      <c r="A73" s="47" t="s">
        <v>22</v>
      </c>
      <c r="B73" s="48" t="s">
        <v>51</v>
      </c>
      <c r="C73" s="50" t="s">
        <v>370</v>
      </c>
      <c r="D73" s="48" t="s">
        <v>48</v>
      </c>
      <c r="E73" s="50" t="s">
        <v>372</v>
      </c>
      <c r="F73" s="48" t="s">
        <v>48</v>
      </c>
      <c r="G73" s="50" t="s">
        <v>374</v>
      </c>
      <c r="H73" s="34"/>
    </row>
    <row r="74" ht="16.5" customHeight="1">
      <c r="A74" s="47" t="s">
        <v>23</v>
      </c>
      <c r="B74" s="48" t="s">
        <v>51</v>
      </c>
      <c r="C74" s="50" t="s">
        <v>375</v>
      </c>
      <c r="D74" s="48" t="s">
        <v>54</v>
      </c>
      <c r="E74" s="50" t="s">
        <v>377</v>
      </c>
      <c r="F74" s="48" t="s">
        <v>54</v>
      </c>
      <c r="G74" s="50" t="s">
        <v>378</v>
      </c>
    </row>
    <row r="75" ht="16.5" customHeight="1">
      <c r="A75" s="47" t="s">
        <v>24</v>
      </c>
      <c r="B75" s="48" t="s">
        <v>51</v>
      </c>
      <c r="C75" s="50" t="s">
        <v>379</v>
      </c>
      <c r="D75" s="48" t="s">
        <v>54</v>
      </c>
      <c r="E75" s="50" t="s">
        <v>381</v>
      </c>
      <c r="F75" s="48" t="s">
        <v>54</v>
      </c>
      <c r="G75" s="50" t="s">
        <v>382</v>
      </c>
    </row>
    <row r="76" ht="16.5" customHeight="1">
      <c r="A76" s="47" t="s">
        <v>25</v>
      </c>
      <c r="B76" s="48" t="s">
        <v>54</v>
      </c>
      <c r="C76" s="50" t="s">
        <v>383</v>
      </c>
      <c r="D76" s="48" t="s">
        <v>51</v>
      </c>
      <c r="E76" s="50" t="s">
        <v>384</v>
      </c>
      <c r="F76" s="48" t="s">
        <v>51</v>
      </c>
      <c r="G76" s="50" t="s">
        <v>386</v>
      </c>
    </row>
    <row r="77" ht="16.5" customHeight="1">
      <c r="A77" s="47" t="s">
        <v>26</v>
      </c>
      <c r="B77" s="48" t="s">
        <v>51</v>
      </c>
      <c r="C77" s="50" t="s">
        <v>387</v>
      </c>
      <c r="D77" s="48" t="s">
        <v>54</v>
      </c>
      <c r="E77" s="50" t="s">
        <v>389</v>
      </c>
      <c r="F77" s="48" t="s">
        <v>54</v>
      </c>
      <c r="G77" s="50" t="s">
        <v>390</v>
      </c>
    </row>
    <row r="78" ht="16.5" customHeight="1">
      <c r="A78" s="54"/>
      <c r="B78" s="55" t="s">
        <v>113</v>
      </c>
      <c r="C78" s="55" t="s">
        <v>113</v>
      </c>
      <c r="D78" s="55" t="s">
        <v>113</v>
      </c>
      <c r="E78" s="55" t="s">
        <v>113</v>
      </c>
      <c r="F78" s="55" t="s">
        <v>113</v>
      </c>
      <c r="G78" s="55" t="s">
        <v>113</v>
      </c>
    </row>
    <row r="79" ht="16.5" customHeight="1">
      <c r="A79" s="56" t="s">
        <v>33</v>
      </c>
      <c r="B79" s="57" t="s">
        <v>46</v>
      </c>
      <c r="C79" s="19"/>
      <c r="D79" s="57" t="s">
        <v>35</v>
      </c>
      <c r="E79" s="19"/>
      <c r="F79" s="54"/>
      <c r="G79" s="54"/>
    </row>
    <row r="80" ht="16.5" customHeight="1">
      <c r="A80" s="20"/>
      <c r="B80" s="59" t="s">
        <v>7</v>
      </c>
      <c r="C80" s="59" t="s">
        <v>10</v>
      </c>
      <c r="D80" s="59" t="s">
        <v>7</v>
      </c>
      <c r="E80" s="59" t="s">
        <v>10</v>
      </c>
      <c r="F80" s="54"/>
      <c r="G80" s="54"/>
    </row>
    <row r="81" ht="16.5" customHeight="1">
      <c r="A81" s="47" t="s">
        <v>11</v>
      </c>
      <c r="B81" s="48" t="s">
        <v>51</v>
      </c>
      <c r="C81" s="50" t="s">
        <v>325</v>
      </c>
      <c r="D81" s="48" t="s">
        <v>51</v>
      </c>
      <c r="E81" s="50" t="s">
        <v>328</v>
      </c>
      <c r="F81" s="54"/>
      <c r="G81" s="54"/>
    </row>
    <row r="82" ht="16.5" customHeight="1">
      <c r="A82" s="47" t="s">
        <v>18</v>
      </c>
      <c r="B82" s="48" t="s">
        <v>54</v>
      </c>
      <c r="C82" s="50" t="s">
        <v>331</v>
      </c>
      <c r="D82" s="48" t="s">
        <v>54</v>
      </c>
      <c r="E82" s="50" t="s">
        <v>332</v>
      </c>
      <c r="F82" s="54"/>
      <c r="G82" s="54"/>
    </row>
    <row r="83" ht="16.5" customHeight="1">
      <c r="A83" s="47" t="s">
        <v>19</v>
      </c>
      <c r="B83" s="48" t="s">
        <v>54</v>
      </c>
      <c r="C83" s="50" t="s">
        <v>333</v>
      </c>
      <c r="D83" s="48" t="s">
        <v>54</v>
      </c>
      <c r="E83" s="50" t="s">
        <v>334</v>
      </c>
      <c r="F83" s="54"/>
      <c r="G83" s="54"/>
    </row>
    <row r="84" ht="16.5" customHeight="1">
      <c r="A84" s="47" t="s">
        <v>20</v>
      </c>
      <c r="B84" s="48" t="s">
        <v>48</v>
      </c>
      <c r="C84" s="50" t="s">
        <v>335</v>
      </c>
      <c r="D84" s="48" t="s">
        <v>48</v>
      </c>
      <c r="E84" s="50" t="s">
        <v>336</v>
      </c>
      <c r="F84" s="54"/>
      <c r="G84" s="54"/>
    </row>
    <row r="85" ht="16.5" customHeight="1">
      <c r="A85" s="47" t="s">
        <v>21</v>
      </c>
      <c r="B85" s="48" t="s">
        <v>54</v>
      </c>
      <c r="C85" s="50" t="s">
        <v>338</v>
      </c>
      <c r="D85" s="48" t="s">
        <v>54</v>
      </c>
      <c r="E85" s="50" t="s">
        <v>339</v>
      </c>
      <c r="F85" s="54"/>
      <c r="G85" s="54"/>
    </row>
    <row r="86" ht="16.5" customHeight="1">
      <c r="A86" s="47" t="s">
        <v>22</v>
      </c>
      <c r="B86" s="48" t="s">
        <v>51</v>
      </c>
      <c r="C86" s="50" t="s">
        <v>341</v>
      </c>
      <c r="D86" s="48" t="s">
        <v>51</v>
      </c>
      <c r="E86" s="50" t="s">
        <v>344</v>
      </c>
      <c r="F86" s="54"/>
      <c r="G86" s="54"/>
    </row>
    <row r="87" ht="16.5" customHeight="1">
      <c r="A87" s="47" t="s">
        <v>23</v>
      </c>
      <c r="B87" s="48" t="s">
        <v>51</v>
      </c>
      <c r="C87" s="50" t="s">
        <v>348</v>
      </c>
      <c r="D87" s="48" t="s">
        <v>51</v>
      </c>
      <c r="E87" s="50" t="s">
        <v>352</v>
      </c>
      <c r="F87" s="54"/>
      <c r="G87" s="54"/>
    </row>
    <row r="88" ht="16.5" customHeight="1">
      <c r="A88" s="47" t="s">
        <v>24</v>
      </c>
      <c r="B88" s="48" t="s">
        <v>51</v>
      </c>
      <c r="C88" s="50" t="s">
        <v>356</v>
      </c>
      <c r="D88" s="48" t="s">
        <v>51</v>
      </c>
      <c r="E88" s="50" t="s">
        <v>359</v>
      </c>
      <c r="F88" s="54"/>
      <c r="G88" s="54"/>
    </row>
    <row r="89" ht="16.5" customHeight="1">
      <c r="A89" s="47" t="s">
        <v>25</v>
      </c>
      <c r="B89" s="48" t="s">
        <v>51</v>
      </c>
      <c r="C89" s="50" t="s">
        <v>363</v>
      </c>
      <c r="D89" s="48" t="s">
        <v>51</v>
      </c>
      <c r="E89" s="50" t="s">
        <v>365</v>
      </c>
      <c r="F89" s="54"/>
      <c r="G89" s="54"/>
    </row>
    <row r="90" ht="16.5" customHeight="1">
      <c r="A90" s="47" t="s">
        <v>26</v>
      </c>
      <c r="B90" s="48" t="s">
        <v>54</v>
      </c>
      <c r="C90" s="50" t="s">
        <v>371</v>
      </c>
      <c r="D90" s="48" t="s">
        <v>54</v>
      </c>
      <c r="E90" s="50" t="s">
        <v>373</v>
      </c>
      <c r="F90" s="54"/>
      <c r="G90" s="54"/>
    </row>
    <row r="91" ht="16.5" customHeight="1">
      <c r="A91" s="54"/>
      <c r="B91" s="55" t="s">
        <v>113</v>
      </c>
      <c r="C91" s="54"/>
      <c r="D91" s="55" t="s">
        <v>113</v>
      </c>
      <c r="E91" s="54"/>
      <c r="F91" s="55" t="s">
        <v>113</v>
      </c>
      <c r="G91" s="54"/>
    </row>
    <row r="92" ht="16.5" customHeight="1">
      <c r="A92" s="56" t="s">
        <v>33</v>
      </c>
      <c r="B92" s="57" t="s">
        <v>36</v>
      </c>
      <c r="C92" s="19"/>
      <c r="D92" s="70" t="s">
        <v>37</v>
      </c>
      <c r="E92" s="19"/>
      <c r="F92" s="54"/>
      <c r="G92" s="54"/>
    </row>
    <row r="93" ht="16.5" customHeight="1">
      <c r="A93" s="20"/>
      <c r="B93" s="59" t="s">
        <v>7</v>
      </c>
      <c r="C93" s="59" t="s">
        <v>10</v>
      </c>
      <c r="D93" s="59" t="s">
        <v>7</v>
      </c>
      <c r="E93" s="59" t="s">
        <v>10</v>
      </c>
      <c r="F93" s="54"/>
      <c r="G93" s="54"/>
    </row>
    <row r="94" ht="16.5" customHeight="1">
      <c r="A94" s="47" t="s">
        <v>11</v>
      </c>
      <c r="B94" s="48" t="s">
        <v>54</v>
      </c>
      <c r="C94" s="50" t="s">
        <v>409</v>
      </c>
      <c r="D94" s="48" t="s">
        <v>51</v>
      </c>
      <c r="E94" s="50" t="s">
        <v>411</v>
      </c>
      <c r="F94" s="54"/>
      <c r="G94" s="54"/>
    </row>
    <row r="95" ht="16.5" customHeight="1">
      <c r="A95" s="47" t="s">
        <v>18</v>
      </c>
      <c r="B95" s="48" t="s">
        <v>54</v>
      </c>
      <c r="C95" s="50" t="s">
        <v>412</v>
      </c>
      <c r="D95" s="48" t="s">
        <v>51</v>
      </c>
      <c r="E95" s="50" t="s">
        <v>414</v>
      </c>
      <c r="F95" s="54"/>
      <c r="G95" s="54"/>
    </row>
    <row r="96" ht="16.5" customHeight="1">
      <c r="A96" s="47" t="s">
        <v>19</v>
      </c>
      <c r="B96" s="48" t="s">
        <v>55</v>
      </c>
      <c r="C96" s="50" t="s">
        <v>415</v>
      </c>
      <c r="D96" s="48" t="s">
        <v>48</v>
      </c>
      <c r="E96" s="50" t="s">
        <v>416</v>
      </c>
      <c r="F96" s="54"/>
      <c r="G96" s="54"/>
    </row>
    <row r="97" ht="16.5" customHeight="1">
      <c r="A97" s="47" t="s">
        <v>20</v>
      </c>
      <c r="B97" s="48" t="s">
        <v>81</v>
      </c>
      <c r="C97" s="50" t="s">
        <v>418</v>
      </c>
      <c r="D97" s="48" t="s">
        <v>51</v>
      </c>
      <c r="E97" s="50" t="s">
        <v>419</v>
      </c>
      <c r="F97" s="54"/>
      <c r="G97" s="54"/>
    </row>
    <row r="98" ht="16.5" customHeight="1">
      <c r="A98" s="47" t="s">
        <v>21</v>
      </c>
      <c r="B98" s="48" t="s">
        <v>54</v>
      </c>
      <c r="C98" s="50" t="s">
        <v>421</v>
      </c>
      <c r="D98" s="48" t="s">
        <v>48</v>
      </c>
      <c r="E98" s="50" t="s">
        <v>422</v>
      </c>
      <c r="F98" s="54"/>
      <c r="G98" s="54"/>
    </row>
    <row r="99" ht="16.5" customHeight="1">
      <c r="A99" s="47" t="s">
        <v>22</v>
      </c>
      <c r="B99" s="48" t="s">
        <v>51</v>
      </c>
      <c r="C99" s="50" t="s">
        <v>424</v>
      </c>
      <c r="D99" s="48" t="s">
        <v>54</v>
      </c>
      <c r="E99" s="50" t="s">
        <v>426</v>
      </c>
      <c r="F99" s="54"/>
      <c r="G99" s="54"/>
    </row>
    <row r="100" ht="16.5" customHeight="1">
      <c r="A100" s="47" t="s">
        <v>23</v>
      </c>
      <c r="B100" s="48" t="s">
        <v>51</v>
      </c>
      <c r="C100" s="50" t="s">
        <v>427</v>
      </c>
      <c r="D100" s="48" t="s">
        <v>48</v>
      </c>
      <c r="E100" s="50" t="s">
        <v>428</v>
      </c>
      <c r="F100" s="54"/>
      <c r="G100" s="54"/>
    </row>
    <row r="101" ht="16.5" customHeight="1">
      <c r="A101" s="47" t="s">
        <v>24</v>
      </c>
      <c r="B101" s="48" t="s">
        <v>54</v>
      </c>
      <c r="C101" s="50" t="s">
        <v>429</v>
      </c>
      <c r="D101" s="48" t="s">
        <v>48</v>
      </c>
      <c r="E101" s="75" t="s">
        <v>430</v>
      </c>
      <c r="F101" s="54"/>
      <c r="G101" s="54"/>
    </row>
    <row r="102" ht="16.5" customHeight="1">
      <c r="A102" s="47" t="s">
        <v>25</v>
      </c>
      <c r="B102" s="48" t="s">
        <v>48</v>
      </c>
      <c r="C102" s="50" t="s">
        <v>432</v>
      </c>
      <c r="D102" s="48" t="s">
        <v>48</v>
      </c>
      <c r="E102" s="50" t="s">
        <v>433</v>
      </c>
      <c r="F102" s="54"/>
      <c r="G102" s="54"/>
    </row>
    <row r="103" ht="16.5" customHeight="1">
      <c r="A103" s="47" t="s">
        <v>26</v>
      </c>
      <c r="B103" s="48" t="s">
        <v>54</v>
      </c>
      <c r="C103" s="50" t="s">
        <v>434</v>
      </c>
      <c r="D103" s="48" t="s">
        <v>54</v>
      </c>
      <c r="E103" s="50" t="s">
        <v>435</v>
      </c>
      <c r="F103" s="54"/>
      <c r="G103" s="54"/>
    </row>
    <row r="104" ht="16.5" customHeight="1">
      <c r="A104" s="54"/>
      <c r="B104" s="55" t="s">
        <v>113</v>
      </c>
      <c r="C104" s="54"/>
      <c r="D104" s="55" t="s">
        <v>113</v>
      </c>
      <c r="E104" s="54"/>
      <c r="F104" s="54"/>
      <c r="G104" s="54"/>
    </row>
    <row r="105" ht="16.5" customHeight="1">
      <c r="A105" s="56" t="s">
        <v>33</v>
      </c>
      <c r="B105" s="57" t="s">
        <v>38</v>
      </c>
      <c r="C105" s="19"/>
      <c r="D105" s="70" t="s">
        <v>431</v>
      </c>
      <c r="E105" s="19"/>
      <c r="F105" s="54"/>
      <c r="G105" s="54"/>
    </row>
    <row r="106" ht="16.5" customHeight="1">
      <c r="A106" s="20"/>
      <c r="B106" s="59" t="s">
        <v>7</v>
      </c>
      <c r="C106" s="59" t="s">
        <v>10</v>
      </c>
      <c r="D106" s="59" t="s">
        <v>7</v>
      </c>
      <c r="E106" s="59" t="s">
        <v>10</v>
      </c>
      <c r="F106" s="54"/>
      <c r="G106" s="54"/>
    </row>
    <row r="107" ht="16.5" customHeight="1">
      <c r="A107" s="47" t="s">
        <v>11</v>
      </c>
      <c r="B107" s="48" t="s">
        <v>54</v>
      </c>
      <c r="C107" s="50" t="s">
        <v>441</v>
      </c>
      <c r="D107" s="48" t="s">
        <v>55</v>
      </c>
      <c r="E107" s="50" t="s">
        <v>442</v>
      </c>
      <c r="F107" s="54"/>
      <c r="G107" s="54"/>
    </row>
    <row r="108" ht="16.5" customHeight="1">
      <c r="A108" s="47" t="s">
        <v>18</v>
      </c>
      <c r="B108" s="48" t="s">
        <v>54</v>
      </c>
      <c r="C108" s="50" t="s">
        <v>444</v>
      </c>
      <c r="D108" s="48" t="s">
        <v>55</v>
      </c>
      <c r="E108" s="50" t="s">
        <v>445</v>
      </c>
      <c r="F108" s="54"/>
      <c r="G108" s="54"/>
    </row>
    <row r="109" ht="16.5" customHeight="1">
      <c r="A109" s="47" t="s">
        <v>19</v>
      </c>
      <c r="B109" s="48" t="s">
        <v>55</v>
      </c>
      <c r="C109" s="50" t="s">
        <v>447</v>
      </c>
      <c r="D109" s="48" t="s">
        <v>54</v>
      </c>
      <c r="E109" s="50" t="s">
        <v>449</v>
      </c>
      <c r="F109" s="54"/>
      <c r="G109" s="54"/>
    </row>
    <row r="110" ht="16.5" customHeight="1">
      <c r="A110" s="47" t="s">
        <v>20</v>
      </c>
      <c r="B110" s="48" t="s">
        <v>48</v>
      </c>
      <c r="C110" s="50" t="s">
        <v>450</v>
      </c>
      <c r="D110" s="48" t="s">
        <v>81</v>
      </c>
      <c r="E110" s="50" t="s">
        <v>452</v>
      </c>
      <c r="F110" s="54"/>
      <c r="G110" s="54"/>
    </row>
    <row r="111" ht="16.5" customHeight="1">
      <c r="A111" s="47" t="s">
        <v>21</v>
      </c>
      <c r="B111" s="48" t="s">
        <v>54</v>
      </c>
      <c r="C111" s="50" t="s">
        <v>454</v>
      </c>
      <c r="D111" s="48" t="s">
        <v>55</v>
      </c>
      <c r="E111" s="50" t="s">
        <v>455</v>
      </c>
      <c r="F111" s="54"/>
      <c r="G111" s="54"/>
    </row>
    <row r="112" ht="16.5" customHeight="1">
      <c r="A112" s="47" t="s">
        <v>22</v>
      </c>
      <c r="B112" s="48" t="s">
        <v>48</v>
      </c>
      <c r="C112" s="50" t="s">
        <v>456</v>
      </c>
      <c r="D112" s="48" t="s">
        <v>48</v>
      </c>
      <c r="E112" s="50" t="s">
        <v>458</v>
      </c>
      <c r="F112" s="54"/>
      <c r="G112" s="54"/>
    </row>
    <row r="113" ht="16.5" customHeight="1">
      <c r="A113" s="47" t="s">
        <v>23</v>
      </c>
      <c r="B113" s="48" t="s">
        <v>51</v>
      </c>
      <c r="C113" s="50" t="s">
        <v>460</v>
      </c>
      <c r="D113" s="48" t="s">
        <v>54</v>
      </c>
      <c r="E113" s="50" t="s">
        <v>461</v>
      </c>
      <c r="F113" s="54"/>
      <c r="G113" s="54"/>
    </row>
    <row r="114" ht="16.5" customHeight="1">
      <c r="A114" s="47" t="s">
        <v>24</v>
      </c>
      <c r="B114" s="48" t="s">
        <v>51</v>
      </c>
      <c r="C114" s="50" t="s">
        <v>463</v>
      </c>
      <c r="D114" s="48" t="s">
        <v>54</v>
      </c>
      <c r="E114" s="50" t="s">
        <v>464</v>
      </c>
      <c r="F114" s="54"/>
      <c r="G114" s="54"/>
    </row>
    <row r="115" ht="16.5" customHeight="1">
      <c r="A115" s="47" t="s">
        <v>25</v>
      </c>
      <c r="B115" s="48" t="s">
        <v>48</v>
      </c>
      <c r="C115" s="50" t="s">
        <v>466</v>
      </c>
      <c r="D115" s="48" t="s">
        <v>81</v>
      </c>
      <c r="E115" s="50" t="s">
        <v>467</v>
      </c>
      <c r="F115" s="54"/>
      <c r="G115" s="54"/>
    </row>
    <row r="116" ht="16.5" customHeight="1">
      <c r="A116" s="47" t="s">
        <v>26</v>
      </c>
      <c r="B116" s="48" t="s">
        <v>51</v>
      </c>
      <c r="C116" s="50" t="s">
        <v>469</v>
      </c>
      <c r="D116" s="48" t="s">
        <v>51</v>
      </c>
      <c r="E116" s="50" t="s">
        <v>470</v>
      </c>
      <c r="F116" s="54"/>
      <c r="G116" s="54"/>
    </row>
    <row r="117" ht="16.5" customHeight="1">
      <c r="A117" s="54"/>
      <c r="B117" s="55" t="s">
        <v>113</v>
      </c>
      <c r="C117" s="54"/>
      <c r="D117" s="55" t="s">
        <v>113</v>
      </c>
      <c r="E117" s="54"/>
      <c r="F117" s="54"/>
      <c r="G117" s="54"/>
    </row>
    <row r="118" ht="16.5" customHeight="1">
      <c r="A118" s="56" t="s">
        <v>40</v>
      </c>
      <c r="B118" s="70" t="s">
        <v>41</v>
      </c>
      <c r="C118" s="19"/>
      <c r="D118" s="70" t="s">
        <v>42</v>
      </c>
      <c r="E118" s="19"/>
      <c r="F118" s="70" t="s">
        <v>43</v>
      </c>
      <c r="G118" s="19"/>
    </row>
    <row r="119" ht="16.5" customHeight="1">
      <c r="A119" s="20"/>
      <c r="B119" s="59" t="s">
        <v>7</v>
      </c>
      <c r="C119" s="59" t="s">
        <v>10</v>
      </c>
      <c r="D119" s="59" t="s">
        <v>7</v>
      </c>
      <c r="E119" s="59" t="s">
        <v>10</v>
      </c>
      <c r="F119" s="59" t="s">
        <v>7</v>
      </c>
      <c r="G119" s="59" t="s">
        <v>10</v>
      </c>
    </row>
    <row r="120" ht="16.5" customHeight="1">
      <c r="A120" s="47" t="s">
        <v>11</v>
      </c>
      <c r="B120" s="48" t="s">
        <v>54</v>
      </c>
      <c r="C120" s="50" t="s">
        <v>476</v>
      </c>
      <c r="D120" s="48" t="s">
        <v>54</v>
      </c>
      <c r="E120" s="50" t="s">
        <v>477</v>
      </c>
      <c r="F120" s="48" t="s">
        <v>54</v>
      </c>
      <c r="G120" s="50" t="s">
        <v>478</v>
      </c>
    </row>
    <row r="121" ht="16.5" customHeight="1">
      <c r="A121" s="47" t="s">
        <v>18</v>
      </c>
      <c r="B121" s="48" t="s">
        <v>55</v>
      </c>
      <c r="C121" s="50" t="s">
        <v>479</v>
      </c>
      <c r="D121" s="48" t="s">
        <v>54</v>
      </c>
      <c r="E121" s="50" t="s">
        <v>480</v>
      </c>
      <c r="F121" s="48" t="s">
        <v>54</v>
      </c>
      <c r="G121" s="50" t="s">
        <v>481</v>
      </c>
    </row>
    <row r="122" ht="16.5" customHeight="1">
      <c r="A122" s="47" t="s">
        <v>19</v>
      </c>
      <c r="B122" s="48" t="s">
        <v>51</v>
      </c>
      <c r="C122" s="50" t="s">
        <v>482</v>
      </c>
      <c r="D122" s="48" t="s">
        <v>51</v>
      </c>
      <c r="E122" s="50" t="s">
        <v>483</v>
      </c>
      <c r="F122" s="48" t="s">
        <v>48</v>
      </c>
      <c r="G122" s="50" t="s">
        <v>484</v>
      </c>
    </row>
    <row r="123" ht="16.5" customHeight="1">
      <c r="A123" s="47" t="s">
        <v>20</v>
      </c>
      <c r="B123" s="48" t="s">
        <v>54</v>
      </c>
      <c r="C123" s="50" t="s">
        <v>485</v>
      </c>
      <c r="D123" s="48" t="s">
        <v>51</v>
      </c>
      <c r="E123" s="50" t="s">
        <v>486</v>
      </c>
      <c r="F123" s="48" t="s">
        <v>48</v>
      </c>
      <c r="G123" s="50" t="s">
        <v>487</v>
      </c>
    </row>
    <row r="124" ht="16.5" customHeight="1">
      <c r="A124" s="47" t="s">
        <v>21</v>
      </c>
      <c r="B124" s="48" t="s">
        <v>54</v>
      </c>
      <c r="C124" s="50" t="s">
        <v>488</v>
      </c>
      <c r="D124" s="48" t="s">
        <v>54</v>
      </c>
      <c r="E124" s="50" t="s">
        <v>491</v>
      </c>
      <c r="F124" s="48" t="s">
        <v>54</v>
      </c>
      <c r="G124" s="50" t="s">
        <v>492</v>
      </c>
    </row>
    <row r="125" ht="16.5" customHeight="1">
      <c r="A125" s="47" t="s">
        <v>22</v>
      </c>
      <c r="B125" s="48" t="s">
        <v>51</v>
      </c>
      <c r="C125" s="50" t="s">
        <v>494</v>
      </c>
      <c r="D125" s="48" t="s">
        <v>51</v>
      </c>
      <c r="E125" s="50" t="s">
        <v>495</v>
      </c>
      <c r="F125" s="48" t="s">
        <v>54</v>
      </c>
      <c r="G125" s="50" t="s">
        <v>497</v>
      </c>
    </row>
    <row r="126" ht="16.5" customHeight="1">
      <c r="A126" s="47" t="s">
        <v>23</v>
      </c>
      <c r="B126" s="48" t="s">
        <v>51</v>
      </c>
      <c r="C126" s="50" t="s">
        <v>499</v>
      </c>
      <c r="D126" s="48" t="s">
        <v>51</v>
      </c>
      <c r="E126" s="50" t="s">
        <v>501</v>
      </c>
      <c r="F126" s="48" t="s">
        <v>51</v>
      </c>
      <c r="G126" s="50" t="s">
        <v>502</v>
      </c>
    </row>
    <row r="127" ht="16.5" customHeight="1">
      <c r="A127" s="47" t="s">
        <v>24</v>
      </c>
      <c r="B127" s="48" t="s">
        <v>51</v>
      </c>
      <c r="C127" s="50" t="s">
        <v>504</v>
      </c>
      <c r="D127" s="48" t="s">
        <v>51</v>
      </c>
      <c r="E127" s="50" t="s">
        <v>505</v>
      </c>
      <c r="F127" s="48" t="s">
        <v>48</v>
      </c>
      <c r="G127" s="50" t="s">
        <v>507</v>
      </c>
    </row>
    <row r="128" ht="16.5" customHeight="1">
      <c r="A128" s="47" t="s">
        <v>25</v>
      </c>
      <c r="B128" s="48" t="s">
        <v>54</v>
      </c>
      <c r="C128" s="50" t="s">
        <v>509</v>
      </c>
      <c r="D128" s="48" t="s">
        <v>51</v>
      </c>
      <c r="E128" s="50" t="s">
        <v>510</v>
      </c>
      <c r="F128" s="48" t="s">
        <v>81</v>
      </c>
      <c r="G128" s="50" t="s">
        <v>512</v>
      </c>
    </row>
    <row r="129" ht="16.5" customHeight="1">
      <c r="A129" s="47" t="s">
        <v>26</v>
      </c>
      <c r="B129" s="48" t="s">
        <v>51</v>
      </c>
      <c r="C129" s="50" t="s">
        <v>514</v>
      </c>
      <c r="D129" s="48" t="s">
        <v>54</v>
      </c>
      <c r="E129" s="50" t="s">
        <v>515</v>
      </c>
      <c r="F129" s="48" t="s">
        <v>51</v>
      </c>
      <c r="G129" s="50" t="s">
        <v>517</v>
      </c>
    </row>
    <row r="130" ht="16.5" customHeight="1">
      <c r="B130" s="42"/>
      <c r="D130" s="42"/>
      <c r="F130" s="42"/>
    </row>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hyperlinks>
    <hyperlink r:id="rId1" ref="C29"/>
    <hyperlink r:id="rId2" ref="E29"/>
    <hyperlink r:id="rId3" ref="C30"/>
    <hyperlink r:id="rId4" ref="E30"/>
    <hyperlink r:id="rId5" ref="C31"/>
    <hyperlink r:id="rId6" ref="E31"/>
    <hyperlink r:id="rId7" ref="C32"/>
    <hyperlink r:id="rId8" ref="E32"/>
    <hyperlink r:id="rId9" ref="C33"/>
    <hyperlink r:id="rId10" ref="E33"/>
    <hyperlink r:id="rId11" ref="C34"/>
    <hyperlink r:id="rId12" ref="E34"/>
    <hyperlink r:id="rId13" ref="C35"/>
    <hyperlink r:id="rId14" ref="E35"/>
    <hyperlink r:id="rId15" ref="E36"/>
    <hyperlink r:id="rId16" ref="C37"/>
    <hyperlink r:id="rId17" ref="E37"/>
    <hyperlink r:id="rId18" ref="C38"/>
    <hyperlink r:id="rId19" ref="E38"/>
  </hyperlinks>
  <printOptions/>
  <pageMargins bottom="0.75" footer="0.0" header="0.0" left="0.7" right="0.7" top="0.75"/>
  <pageSetup paperSize="9" orientation="portrait"/>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253.0"/>
    <col customWidth="1" min="4" max="4" width="9.86"/>
    <col customWidth="1" min="5" max="5" width="205.71"/>
    <col customWidth="1" min="6" max="6" width="16.0"/>
    <col customWidth="1" min="7" max="7" width="157.43"/>
    <col customWidth="1" min="8" max="8" width="8.86"/>
    <col customWidth="1" min="9" max="9" width="64.14"/>
  </cols>
  <sheetData>
    <row r="1" ht="16.5" customHeight="1">
      <c r="A1" s="24" t="s">
        <v>44</v>
      </c>
      <c r="B1" s="46" t="s">
        <v>2</v>
      </c>
      <c r="C1" s="19"/>
      <c r="D1" s="46" t="s">
        <v>8</v>
      </c>
      <c r="E1" s="19"/>
      <c r="F1" s="46" t="s">
        <v>9</v>
      </c>
      <c r="G1" s="19"/>
    </row>
    <row r="2" ht="16.5" customHeight="1">
      <c r="A2" s="20"/>
      <c r="B2" s="26" t="s">
        <v>7</v>
      </c>
      <c r="C2" s="26" t="s">
        <v>10</v>
      </c>
      <c r="D2" s="26" t="s">
        <v>7</v>
      </c>
      <c r="E2" s="26" t="s">
        <v>10</v>
      </c>
      <c r="F2" s="26" t="s">
        <v>7</v>
      </c>
      <c r="G2" s="26" t="s">
        <v>10</v>
      </c>
    </row>
    <row r="3" ht="16.5" customHeight="1">
      <c r="A3" s="47" t="s">
        <v>11</v>
      </c>
      <c r="B3" s="48" t="s">
        <v>48</v>
      </c>
      <c r="C3" s="49" t="s">
        <v>49</v>
      </c>
      <c r="D3" s="48" t="s">
        <v>51</v>
      </c>
      <c r="E3" s="50" t="s">
        <v>52</v>
      </c>
      <c r="F3" s="51" t="s">
        <v>54</v>
      </c>
      <c r="G3" s="50" t="s">
        <v>56</v>
      </c>
    </row>
    <row r="4" ht="16.5" customHeight="1">
      <c r="A4" s="47" t="s">
        <v>18</v>
      </c>
      <c r="B4" s="51" t="s">
        <v>54</v>
      </c>
      <c r="C4" s="52" t="s">
        <v>58</v>
      </c>
      <c r="D4" s="51" t="s">
        <v>54</v>
      </c>
      <c r="E4" s="50" t="s">
        <v>60</v>
      </c>
      <c r="F4" s="48" t="s">
        <v>48</v>
      </c>
      <c r="G4" s="50" t="s">
        <v>62</v>
      </c>
    </row>
    <row r="5" ht="16.5" customHeight="1">
      <c r="A5" s="47" t="s">
        <v>19</v>
      </c>
      <c r="B5" s="51" t="s">
        <v>54</v>
      </c>
      <c r="C5" s="49" t="s">
        <v>64</v>
      </c>
      <c r="D5" s="51" t="s">
        <v>55</v>
      </c>
      <c r="E5" s="53" t="s">
        <v>66</v>
      </c>
      <c r="F5" s="48" t="s">
        <v>48</v>
      </c>
      <c r="G5" s="50" t="s">
        <v>67</v>
      </c>
    </row>
    <row r="6" ht="16.5" customHeight="1">
      <c r="A6" s="47" t="s">
        <v>20</v>
      </c>
      <c r="B6" s="51" t="s">
        <v>54</v>
      </c>
      <c r="C6" s="52" t="s">
        <v>70</v>
      </c>
      <c r="D6" s="48" t="s">
        <v>51</v>
      </c>
      <c r="E6" s="50" t="s">
        <v>72</v>
      </c>
      <c r="F6" s="51" t="s">
        <v>54</v>
      </c>
      <c r="G6" s="50" t="s">
        <v>73</v>
      </c>
    </row>
    <row r="7" ht="16.5" customHeight="1">
      <c r="A7" s="47" t="s">
        <v>21</v>
      </c>
      <c r="B7" s="51" t="s">
        <v>54</v>
      </c>
      <c r="C7" s="52" t="s">
        <v>75</v>
      </c>
      <c r="D7" s="51" t="s">
        <v>55</v>
      </c>
      <c r="E7" s="50" t="s">
        <v>77</v>
      </c>
      <c r="F7" s="48" t="s">
        <v>48</v>
      </c>
      <c r="G7" s="50" t="s">
        <v>79</v>
      </c>
    </row>
    <row r="8" ht="16.5" customHeight="1">
      <c r="A8" s="47" t="s">
        <v>22</v>
      </c>
      <c r="B8" s="48" t="s">
        <v>81</v>
      </c>
      <c r="C8" s="52" t="s">
        <v>82</v>
      </c>
      <c r="D8" s="51" t="s">
        <v>54</v>
      </c>
      <c r="E8" s="50" t="s">
        <v>84</v>
      </c>
      <c r="F8" s="51" t="s">
        <v>54</v>
      </c>
      <c r="G8" s="50" t="s">
        <v>89</v>
      </c>
    </row>
    <row r="9" ht="16.5" customHeight="1">
      <c r="A9" s="47" t="s">
        <v>23</v>
      </c>
      <c r="B9" s="48" t="s">
        <v>51</v>
      </c>
      <c r="C9" s="49" t="s">
        <v>231</v>
      </c>
      <c r="D9" s="51" t="s">
        <v>54</v>
      </c>
      <c r="E9" s="50" t="s">
        <v>90</v>
      </c>
      <c r="F9" s="51" t="s">
        <v>55</v>
      </c>
      <c r="G9" s="50" t="s">
        <v>91</v>
      </c>
    </row>
    <row r="10" ht="16.5" customHeight="1">
      <c r="A10" s="47" t="s">
        <v>24</v>
      </c>
      <c r="B10" s="51" t="s">
        <v>54</v>
      </c>
      <c r="C10" s="49" t="s">
        <v>234</v>
      </c>
      <c r="D10" s="48" t="s">
        <v>51</v>
      </c>
      <c r="E10" s="50" t="s">
        <v>95</v>
      </c>
      <c r="F10" s="48" t="s">
        <v>48</v>
      </c>
      <c r="G10" s="50" t="s">
        <v>97</v>
      </c>
    </row>
    <row r="11" ht="16.5" customHeight="1">
      <c r="A11" s="47" t="s">
        <v>25</v>
      </c>
      <c r="B11" s="51" t="s">
        <v>55</v>
      </c>
      <c r="C11" s="52" t="s">
        <v>99</v>
      </c>
      <c r="D11" s="51" t="s">
        <v>55</v>
      </c>
      <c r="E11" s="50" t="s">
        <v>101</v>
      </c>
      <c r="F11" s="48" t="s">
        <v>48</v>
      </c>
      <c r="G11" s="50" t="s">
        <v>103</v>
      </c>
    </row>
    <row r="12" ht="16.5" customHeight="1">
      <c r="A12" s="47" t="s">
        <v>26</v>
      </c>
      <c r="B12" s="48" t="s">
        <v>81</v>
      </c>
      <c r="C12" s="52" t="s">
        <v>104</v>
      </c>
      <c r="D12" s="48" t="s">
        <v>48</v>
      </c>
      <c r="E12" s="50" t="s">
        <v>237</v>
      </c>
      <c r="F12" s="48" t="s">
        <v>51</v>
      </c>
      <c r="G12" s="50" t="s">
        <v>108</v>
      </c>
    </row>
    <row r="13" ht="16.5" customHeight="1">
      <c r="A13" s="54"/>
      <c r="B13" s="55" t="s">
        <v>113</v>
      </c>
      <c r="C13" s="55" t="s">
        <v>113</v>
      </c>
      <c r="D13" s="55" t="s">
        <v>113</v>
      </c>
      <c r="E13" s="55" t="s">
        <v>113</v>
      </c>
      <c r="F13" s="55" t="s">
        <v>113</v>
      </c>
      <c r="G13" s="54"/>
    </row>
    <row r="14" ht="16.5" customHeight="1">
      <c r="A14" s="56" t="s">
        <v>1</v>
      </c>
      <c r="B14" s="57" t="s">
        <v>45</v>
      </c>
      <c r="C14" s="19"/>
      <c r="D14" s="57" t="s">
        <v>5</v>
      </c>
      <c r="E14" s="19"/>
      <c r="F14" s="54"/>
      <c r="G14" s="54"/>
    </row>
    <row r="15" ht="16.5" customHeight="1">
      <c r="A15" s="58"/>
      <c r="B15" s="59" t="s">
        <v>7</v>
      </c>
      <c r="C15" s="61" t="s">
        <v>10</v>
      </c>
      <c r="D15" s="59" t="s">
        <v>7</v>
      </c>
      <c r="E15" s="61" t="s">
        <v>10</v>
      </c>
      <c r="F15" s="54"/>
      <c r="G15" s="54"/>
    </row>
    <row r="16" ht="16.5" customHeight="1">
      <c r="A16" s="47" t="s">
        <v>11</v>
      </c>
      <c r="B16" s="48" t="s">
        <v>48</v>
      </c>
      <c r="C16" s="63" t="s">
        <v>114</v>
      </c>
      <c r="D16" s="48" t="s">
        <v>48</v>
      </c>
      <c r="E16" s="63" t="s">
        <v>117</v>
      </c>
      <c r="F16" s="54"/>
      <c r="G16" s="54"/>
    </row>
    <row r="17" ht="16.5" customHeight="1">
      <c r="A17" s="47" t="s">
        <v>18</v>
      </c>
      <c r="B17" s="48" t="s">
        <v>51</v>
      </c>
      <c r="C17" s="63" t="s">
        <v>118</v>
      </c>
      <c r="D17" s="48" t="s">
        <v>51</v>
      </c>
      <c r="E17" s="63" t="s">
        <v>120</v>
      </c>
      <c r="F17" s="54"/>
      <c r="G17" s="54"/>
    </row>
    <row r="18" ht="16.5" customHeight="1">
      <c r="A18" s="47" t="s">
        <v>19</v>
      </c>
      <c r="B18" s="51" t="s">
        <v>55</v>
      </c>
      <c r="C18" s="63" t="s">
        <v>122</v>
      </c>
      <c r="D18" s="51" t="s">
        <v>55</v>
      </c>
      <c r="E18" s="63" t="s">
        <v>126</v>
      </c>
      <c r="F18" s="54"/>
      <c r="G18" s="54"/>
    </row>
    <row r="19" ht="16.5" customHeight="1">
      <c r="A19" s="47" t="s">
        <v>20</v>
      </c>
      <c r="B19" s="48" t="s">
        <v>51</v>
      </c>
      <c r="C19" s="63" t="s">
        <v>125</v>
      </c>
      <c r="D19" s="48" t="s">
        <v>81</v>
      </c>
      <c r="E19" s="63" t="s">
        <v>131</v>
      </c>
      <c r="F19" s="54"/>
      <c r="G19" s="54"/>
    </row>
    <row r="20" ht="16.5" customHeight="1">
      <c r="A20" s="47" t="s">
        <v>21</v>
      </c>
      <c r="B20" s="51" t="s">
        <v>51</v>
      </c>
      <c r="C20" s="63" t="s">
        <v>285</v>
      </c>
      <c r="D20" s="51" t="s">
        <v>55</v>
      </c>
      <c r="E20" s="63" t="s">
        <v>137</v>
      </c>
      <c r="F20" s="54"/>
      <c r="G20" s="54"/>
    </row>
    <row r="21" ht="16.5" customHeight="1">
      <c r="A21" s="47" t="s">
        <v>22</v>
      </c>
      <c r="B21" s="51" t="s">
        <v>48</v>
      </c>
      <c r="C21" s="63" t="s">
        <v>132</v>
      </c>
      <c r="D21" s="48" t="s">
        <v>48</v>
      </c>
      <c r="E21" s="63" t="s">
        <v>133</v>
      </c>
      <c r="F21" s="54"/>
      <c r="G21" s="54"/>
    </row>
    <row r="22" ht="16.5" customHeight="1">
      <c r="A22" s="47" t="s">
        <v>23</v>
      </c>
      <c r="B22" s="51" t="s">
        <v>54</v>
      </c>
      <c r="C22" s="63" t="s">
        <v>135</v>
      </c>
      <c r="D22" s="51" t="s">
        <v>48</v>
      </c>
      <c r="E22" s="63" t="s">
        <v>136</v>
      </c>
      <c r="F22" s="54"/>
      <c r="G22" s="54"/>
    </row>
    <row r="23" ht="16.5" customHeight="1">
      <c r="A23" s="47" t="s">
        <v>24</v>
      </c>
      <c r="B23" s="51" t="s">
        <v>54</v>
      </c>
      <c r="C23" s="63" t="s">
        <v>138</v>
      </c>
      <c r="D23" s="48" t="s">
        <v>48</v>
      </c>
      <c r="E23" s="63" t="s">
        <v>140</v>
      </c>
      <c r="F23" s="54"/>
      <c r="G23" s="54"/>
    </row>
    <row r="24" ht="16.5" customHeight="1">
      <c r="A24" s="47" t="s">
        <v>25</v>
      </c>
      <c r="B24" s="48" t="s">
        <v>51</v>
      </c>
      <c r="C24" s="63" t="s">
        <v>142</v>
      </c>
      <c r="D24" s="48" t="s">
        <v>81</v>
      </c>
      <c r="E24" s="63" t="s">
        <v>151</v>
      </c>
      <c r="F24" s="54"/>
      <c r="G24" s="54"/>
    </row>
    <row r="25" ht="16.5" customHeight="1">
      <c r="A25" s="47" t="s">
        <v>26</v>
      </c>
      <c r="B25" s="51" t="s">
        <v>51</v>
      </c>
      <c r="C25" s="63" t="s">
        <v>145</v>
      </c>
      <c r="D25" s="48" t="s">
        <v>51</v>
      </c>
      <c r="E25" s="63" t="s">
        <v>147</v>
      </c>
      <c r="F25" s="54"/>
      <c r="G25" s="54"/>
    </row>
    <row r="26" ht="16.5" customHeight="1">
      <c r="A26" s="54"/>
      <c r="B26" s="55" t="s">
        <v>113</v>
      </c>
      <c r="C26" s="55" t="s">
        <v>113</v>
      </c>
      <c r="D26" s="55" t="s">
        <v>113</v>
      </c>
      <c r="E26" s="55" t="s">
        <v>113</v>
      </c>
      <c r="F26" s="54"/>
      <c r="G26" s="54"/>
    </row>
    <row r="27" ht="16.5" customHeight="1">
      <c r="A27" s="56" t="s">
        <v>0</v>
      </c>
      <c r="B27" s="57" t="s">
        <v>4</v>
      </c>
      <c r="C27" s="19"/>
      <c r="D27" s="57" t="s">
        <v>6</v>
      </c>
      <c r="E27" s="19"/>
      <c r="F27" s="54"/>
      <c r="G27" s="54"/>
    </row>
    <row r="28" ht="16.5" customHeight="1">
      <c r="A28" s="58"/>
      <c r="B28" s="65" t="s">
        <v>7</v>
      </c>
      <c r="C28" s="66" t="s">
        <v>10</v>
      </c>
      <c r="D28" s="59" t="s">
        <v>7</v>
      </c>
      <c r="E28" s="61" t="s">
        <v>10</v>
      </c>
      <c r="F28" s="54"/>
      <c r="G28" s="54"/>
    </row>
    <row r="29" ht="16.5" customHeight="1">
      <c r="A29" s="47" t="s">
        <v>11</v>
      </c>
      <c r="B29" s="48" t="s">
        <v>48</v>
      </c>
      <c r="C29" s="63" t="s">
        <v>337</v>
      </c>
      <c r="D29" s="69" t="s">
        <v>55</v>
      </c>
      <c r="E29" s="63" t="s">
        <v>157</v>
      </c>
      <c r="F29" s="54"/>
      <c r="G29" s="54"/>
    </row>
    <row r="30" ht="16.5" customHeight="1">
      <c r="A30" s="47" t="s">
        <v>18</v>
      </c>
      <c r="B30" s="48">
        <v>0.0</v>
      </c>
      <c r="C30" s="63" t="s">
        <v>343</v>
      </c>
      <c r="D30" s="69" t="s">
        <v>55</v>
      </c>
      <c r="E30" s="63" t="s">
        <v>159</v>
      </c>
      <c r="F30" s="54"/>
      <c r="G30" s="54"/>
    </row>
    <row r="31" ht="16.5" customHeight="1">
      <c r="A31" s="47" t="s">
        <v>19</v>
      </c>
      <c r="B31" s="51" t="s">
        <v>54</v>
      </c>
      <c r="C31" s="63" t="s">
        <v>350</v>
      </c>
      <c r="D31" s="69" t="s">
        <v>55</v>
      </c>
      <c r="E31" s="63" t="s">
        <v>353</v>
      </c>
      <c r="F31" s="54"/>
      <c r="G31" s="54"/>
    </row>
    <row r="32" ht="16.5" customHeight="1">
      <c r="A32" s="47" t="s">
        <v>20</v>
      </c>
      <c r="B32" s="48">
        <v>0.0</v>
      </c>
      <c r="C32" s="63" t="s">
        <v>357</v>
      </c>
      <c r="D32" s="71" t="s">
        <v>51</v>
      </c>
      <c r="E32" s="63" t="s">
        <v>361</v>
      </c>
      <c r="F32" s="54"/>
      <c r="G32" s="54"/>
    </row>
    <row r="33" ht="16.5" customHeight="1">
      <c r="A33" s="47" t="s">
        <v>21</v>
      </c>
      <c r="B33" s="51" t="s">
        <v>55</v>
      </c>
      <c r="C33" s="63" t="s">
        <v>367</v>
      </c>
      <c r="D33" s="69" t="s">
        <v>55</v>
      </c>
      <c r="E33" s="63" t="s">
        <v>369</v>
      </c>
      <c r="F33" s="54"/>
      <c r="G33" s="54"/>
    </row>
    <row r="34" ht="16.5" customHeight="1">
      <c r="A34" s="47" t="s">
        <v>22</v>
      </c>
      <c r="B34" s="51" t="s">
        <v>54</v>
      </c>
      <c r="C34" s="63" t="s">
        <v>167</v>
      </c>
      <c r="D34" s="69" t="s">
        <v>51</v>
      </c>
      <c r="E34" s="63" t="s">
        <v>376</v>
      </c>
      <c r="F34" s="54"/>
      <c r="G34" s="54"/>
    </row>
    <row r="35" ht="16.5" customHeight="1">
      <c r="A35" s="47" t="s">
        <v>23</v>
      </c>
      <c r="B35" s="48" t="s">
        <v>48</v>
      </c>
      <c r="C35" s="63" t="s">
        <v>380</v>
      </c>
      <c r="D35" s="69" t="s">
        <v>54</v>
      </c>
      <c r="E35" s="63" t="s">
        <v>170</v>
      </c>
      <c r="F35" s="54"/>
      <c r="G35" s="54"/>
    </row>
    <row r="36" ht="16.5" customHeight="1">
      <c r="A36" s="47" t="s">
        <v>24</v>
      </c>
      <c r="B36" s="51" t="s">
        <v>51</v>
      </c>
      <c r="C36" s="63" t="s">
        <v>385</v>
      </c>
      <c r="D36" s="69" t="s">
        <v>51</v>
      </c>
      <c r="E36" s="63" t="s">
        <v>388</v>
      </c>
      <c r="F36" s="54"/>
      <c r="G36" s="54"/>
    </row>
    <row r="37" ht="16.5" customHeight="1">
      <c r="A37" s="47" t="s">
        <v>25</v>
      </c>
      <c r="B37" s="48" t="s">
        <v>48</v>
      </c>
      <c r="C37" s="63" t="s">
        <v>391</v>
      </c>
      <c r="D37" s="69" t="s">
        <v>48</v>
      </c>
      <c r="E37" s="63" t="s">
        <v>392</v>
      </c>
      <c r="F37" s="54"/>
      <c r="G37" s="54"/>
    </row>
    <row r="38" ht="16.5" customHeight="1">
      <c r="A38" s="47" t="s">
        <v>26</v>
      </c>
      <c r="B38" s="51" t="s">
        <v>54</v>
      </c>
      <c r="C38" s="63" t="s">
        <v>393</v>
      </c>
      <c r="D38" s="69" t="s">
        <v>51</v>
      </c>
      <c r="E38" s="63" t="s">
        <v>394</v>
      </c>
      <c r="F38" s="54"/>
      <c r="G38" s="54"/>
    </row>
    <row r="39" ht="16.5" customHeight="1">
      <c r="A39" s="54"/>
      <c r="B39" s="55" t="s">
        <v>113</v>
      </c>
      <c r="C39" s="55" t="s">
        <v>113</v>
      </c>
      <c r="D39" s="55" t="s">
        <v>113</v>
      </c>
      <c r="E39" s="55" t="s">
        <v>113</v>
      </c>
      <c r="F39" s="54"/>
      <c r="G39" s="54"/>
    </row>
    <row r="40" ht="16.5" customHeight="1">
      <c r="A40" s="56" t="s">
        <v>12</v>
      </c>
      <c r="B40" s="70" t="s">
        <v>13</v>
      </c>
      <c r="C40" s="19"/>
      <c r="D40" s="70" t="s">
        <v>14</v>
      </c>
      <c r="E40" s="19"/>
      <c r="F40" s="54"/>
      <c r="G40" s="54"/>
      <c r="H40" s="34"/>
    </row>
    <row r="41" ht="16.5" customHeight="1">
      <c r="A41" s="58"/>
      <c r="B41" s="65" t="s">
        <v>7</v>
      </c>
      <c r="C41" s="65" t="s">
        <v>10</v>
      </c>
      <c r="D41" s="59" t="s">
        <v>7</v>
      </c>
      <c r="E41" s="59" t="s">
        <v>10</v>
      </c>
      <c r="F41" s="54"/>
      <c r="G41" s="54"/>
      <c r="H41" s="34"/>
      <c r="I41" s="40"/>
    </row>
    <row r="42" ht="16.5" customHeight="1">
      <c r="A42" s="47" t="s">
        <v>11</v>
      </c>
      <c r="B42" s="63" t="s">
        <v>113</v>
      </c>
      <c r="C42" s="63" t="str">
        <f t="shared" ref="C42:C51" si="1">"Human" &amp; " - " &amp; B$40 &amp; " - " &amp; $A42</f>
        <v>Human - MVC - Availability</v>
      </c>
      <c r="D42" s="48" t="s">
        <v>113</v>
      </c>
      <c r="E42" s="50" t="str">
        <f t="shared" ref="E42:E51" si="2">"Human" &amp; " - " &amp; D$40 &amp; " - " &amp; $A42</f>
        <v>Human - PAC - Availability</v>
      </c>
      <c r="F42" s="54"/>
      <c r="G42" s="54"/>
      <c r="H42" s="34"/>
    </row>
    <row r="43" ht="16.5" customHeight="1">
      <c r="A43" s="47" t="s">
        <v>18</v>
      </c>
      <c r="B43" s="63" t="s">
        <v>113</v>
      </c>
      <c r="C43" s="63" t="str">
        <f t="shared" si="1"/>
        <v>Human - MVC - Deployability</v>
      </c>
      <c r="D43" s="48" t="s">
        <v>113</v>
      </c>
      <c r="E43" s="50" t="str">
        <f t="shared" si="2"/>
        <v>Human - PAC - Deployability</v>
      </c>
      <c r="F43" s="54"/>
      <c r="G43" s="54"/>
      <c r="H43" s="34"/>
    </row>
    <row r="44" ht="16.5" customHeight="1">
      <c r="A44" s="47" t="s">
        <v>19</v>
      </c>
      <c r="B44" s="63" t="s">
        <v>113</v>
      </c>
      <c r="C44" s="63" t="str">
        <f t="shared" si="1"/>
        <v>Human - MVC - Integrability</v>
      </c>
      <c r="D44" s="48" t="s">
        <v>113</v>
      </c>
      <c r="E44" s="50" t="str">
        <f t="shared" si="2"/>
        <v>Human - PAC - Integrability</v>
      </c>
      <c r="F44" s="54"/>
      <c r="G44" s="54"/>
      <c r="H44" s="34"/>
    </row>
    <row r="45" ht="16.5" customHeight="1">
      <c r="A45" s="47" t="s">
        <v>20</v>
      </c>
      <c r="B45" s="63" t="s">
        <v>113</v>
      </c>
      <c r="C45" s="63" t="str">
        <f t="shared" si="1"/>
        <v>Human - MVC - Energy Efficiency</v>
      </c>
      <c r="D45" s="48" t="s">
        <v>113</v>
      </c>
      <c r="E45" s="50" t="str">
        <f t="shared" si="2"/>
        <v>Human - PAC - Energy Efficiency</v>
      </c>
      <c r="F45" s="54"/>
      <c r="G45" s="54"/>
      <c r="H45" s="34"/>
    </row>
    <row r="46" ht="16.5" customHeight="1">
      <c r="A46" s="47" t="s">
        <v>21</v>
      </c>
      <c r="B46" s="63" t="s">
        <v>113</v>
      </c>
      <c r="C46" s="63" t="str">
        <f t="shared" si="1"/>
        <v>Human - MVC - Modifiability</v>
      </c>
      <c r="D46" s="48" t="s">
        <v>113</v>
      </c>
      <c r="E46" s="50" t="str">
        <f t="shared" si="2"/>
        <v>Human - PAC - Modifiability</v>
      </c>
      <c r="F46" s="54"/>
      <c r="G46" s="54"/>
      <c r="H46" s="34"/>
    </row>
    <row r="47" ht="16.5" customHeight="1">
      <c r="A47" s="47" t="s">
        <v>22</v>
      </c>
      <c r="B47" s="63" t="s">
        <v>113</v>
      </c>
      <c r="C47" s="63" t="str">
        <f t="shared" si="1"/>
        <v>Human - MVC - Performance</v>
      </c>
      <c r="D47" s="48" t="s">
        <v>113</v>
      </c>
      <c r="E47" s="50" t="str">
        <f t="shared" si="2"/>
        <v>Human - PAC - Performance</v>
      </c>
      <c r="F47" s="54"/>
      <c r="G47" s="54"/>
      <c r="H47" s="34"/>
    </row>
    <row r="48" ht="16.5" customHeight="1">
      <c r="A48" s="47" t="s">
        <v>23</v>
      </c>
      <c r="B48" s="63" t="s">
        <v>113</v>
      </c>
      <c r="C48" s="63" t="str">
        <f t="shared" si="1"/>
        <v>Human - MVC - Safety</v>
      </c>
      <c r="D48" s="48" t="s">
        <v>113</v>
      </c>
      <c r="E48" s="50" t="str">
        <f t="shared" si="2"/>
        <v>Human - PAC - Safety</v>
      </c>
      <c r="F48" s="54"/>
      <c r="G48" s="54"/>
      <c r="H48" s="34"/>
    </row>
    <row r="49" ht="16.5" customHeight="1">
      <c r="A49" s="47" t="s">
        <v>24</v>
      </c>
      <c r="B49" s="63" t="s">
        <v>113</v>
      </c>
      <c r="C49" s="63" t="str">
        <f t="shared" si="1"/>
        <v>Human - MVC - Security</v>
      </c>
      <c r="D49" s="48" t="s">
        <v>113</v>
      </c>
      <c r="E49" s="50" t="str">
        <f t="shared" si="2"/>
        <v>Human - PAC - Security</v>
      </c>
      <c r="F49" s="54"/>
      <c r="G49" s="54"/>
      <c r="H49" s="34"/>
    </row>
    <row r="50" ht="16.5" customHeight="1">
      <c r="A50" s="47" t="s">
        <v>25</v>
      </c>
      <c r="B50" s="63" t="s">
        <v>113</v>
      </c>
      <c r="C50" s="63" t="str">
        <f t="shared" si="1"/>
        <v>Human - MVC - Testability</v>
      </c>
      <c r="D50" s="48" t="s">
        <v>113</v>
      </c>
      <c r="E50" s="50" t="str">
        <f t="shared" si="2"/>
        <v>Human - PAC - Testability</v>
      </c>
      <c r="F50" s="54"/>
      <c r="G50" s="55" t="s">
        <v>113</v>
      </c>
      <c r="H50" s="34"/>
      <c r="I50" s="41"/>
    </row>
    <row r="51" ht="16.5" customHeight="1">
      <c r="A51" s="47" t="s">
        <v>26</v>
      </c>
      <c r="B51" s="63" t="s">
        <v>113</v>
      </c>
      <c r="C51" s="63" t="str">
        <f t="shared" si="1"/>
        <v>Human - MVC - Usability</v>
      </c>
      <c r="D51" s="48" t="s">
        <v>113</v>
      </c>
      <c r="E51" s="50" t="str">
        <f t="shared" si="2"/>
        <v>Human - PAC - Usability</v>
      </c>
      <c r="F51" s="54"/>
      <c r="G51" s="55" t="s">
        <v>113</v>
      </c>
      <c r="H51" s="34"/>
      <c r="I51" s="40"/>
    </row>
    <row r="52" ht="16.5" customHeight="1">
      <c r="A52" s="54"/>
      <c r="B52" s="55" t="s">
        <v>113</v>
      </c>
      <c r="C52" s="54"/>
      <c r="D52" s="55" t="s">
        <v>113</v>
      </c>
      <c r="E52" s="54"/>
      <c r="F52" s="54"/>
      <c r="G52" s="54"/>
    </row>
    <row r="53" ht="16.5" customHeight="1">
      <c r="A53" s="56" t="s">
        <v>27</v>
      </c>
      <c r="B53" s="57" t="s">
        <v>28</v>
      </c>
      <c r="C53" s="19"/>
      <c r="D53" s="57" t="s">
        <v>30</v>
      </c>
      <c r="E53" s="19"/>
      <c r="F53" s="54"/>
      <c r="G53" s="55" t="s">
        <v>113</v>
      </c>
      <c r="H53" s="34"/>
    </row>
    <row r="54" ht="16.5" customHeight="1">
      <c r="A54" s="67"/>
      <c r="B54" s="59" t="s">
        <v>7</v>
      </c>
      <c r="C54" s="61" t="s">
        <v>10</v>
      </c>
      <c r="D54" s="59" t="s">
        <v>7</v>
      </c>
      <c r="E54" s="61" t="s">
        <v>10</v>
      </c>
      <c r="F54" s="54"/>
      <c r="G54" s="55" t="s">
        <v>113</v>
      </c>
      <c r="H54" s="34"/>
    </row>
    <row r="55" ht="16.5" customHeight="1">
      <c r="A55" s="47" t="s">
        <v>11</v>
      </c>
      <c r="B55" s="48" t="s">
        <v>81</v>
      </c>
      <c r="C55" s="50" t="s">
        <v>210</v>
      </c>
      <c r="D55" s="48" t="str">
        <f>IF(('AI#2(Gpt)'!D55&amp;"")=('AI#1 (Claude)'!D55&amp;""),'AI#2(Gpt)'!D55,"")</f>
        <v>+</v>
      </c>
      <c r="E55" s="50" t="s">
        <v>299</v>
      </c>
      <c r="F55" s="54"/>
      <c r="G55" s="55" t="s">
        <v>113</v>
      </c>
      <c r="H55" s="34"/>
    </row>
    <row r="56" ht="16.5" customHeight="1">
      <c r="A56" s="47" t="s">
        <v>18</v>
      </c>
      <c r="B56" s="48" t="s">
        <v>48</v>
      </c>
      <c r="C56" s="63" t="s">
        <v>301</v>
      </c>
      <c r="D56" s="48" t="s">
        <v>54</v>
      </c>
      <c r="E56" s="50" t="s">
        <v>303</v>
      </c>
      <c r="F56" s="54"/>
      <c r="G56" s="55" t="s">
        <v>113</v>
      </c>
      <c r="H56" s="34"/>
    </row>
    <row r="57" ht="16.5" customHeight="1">
      <c r="A57" s="47" t="s">
        <v>19</v>
      </c>
      <c r="B57" s="77" t="s">
        <v>48</v>
      </c>
      <c r="C57" s="63" t="s">
        <v>305</v>
      </c>
      <c r="D57" s="48" t="str">
        <f>IF(('AI#2(Gpt)'!D57&amp;"")=('AI#1 (Claude)'!D57&amp;""),'AI#2(Gpt)'!D57,"")</f>
        <v>0</v>
      </c>
      <c r="E57" s="50" t="s">
        <v>306</v>
      </c>
      <c r="F57" s="54"/>
      <c r="G57" s="55" t="s">
        <v>113</v>
      </c>
      <c r="H57" s="34"/>
    </row>
    <row r="58" ht="16.5" customHeight="1">
      <c r="A58" s="47" t="s">
        <v>20</v>
      </c>
      <c r="B58" s="48" t="str">
        <f>IF(('AI#2(Gpt)'!B58&amp;"")=('AI#1 (Claude)'!B58&amp;""),'AI#2(Gpt)'!B58,"")</f>
        <v>++</v>
      </c>
      <c r="C58" s="50" t="s">
        <v>309</v>
      </c>
      <c r="D58" s="48" t="str">
        <f>IF(('AI#2(Gpt)'!D58&amp;"")=('AI#1 (Claude)'!D58&amp;""),'AI#2(Gpt)'!D58,"")</f>
        <v>-</v>
      </c>
      <c r="E58" s="50" t="s">
        <v>310</v>
      </c>
      <c r="F58" s="54"/>
      <c r="G58" s="55" t="s">
        <v>113</v>
      </c>
      <c r="H58" s="34"/>
    </row>
    <row r="59" ht="16.5" customHeight="1">
      <c r="A59" s="47" t="s">
        <v>21</v>
      </c>
      <c r="B59" s="48" t="str">
        <f>IF(('AI#2(Gpt)'!B59&amp;"")=('AI#1 (Claude)'!B59&amp;""),'AI#2(Gpt)'!B59,"")</f>
        <v>-</v>
      </c>
      <c r="C59" s="50" t="s">
        <v>312</v>
      </c>
      <c r="D59" s="48" t="str">
        <f>IF(('AI#2(Gpt)'!D59&amp;"")=('AI#1 (Claude)'!D59&amp;""),'AI#2(Gpt)'!D59,"")</f>
        <v>0</v>
      </c>
      <c r="E59" s="50" t="s">
        <v>314</v>
      </c>
      <c r="F59" s="54"/>
      <c r="G59" s="55" t="s">
        <v>113</v>
      </c>
      <c r="H59" s="34"/>
    </row>
    <row r="60" ht="16.5" customHeight="1">
      <c r="A60" s="47" t="s">
        <v>22</v>
      </c>
      <c r="B60" s="48" t="s">
        <v>51</v>
      </c>
      <c r="C60" s="63" t="s">
        <v>316</v>
      </c>
      <c r="D60" s="51" t="s">
        <v>54</v>
      </c>
      <c r="E60" s="50" t="s">
        <v>226</v>
      </c>
      <c r="F60" s="54"/>
      <c r="G60" s="55" t="s">
        <v>113</v>
      </c>
      <c r="H60" s="34"/>
      <c r="I60" s="41"/>
    </row>
    <row r="61" ht="16.5" customHeight="1">
      <c r="A61" s="47" t="s">
        <v>23</v>
      </c>
      <c r="B61" s="48" t="s">
        <v>48</v>
      </c>
      <c r="C61" s="50" t="s">
        <v>227</v>
      </c>
      <c r="D61" s="77" t="s">
        <v>54</v>
      </c>
      <c r="E61" s="50" t="s">
        <v>321</v>
      </c>
      <c r="F61" s="54"/>
      <c r="G61" s="55" t="s">
        <v>113</v>
      </c>
      <c r="H61" s="34"/>
      <c r="I61" s="40"/>
    </row>
    <row r="62" ht="16.5" customHeight="1">
      <c r="A62" s="47" t="s">
        <v>24</v>
      </c>
      <c r="B62" s="48" t="str">
        <f>IF(('AI#2(Gpt)'!B62&amp;"")=('AI#1 (Claude)'!B62&amp;""),'AI#2(Gpt)'!B62,"")</f>
        <v>0</v>
      </c>
      <c r="C62" s="50" t="s">
        <v>323</v>
      </c>
      <c r="D62" s="48" t="str">
        <f>IF(('AI#2(Gpt)'!D62&amp;"")=('AI#1 (Claude)'!D62&amp;""),'AI#2(Gpt)'!D62,"")</f>
        <v>0</v>
      </c>
      <c r="E62" s="50" t="s">
        <v>324</v>
      </c>
      <c r="F62" s="54"/>
      <c r="G62" s="55" t="s">
        <v>113</v>
      </c>
      <c r="H62" s="34"/>
    </row>
    <row r="63" ht="16.5" customHeight="1">
      <c r="A63" s="47" t="s">
        <v>25</v>
      </c>
      <c r="B63" s="48" t="str">
        <f>IF(('AI#2(Gpt)'!B63&amp;"")=('AI#1 (Claude)'!B63&amp;""),'AI#2(Gpt)'!B63,"")</f>
        <v>+</v>
      </c>
      <c r="C63" s="50" t="s">
        <v>326</v>
      </c>
      <c r="D63" s="77" t="s">
        <v>48</v>
      </c>
      <c r="E63" s="50" t="s">
        <v>327</v>
      </c>
      <c r="F63" s="54"/>
      <c r="G63" s="55" t="s">
        <v>113</v>
      </c>
      <c r="H63" s="34"/>
    </row>
    <row r="64" ht="16.5" customHeight="1">
      <c r="A64" s="47" t="s">
        <v>26</v>
      </c>
      <c r="B64" s="48" t="str">
        <f>IF(('AI#2(Gpt)'!B64&amp;"")=('AI#1 (Claude)'!B64&amp;""),'AI#2(Gpt)'!B64,"")</f>
        <v>0</v>
      </c>
      <c r="C64" s="50" t="s">
        <v>329</v>
      </c>
      <c r="D64" s="48" t="str">
        <f>IF(('AI#2(Gpt)'!D64&amp;"")=('AI#1 (Claude)'!D64&amp;""),'AI#2(Gpt)'!D64,"")</f>
        <v>0</v>
      </c>
      <c r="E64" s="50" t="s">
        <v>330</v>
      </c>
      <c r="F64" s="54"/>
      <c r="G64" s="55" t="s">
        <v>113</v>
      </c>
      <c r="H64" s="34"/>
    </row>
    <row r="65" ht="16.5" customHeight="1">
      <c r="A65" s="54"/>
      <c r="B65" s="55" t="s">
        <v>113</v>
      </c>
      <c r="C65" s="55" t="s">
        <v>113</v>
      </c>
      <c r="D65" s="55" t="s">
        <v>113</v>
      </c>
      <c r="E65" s="55" t="s">
        <v>113</v>
      </c>
      <c r="F65" s="54"/>
      <c r="G65" s="55" t="s">
        <v>113</v>
      </c>
      <c r="H65" s="34"/>
    </row>
    <row r="66" ht="16.5" customHeight="1">
      <c r="A66" s="56" t="s">
        <v>27</v>
      </c>
      <c r="B66" s="57" t="s">
        <v>29</v>
      </c>
      <c r="C66" s="19"/>
      <c r="D66" s="57" t="s">
        <v>31</v>
      </c>
      <c r="E66" s="19"/>
      <c r="F66" s="57" t="s">
        <v>32</v>
      </c>
      <c r="G66" s="19"/>
      <c r="H66" s="34"/>
    </row>
    <row r="67" ht="16.5" customHeight="1">
      <c r="A67" s="67"/>
      <c r="B67" s="59" t="s">
        <v>7</v>
      </c>
      <c r="C67" s="61" t="s">
        <v>10</v>
      </c>
      <c r="D67" s="59" t="s">
        <v>7</v>
      </c>
      <c r="E67" s="61" t="s">
        <v>10</v>
      </c>
      <c r="F67" s="59" t="s">
        <v>7</v>
      </c>
      <c r="G67" s="61" t="s">
        <v>10</v>
      </c>
      <c r="H67" s="34"/>
    </row>
    <row r="68" ht="16.5" customHeight="1">
      <c r="A68" s="47" t="s">
        <v>11</v>
      </c>
      <c r="B68" s="48" t="s">
        <v>48</v>
      </c>
      <c r="C68" s="50" t="s">
        <v>244</v>
      </c>
      <c r="D68" s="48" t="str">
        <f>IF(('AI#2(Gpt)'!D68&amp;"")=('AI#1 (Claude)'!D68&amp;""),'AI#2(Gpt)'!D68,"")</f>
        <v/>
      </c>
      <c r="E68" s="50" t="str">
        <f t="shared" ref="E68:E69" si="3">"Human" &amp; " - " &amp; D$66 &amp; " - " &amp; $A68</f>
        <v>Human - Virtual Machine - Availability</v>
      </c>
      <c r="F68" s="48" t="str">
        <f>IF(('AI#2(Gpt)'!F68&amp;"")=('AI#1 (Claude)'!F68&amp;""),'AI#2(Gpt)'!F68,"")</f>
        <v/>
      </c>
      <c r="G68" s="50" t="str">
        <f>"Human" &amp; " - " &amp; F$66 &amp; " - " &amp; $A68</f>
        <v>Human - Microkernel - Availability</v>
      </c>
      <c r="H68" s="34"/>
    </row>
    <row r="69" ht="16.5" customHeight="1">
      <c r="A69" s="47" t="s">
        <v>18</v>
      </c>
      <c r="B69" s="48" t="s">
        <v>51</v>
      </c>
      <c r="C69" s="50" t="s">
        <v>346</v>
      </c>
      <c r="D69" s="48" t="str">
        <f>IF(('AI#2(Gpt)'!D69&amp;"")=('AI#1 (Claude)'!D69&amp;""),'AI#2(Gpt)'!D69,"")</f>
        <v/>
      </c>
      <c r="E69" s="53" t="str">
        <f t="shared" si="3"/>
        <v>Human - Virtual Machine - Deployability</v>
      </c>
      <c r="F69" s="48" t="str">
        <f>IF(('AI#2(Gpt)'!F69&amp;"")=('AI#1 (Claude)'!F69&amp;""),'AI#2(Gpt)'!F69,"")</f>
        <v>++</v>
      </c>
      <c r="G69" s="50" t="s">
        <v>349</v>
      </c>
      <c r="H69" s="34"/>
    </row>
    <row r="70" ht="16.5" customHeight="1">
      <c r="A70" s="47" t="s">
        <v>19</v>
      </c>
      <c r="B70" s="48" t="str">
        <f>IF(('AI#2(Gpt)'!B70&amp;"")=('AI#1 (Claude)'!B70&amp;""),'AI#2(Gpt)'!B70,"")</f>
        <v>+</v>
      </c>
      <c r="C70" s="50" t="s">
        <v>351</v>
      </c>
      <c r="D70" s="48" t="str">
        <f>IF(('AI#2(Gpt)'!D70&amp;"")=('AI#1 (Claude)'!D70&amp;""),'AI#2(Gpt)'!D70,"")</f>
        <v>+</v>
      </c>
      <c r="E70" s="50" t="s">
        <v>354</v>
      </c>
      <c r="F70" s="48" t="str">
        <f>IF(('AI#2(Gpt)'!F70&amp;"")=('AI#1 (Claude)'!F70&amp;""),'AI#2(Gpt)'!F70,"")</f>
        <v>++</v>
      </c>
      <c r="G70" s="50" t="s">
        <v>355</v>
      </c>
      <c r="H70" s="34"/>
    </row>
    <row r="71" ht="16.5" customHeight="1">
      <c r="A71" s="47" t="s">
        <v>20</v>
      </c>
      <c r="B71" s="48" t="s">
        <v>51</v>
      </c>
      <c r="C71" s="50" t="s">
        <v>358</v>
      </c>
      <c r="D71" s="48" t="str">
        <f>IF(('AI#2(Gpt)'!D71&amp;"")=('AI#1 (Claude)'!D71&amp;""),'AI#2(Gpt)'!D71,"")</f>
        <v/>
      </c>
      <c r="E71" s="50" t="str">
        <f>"Human" &amp; " - " &amp; D$66 &amp; " - " &amp; $A71</f>
        <v>Human - Virtual Machine - Energy Efficiency</v>
      </c>
      <c r="F71" s="48" t="str">
        <f>IF(('AI#2(Gpt)'!F71&amp;"")=('AI#1 (Claude)'!F71&amp;""),'AI#2(Gpt)'!F71,"")</f>
        <v>-</v>
      </c>
      <c r="G71" s="50" t="s">
        <v>362</v>
      </c>
      <c r="H71" s="34"/>
    </row>
    <row r="72" ht="16.5" customHeight="1">
      <c r="A72" s="47" t="s">
        <v>21</v>
      </c>
      <c r="B72" s="51" t="s">
        <v>55</v>
      </c>
      <c r="C72" s="50" t="s">
        <v>284</v>
      </c>
      <c r="D72" s="48" t="str">
        <f>IF(('AI#2(Gpt)'!D72&amp;"")=('AI#1 (Claude)'!D72&amp;""),'AI#2(Gpt)'!D72,"")</f>
        <v>+</v>
      </c>
      <c r="E72" s="50" t="s">
        <v>366</v>
      </c>
      <c r="F72" s="48" t="str">
        <f>IF(('AI#2(Gpt)'!F72&amp;"")=('AI#1 (Claude)'!F72&amp;""),'AI#2(Gpt)'!F72,"")</f>
        <v>++</v>
      </c>
      <c r="G72" s="50" t="s">
        <v>368</v>
      </c>
      <c r="H72" s="34"/>
    </row>
    <row r="73" ht="16.5" customHeight="1">
      <c r="A73" s="47" t="s">
        <v>22</v>
      </c>
      <c r="B73" s="48" t="s">
        <v>48</v>
      </c>
      <c r="C73" s="50" t="s">
        <v>291</v>
      </c>
      <c r="D73" s="48" t="str">
        <f>IF(('AI#2(Gpt)'!D73&amp;"")=('AI#1 (Claude)'!D73&amp;""),'AI#2(Gpt)'!D73,"")</f>
        <v/>
      </c>
      <c r="E73" s="50" t="str">
        <f t="shared" ref="E73:E77" si="4">"Human" &amp; " - " &amp; D$66 &amp; " - " &amp; $A73</f>
        <v>Human - Virtual Machine - Performance</v>
      </c>
      <c r="F73" s="48" t="str">
        <f>IF(('AI#2(Gpt)'!F73&amp;"")=('AI#1 (Claude)'!F73&amp;""),'AI#2(Gpt)'!F73,"")</f>
        <v>-</v>
      </c>
      <c r="G73" s="50" t="s">
        <v>374</v>
      </c>
      <c r="H73" s="34"/>
    </row>
    <row r="74" ht="16.5" customHeight="1">
      <c r="A74" s="47" t="s">
        <v>23</v>
      </c>
      <c r="B74" s="48" t="str">
        <f>IF(('AI#2(Gpt)'!B74&amp;"")=('AI#1 (Claude)'!B74&amp;""),'AI#2(Gpt)'!B74,"")</f>
        <v>0</v>
      </c>
      <c r="C74" s="50" t="s">
        <v>375</v>
      </c>
      <c r="D74" s="48" t="str">
        <f>IF(('AI#2(Gpt)'!D74&amp;"")=('AI#1 (Claude)'!D74&amp;""),'AI#2(Gpt)'!D74,"")</f>
        <v/>
      </c>
      <c r="E74" s="50" t="str">
        <f t="shared" si="4"/>
        <v>Human - Virtual Machine - Safety</v>
      </c>
      <c r="F74" s="48" t="str">
        <f>IF(('AI#2(Gpt)'!F74&amp;"")=('AI#1 (Claude)'!F74&amp;""),'AI#2(Gpt)'!F74,"")</f>
        <v/>
      </c>
      <c r="G74" s="50" t="str">
        <f t="shared" ref="G74:G76" si="5">"Human" &amp; " - " &amp; F$66 &amp; " - " &amp; $A74</f>
        <v>Human - Microkernel - Safety</v>
      </c>
    </row>
    <row r="75" ht="16.5" customHeight="1">
      <c r="A75" s="47" t="s">
        <v>24</v>
      </c>
      <c r="B75" s="77" t="s">
        <v>54</v>
      </c>
      <c r="C75" s="50" t="s">
        <v>304</v>
      </c>
      <c r="D75" s="48" t="str">
        <f>IF(('AI#2(Gpt)'!D75&amp;"")=('AI#1 (Claude)'!D75&amp;""),'AI#2(Gpt)'!D75,"")</f>
        <v/>
      </c>
      <c r="E75" s="50" t="str">
        <f t="shared" si="4"/>
        <v>Human - Virtual Machine - Security</v>
      </c>
      <c r="F75" s="48" t="str">
        <f>IF(('AI#2(Gpt)'!F75&amp;"")=('AI#1 (Claude)'!F75&amp;""),'AI#2(Gpt)'!F75,"")</f>
        <v/>
      </c>
      <c r="G75" s="50" t="str">
        <f t="shared" si="5"/>
        <v>Human - Microkernel - Security</v>
      </c>
    </row>
    <row r="76" ht="16.5" customHeight="1">
      <c r="A76" s="47" t="s">
        <v>25</v>
      </c>
      <c r="B76" s="77" t="s">
        <v>51</v>
      </c>
      <c r="C76" s="78" t="s">
        <v>536</v>
      </c>
      <c r="D76" s="48" t="str">
        <f>IF(('AI#2(Gpt)'!D76&amp;"")=('AI#1 (Claude)'!D76&amp;""),'AI#2(Gpt)'!D76,"")</f>
        <v/>
      </c>
      <c r="E76" s="50" t="str">
        <f t="shared" si="4"/>
        <v>Human - Virtual Machine - Testability</v>
      </c>
      <c r="F76" s="48" t="str">
        <f>IF(('AI#2(Gpt)'!F76&amp;"")=('AI#1 (Claude)'!F76&amp;""),'AI#2(Gpt)'!F76,"")</f>
        <v/>
      </c>
      <c r="G76" s="50" t="str">
        <f t="shared" si="5"/>
        <v>Human - Microkernel - Testability</v>
      </c>
    </row>
    <row r="77" ht="16.5" customHeight="1">
      <c r="A77" s="47" t="s">
        <v>26</v>
      </c>
      <c r="B77" s="48" t="str">
        <f>IF(('AI#2(Gpt)'!B77&amp;"")=('AI#1 (Claude)'!B77&amp;""),'AI#2(Gpt)'!B77,"")</f>
        <v>0</v>
      </c>
      <c r="C77" s="50" t="s">
        <v>387</v>
      </c>
      <c r="D77" s="48" t="str">
        <f>IF(('AI#2(Gpt)'!D77&amp;"")=('AI#1 (Claude)'!D77&amp;""),'AI#2(Gpt)'!D77,"")</f>
        <v/>
      </c>
      <c r="E77" s="50" t="str">
        <f t="shared" si="4"/>
        <v>Human - Virtual Machine - Usability</v>
      </c>
      <c r="F77" s="48" t="str">
        <f>IF(('AI#2(Gpt)'!F77&amp;"")=('AI#1 (Claude)'!F77&amp;""),'AI#2(Gpt)'!F77,"")</f>
        <v>+</v>
      </c>
      <c r="G77" s="50" t="s">
        <v>390</v>
      </c>
    </row>
    <row r="78" ht="16.5" customHeight="1">
      <c r="A78" s="54"/>
      <c r="B78" s="55" t="s">
        <v>113</v>
      </c>
      <c r="C78" s="55" t="s">
        <v>113</v>
      </c>
      <c r="D78" s="55" t="s">
        <v>113</v>
      </c>
      <c r="E78" s="55" t="s">
        <v>113</v>
      </c>
      <c r="F78" s="55" t="s">
        <v>113</v>
      </c>
      <c r="G78" s="55" t="s">
        <v>113</v>
      </c>
    </row>
    <row r="79" ht="16.5" customHeight="1">
      <c r="A79" s="56" t="s">
        <v>33</v>
      </c>
      <c r="B79" s="57" t="s">
        <v>46</v>
      </c>
      <c r="C79" s="19"/>
      <c r="D79" s="57" t="s">
        <v>35</v>
      </c>
      <c r="E79" s="19"/>
      <c r="F79" s="54"/>
      <c r="G79" s="54"/>
    </row>
    <row r="80" ht="16.5" customHeight="1">
      <c r="A80" s="20"/>
      <c r="B80" s="59" t="s">
        <v>7</v>
      </c>
      <c r="C80" s="59" t="s">
        <v>10</v>
      </c>
      <c r="D80" s="59" t="s">
        <v>7</v>
      </c>
      <c r="E80" s="59" t="s">
        <v>10</v>
      </c>
      <c r="F80" s="54"/>
      <c r="G80" s="54"/>
    </row>
    <row r="81" ht="16.5" customHeight="1">
      <c r="A81" s="47" t="s">
        <v>11</v>
      </c>
      <c r="B81" s="48" t="s">
        <v>51</v>
      </c>
      <c r="C81" s="50" t="s">
        <v>325</v>
      </c>
      <c r="D81" s="48" t="str">
        <f>IF(('AI#2(Gpt)'!D81&amp;"")=('AI#1 (Claude)'!D81&amp;""),'AI#2(Gpt)'!D81,"")</f>
        <v>0</v>
      </c>
      <c r="E81" s="50" t="s">
        <v>328</v>
      </c>
      <c r="F81" s="54"/>
      <c r="G81" s="54"/>
    </row>
    <row r="82" ht="16.5" customHeight="1">
      <c r="A82" s="47" t="s">
        <v>18</v>
      </c>
      <c r="B82" s="51" t="s">
        <v>55</v>
      </c>
      <c r="C82" s="50" t="s">
        <v>248</v>
      </c>
      <c r="D82" s="51" t="s">
        <v>55</v>
      </c>
      <c r="E82" s="50" t="s">
        <v>250</v>
      </c>
      <c r="F82" s="54"/>
      <c r="G82" s="54"/>
    </row>
    <row r="83" ht="16.5" customHeight="1">
      <c r="A83" s="47" t="s">
        <v>19</v>
      </c>
      <c r="B83" s="48" t="str">
        <f>IF(('AI#2(Gpt)'!B83&amp;"")=('AI#1 (Claude)'!B83&amp;""),'AI#2(Gpt)'!B83,"")</f>
        <v>+</v>
      </c>
      <c r="C83" s="50" t="s">
        <v>333</v>
      </c>
      <c r="D83" s="51" t="s">
        <v>55</v>
      </c>
      <c r="E83" s="50" t="s">
        <v>257</v>
      </c>
      <c r="F83" s="54"/>
      <c r="G83" s="54"/>
    </row>
    <row r="84" ht="16.5" customHeight="1">
      <c r="A84" s="47" t="s">
        <v>20</v>
      </c>
      <c r="B84" s="48" t="str">
        <f>IF(('AI#2(Gpt)'!B84&amp;"")=('AI#1 (Claude)'!B84&amp;""),'AI#2(Gpt)'!B84,"")</f>
        <v>-</v>
      </c>
      <c r="C84" s="50" t="s">
        <v>335</v>
      </c>
      <c r="D84" s="51" t="s">
        <v>54</v>
      </c>
      <c r="E84" s="50" t="s">
        <v>266</v>
      </c>
      <c r="F84" s="54"/>
      <c r="G84" s="54"/>
    </row>
    <row r="85" ht="16.5" customHeight="1">
      <c r="A85" s="47" t="s">
        <v>21</v>
      </c>
      <c r="B85" s="48" t="str">
        <f>IF(('AI#2(Gpt)'!B85&amp;"")=('AI#1 (Claude)'!B85&amp;""),'AI#2(Gpt)'!B85,"")</f>
        <v>+</v>
      </c>
      <c r="C85" s="50" t="s">
        <v>338</v>
      </c>
      <c r="D85" s="48" t="str">
        <f>IF(('AI#2(Gpt)'!D85&amp;"")=('AI#1 (Claude)'!D85&amp;""),'AI#2(Gpt)'!D85,"")</f>
        <v>+</v>
      </c>
      <c r="E85" s="50" t="s">
        <v>339</v>
      </c>
      <c r="F85" s="54"/>
      <c r="G85" s="54"/>
    </row>
    <row r="86" ht="16.5" customHeight="1">
      <c r="A86" s="47" t="s">
        <v>22</v>
      </c>
      <c r="B86" s="48" t="str">
        <f>IF(('AI#2(Gpt)'!B86&amp;"")=('AI#1 (Claude)'!B86&amp;""),'AI#2(Gpt)'!B86,"")</f>
        <v>0</v>
      </c>
      <c r="C86" s="50" t="s">
        <v>341</v>
      </c>
      <c r="D86" s="48" t="str">
        <f>IF(('AI#2(Gpt)'!D86&amp;"")=('AI#1 (Claude)'!D86&amp;""),'AI#2(Gpt)'!D86,"")</f>
        <v>0</v>
      </c>
      <c r="E86" s="50" t="s">
        <v>344</v>
      </c>
      <c r="F86" s="54"/>
      <c r="G86" s="54"/>
    </row>
    <row r="87" ht="16.5" customHeight="1">
      <c r="A87" s="47" t="s">
        <v>23</v>
      </c>
      <c r="B87" s="51" t="s">
        <v>54</v>
      </c>
      <c r="C87" s="50" t="s">
        <v>282</v>
      </c>
      <c r="D87" s="48" t="str">
        <f>IF(('AI#2(Gpt)'!D87&amp;"")=('AI#1 (Claude)'!D87&amp;""),'AI#2(Gpt)'!D87,"")</f>
        <v>0</v>
      </c>
      <c r="E87" s="50" t="s">
        <v>352</v>
      </c>
      <c r="F87" s="54"/>
      <c r="G87" s="54"/>
    </row>
    <row r="88" ht="16.5" customHeight="1">
      <c r="A88" s="47" t="s">
        <v>24</v>
      </c>
      <c r="B88" s="51" t="s">
        <v>55</v>
      </c>
      <c r="C88" s="50" t="s">
        <v>287</v>
      </c>
      <c r="D88" s="77" t="s">
        <v>48</v>
      </c>
      <c r="E88" s="50" t="s">
        <v>359</v>
      </c>
      <c r="F88" s="54"/>
      <c r="G88" s="54"/>
    </row>
    <row r="89" ht="16.5" customHeight="1">
      <c r="A89" s="47" t="s">
        <v>25</v>
      </c>
      <c r="B89" s="48" t="s">
        <v>51</v>
      </c>
      <c r="C89" s="50" t="s">
        <v>363</v>
      </c>
      <c r="D89" s="48" t="s">
        <v>51</v>
      </c>
      <c r="E89" s="50" t="s">
        <v>365</v>
      </c>
      <c r="F89" s="54"/>
      <c r="G89" s="54"/>
    </row>
    <row r="90" ht="16.5" customHeight="1">
      <c r="A90" s="47" t="s">
        <v>26</v>
      </c>
      <c r="B90" s="48" t="s">
        <v>51</v>
      </c>
      <c r="C90" s="50" t="s">
        <v>295</v>
      </c>
      <c r="D90" s="48" t="str">
        <f>IF(('AI#2(Gpt)'!D90&amp;"")=('AI#1 (Claude)'!D90&amp;""),'AI#2(Gpt)'!D90,"")</f>
        <v>+</v>
      </c>
      <c r="E90" s="50" t="s">
        <v>373</v>
      </c>
      <c r="F90" s="54"/>
      <c r="G90" s="54"/>
    </row>
    <row r="91" ht="16.5" customHeight="1">
      <c r="A91" s="54"/>
      <c r="B91" s="55" t="s">
        <v>113</v>
      </c>
      <c r="C91" s="54"/>
      <c r="D91" s="55" t="s">
        <v>113</v>
      </c>
      <c r="E91" s="54"/>
      <c r="F91" s="55" t="s">
        <v>113</v>
      </c>
      <c r="G91" s="54"/>
    </row>
    <row r="92" ht="16.5" customHeight="1">
      <c r="A92" s="56" t="s">
        <v>33</v>
      </c>
      <c r="B92" s="57" t="s">
        <v>36</v>
      </c>
      <c r="C92" s="19"/>
      <c r="D92" s="70" t="s">
        <v>37</v>
      </c>
      <c r="E92" s="19"/>
      <c r="F92" s="54"/>
      <c r="G92" s="54"/>
    </row>
    <row r="93" ht="16.5" customHeight="1">
      <c r="A93" s="20"/>
      <c r="B93" s="59" t="s">
        <v>7</v>
      </c>
      <c r="C93" s="59" t="s">
        <v>10</v>
      </c>
      <c r="D93" s="59" t="s">
        <v>7</v>
      </c>
      <c r="E93" s="59" t="s">
        <v>10</v>
      </c>
      <c r="F93" s="54"/>
      <c r="G93" s="54"/>
    </row>
    <row r="94" ht="16.5" customHeight="1">
      <c r="A94" s="47" t="s">
        <v>11</v>
      </c>
      <c r="B94" s="48" t="str">
        <f>IF(('AI#2(Gpt)'!B94&amp;"")=('AI#1 (Claude)'!B94&amp;""),'AI#2(Gpt)'!B94,"")</f>
        <v>+</v>
      </c>
      <c r="C94" s="50" t="s">
        <v>409</v>
      </c>
      <c r="D94" s="48" t="s">
        <v>51</v>
      </c>
      <c r="E94" s="50" t="s">
        <v>411</v>
      </c>
      <c r="F94" s="54"/>
      <c r="G94" s="54"/>
    </row>
    <row r="95" ht="16.5" customHeight="1">
      <c r="A95" s="47" t="s">
        <v>18</v>
      </c>
      <c r="B95" s="51" t="s">
        <v>55</v>
      </c>
      <c r="C95" s="50" t="s">
        <v>397</v>
      </c>
      <c r="D95" s="48" t="s">
        <v>51</v>
      </c>
      <c r="E95" s="50" t="s">
        <v>414</v>
      </c>
      <c r="F95" s="54"/>
      <c r="G95" s="54"/>
    </row>
    <row r="96" ht="16.5" customHeight="1">
      <c r="A96" s="47" t="s">
        <v>19</v>
      </c>
      <c r="B96" s="48" t="str">
        <f>IF(('AI#2(Gpt)'!B96&amp;"")=('AI#1 (Claude)'!B96&amp;""),'AI#2(Gpt)'!B96,"")</f>
        <v>++</v>
      </c>
      <c r="C96" s="50" t="s">
        <v>415</v>
      </c>
      <c r="D96" s="48" t="s">
        <v>48</v>
      </c>
      <c r="E96" s="50" t="s">
        <v>416</v>
      </c>
      <c r="F96" s="54"/>
      <c r="G96" s="54"/>
    </row>
    <row r="97" ht="16.5" customHeight="1">
      <c r="A97" s="47" t="s">
        <v>20</v>
      </c>
      <c r="B97" s="48" t="s">
        <v>81</v>
      </c>
      <c r="C97" s="50" t="s">
        <v>418</v>
      </c>
      <c r="D97" s="48" t="s">
        <v>51</v>
      </c>
      <c r="E97" s="50" t="s">
        <v>419</v>
      </c>
      <c r="F97" s="54"/>
      <c r="G97" s="54"/>
    </row>
    <row r="98" ht="16.5" customHeight="1">
      <c r="A98" s="47" t="s">
        <v>21</v>
      </c>
      <c r="B98" s="48" t="s">
        <v>54</v>
      </c>
      <c r="C98" s="50" t="s">
        <v>421</v>
      </c>
      <c r="D98" s="48" t="s">
        <v>48</v>
      </c>
      <c r="E98" s="50" t="s">
        <v>422</v>
      </c>
      <c r="F98" s="54"/>
      <c r="G98" s="54"/>
    </row>
    <row r="99" ht="16.5" customHeight="1">
      <c r="A99" s="47" t="s">
        <v>22</v>
      </c>
      <c r="B99" s="48" t="s">
        <v>48</v>
      </c>
      <c r="C99" s="50" t="s">
        <v>405</v>
      </c>
      <c r="D99" s="48" t="str">
        <f>IF(('AI#2(Gpt)'!D99&amp;"")=('AI#1 (Claude)'!D99&amp;""),'AI#2(Gpt)'!D99,"")</f>
        <v>+</v>
      </c>
      <c r="E99" s="50" t="s">
        <v>426</v>
      </c>
      <c r="F99" s="54"/>
      <c r="G99" s="54"/>
    </row>
    <row r="100" ht="16.5" customHeight="1">
      <c r="A100" s="47" t="s">
        <v>23</v>
      </c>
      <c r="B100" s="48" t="s">
        <v>51</v>
      </c>
      <c r="C100" s="50" t="s">
        <v>427</v>
      </c>
      <c r="D100" s="48" t="s">
        <v>48</v>
      </c>
      <c r="E100" s="50" t="s">
        <v>428</v>
      </c>
      <c r="F100" s="54"/>
      <c r="G100" s="54"/>
    </row>
    <row r="101" ht="16.5" customHeight="1">
      <c r="A101" s="47" t="s">
        <v>24</v>
      </c>
      <c r="B101" s="48" t="str">
        <f>IF(('AI#2(Gpt)'!B101&amp;"")=('AI#1 (Claude)'!B101&amp;""),'AI#2(Gpt)'!B101,"")</f>
        <v>+</v>
      </c>
      <c r="C101" s="50" t="s">
        <v>429</v>
      </c>
      <c r="D101" s="48" t="s">
        <v>48</v>
      </c>
      <c r="E101" s="75" t="s">
        <v>430</v>
      </c>
      <c r="F101" s="54"/>
      <c r="G101" s="54"/>
    </row>
    <row r="102" ht="16.5" customHeight="1">
      <c r="A102" s="47" t="s">
        <v>25</v>
      </c>
      <c r="B102" s="48" t="s">
        <v>48</v>
      </c>
      <c r="C102" s="50" t="s">
        <v>432</v>
      </c>
      <c r="D102" s="48" t="s">
        <v>48</v>
      </c>
      <c r="E102" s="50" t="s">
        <v>433</v>
      </c>
      <c r="F102" s="54"/>
      <c r="G102" s="54"/>
    </row>
    <row r="103" ht="16.5" customHeight="1">
      <c r="A103" s="47" t="s">
        <v>26</v>
      </c>
      <c r="B103" s="77" t="s">
        <v>51</v>
      </c>
      <c r="C103" s="50" t="s">
        <v>434</v>
      </c>
      <c r="D103" s="48" t="s">
        <v>54</v>
      </c>
      <c r="E103" s="50" t="s">
        <v>435</v>
      </c>
      <c r="F103" s="54"/>
      <c r="G103" s="54"/>
    </row>
    <row r="104" ht="16.5" customHeight="1">
      <c r="A104" s="54"/>
      <c r="B104" s="55" t="s">
        <v>113</v>
      </c>
      <c r="C104" s="54"/>
      <c r="D104" s="55" t="s">
        <v>113</v>
      </c>
      <c r="E104" s="54"/>
      <c r="F104" s="54"/>
      <c r="G104" s="54"/>
    </row>
    <row r="105" ht="16.5" customHeight="1">
      <c r="A105" s="56" t="s">
        <v>33</v>
      </c>
      <c r="B105" s="57" t="s">
        <v>38</v>
      </c>
      <c r="C105" s="19"/>
      <c r="D105" s="70" t="s">
        <v>431</v>
      </c>
      <c r="E105" s="19"/>
      <c r="F105" s="54"/>
      <c r="G105" s="54"/>
    </row>
    <row r="106" ht="16.5" customHeight="1">
      <c r="A106" s="20"/>
      <c r="B106" s="59" t="s">
        <v>7</v>
      </c>
      <c r="C106" s="59" t="s">
        <v>10</v>
      </c>
      <c r="D106" s="59" t="s">
        <v>7</v>
      </c>
      <c r="E106" s="59" t="s">
        <v>10</v>
      </c>
      <c r="F106" s="54"/>
      <c r="G106" s="54"/>
    </row>
    <row r="107" ht="16.5" customHeight="1">
      <c r="A107" s="47" t="s">
        <v>11</v>
      </c>
      <c r="B107" s="48" t="str">
        <f>IF(('AI#2(Gpt)'!B107&amp;"")=('AI#1 (Claude)'!B107&amp;""),'AI#2(Gpt)'!B107,"")</f>
        <v>+</v>
      </c>
      <c r="C107" s="50" t="s">
        <v>441</v>
      </c>
      <c r="D107" s="48" t="str">
        <f>IF(('AI#2(Gpt)'!D107&amp;"")=('AI#1 (Claude)'!D107&amp;""),'AI#2(Gpt)'!D107,"")</f>
        <v>++</v>
      </c>
      <c r="E107" s="50" t="s">
        <v>442</v>
      </c>
      <c r="F107" s="54"/>
      <c r="G107" s="54"/>
    </row>
    <row r="108" ht="16.5" customHeight="1">
      <c r="A108" s="47" t="s">
        <v>18</v>
      </c>
      <c r="B108" s="48" t="str">
        <f>IF(('AI#2(Gpt)'!B108&amp;"")=('AI#1 (Claude)'!B108&amp;""),'AI#2(Gpt)'!B108,"")</f>
        <v>+</v>
      </c>
      <c r="C108" s="50" t="s">
        <v>444</v>
      </c>
      <c r="D108" s="48" t="str">
        <f>IF(('AI#2(Gpt)'!D108&amp;"")=('AI#1 (Claude)'!D108&amp;""),'AI#2(Gpt)'!D108,"")</f>
        <v>++</v>
      </c>
      <c r="E108" s="50" t="s">
        <v>445</v>
      </c>
      <c r="F108" s="54"/>
      <c r="G108" s="54"/>
    </row>
    <row r="109" ht="16.5" customHeight="1">
      <c r="A109" s="47" t="s">
        <v>19</v>
      </c>
      <c r="B109" s="48" t="str">
        <f>IF(('AI#2(Gpt)'!B109&amp;"")=('AI#1 (Claude)'!B109&amp;""),'AI#2(Gpt)'!B109,"")</f>
        <v>++</v>
      </c>
      <c r="C109" s="50" t="s">
        <v>447</v>
      </c>
      <c r="D109" s="48" t="str">
        <f>IF(('AI#2(Gpt)'!D109&amp;"")=('AI#1 (Claude)'!D109&amp;""),'AI#2(Gpt)'!D109,"")</f>
        <v>+</v>
      </c>
      <c r="E109" s="50" t="s">
        <v>449</v>
      </c>
      <c r="F109" s="54"/>
      <c r="G109" s="54"/>
    </row>
    <row r="110" ht="16.5" customHeight="1">
      <c r="A110" s="47" t="s">
        <v>20</v>
      </c>
      <c r="B110" s="48" t="str">
        <f>IF(('AI#2(Gpt)'!B110&amp;"")=('AI#1 (Claude)'!B110&amp;""),'AI#2(Gpt)'!B110,"")</f>
        <v>-</v>
      </c>
      <c r="C110" s="50" t="s">
        <v>450</v>
      </c>
      <c r="D110" s="48" t="str">
        <f>IF(('AI#2(Gpt)'!D110&amp;"")=('AI#1 (Claude)'!D110&amp;""),'AI#2(Gpt)'!D110,"")</f>
        <v>--</v>
      </c>
      <c r="E110" s="50" t="s">
        <v>452</v>
      </c>
      <c r="F110" s="54"/>
      <c r="G110" s="54"/>
    </row>
    <row r="111" ht="16.5" customHeight="1">
      <c r="A111" s="47" t="s">
        <v>21</v>
      </c>
      <c r="B111" s="48" t="str">
        <f>IF(('AI#2(Gpt)'!B111&amp;"")=('AI#1 (Claude)'!B111&amp;""),'AI#2(Gpt)'!B111,"")</f>
        <v>+</v>
      </c>
      <c r="C111" s="50" t="s">
        <v>454</v>
      </c>
      <c r="D111" s="48" t="str">
        <f>IF(('AI#2(Gpt)'!D111&amp;"")=('AI#1 (Claude)'!D111&amp;""),'AI#2(Gpt)'!D111,"")</f>
        <v>++</v>
      </c>
      <c r="E111" s="50" t="s">
        <v>455</v>
      </c>
      <c r="F111" s="54"/>
      <c r="G111" s="54"/>
    </row>
    <row r="112" ht="16.5" customHeight="1">
      <c r="A112" s="47" t="s">
        <v>22</v>
      </c>
      <c r="B112" s="48" t="str">
        <f>IF(('AI#2(Gpt)'!B112&amp;"")=('AI#1 (Claude)'!B112&amp;""),'AI#2(Gpt)'!B112,"")</f>
        <v>-</v>
      </c>
      <c r="C112" s="50" t="s">
        <v>456</v>
      </c>
      <c r="D112" s="48" t="s">
        <v>48</v>
      </c>
      <c r="E112" s="50" t="s">
        <v>458</v>
      </c>
      <c r="F112" s="54"/>
      <c r="G112" s="54"/>
    </row>
    <row r="113" ht="16.5" customHeight="1">
      <c r="A113" s="47" t="s">
        <v>23</v>
      </c>
      <c r="B113" s="48" t="str">
        <f>IF(('AI#2(Gpt)'!B113&amp;"")=('AI#1 (Claude)'!B113&amp;""),'AI#2(Gpt)'!B113,"")</f>
        <v>0</v>
      </c>
      <c r="C113" s="50" t="s">
        <v>460</v>
      </c>
      <c r="D113" s="48" t="str">
        <f>IF(('AI#2(Gpt)'!D113&amp;"")=('AI#1 (Claude)'!D113&amp;""),'AI#2(Gpt)'!D113,"")</f>
        <v>+</v>
      </c>
      <c r="E113" s="50" t="s">
        <v>461</v>
      </c>
      <c r="F113" s="54"/>
      <c r="G113" s="54"/>
    </row>
    <row r="114" ht="16.5" customHeight="1">
      <c r="A114" s="47" t="s">
        <v>24</v>
      </c>
      <c r="B114" s="48" t="s">
        <v>51</v>
      </c>
      <c r="C114" s="50" t="s">
        <v>463</v>
      </c>
      <c r="D114" s="48" t="s">
        <v>51</v>
      </c>
      <c r="E114" s="50" t="s">
        <v>471</v>
      </c>
      <c r="F114" s="54"/>
      <c r="G114" s="54"/>
    </row>
    <row r="115" ht="16.5" customHeight="1">
      <c r="A115" s="47" t="s">
        <v>25</v>
      </c>
      <c r="B115" s="48" t="s">
        <v>48</v>
      </c>
      <c r="C115" s="50" t="s">
        <v>466</v>
      </c>
      <c r="D115" s="48" t="s">
        <v>81</v>
      </c>
      <c r="E115" s="50" t="s">
        <v>467</v>
      </c>
      <c r="F115" s="54"/>
      <c r="G115" s="54"/>
    </row>
    <row r="116" ht="16.5" customHeight="1">
      <c r="A116" s="47" t="s">
        <v>26</v>
      </c>
      <c r="B116" s="48" t="str">
        <f>IF(('AI#2(Gpt)'!B116&amp;"")=('AI#1 (Claude)'!B116&amp;""),'AI#2(Gpt)'!B116,"")</f>
        <v>0</v>
      </c>
      <c r="C116" s="50" t="s">
        <v>469</v>
      </c>
      <c r="D116" s="48" t="str">
        <f>IF(('AI#2(Gpt)'!D116&amp;"")=('AI#1 (Claude)'!D116&amp;""),'AI#2(Gpt)'!D116,"")</f>
        <v>0</v>
      </c>
      <c r="E116" s="50" t="s">
        <v>470</v>
      </c>
      <c r="F116" s="54"/>
      <c r="G116" s="54"/>
    </row>
    <row r="117" ht="16.5" customHeight="1">
      <c r="A117" s="54"/>
      <c r="B117" s="55" t="s">
        <v>113</v>
      </c>
      <c r="C117" s="54"/>
      <c r="D117" s="55" t="s">
        <v>113</v>
      </c>
      <c r="E117" s="54"/>
      <c r="F117" s="54"/>
      <c r="G117" s="54"/>
    </row>
    <row r="118" ht="16.5" customHeight="1">
      <c r="A118" s="56" t="s">
        <v>40</v>
      </c>
      <c r="B118" s="70" t="s">
        <v>41</v>
      </c>
      <c r="C118" s="19"/>
      <c r="D118" s="70" t="s">
        <v>42</v>
      </c>
      <c r="E118" s="19"/>
      <c r="F118" s="70" t="s">
        <v>43</v>
      </c>
      <c r="G118" s="19"/>
    </row>
    <row r="119" ht="16.5" customHeight="1">
      <c r="A119" s="20"/>
      <c r="B119" s="59" t="s">
        <v>7</v>
      </c>
      <c r="C119" s="59" t="s">
        <v>10</v>
      </c>
      <c r="D119" s="59" t="s">
        <v>7</v>
      </c>
      <c r="E119" s="59" t="s">
        <v>10</v>
      </c>
      <c r="F119" s="59" t="s">
        <v>7</v>
      </c>
      <c r="G119" s="59" t="s">
        <v>10</v>
      </c>
    </row>
    <row r="120" ht="16.5" customHeight="1">
      <c r="A120" s="47" t="s">
        <v>11</v>
      </c>
      <c r="B120" s="48" t="str">
        <f>IF(('AI#2(Gpt)'!B120&amp;"")=('AI#1 (Claude)'!B120&amp;""),'AI#2(Gpt)'!B120,"")</f>
        <v/>
      </c>
      <c r="C120" s="50" t="str">
        <f>"Human" &amp; " - " &amp; B$118 &amp; " - " &amp; $A120</f>
        <v>Human - Container-based - Availability</v>
      </c>
      <c r="D120" s="48" t="str">
        <f>IF(('AI#2(Gpt)'!D120&amp;"")=('AI#1 (Claude)'!D120&amp;""),'AI#2(Gpt)'!D120,"")</f>
        <v/>
      </c>
      <c r="E120" s="50" t="str">
        <f t="shared" ref="E120:E123" si="6">"Human" &amp; " - " &amp; D$118 &amp; " - " &amp; $A120</f>
        <v>Human - Cloud-based - Availability</v>
      </c>
      <c r="F120" s="48" t="s">
        <v>54</v>
      </c>
      <c r="G120" s="50" t="s">
        <v>478</v>
      </c>
    </row>
    <row r="121" ht="16.5" customHeight="1">
      <c r="A121" s="47" t="s">
        <v>18</v>
      </c>
      <c r="B121" s="48" t="str">
        <f>IF(('AI#2(Gpt)'!B121&amp;"")=('AI#1 (Claude)'!B121&amp;""),'AI#2(Gpt)'!B121,"")</f>
        <v>++</v>
      </c>
      <c r="C121" s="50" t="s">
        <v>479</v>
      </c>
      <c r="D121" s="48" t="str">
        <f>IF(('AI#2(Gpt)'!D121&amp;"")=('AI#1 (Claude)'!D121&amp;""),'AI#2(Gpt)'!D121,"")</f>
        <v/>
      </c>
      <c r="E121" s="50" t="str">
        <f t="shared" si="6"/>
        <v>Human - Cloud-based - Deployability</v>
      </c>
      <c r="F121" s="48" t="s">
        <v>81</v>
      </c>
      <c r="G121" s="50" t="s">
        <v>500</v>
      </c>
    </row>
    <row r="122" ht="16.5" customHeight="1">
      <c r="A122" s="47" t="s">
        <v>19</v>
      </c>
      <c r="B122" s="48" t="str">
        <f>IF(('AI#2(Gpt)'!B122&amp;"")=('AI#1 (Claude)'!B122&amp;""),'AI#2(Gpt)'!B122,"")</f>
        <v/>
      </c>
      <c r="C122" s="50" t="str">
        <f>"Human" &amp; " - " &amp; B$118 &amp; " - " &amp; $A122</f>
        <v>Human - Container-based - Integrability</v>
      </c>
      <c r="D122" s="48" t="str">
        <f>IF(('AI#2(Gpt)'!D122&amp;"")=('AI#1 (Claude)'!D122&amp;""),'AI#2(Gpt)'!D122,"")</f>
        <v/>
      </c>
      <c r="E122" s="50" t="str">
        <f t="shared" si="6"/>
        <v>Human - Cloud-based - Integrability</v>
      </c>
      <c r="F122" s="48" t="s">
        <v>48</v>
      </c>
      <c r="G122" s="50" t="s">
        <v>484</v>
      </c>
    </row>
    <row r="123" ht="16.5" customHeight="1">
      <c r="A123" s="47" t="s">
        <v>20</v>
      </c>
      <c r="B123" s="48" t="str">
        <f>IF(('AI#2(Gpt)'!B123&amp;"")=('AI#1 (Claude)'!B123&amp;""),'AI#2(Gpt)'!B123,"")</f>
        <v>+</v>
      </c>
      <c r="C123" s="50" t="s">
        <v>485</v>
      </c>
      <c r="D123" s="48" t="str">
        <f>IF(('AI#2(Gpt)'!D123&amp;"")=('AI#1 (Claude)'!D123&amp;""),'AI#2(Gpt)'!D123,"")</f>
        <v/>
      </c>
      <c r="E123" s="50" t="str">
        <f t="shared" si="6"/>
        <v>Human - Cloud-based - Energy Efficiency</v>
      </c>
      <c r="F123" s="48" t="s">
        <v>48</v>
      </c>
      <c r="G123" s="50" t="s">
        <v>487</v>
      </c>
    </row>
    <row r="124" ht="16.5" customHeight="1">
      <c r="A124" s="47" t="s">
        <v>21</v>
      </c>
      <c r="B124" s="48" t="str">
        <f>IF(('AI#2(Gpt)'!B124&amp;"")=('AI#1 (Claude)'!B124&amp;""),'AI#2(Gpt)'!B124,"")</f>
        <v>+</v>
      </c>
      <c r="C124" s="50" t="s">
        <v>488</v>
      </c>
      <c r="D124" s="48" t="str">
        <f>IF(('AI#2(Gpt)'!D124&amp;"")=('AI#1 (Claude)'!D124&amp;""),'AI#2(Gpt)'!D124,"")</f>
        <v>+</v>
      </c>
      <c r="E124" s="50" t="s">
        <v>491</v>
      </c>
      <c r="F124" s="48" t="s">
        <v>48</v>
      </c>
      <c r="G124" s="50" t="s">
        <v>520</v>
      </c>
    </row>
    <row r="125" ht="16.5" customHeight="1">
      <c r="A125" s="47" t="s">
        <v>22</v>
      </c>
      <c r="B125" s="48" t="str">
        <f>IF(('AI#2(Gpt)'!B125&amp;"")=('AI#1 (Claude)'!B125&amp;""),'AI#2(Gpt)'!B125,"")</f>
        <v/>
      </c>
      <c r="C125" s="50" t="str">
        <f t="shared" ref="C125:C126" si="7">"Human" &amp; " - " &amp; B$118 &amp; " - " &amp; $A125</f>
        <v>Human - Container-based - Performance</v>
      </c>
      <c r="D125" s="48" t="str">
        <f>IF(('AI#2(Gpt)'!D125&amp;"")=('AI#1 (Claude)'!D125&amp;""),'AI#2(Gpt)'!D125,"")</f>
        <v/>
      </c>
      <c r="E125" s="50" t="str">
        <f t="shared" ref="E125:E126" si="8">"Human" &amp; " - " &amp; D$118 &amp; " - " &amp; $A125</f>
        <v>Human - Cloud-based - Performance</v>
      </c>
      <c r="F125" s="51" t="s">
        <v>55</v>
      </c>
      <c r="G125" s="50" t="s">
        <v>523</v>
      </c>
    </row>
    <row r="126" ht="16.5" customHeight="1">
      <c r="A126" s="47" t="s">
        <v>23</v>
      </c>
      <c r="B126" s="48" t="str">
        <f>IF(('AI#2(Gpt)'!B126&amp;"")=('AI#1 (Claude)'!B126&amp;""),'AI#2(Gpt)'!B126,"")</f>
        <v/>
      </c>
      <c r="C126" s="50" t="str">
        <f t="shared" si="7"/>
        <v>Human - Container-based - Safety</v>
      </c>
      <c r="D126" s="48" t="str">
        <f>IF(('AI#2(Gpt)'!D126&amp;"")=('AI#1 (Claude)'!D126&amp;""),'AI#2(Gpt)'!D126,"")</f>
        <v/>
      </c>
      <c r="E126" s="50" t="str">
        <f t="shared" si="8"/>
        <v>Human - Cloud-based - Safety</v>
      </c>
      <c r="F126" s="51" t="s">
        <v>55</v>
      </c>
      <c r="G126" s="50" t="s">
        <v>526</v>
      </c>
    </row>
    <row r="127" ht="16.5" customHeight="1">
      <c r="A127" s="47" t="s">
        <v>24</v>
      </c>
      <c r="B127" s="48" t="str">
        <f>IF(('AI#2(Gpt)'!B127&amp;"")=('AI#1 (Claude)'!B127&amp;""),'AI#2(Gpt)'!B127,"")</f>
        <v>0</v>
      </c>
      <c r="C127" s="50" t="s">
        <v>504</v>
      </c>
      <c r="D127" s="48" t="str">
        <f>IF(('AI#2(Gpt)'!D127&amp;"")=('AI#1 (Claude)'!D127&amp;""),'AI#2(Gpt)'!D127,"")</f>
        <v>0</v>
      </c>
      <c r="E127" s="50" t="s">
        <v>505</v>
      </c>
      <c r="F127" s="48" t="str">
        <f>IF(('AI#2(Gpt)'!F127&amp;"")=('AI#1 (Claude)'!F127&amp;""),'AI#2(Gpt)'!F127,"")</f>
        <v>-</v>
      </c>
      <c r="G127" s="50" t="s">
        <v>507</v>
      </c>
    </row>
    <row r="128" ht="16.5" customHeight="1">
      <c r="A128" s="47" t="s">
        <v>25</v>
      </c>
      <c r="B128" s="48" t="str">
        <f>IF(('AI#2(Gpt)'!B128&amp;"")=('AI#1 (Claude)'!B128&amp;""),'AI#2(Gpt)'!B128,"")</f>
        <v/>
      </c>
      <c r="C128" s="50" t="str">
        <f>"Human" &amp; " - " &amp; B$118 &amp; " - " &amp; $A128</f>
        <v>Human - Container-based - Testability</v>
      </c>
      <c r="D128" s="48" t="str">
        <f>IF(('AI#2(Gpt)'!D128&amp;"")=('AI#1 (Claude)'!D128&amp;""),'AI#2(Gpt)'!D128,"")</f>
        <v/>
      </c>
      <c r="E128" s="50" t="str">
        <f t="shared" ref="E128:E129" si="9">"Human" &amp; " - " &amp; D$118 &amp; " - " &amp; $A128</f>
        <v>Human - Cloud-based - Testability</v>
      </c>
      <c r="F128" s="48" t="s">
        <v>81</v>
      </c>
      <c r="G128" s="50" t="s">
        <v>512</v>
      </c>
    </row>
    <row r="129" ht="16.5" customHeight="1">
      <c r="A129" s="47" t="s">
        <v>26</v>
      </c>
      <c r="B129" s="48" t="str">
        <f>IF(('AI#2(Gpt)'!B129&amp;"")=('AI#1 (Claude)'!B129&amp;""),'AI#2(Gpt)'!B129,"")</f>
        <v>0</v>
      </c>
      <c r="C129" s="50" t="s">
        <v>514</v>
      </c>
      <c r="D129" s="48" t="str">
        <f>IF(('AI#2(Gpt)'!D129&amp;"")=('AI#1 (Claude)'!D129&amp;""),'AI#2(Gpt)'!D129,"")</f>
        <v/>
      </c>
      <c r="E129" s="50" t="str">
        <f t="shared" si="9"/>
        <v>Human - Cloud-based - Usability</v>
      </c>
      <c r="F129" s="51" t="s">
        <v>54</v>
      </c>
      <c r="G129" s="50" t="s">
        <v>535</v>
      </c>
    </row>
    <row r="130" ht="16.5" customHeight="1">
      <c r="B130" s="42"/>
      <c r="D130" s="42"/>
      <c r="F130" s="42"/>
    </row>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 B31 B33:B36 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27.86"/>
    <col customWidth="1" min="3" max="3" width="112.43"/>
    <col customWidth="1" min="5" max="5" width="127.71"/>
    <col customWidth="1" min="7" max="7" width="161.0"/>
  </cols>
  <sheetData>
    <row r="1" ht="16.5" customHeight="1">
      <c r="A1" s="56" t="s">
        <v>33</v>
      </c>
      <c r="B1" s="57" t="s">
        <v>46</v>
      </c>
      <c r="C1" s="19"/>
      <c r="D1" s="57" t="s">
        <v>35</v>
      </c>
      <c r="E1" s="19"/>
      <c r="F1" s="54"/>
      <c r="G1" s="54"/>
    </row>
    <row r="2" ht="16.5" customHeight="1">
      <c r="A2" s="20"/>
      <c r="B2" s="59" t="s">
        <v>7</v>
      </c>
      <c r="C2" s="59" t="s">
        <v>10</v>
      </c>
      <c r="D2" s="59" t="s">
        <v>7</v>
      </c>
      <c r="E2" s="59" t="s">
        <v>10</v>
      </c>
      <c r="F2" s="54"/>
      <c r="G2" s="54"/>
    </row>
    <row r="3" ht="16.5" customHeight="1">
      <c r="A3" s="47" t="s">
        <v>11</v>
      </c>
      <c r="B3" s="51" t="s">
        <v>54</v>
      </c>
      <c r="C3" s="50" t="s">
        <v>239</v>
      </c>
      <c r="D3" s="48" t="s">
        <v>51</v>
      </c>
      <c r="E3" s="50" t="s">
        <v>241</v>
      </c>
      <c r="F3" s="54"/>
      <c r="G3" s="54"/>
    </row>
    <row r="4" ht="16.5" customHeight="1">
      <c r="A4" s="73" t="s">
        <v>18</v>
      </c>
      <c r="B4" s="51" t="s">
        <v>55</v>
      </c>
      <c r="C4" s="50" t="s">
        <v>248</v>
      </c>
      <c r="D4" s="51" t="s">
        <v>55</v>
      </c>
      <c r="E4" s="50" t="s">
        <v>250</v>
      </c>
      <c r="F4" s="54"/>
      <c r="G4" s="54"/>
    </row>
    <row r="5" ht="16.5" customHeight="1">
      <c r="A5" s="73" t="s">
        <v>19</v>
      </c>
      <c r="B5" s="51" t="s">
        <v>54</v>
      </c>
      <c r="C5" s="50" t="s">
        <v>254</v>
      </c>
      <c r="D5" s="51" t="s">
        <v>55</v>
      </c>
      <c r="E5" s="50" t="s">
        <v>257</v>
      </c>
      <c r="F5" s="54"/>
      <c r="G5" s="54"/>
    </row>
    <row r="6" ht="16.5" customHeight="1">
      <c r="A6" s="73" t="s">
        <v>20</v>
      </c>
      <c r="B6" s="48" t="s">
        <v>48</v>
      </c>
      <c r="C6" s="50" t="s">
        <v>264</v>
      </c>
      <c r="D6" s="51" t="s">
        <v>54</v>
      </c>
      <c r="E6" s="50" t="s">
        <v>266</v>
      </c>
      <c r="F6" s="54"/>
      <c r="G6" s="54"/>
    </row>
    <row r="7" ht="16.5" customHeight="1">
      <c r="A7" s="47" t="s">
        <v>21</v>
      </c>
      <c r="B7" s="51" t="s">
        <v>54</v>
      </c>
      <c r="C7" s="50" t="s">
        <v>271</v>
      </c>
      <c r="D7" s="51" t="s">
        <v>54</v>
      </c>
      <c r="E7" s="50" t="s">
        <v>274</v>
      </c>
      <c r="F7" s="54"/>
      <c r="G7" s="54"/>
    </row>
    <row r="8" ht="16.5" customHeight="1">
      <c r="A8" s="47" t="s">
        <v>22</v>
      </c>
      <c r="B8" s="48" t="s">
        <v>51</v>
      </c>
      <c r="C8" s="50" t="s">
        <v>277</v>
      </c>
      <c r="D8" s="48" t="s">
        <v>51</v>
      </c>
      <c r="E8" s="50" t="s">
        <v>279</v>
      </c>
      <c r="F8" s="54"/>
      <c r="G8" s="54"/>
    </row>
    <row r="9" ht="16.5" customHeight="1">
      <c r="A9" s="47" t="s">
        <v>23</v>
      </c>
      <c r="B9" s="51" t="s">
        <v>54</v>
      </c>
      <c r="C9" s="50" t="s">
        <v>282</v>
      </c>
      <c r="D9" s="48" t="s">
        <v>51</v>
      </c>
      <c r="E9" s="50" t="s">
        <v>283</v>
      </c>
      <c r="F9" s="54"/>
      <c r="G9" s="54"/>
    </row>
    <row r="10" ht="16.5" customHeight="1">
      <c r="A10" s="73" t="s">
        <v>24</v>
      </c>
      <c r="B10" s="51" t="s">
        <v>55</v>
      </c>
      <c r="C10" s="50" t="s">
        <v>287</v>
      </c>
      <c r="D10" s="51" t="s">
        <v>55</v>
      </c>
      <c r="E10" s="50" t="s">
        <v>289</v>
      </c>
      <c r="F10" s="54"/>
      <c r="G10" s="54"/>
    </row>
    <row r="11" ht="16.5" customHeight="1">
      <c r="A11" s="73" t="s">
        <v>25</v>
      </c>
      <c r="B11" s="51" t="s">
        <v>54</v>
      </c>
      <c r="C11" s="50" t="s">
        <v>290</v>
      </c>
      <c r="D11" s="51" t="s">
        <v>54</v>
      </c>
      <c r="E11" s="50" t="s">
        <v>292</v>
      </c>
      <c r="F11" s="54"/>
      <c r="G11" s="54"/>
    </row>
    <row r="12" ht="16.5" customHeight="1">
      <c r="A12" s="47" t="s">
        <v>26</v>
      </c>
      <c r="B12" s="48" t="s">
        <v>51</v>
      </c>
      <c r="C12" s="50" t="s">
        <v>295</v>
      </c>
      <c r="D12" s="51" t="s">
        <v>54</v>
      </c>
      <c r="E12" s="50" t="s">
        <v>296</v>
      </c>
      <c r="F12" s="54"/>
      <c r="G12" s="54"/>
    </row>
    <row r="13">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ht="16.5" customHeight="1">
      <c r="A14" s="56" t="s">
        <v>33</v>
      </c>
      <c r="B14" s="57" t="s">
        <v>46</v>
      </c>
      <c r="C14" s="19"/>
      <c r="D14" s="57" t="s">
        <v>35</v>
      </c>
      <c r="E14" s="19"/>
      <c r="F14" s="54"/>
      <c r="G14" s="54"/>
    </row>
    <row r="15" ht="16.5" customHeight="1">
      <c r="A15" s="20"/>
      <c r="B15" s="59" t="s">
        <v>7</v>
      </c>
      <c r="C15" s="59" t="s">
        <v>10</v>
      </c>
      <c r="D15" s="59" t="s">
        <v>7</v>
      </c>
      <c r="E15" s="59" t="s">
        <v>10</v>
      </c>
      <c r="F15" s="54"/>
      <c r="G15" s="54"/>
    </row>
    <row r="16" ht="16.5" customHeight="1">
      <c r="A16" s="47" t="s">
        <v>11</v>
      </c>
      <c r="B16" s="48" t="s">
        <v>51</v>
      </c>
      <c r="C16" s="50" t="s">
        <v>325</v>
      </c>
      <c r="D16" s="48" t="s">
        <v>51</v>
      </c>
      <c r="E16" s="50" t="s">
        <v>328</v>
      </c>
      <c r="F16" s="54"/>
      <c r="G16" s="54"/>
    </row>
    <row r="17" ht="16.5" customHeight="1">
      <c r="A17" s="73" t="s">
        <v>18</v>
      </c>
      <c r="B17" s="48" t="s">
        <v>54</v>
      </c>
      <c r="C17" s="50" t="s">
        <v>331</v>
      </c>
      <c r="D17" s="48" t="s">
        <v>54</v>
      </c>
      <c r="E17" s="50" t="s">
        <v>332</v>
      </c>
      <c r="F17" s="54"/>
      <c r="G17" s="54"/>
    </row>
    <row r="18" ht="16.5" customHeight="1">
      <c r="A18" s="73" t="s">
        <v>19</v>
      </c>
      <c r="B18" s="48" t="s">
        <v>54</v>
      </c>
      <c r="C18" s="50" t="s">
        <v>333</v>
      </c>
      <c r="D18" s="48" t="s">
        <v>54</v>
      </c>
      <c r="E18" s="50" t="s">
        <v>334</v>
      </c>
      <c r="F18" s="54"/>
      <c r="G18" s="54"/>
    </row>
    <row r="19" ht="16.5" customHeight="1">
      <c r="A19" s="73" t="s">
        <v>20</v>
      </c>
      <c r="B19" s="48" t="s">
        <v>48</v>
      </c>
      <c r="C19" s="50" t="s">
        <v>335</v>
      </c>
      <c r="D19" s="48" t="s">
        <v>48</v>
      </c>
      <c r="E19" s="50" t="s">
        <v>336</v>
      </c>
      <c r="F19" s="54"/>
      <c r="G19" s="54"/>
    </row>
    <row r="20" ht="16.5" customHeight="1">
      <c r="A20" s="47" t="s">
        <v>21</v>
      </c>
      <c r="B20" s="48" t="s">
        <v>54</v>
      </c>
      <c r="C20" s="50" t="s">
        <v>338</v>
      </c>
      <c r="D20" s="48" t="s">
        <v>54</v>
      </c>
      <c r="E20" s="50" t="s">
        <v>339</v>
      </c>
      <c r="F20" s="54"/>
      <c r="G20" s="54"/>
    </row>
    <row r="21" ht="16.5" customHeight="1">
      <c r="A21" s="47" t="s">
        <v>22</v>
      </c>
      <c r="B21" s="48" t="s">
        <v>51</v>
      </c>
      <c r="C21" s="50" t="s">
        <v>341</v>
      </c>
      <c r="D21" s="48" t="s">
        <v>51</v>
      </c>
      <c r="E21" s="50" t="s">
        <v>344</v>
      </c>
      <c r="F21" s="54"/>
      <c r="G21" s="54"/>
    </row>
    <row r="22" ht="16.5" customHeight="1">
      <c r="A22" s="47" t="s">
        <v>23</v>
      </c>
      <c r="B22" s="48" t="s">
        <v>51</v>
      </c>
      <c r="C22" s="50" t="s">
        <v>348</v>
      </c>
      <c r="D22" s="48" t="s">
        <v>51</v>
      </c>
      <c r="E22" s="50" t="s">
        <v>352</v>
      </c>
      <c r="F22" s="54"/>
      <c r="G22" s="54"/>
    </row>
    <row r="23" ht="16.5" customHeight="1">
      <c r="A23" s="73" t="s">
        <v>24</v>
      </c>
      <c r="B23" s="48" t="s">
        <v>51</v>
      </c>
      <c r="C23" s="50" t="s">
        <v>356</v>
      </c>
      <c r="D23" s="48" t="s">
        <v>51</v>
      </c>
      <c r="E23" s="50" t="s">
        <v>359</v>
      </c>
      <c r="F23" s="54"/>
      <c r="G23" s="54"/>
    </row>
    <row r="24" ht="16.5" customHeight="1">
      <c r="A24" s="73" t="s">
        <v>25</v>
      </c>
      <c r="B24" s="48" t="s">
        <v>51</v>
      </c>
      <c r="C24" s="50" t="s">
        <v>363</v>
      </c>
      <c r="D24" s="48" t="s">
        <v>51</v>
      </c>
      <c r="E24" s="50" t="s">
        <v>365</v>
      </c>
      <c r="F24" s="54"/>
      <c r="G24" s="54"/>
    </row>
    <row r="25" ht="16.5" customHeight="1">
      <c r="A25" s="47" t="s">
        <v>26</v>
      </c>
      <c r="B25" s="48" t="s">
        <v>54</v>
      </c>
      <c r="C25" s="50" t="s">
        <v>371</v>
      </c>
      <c r="D25" s="48" t="s">
        <v>54</v>
      </c>
      <c r="E25" s="50" t="s">
        <v>373</v>
      </c>
      <c r="F25" s="54"/>
      <c r="G25" s="54"/>
    </row>
    <row r="26" ht="16.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6.5" customHeight="1">
      <c r="A27" s="56" t="s">
        <v>33</v>
      </c>
      <c r="B27" s="57" t="s">
        <v>36</v>
      </c>
      <c r="C27" s="19"/>
      <c r="D27" s="70" t="s">
        <v>37</v>
      </c>
      <c r="E27" s="19"/>
      <c r="F27" s="54"/>
      <c r="G27" s="54"/>
    </row>
    <row r="28" ht="16.5" customHeight="1">
      <c r="A28" s="20"/>
      <c r="B28" s="59" t="s">
        <v>7</v>
      </c>
      <c r="C28" s="59" t="s">
        <v>10</v>
      </c>
      <c r="D28" s="59" t="s">
        <v>7</v>
      </c>
      <c r="E28" s="59" t="s">
        <v>10</v>
      </c>
      <c r="F28" s="54"/>
      <c r="G28" s="54"/>
    </row>
    <row r="29" ht="16.5" customHeight="1">
      <c r="A29" s="73" t="s">
        <v>11</v>
      </c>
      <c r="B29" s="51" t="s">
        <v>54</v>
      </c>
      <c r="C29" s="50" t="s">
        <v>395</v>
      </c>
      <c r="D29" s="51" t="s">
        <v>55</v>
      </c>
      <c r="E29" s="50" t="s">
        <v>396</v>
      </c>
      <c r="F29" s="54"/>
      <c r="G29" s="54"/>
    </row>
    <row r="30" ht="16.5" customHeight="1">
      <c r="A30" s="73" t="s">
        <v>18</v>
      </c>
      <c r="B30" s="51" t="s">
        <v>55</v>
      </c>
      <c r="C30" s="50" t="s">
        <v>397</v>
      </c>
      <c r="D30" s="51" t="s">
        <v>55</v>
      </c>
      <c r="E30" s="50" t="s">
        <v>398</v>
      </c>
      <c r="F30" s="54"/>
      <c r="G30" s="54"/>
    </row>
    <row r="31" ht="16.5" customHeight="1">
      <c r="A31" s="73" t="s">
        <v>19</v>
      </c>
      <c r="B31" s="51" t="s">
        <v>55</v>
      </c>
      <c r="C31" s="50" t="s">
        <v>399</v>
      </c>
      <c r="D31" s="51" t="s">
        <v>54</v>
      </c>
      <c r="E31" s="50" t="s">
        <v>400</v>
      </c>
      <c r="F31" s="54"/>
      <c r="G31" s="54"/>
    </row>
    <row r="32" ht="16.5" customHeight="1">
      <c r="A32" s="73" t="s">
        <v>20</v>
      </c>
      <c r="B32" s="48" t="s">
        <v>48</v>
      </c>
      <c r="C32" s="50" t="s">
        <v>401</v>
      </c>
      <c r="D32" s="51" t="s">
        <v>54</v>
      </c>
      <c r="E32" s="50" t="s">
        <v>402</v>
      </c>
      <c r="F32" s="54"/>
      <c r="G32" s="54"/>
    </row>
    <row r="33" ht="16.5" customHeight="1">
      <c r="A33" s="73" t="s">
        <v>21</v>
      </c>
      <c r="B33" s="51" t="s">
        <v>55</v>
      </c>
      <c r="C33" s="50" t="s">
        <v>403</v>
      </c>
      <c r="D33" s="51" t="s">
        <v>54</v>
      </c>
      <c r="E33" s="50" t="s">
        <v>404</v>
      </c>
      <c r="F33" s="54"/>
      <c r="G33" s="54"/>
    </row>
    <row r="34" ht="16.5" customHeight="1">
      <c r="A34" s="47" t="s">
        <v>22</v>
      </c>
      <c r="B34" s="48" t="s">
        <v>48</v>
      </c>
      <c r="C34" s="50" t="s">
        <v>405</v>
      </c>
      <c r="D34" s="51" t="s">
        <v>54</v>
      </c>
      <c r="E34" s="50" t="s">
        <v>406</v>
      </c>
      <c r="F34" s="54"/>
      <c r="G34" s="54"/>
    </row>
    <row r="35" ht="16.5" customHeight="1">
      <c r="A35" s="73" t="s">
        <v>23</v>
      </c>
      <c r="B35" s="51" t="s">
        <v>54</v>
      </c>
      <c r="C35" s="50" t="s">
        <v>407</v>
      </c>
      <c r="D35" s="51" t="s">
        <v>54</v>
      </c>
      <c r="E35" s="50" t="s">
        <v>408</v>
      </c>
      <c r="F35" s="54"/>
      <c r="G35" s="54"/>
    </row>
    <row r="36" ht="16.5" customHeight="1">
      <c r="A36" s="73" t="s">
        <v>24</v>
      </c>
      <c r="B36" s="51" t="s">
        <v>54</v>
      </c>
      <c r="C36" s="50" t="s">
        <v>410</v>
      </c>
      <c r="D36" s="51" t="s">
        <v>54</v>
      </c>
      <c r="E36" s="75" t="s">
        <v>413</v>
      </c>
      <c r="F36" s="54"/>
      <c r="G36" s="54"/>
    </row>
    <row r="37" ht="16.5" customHeight="1">
      <c r="A37" s="73" t="s">
        <v>25</v>
      </c>
      <c r="B37" s="51" t="s">
        <v>54</v>
      </c>
      <c r="C37" s="50" t="s">
        <v>417</v>
      </c>
      <c r="D37" s="48" t="s">
        <v>51</v>
      </c>
      <c r="E37" s="50" t="s">
        <v>420</v>
      </c>
      <c r="F37" s="54"/>
      <c r="G37" s="54"/>
    </row>
    <row r="38" ht="16.5" customHeight="1">
      <c r="A38" s="73" t="s">
        <v>26</v>
      </c>
      <c r="B38" s="48" t="s">
        <v>51</v>
      </c>
      <c r="C38" s="50" t="s">
        <v>423</v>
      </c>
      <c r="D38" s="48" t="s">
        <v>51</v>
      </c>
      <c r="E38" s="50" t="s">
        <v>425</v>
      </c>
      <c r="F38" s="54"/>
      <c r="G38" s="54"/>
    </row>
    <row r="39" ht="16.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6.5" customHeight="1">
      <c r="A40" s="76" t="s">
        <v>33</v>
      </c>
      <c r="B40" s="57" t="s">
        <v>36</v>
      </c>
      <c r="C40" s="19"/>
      <c r="D40" s="70" t="s">
        <v>37</v>
      </c>
      <c r="E40" s="19"/>
      <c r="F40" s="54"/>
      <c r="G40" s="54"/>
    </row>
    <row r="41" ht="16.5" customHeight="1">
      <c r="A41" s="20"/>
      <c r="B41" s="59" t="s">
        <v>7</v>
      </c>
      <c r="C41" s="59" t="s">
        <v>10</v>
      </c>
      <c r="D41" s="59" t="s">
        <v>7</v>
      </c>
      <c r="E41" s="59" t="s">
        <v>10</v>
      </c>
      <c r="F41" s="54"/>
      <c r="G41" s="54"/>
    </row>
    <row r="42" ht="16.5" customHeight="1">
      <c r="A42" s="73" t="s">
        <v>11</v>
      </c>
      <c r="B42" s="48" t="s">
        <v>54</v>
      </c>
      <c r="C42" s="50" t="s">
        <v>409</v>
      </c>
      <c r="D42" s="48" t="s">
        <v>51</v>
      </c>
      <c r="E42" s="50" t="s">
        <v>411</v>
      </c>
      <c r="F42" s="54"/>
      <c r="G42" s="54"/>
    </row>
    <row r="43" ht="16.5" customHeight="1">
      <c r="A43" s="73" t="s">
        <v>18</v>
      </c>
      <c r="B43" s="48" t="s">
        <v>54</v>
      </c>
      <c r="C43" s="50" t="s">
        <v>412</v>
      </c>
      <c r="D43" s="48" t="s">
        <v>51</v>
      </c>
      <c r="E43" s="50" t="s">
        <v>414</v>
      </c>
      <c r="F43" s="54"/>
      <c r="G43" s="54"/>
    </row>
    <row r="44" ht="16.5" customHeight="1">
      <c r="A44" s="73" t="s">
        <v>19</v>
      </c>
      <c r="B44" s="48" t="s">
        <v>55</v>
      </c>
      <c r="C44" s="50" t="s">
        <v>415</v>
      </c>
      <c r="D44" s="48" t="s">
        <v>48</v>
      </c>
      <c r="E44" s="50" t="s">
        <v>416</v>
      </c>
      <c r="F44" s="54"/>
      <c r="G44" s="54"/>
    </row>
    <row r="45" ht="16.5" customHeight="1">
      <c r="A45" s="73" t="s">
        <v>20</v>
      </c>
      <c r="B45" s="48" t="s">
        <v>81</v>
      </c>
      <c r="C45" s="50" t="s">
        <v>418</v>
      </c>
      <c r="D45" s="48" t="s">
        <v>51</v>
      </c>
      <c r="E45" s="50" t="s">
        <v>419</v>
      </c>
      <c r="F45" s="54"/>
      <c r="G45" s="54"/>
    </row>
    <row r="46" ht="16.5" customHeight="1">
      <c r="A46" s="73" t="s">
        <v>21</v>
      </c>
      <c r="B46" s="48" t="s">
        <v>54</v>
      </c>
      <c r="C46" s="50" t="s">
        <v>421</v>
      </c>
      <c r="D46" s="48" t="s">
        <v>48</v>
      </c>
      <c r="E46" s="50" t="s">
        <v>422</v>
      </c>
      <c r="F46" s="54"/>
      <c r="G46" s="54"/>
    </row>
    <row r="47" ht="16.5" customHeight="1">
      <c r="A47" s="47" t="s">
        <v>22</v>
      </c>
      <c r="B47" s="48" t="s">
        <v>51</v>
      </c>
      <c r="C47" s="50" t="s">
        <v>424</v>
      </c>
      <c r="D47" s="48" t="s">
        <v>54</v>
      </c>
      <c r="E47" s="50" t="s">
        <v>426</v>
      </c>
      <c r="F47" s="54"/>
      <c r="G47" s="54"/>
    </row>
    <row r="48" ht="16.5" customHeight="1">
      <c r="A48" s="73" t="s">
        <v>23</v>
      </c>
      <c r="B48" s="48" t="s">
        <v>51</v>
      </c>
      <c r="C48" s="50" t="s">
        <v>427</v>
      </c>
      <c r="D48" s="48" t="s">
        <v>48</v>
      </c>
      <c r="E48" s="50" t="s">
        <v>428</v>
      </c>
      <c r="F48" s="54"/>
      <c r="G48" s="54"/>
    </row>
    <row r="49" ht="16.5" customHeight="1">
      <c r="A49" s="73" t="s">
        <v>24</v>
      </c>
      <c r="B49" s="48" t="s">
        <v>54</v>
      </c>
      <c r="C49" s="50" t="s">
        <v>429</v>
      </c>
      <c r="D49" s="48" t="s">
        <v>48</v>
      </c>
      <c r="E49" s="75" t="s">
        <v>430</v>
      </c>
      <c r="F49" s="54"/>
      <c r="G49" s="54"/>
    </row>
    <row r="50" ht="16.5" customHeight="1">
      <c r="A50" s="73" t="s">
        <v>25</v>
      </c>
      <c r="B50" s="48" t="s">
        <v>48</v>
      </c>
      <c r="C50" s="50" t="s">
        <v>432</v>
      </c>
      <c r="D50" s="48" t="s">
        <v>48</v>
      </c>
      <c r="E50" s="50" t="s">
        <v>433</v>
      </c>
      <c r="F50" s="54"/>
      <c r="G50" s="54"/>
    </row>
    <row r="51" ht="16.5" customHeight="1">
      <c r="A51" s="73" t="s">
        <v>26</v>
      </c>
      <c r="B51" s="48" t="s">
        <v>54</v>
      </c>
      <c r="C51" s="50" t="s">
        <v>434</v>
      </c>
      <c r="D51" s="48" t="s">
        <v>54</v>
      </c>
      <c r="E51" s="50" t="s">
        <v>435</v>
      </c>
      <c r="F51" s="54"/>
      <c r="G51" s="54"/>
    </row>
    <row r="52" ht="16.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6.5" customHeight="1">
      <c r="A53" s="56" t="s">
        <v>33</v>
      </c>
      <c r="B53" s="57" t="s">
        <v>38</v>
      </c>
      <c r="C53" s="19"/>
      <c r="D53" s="70" t="s">
        <v>431</v>
      </c>
      <c r="E53" s="19"/>
      <c r="F53" s="54"/>
      <c r="G53" s="54"/>
    </row>
    <row r="54" ht="16.5" customHeight="1">
      <c r="A54" s="20"/>
      <c r="B54" s="59" t="s">
        <v>7</v>
      </c>
      <c r="C54" s="59" t="s">
        <v>10</v>
      </c>
      <c r="D54" s="59" t="s">
        <v>7</v>
      </c>
      <c r="E54" s="59" t="s">
        <v>10</v>
      </c>
      <c r="F54" s="54"/>
      <c r="G54" s="54"/>
    </row>
    <row r="55" ht="16.5" customHeight="1">
      <c r="A55" s="47" t="s">
        <v>11</v>
      </c>
      <c r="B55" s="51" t="s">
        <v>54</v>
      </c>
      <c r="C55" s="50" t="s">
        <v>436</v>
      </c>
      <c r="D55" s="51" t="s">
        <v>55</v>
      </c>
      <c r="E55" s="50" t="s">
        <v>437</v>
      </c>
      <c r="F55" s="54"/>
      <c r="G55" s="54"/>
    </row>
    <row r="56" ht="16.5" customHeight="1">
      <c r="A56" s="47" t="s">
        <v>18</v>
      </c>
      <c r="B56" s="51" t="s">
        <v>54</v>
      </c>
      <c r="C56" s="50" t="s">
        <v>438</v>
      </c>
      <c r="D56" s="51" t="s">
        <v>55</v>
      </c>
      <c r="E56" s="50" t="s">
        <v>439</v>
      </c>
      <c r="F56" s="54"/>
      <c r="G56" s="54"/>
    </row>
    <row r="57" ht="16.5" customHeight="1">
      <c r="A57" s="47" t="s">
        <v>19</v>
      </c>
      <c r="B57" s="51" t="s">
        <v>55</v>
      </c>
      <c r="C57" s="50" t="s">
        <v>440</v>
      </c>
      <c r="D57" s="51" t="s">
        <v>54</v>
      </c>
      <c r="E57" s="50" t="s">
        <v>443</v>
      </c>
      <c r="F57" s="54"/>
      <c r="G57" s="54"/>
    </row>
    <row r="58" ht="16.5" customHeight="1">
      <c r="A58" s="47" t="s">
        <v>20</v>
      </c>
      <c r="B58" s="48" t="s">
        <v>48</v>
      </c>
      <c r="C58" s="50" t="s">
        <v>446</v>
      </c>
      <c r="D58" s="48" t="s">
        <v>81</v>
      </c>
      <c r="E58" s="50" t="s">
        <v>448</v>
      </c>
      <c r="F58" s="54"/>
      <c r="G58" s="54"/>
    </row>
    <row r="59" ht="16.5" customHeight="1">
      <c r="A59" s="47" t="s">
        <v>21</v>
      </c>
      <c r="B59" s="51" t="s">
        <v>54</v>
      </c>
      <c r="C59" s="50" t="s">
        <v>451</v>
      </c>
      <c r="D59" s="51" t="s">
        <v>55</v>
      </c>
      <c r="E59" s="50" t="s">
        <v>453</v>
      </c>
      <c r="F59" s="54"/>
      <c r="G59" s="54"/>
    </row>
    <row r="60" ht="16.5" customHeight="1">
      <c r="A60" s="73" t="s">
        <v>22</v>
      </c>
      <c r="B60" s="48" t="s">
        <v>48</v>
      </c>
      <c r="C60" s="50" t="s">
        <v>457</v>
      </c>
      <c r="D60" s="48" t="s">
        <v>51</v>
      </c>
      <c r="E60" s="50" t="s">
        <v>459</v>
      </c>
      <c r="F60" s="54"/>
      <c r="G60" s="54"/>
    </row>
    <row r="61" ht="16.5" customHeight="1">
      <c r="A61" s="47" t="s">
        <v>23</v>
      </c>
      <c r="B61" s="48" t="s">
        <v>51</v>
      </c>
      <c r="C61" s="50" t="s">
        <v>462</v>
      </c>
      <c r="D61" s="51" t="s">
        <v>54</v>
      </c>
      <c r="E61" s="50" t="s">
        <v>465</v>
      </c>
      <c r="F61" s="54"/>
      <c r="G61" s="54"/>
    </row>
    <row r="62" ht="16.5" customHeight="1">
      <c r="A62" s="73" t="s">
        <v>24</v>
      </c>
      <c r="B62" s="51" t="s">
        <v>54</v>
      </c>
      <c r="C62" s="50" t="s">
        <v>468</v>
      </c>
      <c r="D62" s="48" t="s">
        <v>51</v>
      </c>
      <c r="E62" s="50" t="s">
        <v>471</v>
      </c>
      <c r="F62" s="54"/>
      <c r="G62" s="54"/>
    </row>
    <row r="63" ht="16.5" customHeight="1">
      <c r="A63" s="73" t="s">
        <v>25</v>
      </c>
      <c r="B63" s="48" t="s">
        <v>51</v>
      </c>
      <c r="C63" s="50" t="s">
        <v>472</v>
      </c>
      <c r="D63" s="48" t="s">
        <v>51</v>
      </c>
      <c r="E63" s="50" t="s">
        <v>473</v>
      </c>
      <c r="F63" s="54"/>
      <c r="G63" s="54"/>
    </row>
    <row r="64" ht="16.5" customHeight="1">
      <c r="A64" s="47" t="s">
        <v>26</v>
      </c>
      <c r="B64" s="48" t="s">
        <v>51</v>
      </c>
      <c r="C64" s="50" t="s">
        <v>474</v>
      </c>
      <c r="D64" s="48" t="s">
        <v>51</v>
      </c>
      <c r="E64" s="50" t="s">
        <v>475</v>
      </c>
      <c r="F64" s="54"/>
      <c r="G64" s="54"/>
    </row>
    <row r="65" ht="16.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6.5" customHeight="1">
      <c r="A66" s="56" t="s">
        <v>33</v>
      </c>
      <c r="B66" s="57" t="s">
        <v>38</v>
      </c>
      <c r="C66" s="19"/>
      <c r="D66" s="70" t="s">
        <v>431</v>
      </c>
      <c r="E66" s="19"/>
      <c r="F66" s="54"/>
      <c r="G66" s="54"/>
    </row>
    <row r="67" ht="16.5" customHeight="1">
      <c r="A67" s="20"/>
      <c r="B67" s="59" t="s">
        <v>7</v>
      </c>
      <c r="C67" s="59" t="s">
        <v>10</v>
      </c>
      <c r="D67" s="59" t="s">
        <v>7</v>
      </c>
      <c r="E67" s="59" t="s">
        <v>10</v>
      </c>
      <c r="F67" s="54"/>
      <c r="G67" s="54"/>
    </row>
    <row r="68" ht="16.5" customHeight="1">
      <c r="A68" s="47" t="s">
        <v>11</v>
      </c>
      <c r="B68" s="48" t="s">
        <v>54</v>
      </c>
      <c r="C68" s="50" t="s">
        <v>441</v>
      </c>
      <c r="D68" s="48" t="s">
        <v>55</v>
      </c>
      <c r="E68" s="50" t="s">
        <v>442</v>
      </c>
      <c r="F68" s="54"/>
      <c r="G68" s="54"/>
    </row>
    <row r="69" ht="16.5" customHeight="1">
      <c r="A69" s="47" t="s">
        <v>18</v>
      </c>
      <c r="B69" s="48" t="s">
        <v>54</v>
      </c>
      <c r="C69" s="50" t="s">
        <v>444</v>
      </c>
      <c r="D69" s="48" t="s">
        <v>55</v>
      </c>
      <c r="E69" s="50" t="s">
        <v>445</v>
      </c>
      <c r="F69" s="54"/>
      <c r="G69" s="54"/>
    </row>
    <row r="70" ht="16.5" customHeight="1">
      <c r="A70" s="47" t="s">
        <v>19</v>
      </c>
      <c r="B70" s="48" t="s">
        <v>55</v>
      </c>
      <c r="C70" s="50" t="s">
        <v>447</v>
      </c>
      <c r="D70" s="48" t="s">
        <v>54</v>
      </c>
      <c r="E70" s="50" t="s">
        <v>449</v>
      </c>
      <c r="F70" s="54"/>
      <c r="G70" s="54"/>
    </row>
    <row r="71" ht="16.5" customHeight="1">
      <c r="A71" s="47" t="s">
        <v>20</v>
      </c>
      <c r="B71" s="48" t="s">
        <v>48</v>
      </c>
      <c r="C71" s="50" t="s">
        <v>450</v>
      </c>
      <c r="D71" s="48" t="s">
        <v>81</v>
      </c>
      <c r="E71" s="50" t="s">
        <v>452</v>
      </c>
      <c r="F71" s="54"/>
      <c r="G71" s="54"/>
    </row>
    <row r="72" ht="16.5" customHeight="1">
      <c r="A72" s="47" t="s">
        <v>21</v>
      </c>
      <c r="B72" s="48" t="s">
        <v>54</v>
      </c>
      <c r="C72" s="50" t="s">
        <v>454</v>
      </c>
      <c r="D72" s="48" t="s">
        <v>55</v>
      </c>
      <c r="E72" s="50" t="s">
        <v>455</v>
      </c>
      <c r="F72" s="54"/>
      <c r="G72" s="54"/>
    </row>
    <row r="73" ht="16.5" customHeight="1">
      <c r="A73" s="73" t="s">
        <v>22</v>
      </c>
      <c r="B73" s="48" t="s">
        <v>48</v>
      </c>
      <c r="C73" s="50" t="s">
        <v>456</v>
      </c>
      <c r="D73" s="48" t="s">
        <v>48</v>
      </c>
      <c r="E73" s="50" t="s">
        <v>458</v>
      </c>
      <c r="F73" s="54"/>
      <c r="G73" s="54"/>
    </row>
    <row r="74" ht="16.5" customHeight="1">
      <c r="A74" s="47" t="s">
        <v>23</v>
      </c>
      <c r="B74" s="48" t="s">
        <v>51</v>
      </c>
      <c r="C74" s="50" t="s">
        <v>460</v>
      </c>
      <c r="D74" s="48" t="s">
        <v>54</v>
      </c>
      <c r="E74" s="50" t="s">
        <v>461</v>
      </c>
      <c r="F74" s="54"/>
      <c r="G74" s="54"/>
    </row>
    <row r="75" ht="16.5" customHeight="1">
      <c r="A75" s="73" t="s">
        <v>24</v>
      </c>
      <c r="B75" s="48" t="s">
        <v>51</v>
      </c>
      <c r="C75" s="50" t="s">
        <v>463</v>
      </c>
      <c r="D75" s="48" t="s">
        <v>54</v>
      </c>
      <c r="E75" s="50" t="s">
        <v>464</v>
      </c>
      <c r="F75" s="54"/>
      <c r="G75" s="54"/>
    </row>
    <row r="76" ht="16.5" customHeight="1">
      <c r="A76" s="73" t="s">
        <v>25</v>
      </c>
      <c r="B76" s="48" t="s">
        <v>48</v>
      </c>
      <c r="C76" s="50" t="s">
        <v>466</v>
      </c>
      <c r="D76" s="48" t="s">
        <v>81</v>
      </c>
      <c r="E76" s="50" t="s">
        <v>467</v>
      </c>
      <c r="F76" s="54"/>
      <c r="G76" s="54"/>
    </row>
    <row r="77" ht="16.5" customHeight="1">
      <c r="A77" s="47" t="s">
        <v>26</v>
      </c>
      <c r="B77" s="48" t="s">
        <v>51</v>
      </c>
      <c r="C77" s="50" t="s">
        <v>469</v>
      </c>
      <c r="D77" s="48" t="s">
        <v>51</v>
      </c>
      <c r="E77" s="50" t="s">
        <v>470</v>
      </c>
      <c r="F77" s="54"/>
      <c r="G77" s="54"/>
    </row>
    <row r="78" ht="16.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6.5" customHeight="1">
      <c r="A79" s="56" t="s">
        <v>40</v>
      </c>
      <c r="B79" s="70" t="s">
        <v>41</v>
      </c>
      <c r="C79" s="19"/>
      <c r="D79" s="70" t="s">
        <v>42</v>
      </c>
      <c r="E79" s="19"/>
      <c r="F79" s="70" t="s">
        <v>43</v>
      </c>
      <c r="G79" s="19"/>
    </row>
    <row r="80" ht="16.5" customHeight="1">
      <c r="A80" s="20"/>
      <c r="B80" s="59" t="s">
        <v>7</v>
      </c>
      <c r="C80" s="59" t="s">
        <v>10</v>
      </c>
      <c r="D80" s="59" t="s">
        <v>7</v>
      </c>
      <c r="E80" s="59" t="s">
        <v>10</v>
      </c>
      <c r="F80" s="59" t="s">
        <v>7</v>
      </c>
      <c r="G80" s="59" t="s">
        <v>10</v>
      </c>
    </row>
    <row r="81" ht="16.5" customHeight="1">
      <c r="A81" s="73" t="s">
        <v>11</v>
      </c>
      <c r="B81" s="51" t="s">
        <v>55</v>
      </c>
      <c r="C81" s="50" t="s">
        <v>489</v>
      </c>
      <c r="D81" s="51" t="s">
        <v>55</v>
      </c>
      <c r="E81" s="50" t="s">
        <v>490</v>
      </c>
      <c r="F81" s="51" t="s">
        <v>55</v>
      </c>
      <c r="G81" s="50" t="s">
        <v>493</v>
      </c>
    </row>
    <row r="82" ht="16.5" customHeight="1">
      <c r="A82" s="73" t="s">
        <v>18</v>
      </c>
      <c r="B82" s="51" t="s">
        <v>55</v>
      </c>
      <c r="C82" s="50" t="s">
        <v>496</v>
      </c>
      <c r="D82" s="51" t="s">
        <v>55</v>
      </c>
      <c r="E82" s="50" t="s">
        <v>498</v>
      </c>
      <c r="F82" s="48" t="s">
        <v>81</v>
      </c>
      <c r="G82" s="50" t="s">
        <v>500</v>
      </c>
    </row>
    <row r="83" ht="16.5" customHeight="1">
      <c r="A83" s="73" t="s">
        <v>19</v>
      </c>
      <c r="B83" s="51" t="s">
        <v>54</v>
      </c>
      <c r="C83" s="50" t="s">
        <v>503</v>
      </c>
      <c r="D83" s="51" t="s">
        <v>54</v>
      </c>
      <c r="E83" s="50" t="s">
        <v>506</v>
      </c>
      <c r="F83" s="48" t="s">
        <v>51</v>
      </c>
      <c r="G83" s="50" t="s">
        <v>508</v>
      </c>
    </row>
    <row r="84" ht="16.5" customHeight="1">
      <c r="A84" s="73" t="s">
        <v>20</v>
      </c>
      <c r="B84" s="51" t="s">
        <v>54</v>
      </c>
      <c r="C84" s="50" t="s">
        <v>511</v>
      </c>
      <c r="D84" s="51" t="s">
        <v>54</v>
      </c>
      <c r="E84" s="50" t="s">
        <v>513</v>
      </c>
      <c r="F84" s="51" t="s">
        <v>54</v>
      </c>
      <c r="G84" s="50" t="s">
        <v>516</v>
      </c>
    </row>
    <row r="85" ht="16.5" customHeight="1">
      <c r="A85" s="73" t="s">
        <v>21</v>
      </c>
      <c r="B85" s="51" t="s">
        <v>54</v>
      </c>
      <c r="C85" s="50" t="s">
        <v>518</v>
      </c>
      <c r="D85" s="51" t="s">
        <v>54</v>
      </c>
      <c r="E85" s="50" t="s">
        <v>519</v>
      </c>
      <c r="F85" s="48" t="s">
        <v>48</v>
      </c>
      <c r="G85" s="50" t="s">
        <v>520</v>
      </c>
    </row>
    <row r="86" ht="16.5" customHeight="1">
      <c r="A86" s="73" t="s">
        <v>22</v>
      </c>
      <c r="B86" s="51" t="s">
        <v>54</v>
      </c>
      <c r="C86" s="50" t="s">
        <v>521</v>
      </c>
      <c r="D86" s="51" t="s">
        <v>54</v>
      </c>
      <c r="E86" s="50" t="s">
        <v>522</v>
      </c>
      <c r="F86" s="51" t="s">
        <v>55</v>
      </c>
      <c r="G86" s="50" t="s">
        <v>523</v>
      </c>
    </row>
    <row r="87" ht="16.5" customHeight="1">
      <c r="A87" s="73" t="s">
        <v>23</v>
      </c>
      <c r="B87" s="51" t="s">
        <v>55</v>
      </c>
      <c r="C87" s="50" t="s">
        <v>524</v>
      </c>
      <c r="D87" s="51" t="s">
        <v>55</v>
      </c>
      <c r="E87" s="50" t="s">
        <v>525</v>
      </c>
      <c r="F87" s="51" t="s">
        <v>55</v>
      </c>
      <c r="G87" s="50" t="s">
        <v>526</v>
      </c>
    </row>
    <row r="88" ht="16.5" customHeight="1">
      <c r="A88" s="47" t="s">
        <v>24</v>
      </c>
      <c r="B88" s="48" t="s">
        <v>51</v>
      </c>
      <c r="C88" s="50" t="s">
        <v>527</v>
      </c>
      <c r="D88" s="48" t="s">
        <v>51</v>
      </c>
      <c r="E88" s="50" t="s">
        <v>528</v>
      </c>
      <c r="F88" s="48" t="s">
        <v>48</v>
      </c>
      <c r="G88" s="50" t="s">
        <v>529</v>
      </c>
    </row>
    <row r="89" ht="16.5" customHeight="1">
      <c r="A89" s="73" t="s">
        <v>25</v>
      </c>
      <c r="B89" s="51" t="s">
        <v>55</v>
      </c>
      <c r="C89" s="50" t="s">
        <v>530</v>
      </c>
      <c r="D89" s="51" t="s">
        <v>54</v>
      </c>
      <c r="E89" s="50" t="s">
        <v>531</v>
      </c>
      <c r="F89" s="48" t="s">
        <v>48</v>
      </c>
      <c r="G89" s="50" t="s">
        <v>532</v>
      </c>
    </row>
    <row r="90" ht="16.5" customHeight="1">
      <c r="A90" s="73" t="s">
        <v>26</v>
      </c>
      <c r="B90" s="48" t="s">
        <v>51</v>
      </c>
      <c r="C90" s="50" t="s">
        <v>533</v>
      </c>
      <c r="D90" s="48" t="s">
        <v>51</v>
      </c>
      <c r="E90" s="50" t="s">
        <v>534</v>
      </c>
      <c r="F90" s="51" t="s">
        <v>54</v>
      </c>
      <c r="G90" s="50" t="s">
        <v>535</v>
      </c>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6.5" customHeight="1">
      <c r="A92" s="56" t="s">
        <v>40</v>
      </c>
      <c r="B92" s="70" t="s">
        <v>41</v>
      </c>
      <c r="C92" s="19"/>
      <c r="D92" s="70" t="s">
        <v>42</v>
      </c>
      <c r="E92" s="19"/>
      <c r="F92" s="70" t="s">
        <v>43</v>
      </c>
      <c r="G92" s="19"/>
    </row>
    <row r="93" ht="16.5" customHeight="1">
      <c r="A93" s="20"/>
      <c r="B93" s="59" t="s">
        <v>7</v>
      </c>
      <c r="C93" s="59" t="s">
        <v>10</v>
      </c>
      <c r="D93" s="59" t="s">
        <v>7</v>
      </c>
      <c r="E93" s="59" t="s">
        <v>10</v>
      </c>
      <c r="F93" s="59" t="s">
        <v>7</v>
      </c>
      <c r="G93" s="59" t="s">
        <v>10</v>
      </c>
    </row>
    <row r="94" ht="16.5" customHeight="1">
      <c r="A94" s="73" t="s">
        <v>11</v>
      </c>
      <c r="B94" s="48" t="s">
        <v>54</v>
      </c>
      <c r="C94" s="50" t="s">
        <v>476</v>
      </c>
      <c r="D94" s="48" t="s">
        <v>54</v>
      </c>
      <c r="E94" s="50" t="s">
        <v>477</v>
      </c>
      <c r="F94" s="48" t="s">
        <v>54</v>
      </c>
      <c r="G94" s="50" t="s">
        <v>478</v>
      </c>
    </row>
    <row r="95" ht="16.5" customHeight="1">
      <c r="A95" s="73" t="s">
        <v>18</v>
      </c>
      <c r="B95" s="48" t="s">
        <v>55</v>
      </c>
      <c r="C95" s="50" t="s">
        <v>479</v>
      </c>
      <c r="D95" s="48" t="s">
        <v>54</v>
      </c>
      <c r="E95" s="50" t="s">
        <v>480</v>
      </c>
      <c r="F95" s="48" t="s">
        <v>54</v>
      </c>
      <c r="G95" s="50" t="s">
        <v>481</v>
      </c>
    </row>
    <row r="96" ht="16.5" customHeight="1">
      <c r="A96" s="73" t="s">
        <v>19</v>
      </c>
      <c r="B96" s="48" t="s">
        <v>51</v>
      </c>
      <c r="C96" s="50" t="s">
        <v>482</v>
      </c>
      <c r="D96" s="48" t="s">
        <v>51</v>
      </c>
      <c r="E96" s="50" t="s">
        <v>483</v>
      </c>
      <c r="F96" s="48" t="s">
        <v>48</v>
      </c>
      <c r="G96" s="50" t="s">
        <v>484</v>
      </c>
    </row>
    <row r="97" ht="16.5" customHeight="1">
      <c r="A97" s="73" t="s">
        <v>20</v>
      </c>
      <c r="B97" s="48" t="s">
        <v>54</v>
      </c>
      <c r="C97" s="50" t="s">
        <v>485</v>
      </c>
      <c r="D97" s="48" t="s">
        <v>51</v>
      </c>
      <c r="E97" s="50" t="s">
        <v>486</v>
      </c>
      <c r="F97" s="48" t="s">
        <v>48</v>
      </c>
      <c r="G97" s="50" t="s">
        <v>487</v>
      </c>
    </row>
    <row r="98" ht="16.5" customHeight="1">
      <c r="A98" s="73" t="s">
        <v>21</v>
      </c>
      <c r="B98" s="48" t="s">
        <v>54</v>
      </c>
      <c r="C98" s="50" t="s">
        <v>488</v>
      </c>
      <c r="D98" s="48" t="s">
        <v>54</v>
      </c>
      <c r="E98" s="50" t="s">
        <v>491</v>
      </c>
      <c r="F98" s="48" t="s">
        <v>54</v>
      </c>
      <c r="G98" s="50" t="s">
        <v>492</v>
      </c>
    </row>
    <row r="99" ht="16.5" customHeight="1">
      <c r="A99" s="73" t="s">
        <v>22</v>
      </c>
      <c r="B99" s="48" t="s">
        <v>51</v>
      </c>
      <c r="C99" s="50" t="s">
        <v>494</v>
      </c>
      <c r="D99" s="48" t="s">
        <v>51</v>
      </c>
      <c r="E99" s="50" t="s">
        <v>495</v>
      </c>
      <c r="F99" s="48" t="s">
        <v>54</v>
      </c>
      <c r="G99" s="50" t="s">
        <v>497</v>
      </c>
    </row>
    <row r="100" ht="16.5" customHeight="1">
      <c r="A100" s="73" t="s">
        <v>23</v>
      </c>
      <c r="B100" s="48" t="s">
        <v>51</v>
      </c>
      <c r="C100" s="50" t="s">
        <v>499</v>
      </c>
      <c r="D100" s="48" t="s">
        <v>51</v>
      </c>
      <c r="E100" s="50" t="s">
        <v>501</v>
      </c>
      <c r="F100" s="48" t="s">
        <v>51</v>
      </c>
      <c r="G100" s="50" t="s">
        <v>502</v>
      </c>
    </row>
    <row r="101" ht="16.5" customHeight="1">
      <c r="A101" s="47" t="s">
        <v>24</v>
      </c>
      <c r="B101" s="48" t="s">
        <v>51</v>
      </c>
      <c r="C101" s="50" t="s">
        <v>504</v>
      </c>
      <c r="D101" s="48" t="s">
        <v>51</v>
      </c>
      <c r="E101" s="50" t="s">
        <v>505</v>
      </c>
      <c r="F101" s="48" t="s">
        <v>48</v>
      </c>
      <c r="G101" s="50" t="s">
        <v>507</v>
      </c>
    </row>
    <row r="102" ht="16.5" customHeight="1">
      <c r="A102" s="73" t="s">
        <v>25</v>
      </c>
      <c r="B102" s="48" t="s">
        <v>54</v>
      </c>
      <c r="C102" s="50" t="s">
        <v>509</v>
      </c>
      <c r="D102" s="48" t="s">
        <v>51</v>
      </c>
      <c r="E102" s="50" t="s">
        <v>510</v>
      </c>
      <c r="F102" s="48" t="s">
        <v>81</v>
      </c>
      <c r="G102" s="50" t="s">
        <v>512</v>
      </c>
    </row>
    <row r="103" ht="16.5" customHeight="1">
      <c r="A103" s="73" t="s">
        <v>26</v>
      </c>
      <c r="B103" s="48" t="s">
        <v>51</v>
      </c>
      <c r="C103" s="50" t="s">
        <v>514</v>
      </c>
      <c r="D103" s="48" t="s">
        <v>54</v>
      </c>
      <c r="E103" s="50" t="s">
        <v>515</v>
      </c>
      <c r="F103" s="48" t="s">
        <v>51</v>
      </c>
      <c r="G103" s="50" t="s">
        <v>517</v>
      </c>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26">
    <mergeCell ref="B27:C27"/>
    <mergeCell ref="D27:E27"/>
    <mergeCell ref="A1:A2"/>
    <mergeCell ref="B1:C1"/>
    <mergeCell ref="D1:E1"/>
    <mergeCell ref="A14:A15"/>
    <mergeCell ref="B14:C14"/>
    <mergeCell ref="D14:E14"/>
    <mergeCell ref="A27:A28"/>
    <mergeCell ref="B66:C66"/>
    <mergeCell ref="D66:E66"/>
    <mergeCell ref="A79:A80"/>
    <mergeCell ref="B79:C79"/>
    <mergeCell ref="D79:E79"/>
    <mergeCell ref="F79:G79"/>
    <mergeCell ref="A92:A93"/>
    <mergeCell ref="B92:C92"/>
    <mergeCell ref="D92:E92"/>
    <mergeCell ref="F92:G92"/>
    <mergeCell ref="A40:A41"/>
    <mergeCell ref="B40:C40"/>
    <mergeCell ref="D40:E40"/>
    <mergeCell ref="A53:A54"/>
    <mergeCell ref="B53:C53"/>
    <mergeCell ref="D53:E53"/>
    <mergeCell ref="A66:A67"/>
  </mergeCells>
  <dataValidations>
    <dataValidation type="list" allowBlank="1" showErrorMessage="1" sqref="B1 D1 B3:B12 D3:D12 B14 D14 B16:B25 D16:D25 B27 B29:B38 D29:D38 B40 B42:B51 D42:D51 B55:B64 D55:D64 B68:B77 D68:D77 B81:B90 D81:D90 F81:F90 B94:B103 D94:D103 F94:F103">
      <formula1>"'++,'+,'0,'-,'--"</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2026-09-03T11:26:15Z</dcterms:created>
  <dc:creator>김덕겸</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LCMData">
    <vt:lpwstr>6E519BA2EED35B6C97B361C0D562289A2FECB733DDB0F8C1CC21DD9C9B536CBE007F1B4BF0E5C25EEC4F563B656D092FE6F2A52B70A00257A6B82A71AB390F89</vt:lpwstr>
  </property>
  <property fmtid="{D5CDD505-2E9C-101B-9397-08002B2CF9AE}" pid="3" name="ContentTypeId">
    <vt:lpwstr>0x0101009EB770C6058C0A408AAF2910384D1419</vt:lpwstr>
  </property>
</Properties>
</file>