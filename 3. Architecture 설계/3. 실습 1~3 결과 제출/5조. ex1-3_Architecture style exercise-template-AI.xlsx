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설명" sheetId="1" r:id="rId4"/>
    <sheet state="visible" name="DF" sheetId="2" r:id="rId5"/>
    <sheet state="visible" name="DC" sheetId="3" r:id="rId6"/>
    <sheet state="visible" name="II" sheetId="4" r:id="rId7"/>
    <sheet state="visible" name="IO" sheetId="5" r:id="rId8"/>
    <sheet state="visible" name="H1" sheetId="6" r:id="rId9"/>
    <sheet state="visible" name="H2" sheetId="7" r:id="rId10"/>
    <sheet state="visible" name="DA1" sheetId="8" r:id="rId11"/>
    <sheet state="visible" name="DA2" sheetId="9" r:id="rId12"/>
    <sheet state="visible" name="DA3" sheetId="10" r:id="rId13"/>
    <sheet state="visible" name="Dep" sheetId="11" r:id="rId14"/>
    <sheet state="visible" name="Detailed Reasoning" sheetId="12" r:id="rId15"/>
    <sheet state="visible" name="AI#1_GPT" sheetId="13" r:id="rId16"/>
    <sheet state="visible" name="AI#2_Gemini" sheetId="14" r:id="rId17"/>
    <sheet state="visible" name="Human" sheetId="15" r:id="rId18"/>
  </sheets>
  <definedNames/>
  <calcPr/>
  <extLst>
    <ext uri="GoogleSheetsCustomDataVersion2">
      <go:sheetsCustomData xmlns:go="http://customooxmlschemas.google.com/" r:id="rId19" roundtripDataChecksum="l8DTiDN50Vm8BCVoao2aQLIlzrdRFQ/yzbiTBhhBPzA="/>
    </ext>
  </extLst>
</workbook>
</file>

<file path=xl/sharedStrings.xml><?xml version="1.0" encoding="utf-8"?>
<sst xmlns="http://schemas.openxmlformats.org/spreadsheetml/2006/main" count="2773" uniqueCount="758">
  <si>
    <t>Quality Attribute</t>
  </si>
  <si>
    <t>정의</t>
  </si>
  <si>
    <t>Availability (가용성)</t>
  </si>
  <si>
    <t>임무(mission)가 요구되는 어느 시점에서든, 임무 시작 시 시스템이 정해진 동작 가능 상태에 있는 정도</t>
  </si>
  <si>
    <t>Modifiability (변경 용이성)</t>
  </si>
  <si>
    <t>시스템에 변경을 얼마나 쉽게 가할 수 있는가의 정도</t>
  </si>
  <si>
    <t>Performance (성능)</t>
  </si>
  <si>
    <t>이벤트가 발생했을 때 시스템이 특정 동작을 수행하는 데 걸리는 시간</t>
  </si>
  <si>
    <t>Security (보안)</t>
  </si>
  <si>
    <t>악의적인 행위의 가능성과 정보의 도난·유실 가능성을 줄이는 시스템의 능력</t>
  </si>
  <si>
    <t>Batch Sequential</t>
  </si>
  <si>
    <t>Testability (시험 용이성)</t>
  </si>
  <si>
    <t>테스트를 통해 소프트웨어의 결함을 얼마나 쉽게 드러낼 수 있는가</t>
  </si>
  <si>
    <t>Data Centered</t>
  </si>
  <si>
    <t>Implicit Invocation</t>
  </si>
  <si>
    <t>Usability (사용성)</t>
  </si>
  <si>
    <t>사용자가 원하는 작업을 얼마나 쉽게 완수할 수 있는가</t>
  </si>
  <si>
    <t>Safety (안전성)</t>
  </si>
  <si>
    <t>Pipe and Filter</t>
  </si>
  <si>
    <t>시스템이 사람·재산·환경에 피해를 주는 위험 상태(hazard)에 빠지지 않도록 하고, 빠졌을 때 피해를 억제·복구하는 능력</t>
  </si>
  <si>
    <t>Deployability (배포 용이성)</t>
  </si>
  <si>
    <t>실행 가능한 소프트웨어를 예측 가능한 시간과 노력으로 운영 환경에 배치(또는 rollback)할 수 있는 정도</t>
  </si>
  <si>
    <t>Process Control</t>
  </si>
  <si>
    <t>Energy Efficiency (에너지 효율성)</t>
  </si>
  <si>
    <t>요구된 기능을 수행하면서 에너지·계산 자원(CPU, memory, network)의 소비를 최소화하는 능력 — Resource Utilization</t>
  </si>
  <si>
    <t>Shared Repository</t>
  </si>
  <si>
    <t>Non-Buffered Event Based</t>
  </si>
  <si>
    <t>Integrability (통합 용이성)</t>
  </si>
  <si>
    <t>별도로 개발된 컴포넌트를 결합하는 데 드는 비용과 위험의 정도. 외부 시스템과 정보를 교환·활용하는 능력(Interoperability)을 포함</t>
  </si>
  <si>
    <t>Effects</t>
  </si>
  <si>
    <t>Blackboard</t>
  </si>
  <si>
    <t>Buffered Message Based</t>
  </si>
  <si>
    <t>Justification</t>
  </si>
  <si>
    <t>Availability</t>
  </si>
  <si>
    <t>AI#1</t>
  </si>
  <si>
    <t>AI#2</t>
  </si>
  <si>
    <t>Interaction-Oriented</t>
  </si>
  <si>
    <t>MVC</t>
  </si>
  <si>
    <t>PAC</t>
  </si>
  <si>
    <t>Human</t>
  </si>
  <si>
    <t>-</t>
  </si>
  <si>
    <t>수신 측이 다운되어 있을 동안 발생한 이벤트가 손실될 가능성이 있다.</t>
  </si>
  <si>
    <t>0</t>
  </si>
  <si>
    <t>++</t>
  </si>
  <si>
    <t>중앙 블랙보드와 컨트롤러가 다운되면 모든 KS가 동작을 멈추지만, KS의 다운은 전체 시스템에 영향을 미치지 않는다.</t>
  </si>
  <si>
    <t xml:space="preserve">수신 측이 다운되어 있더라도 메시지가 버퍼에 보존되기 때문에 이벤트 손실의 가능성이 적다. </t>
  </si>
  <si>
    <t>Deployability</t>
  </si>
  <si>
    <t xml:space="preserve">MVC </t>
  </si>
  <si>
    <t>+</t>
  </si>
  <si>
    <t>이벤트 발행자와 구독자가 상호독립적이므로 개별 배포가 용이하다.</t>
  </si>
  <si>
    <t>사용자 사용성고려</t>
  </si>
  <si>
    <t>이벤트 발행자와 이벤트 구독자가 상호독립적이므로 배포에 서로 영향 받지 않는다.</t>
  </si>
  <si>
    <t>Integrability</t>
  </si>
  <si>
    <t>view죽어도 시스템 죽지않음</t>
  </si>
  <si>
    <t>KS는 쉽게 변경 가능하나, 중앙 블랙보드와 컨트롤러는 모든 KS와 맞물려있어 제한적이다.</t>
  </si>
  <si>
    <t>model/controller죽으면 시스템 죽음</t>
  </si>
  <si>
    <t>이벤트 발행의 수정 없이도 새로운 구독자를 추가적으로 등록하여 기능 통합에 용이하다.</t>
  </si>
  <si>
    <t>서로 다른 시스템일지라도 메시지 브로커의 프로토콜만 맞는다면 통합하기 용이하다.</t>
  </si>
  <si>
    <t>Energy Efficiency</t>
  </si>
  <si>
    <t>각각의 KS들이 중앙 블랙보드의 데이터만 바라보므로 중앙 블랙보드 형식만 맞추면 되어 통합하기 쉽다.</t>
  </si>
  <si>
    <t>메시지 저장·영속화에 따른 오버헤드는 적지만 이벤트가 발생할 때마다 즉시 처리되므로 Batch 처리나 자원 활성화 횟수 감소 등의 에너지 절감 효과는 보장되지 않아 전체적으로는 중립적이다.</t>
  </si>
  <si>
    <t>Modifiability</t>
  </si>
  <si>
    <t>컨트롤러가 지속적으로 블랙보드를 모니터링하고 KS를 제어하므로 오버헤드가 크다.</t>
  </si>
  <si>
    <t xml:space="preserve">이벤트를 구독하는 기존 소비자를 교체하거나 새로운 소비자를 추가하더라도 기존 코드에 영향을 주지 않는다. </t>
  </si>
  <si>
    <t>publisher와 subscriber가 서로에 영향을 주지 않는 구조이기 때문에 시스템 수정 및 확장이 용이하다.</t>
  </si>
  <si>
    <t>Performance</t>
  </si>
  <si>
    <t>각각의 KS들이 중앙 블랙보드의 데이터만 바라보므로 중앙 블랙보드 형식만 맞추면 되어 수정하기 쉽다.</t>
  </si>
  <si>
    <t>공유 상태 접근, 스케줄링 등 협업 오버헤드 때문에 단순 직접 호출보다 느리다.</t>
  </si>
  <si>
    <t>Safety</t>
  </si>
  <si>
    <t>브로커가 메시지를 버퍼링하므로 복구 이벤트의 유실은 막을 수(최종적 실행 보장) 있습니다. 하지만 큐 대기로 인해 필연적으로 지연(Latency)이 발생하므로, 사람이나 재산에 즉각적인 피해가 발생하기 직전의 '골든 타임' 내에 실시간 억제 개입을 하지 못할 위험이 존재합니다.</t>
  </si>
  <si>
    <t>트랜잭션 관리를 통해 내부 '데이터'의 손상과 유실을 복구하는 데는 능하지만, 아키텍처 자체가 사람, 재산, 외부 환경에 미치는 물리적 위험을 모니터링하고 제어하여 피해를 억제하는 기능과는 무관합니다.</t>
  </si>
  <si>
    <t>위험 상태 발생 시 정해진 데드라인 내에 반드시 피해 억제/복구 로직이 실행된다는 '시간적 보장'을 할 수 없으므로, 인명/재산 피해가 발생할 위험성이 높습니다</t>
  </si>
  <si>
    <t>일반 시스템에서는 Safety에 직접적인 영향이 크지 않지만, Safety-critical 이벤트를 전달하는 경우 버퍼 부재로 인한 이벤트 유실이나 처리 순서 문제가 위험 상태로 이어질 수 있다</t>
  </si>
  <si>
    <t>여러 지식 소스의 상호 검증은 도움이 되지만, 비결정적 추론/우선순위 충돌은 안전 검증을 어렵게 한다.</t>
  </si>
  <si>
    <t>Security</t>
  </si>
  <si>
    <t>Testability</t>
  </si>
  <si>
    <t>많은 KS가 공용 블랙보드 하나에 의존하므로 위험 지점이 하나여서 크다고 할 수도 있고, 작다고 할 수도 있다.</t>
  </si>
  <si>
    <t>--</t>
  </si>
  <si>
    <t>여러 지식 소스의 실행 순서와 공유 상태에 따라 결과가 달라질 수 있어 재현 및 테스트가 어렵다.</t>
  </si>
  <si>
    <t>Usability</t>
  </si>
  <si>
    <t>실시간으로 발생하는 물리적/환경적 위험 상태를 즉각적으로 감지하고 피해를 억제하거나 개입할 수 있는 메커니즘이 아키텍처 상에 존재하지 않습니다.</t>
  </si>
  <si>
    <t>특정 필터에서 오류 데이터를 걸러낼 수는 있습니다. 하지만 시스템 외부 환경의 위험 상태를 인지하고 실시간으로 기계나 환경을 통제(피해 억제 및 복구)하는 제어 루프를 내재하고 있지 않습니다.</t>
  </si>
  <si>
    <t>내부 구조이므로 최종 사용자에 영향이 없다.</t>
  </si>
  <si>
    <t>센서를 통해 외부 물리/환경 상태를 실시간으로 모니터링하고, 위험 임계치에 도달할 경우 즉시 액추에이터에 피드백 제어를 가하여 안전 상태로 강제 복구 및 피해를 억제하는 데 본질적으로 특화된 아키텍처입니다.</t>
  </si>
  <si>
    <t>Hierarchical</t>
  </si>
  <si>
    <t>Main-subroutine</t>
  </si>
  <si>
    <t>Layered</t>
  </si>
  <si>
    <t>Master-Slave</t>
  </si>
  <si>
    <t>Virtual Machine</t>
  </si>
  <si>
    <t>Microkernel</t>
  </si>
  <si>
    <t>Distributed</t>
  </si>
  <si>
    <t>Multi-Tier</t>
  </si>
  <si>
    <t>Client-Server</t>
  </si>
  <si>
    <t>Slave 여러개에서 연산 후, 결과를 통합하기 때문에 연산의 정확도가 높음</t>
  </si>
  <si>
    <t>Master가 종료될 시, 서비스 전체가 동작하지 않음</t>
  </si>
  <si>
    <t>Master, Slave간 통신 시 위험 존재</t>
  </si>
  <si>
    <t>Broker</t>
  </si>
  <si>
    <t>Dispatcher</t>
  </si>
  <si>
    <t>SOA</t>
  </si>
  <si>
    <t>Micro-service</t>
  </si>
  <si>
    <t>Deployment</t>
  </si>
  <si>
    <t>Container-based</t>
  </si>
  <si>
    <t>Cloud-based</t>
  </si>
  <si>
    <t>Edge-based</t>
  </si>
  <si>
    <t>Data Flow</t>
  </si>
  <si>
    <t>Shared Respository</t>
  </si>
  <si>
    <t>한 단계가 실패하면 뒤 단계가 모두 대기하고, 긴 배치를 처음 또는 체크포인트부터 재처리해야 할 수 있다.</t>
  </si>
  <si>
    <t>필터를 독립적으로 재시작할 수 있지만 한 필터가 중단되면 전체 파이프라인 흐름도 멈출 수 있다.</t>
  </si>
  <si>
    <t>피드백 루프가 상태 변화를 감지해 보정할 수 있어 일부 환경 변화나 구성요소 편차에 대응하기 쉽다.</t>
  </si>
  <si>
    <t>구조는 단순하지만 단계 간 데이터 형식과 실행 순서 의존성이 있어 배포 측면의 뚜렷한 이점은 제한적이다.</t>
  </si>
  <si>
    <t>인터페이스가 안정적이면 필터를 독립적으로 교체·배포하기 쉬운 편이다.</t>
  </si>
  <si>
    <t>제어기·센서·액추에이터가 함께 튜닝되어야 하므로 개별 구성요소를 독립 배포하기 어렵다.</t>
  </si>
  <si>
    <t>파일·레코드 같은 단순한 교환 방식은 연결이 쉽지만, 단계들이 동일 데이터 형식에 의존하기 쉽다.</t>
  </si>
  <si>
    <t>필터가 표준화된 입력·출력 스트림으로 연결되어 새로운 처리 단계를 조합하기 쉽다.</t>
  </si>
  <si>
    <t>실시간 센서/액추에이터 프로토콜과 제어 주기 제약 때문에 일반 시스템과의 통합 비용이 커질 수 있다.</t>
  </si>
  <si>
    <t>요청을 모아 일괄 처리하므로 초기화·통신 오버헤드를 여러 작업에 분산시킬 수 있다.</t>
  </si>
  <si>
    <t>스트리밍은 불필요한 전체 적재를 줄이지만 필터 간 전달·직렬화 오버헤드도 발생한다.</t>
  </si>
  <si>
    <t>지속 측정·제어는 자원을 쓰지만 제어 자체가 물리 시스템의 낭비를 줄일 수도 있어 영향이 상쇄된다.</t>
  </si>
  <si>
    <t>단계 자체는 분리할 수 있으나 중간 데이터 형식이나 순서 변경이 후속 단계에 연쇄 영향을 줄 수 있다.</t>
  </si>
  <si>
    <t>처리 기능이 독립 필터로 분리되어 특정 변환을 추가·삭제·교체하기 쉽다.</t>
  </si>
  <si>
    <t>제어 로직 변경 시 안정성·응답 특성을 다시 튜닝하고 전체 루프를 재검증해야 할 가능성이 높다.</t>
  </si>
  <si>
    <t>단계가 순차적으로 실행되고 중간 결과 I/O가 발생해 병렬·스트리밍 처리보다 지연이 커지기 쉽다.</t>
  </si>
  <si>
    <t>필터들을 파이프라인으로 병렬 실행할 수 있어 처리량을 높일 수 있으나 전달 오버헤드는 존재한다.</t>
  </si>
  <si>
    <t>짧은 제어 주기와 즉각적인 피드백을 목표로 하므로 실시간 응답 성능에 매우 유리하다.</t>
  </si>
  <si>
    <t>처리 순서와 상태 전이가 비교적 결정적이어서 검증·감사 및 오류 지점 추적이 쉽다.</t>
  </si>
  <si>
    <t>변환 책임과 데이터 흐름이 명확해 잘못된 처리 단계의 범위를 제한하고 검증하기 쉽다.</t>
  </si>
  <si>
    <t>피드백, 제한값, 인터록을 통해 위험 상태를 감지하고 즉시 보정·차단하도록 설계하기 좋다.</t>
  </si>
  <si>
    <t>구조 자체의 보안 이점은 크지 않으며, 중간 파일을 사용하면 별도의 접근통제가 필요하다.</t>
  </si>
  <si>
    <t>필터 경계에 통제를 넣을 수 있지만 연결 지점이 늘어나므로 구조만으로 보안이 향상되지는 않는다.</t>
  </si>
  <si>
    <t>센서와 액추에이터 접점이 공격받으면 실제 제어 결과에 직접 영향을 주므로 공격면이 중요해진다.</t>
  </si>
  <si>
    <t>각 단계에 고정 입력을 주고 결과를 비교하기 쉬워 재현 가능한 테스트에 유리하다.</t>
  </si>
  <si>
    <t>각 필터를 독립 입력·출력으로 단위 테스트하고 전체 파이프라인도 단계별 검증하기 쉽다.</t>
  </si>
  <si>
    <t>실시간 타이밍과 물리 환경을 함께 재현해야 해서 시뮬레이터·HIL 없이 테스트하기 어렵다.</t>
  </si>
  <si>
    <t>처리가 완료될 때까지 결과 피드백이 늦어 대화형·즉시 반응이 필요한 사용자 경험에는 불리하다.</t>
  </si>
  <si>
    <t>주로 내부 데이터 처리 구조이므로 최종 사용자 인터랙션에 미치는 직접 영향은 제한적이다.</t>
  </si>
  <si>
    <t>자동 제어가 정상 범위를 유지해 운영자의 지속적인 수동 개입을 줄일 수 있다.</t>
  </si>
  <si>
    <t>공유 저장소가 장애 나면 여러 구성요소가 동시에 영향을 받는 단일 장애점이 되기 쉽다.</t>
  </si>
  <si>
    <t>중앙 블랙보드가 중단되면 지식 소스 간 협업 자체가 멈추기 쉬워 핵심 장애점이 된다.</t>
  </si>
  <si>
    <t>여러 구성요소가 공통 스키마와 저장소 버전에 의존해 독립 배포가 제한될 수 있다.</t>
  </si>
  <si>
    <t>지식 소스는 추가하기 쉽지만 공통 블랙보드 표현과 제어 규칙에 대한 호환성이 필요하다.</t>
  </si>
  <si>
    <t>모든 구성요소가 공통 데이터 저장소와 모델을 사용하므로 데이터 공유와 연계가 매우 쉽다.</t>
  </si>
  <si>
    <t>서로 다른 알고리즘·전문 모듈이 공통 블랙보드에 결과를 기록하는 방식으로 협업할 수 있다.</t>
  </si>
  <si>
    <t>중복 데이터 복제와 여러 저장소 운영을 줄여 자원 사용을 집중시킬 수 있다.</t>
  </si>
  <si>
    <t>여러 지식 소스가 상태를 반복 관찰·추론하고 후보 해를 갱신하므로 계산 자원 소비가 커질 수 있다.</t>
  </si>
  <si>
    <t>공유 스키마 변경이 많은 소비자에게 동시에 영향을 주어 변경 파급 범위가 커질 수 있다.</t>
  </si>
  <si>
    <t>Multi-tier</t>
  </si>
  <si>
    <t>새 지식 소스를 추가하거나 기존 추론 모듈을 교체하기 비교적 쉽다.</t>
  </si>
  <si>
    <t>중앙 최적화·캐시의 이점이 있지만 동시 접근이 몰리면 저장소가 병목이 될 수 있다.</t>
  </si>
  <si>
    <t>공유 상태 접근, 후보 평가, 스케줄링 등 협업 오버헤드 때문에 단순 직접 호출보다 느릴 수 있다.</t>
  </si>
  <si>
    <t>단일 기준 데이터(source of truth)를 유지하기 쉬워 불일치 상태를 줄이는 데 유리하다.</t>
  </si>
  <si>
    <t>여러 지식 소스의 상호 검증은 도움이 되지만 비결정적 추론·우선순위 충돌은 안전 검증을 어렵게 한다.</t>
  </si>
  <si>
    <t>접근통제를 중앙화하기 쉽지만 침해 시 영향 범위도 커서 장점과 위험이 함께 존재한다.</t>
  </si>
  <si>
    <t>많은 모듈이 공용 블랙보드를 읽고 쓰므로 권한 통제와 데이터 오염 방지가 복잡해진다.</t>
  </si>
  <si>
    <t>테스트 데이터 준비는 쉽지만 여러 컴포넌트가 공유 상태를 사용하면 테스트 격리가 어려울 수 있다.</t>
  </si>
  <si>
    <t>여러 지식 소스의 실행 순서와 공유 상태에 따라 결과가 달라질 수 있어 재현 테스트가 어렵다.</t>
  </si>
  <si>
    <t>데이터 중심 내부 구조이므로 사용자 인터페이스 품질에 직접 주는 영향은 제한적이다.</t>
  </si>
  <si>
    <t>문제 해결 방식의 내부 구조라 최종 사용자 경험에 직접적인 영향은 크지 않다.</t>
  </si>
  <si>
    <t>구독자가 잠시 중단된 동안 발생한 이벤트가 보존되지 않으면 정보 손실과 기능 누락이 생길 수 있다.</t>
  </si>
  <si>
    <t>메시지를 큐에 보존해 소비자가 일시 중단되어도 복구 후 처리를 계속할 수 있다.</t>
  </si>
  <si>
    <t>발행자와 구독자가 서로의 구현을 직접 알 필요가 없어 컴포넌트를 비교적 독립적으로 배포할 수 있다.</t>
  </si>
  <si>
    <t>생산자와 소비자가 시간적으로 분리되어 한쪽을 중단·교체해도 다른 쪽의 배포를 계속할 수 있다.</t>
  </si>
  <si>
    <t>한 단계가 실패하면 전체 배치가 중단될 수 있으나, 실패 지점부터 재시작이 가능하므로 중립적임.</t>
  </si>
  <si>
    <t>이벤트 계약만 맞으면 새로운 구독자를 기존 발행자 수정 없이 쉽게 연결할 수 있다.</t>
  </si>
  <si>
    <t>필터 하나가 고장나면 파이프라인이 멈추지만, 상태를 유지하지 않아 재시작 및 복구가 비교적 단순함.</t>
  </si>
  <si>
    <t>표준 메시지 계약을 통해 서로 다른 기술·언어의 시스템을 느슨하게 연결하기 좋다.</t>
  </si>
  <si>
    <t>시스템의 상태를 지속적으로 모니터링하고 목표 상태로 복구하려는 제어 루프 특성상 가용성 확보에 유리함.</t>
  </si>
  <si>
    <t>메시지 저장·영속화 과정이 없어 버퍼드 방식보다 저장장치와 브로커 자원 오버헤드가 작다.</t>
  </si>
  <si>
    <t>브로커, 메시지 영속화, 복제, 직렬화가 추가되어 직접 호출보다 자원 사용이 늘어난다.</t>
  </si>
  <si>
    <t>각 배치 단계가 독립적인 실행 파일(프로그램)로 구성되어 개별 배포가 용이함.</t>
  </si>
  <si>
    <t>Microservice</t>
  </si>
  <si>
    <t>각 필터가 독립적인 컴포넌트이며 표준 I/O로 통신하므로 개별 배포 및 교체가 쉬움.</t>
  </si>
  <si>
    <t>하드웨어 센서 및 액추에이터와 강하게 결합되어 있어 소프트웨어 단독 배포나 환경 변경이 까다로움.</t>
  </si>
  <si>
    <t>새 이벤트 소비자를 추가하거나 기존 소비자를 교체해도 발행자 변경이 거의 필요 없다.</t>
  </si>
  <si>
    <t>새 소비자를 추가하거나 처리 로직을 변경해도 생산자와 강하게 결합되지 않는다.</t>
  </si>
  <si>
    <t>공통 데이터 포맷(주로 파일)만 맞추면 새로운 배치 단계를 시퀀스의 앞뒤에 쉽게 추가할 수 있음.</t>
  </si>
  <si>
    <t>영속 큐를 거치지 않고 이벤트를 바로 전달할 수 있어 낮은 지연시간에 유리하다.</t>
  </si>
  <si>
    <t>파이프라는 표준화된 인터페이스를 사용하므로, 새로운 필터를 기존 파이프라인에 조립하고 연결하기 매우 쉬움.</t>
  </si>
  <si>
    <t>물리적 센서의 종류나 데이터 형태가 다양하고 실시간 제약이 있어 새로운 하드웨어/모듈 통합이 어려움.</t>
  </si>
  <si>
    <t>버스트를 큐로 흡수하고 비동기 병렬 처리가 가능하지만 큐잉·영속화 지연은 추가된다.</t>
  </si>
  <si>
    <t>이벤트 유실·순서 변화·중복 처리에 대한 보장이 약하면 중요 상태 전이가 누락될 위험이 있다.</t>
  </si>
  <si>
    <t>아키텍처 자체보다는 처리할 데이터의 양과 배치 주기(스케줄링)에 따라 달라지므로 직접적 영향 없음.</t>
  </si>
  <si>
    <t>데이터 스트리밍 처리 방식 자체는 에너지 효율과 직접적인 연관성이 적음.</t>
  </si>
  <si>
    <t>내구성 있는 메시지와 재시도·재처리를 통해 중요 이벤트 손실을 줄일 수 있다.</t>
  </si>
  <si>
    <t>목표 상태를 유지하기 위해 필요한 시점에만 액추에이터를 가동하도록 최적화하여 자원 및 에너지를 효율적으로 씀.</t>
  </si>
  <si>
    <t>여러 이벤트 발행·구독 지점이 생기므로 인증·권한·이벤트 위변조 통제를 일관되게 적용해야 한다.</t>
  </si>
  <si>
    <t>각 단계가 독립적이므로, 특정 단계의 로직을 수정해도 입출력 포맷만 같으면 다른 단계에 영향을 주지 않음.</t>
  </si>
  <si>
    <t>브로커에서 인증·권한을 집중할 수 있지만 메시지 저장소와 브로커 자체가 추가 공격면이 된다.</t>
  </si>
  <si>
    <t>필터 간 결합도가 매우 낮아 특정 필터의 내부 로직 변경, 삭제, 순서 변경이 시스템 전체에 영향을 주지 않음.</t>
  </si>
  <si>
    <t>제어 변수나 알고리즘을 변경할 경우 제어 루프 전체의 타이밍과 물리적 피드백 시스템을 재설계해야 하므로 어려움.</t>
  </si>
  <si>
    <t>비동기 타이밍과 이벤트 순서가 결과에 영향을 줘 재현 가능한 테스트 작성이 어려워질 수 있다.</t>
  </si>
  <si>
    <t>메시지를 기록·재생해 시나리오를 반복할 수 있어 비동기 시스템 중에서는 테스트가 비교적 용이하다.</t>
  </si>
  <si>
    <t>한 단계가 완전히 끝나야 다음 단계가 시작(지연 시간 김)되며, 대규모 파일 I/O가 발생하여 병렬 처리가 불가함.</t>
  </si>
  <si>
    <t>여러 필터가 파이프를 통해 데이터를 주고받으며 동시에(병렬로) 실행될 수 있어 전체적인 Throughput(처리량)이 높음.</t>
  </si>
  <si>
    <t>사용자 입력이나 상태 변화에 즉시 반응하는 UI·알림 구현에 잘 맞는다.</t>
  </si>
  <si>
    <t>실시간 처리에는 적합하나, 대규모 데이터 처리나 연산 성능 관점보다는 '정시성(Deadline)'에 초점이 맞춰져 있음.</t>
  </si>
  <si>
    <t>긴 처리를 비동기로 넘겨 화면 응답성을 유지하고 완료 알림을 제공하기 좋다.</t>
  </si>
  <si>
    <t>데이터 처리 중심이므로 인명이나 시스템 파괴와 직결되는 물리적 안전성(Safety)과는 거리가 있음.</t>
  </si>
  <si>
    <t>물리적 안전을 보장하기 위한 아키텍처가 아님.</t>
  </si>
  <si>
    <t>센서를 통해 이상 상태를 감지하고 즉시 안전 상태로 되돌리는 피드백 루프를 가지므로 안전성 확보가 최우선됨.</t>
  </si>
  <si>
    <t>시스템 외부와의 연결보다는 내부 파일 시스템 권한에 의존하므로 아키텍처 차원의 보안 이점은 없음.</t>
  </si>
  <si>
    <t>필터 간 통신 암호화 등이 추가로 필요하며, 스타일 자체에서 보안 기능을 내재하고 있지 않음.</t>
  </si>
  <si>
    <t>시스템 내부의 제어 루프 자체는 보안을 고려하지 않으며, 외부 네트워크 연결 시 별도의 보안 아키텍처가 필요함.</t>
  </si>
  <si>
    <t>각 배치 프로그램이 완전히 독립적이며, 테스트용 입력 파일을 주고 출력 파일을 검증하는 방식(블랙박스 테스트)이 매우 직관적임.</t>
  </si>
  <si>
    <t>개별 필터에 더미 데이터를 파이프 스트림으로 주입하여 독립적으로 테스트하기 용이함.</t>
  </si>
  <si>
    <t>Model·View·Controller 분리는 장애 복구 자체를 제공하지 않아 가용성에 직접적인 영향은 작다.</t>
  </si>
  <si>
    <t>물리적 환경(센서, 액추에이터)과 결합되어 있어, 이를 흉내 내는 복잡한 시뮬레이터(HIL 테스트 등)가 반드시 필요함.</t>
  </si>
  <si>
    <t>에이전트가 계층적으로 분리되어 일부 에이전트 문제를 국소화할 수 있지만 상위 조정자 장애 영향은 남는다.</t>
  </si>
  <si>
    <t>백엔드 데이터 처리 방식이므로 사용자 인터페이스(UI)나 사용성에 미치는 직접적인 영향이 없음.</t>
  </si>
  <si>
    <t>관심사 분리는 도움이 되지만 일반적으로 하나의 애플리케이션 단위로 함께 배포되는 경우가 많다.</t>
  </si>
  <si>
    <t>데이터 스트림 처리 방식이므로 최종 사용자의 조작성(Usability)과는 관련이 없음.</t>
  </si>
  <si>
    <t>Presentation·Abstraction·Control을 가진 에이전트 단위로 기능을 비교적 독립적으로 확장할 수 있다.</t>
  </si>
  <si>
    <t>내부 제어 루프 메커니즘이므로 직접적인 사용자 조작성보다는 시스템 자체의 자율성에 가까움.</t>
  </si>
  <si>
    <t/>
  </si>
  <si>
    <t>Controller와 Model의 책임이 명확해 외부 입력·서비스 연계를 특정 지점에 모으기 쉽다.</t>
  </si>
  <si>
    <t>에이전트 간 Control을 통한 명확한 상호작용으로 복잡한 UI 구성요소를 결합하기 좋다.</t>
  </si>
  <si>
    <t>추가 계층의 호출 비용은 작고 에너지 효율을 좌우할 정도의 구조적 효과는 보통 크지 않다.</t>
  </si>
  <si>
    <t>다수 에이전트와 Control 간 조정 메시지가 늘어 단순 UI 구조보다 런타임 오버헤드가 크다.</t>
  </si>
  <si>
    <t>화면, 입력 처리, 도메인 상태를 분리해 한 영역의 변경이 다른 영역에 미치는 영향을 줄인다.</t>
  </si>
  <si>
    <t>기능별 에이전트 내부에 표현·상태·제어를 캡슐화해 국소 변경에 유리하다.</t>
  </si>
  <si>
    <t>약간의 간접 호출은 생기지만 일반적인 애플리케이션에서 성능 영향은 제한적이다.</t>
  </si>
  <si>
    <t>계층적인 에이전트 협력과 Control 간 통신으로 직접 연결보다 응답 경로가 길어진다.</t>
  </si>
  <si>
    <t>중앙 저장소(DB 등)가 단일 장애점(SPOF)이 되므로, 저장소가 다운되면 시스템 전체가 마비됨.</t>
  </si>
  <si>
    <t>입력 검증·상태 변경 책임을 분리해 잘못된 UI 입력이 직접 도메인 상태를 훼손하는 것을 줄이기 쉽다.</t>
  </si>
  <si>
    <t>중앙 블랙보드(메모리/저장소)와 제어 컴포넌트가 다운되면 모든 Knowledge Source(KS)가 동작을 멈춤.</t>
  </si>
  <si>
    <t>기능별 상태와 제어가 캡슐화되어 한 UI 기능의 오류가 다른 기능으로 퍼지는 것을 제한하기 쉽다.</t>
  </si>
  <si>
    <t>Controller 같은 명확한 진입점에 인증·입력 검증·권한 검사를 집중하기 좋다.</t>
  </si>
  <si>
    <t>데이터베이스와 클라이언트를 분리해서 배포할 수 있으나, 스키마 변경 시 동시 배포가 필요할 수 있음.</t>
  </si>
  <si>
    <t>KS들은 독립적 배포가 가능하나, 중앙 제어기와 데이터 구조가 맞물려 있어 제한적임.</t>
  </si>
  <si>
    <t>에이전트 경계에 권한을 둘 수 있지만 구성요소와 통신 경로가 많아져 보안 복잡성도 증가한다.</t>
  </si>
  <si>
    <t>Model과 Controller를 View와 분리해 단위 테스트와 Mock 기반 테스트가 쉽다.</t>
  </si>
  <si>
    <t>클라이언트 시스템 간에 직접적인 인터페이스를 맞출 필요 없이, 중앙 DB 스키마만 알면 데이터를 공유/통합할 수 있음.</t>
  </si>
  <si>
    <t>서로 다른 형태와 알고리즘을 가진 KS들이 중앙 블랙보드의 데이터만 바라보므로 이질적인 시스템을 통합하기 매우 좋음.</t>
  </si>
  <si>
    <t>에이전트 단위 테스트는 쉽지만 상·하위 Control의 상호작용 테스트는 추가로 필요하다.</t>
  </si>
  <si>
    <t>중앙 집중적 데이터 저장이 에너지 소비에 미치는 영향은 인프라 구성에 따라 다름.</t>
  </si>
  <si>
    <t>제어 컴포넌트가 지속적으로 블랙보드의 상태 변화를 모니터링하고 KS를 평가해야 하므로 연산 오버헤드(에너지 낭비)가 큼.</t>
  </si>
  <si>
    <t>View를 도메인 로직과 독립적으로 변경할 수 있어 UI 개선과 다양한 표현 방식 지원에 매우 유리하다.</t>
  </si>
  <si>
    <t>복잡하고 여러 대화 흐름을 가진 인터랙티브 시스템을 기능별로 구조화하는 데 매우 유리하다.</t>
  </si>
  <si>
    <t>기존 클라이언트를 수정하지 않고도 새로운 클라이언트(기능)를 중앙 저장소에 연결하여 확장하기 쉬움.</t>
  </si>
  <si>
    <t>문제 해결 로직(KS)을 새롭게 추가하거나 제거하더라도 다른 KS나 시스템 전체의 구조를 변경할 필요가 없음.</t>
  </si>
  <si>
    <t>클라이언트 수가 많아지거나 동시 데이터 접근이 발생하면 중앙 저장소에 병목(Bottleneck) 현상이 발생하여 성능이 저하됨.</t>
  </si>
  <si>
    <t>휴리스틱 기반의 문제 해결 방식으로, 제어 컴포넌트의 빈번한 상태 평가와 동기화 문제로 인해 예측 가능한 성능을 기대하기 힘듦.</t>
  </si>
  <si>
    <t>시스템의 데이터 무결성은 보장될 수 있으나, 물리적 안전성(Safety)에 기여하는 바는 없음.</t>
  </si>
  <si>
    <t>AI/패턴 인식 등에 주로 쓰이며 물리적 위험 상황 제어와는 무관함.</t>
  </si>
  <si>
    <t>데이터가 한 곳에 모여 있으므로, 데이터 접근 권한(Authorization) 및 인증(Authentication) 관리를 중앙에서 강력하게 통제할 수 있음.</t>
  </si>
  <si>
    <t>중앙 main과 직접 호출 체인에 의존하므로 핵심 함수 장애가 전체 프로그램 중단으로 이어지기 쉽다.</t>
  </si>
  <si>
    <t>보안 관점보다는 미해결 문제에 대한 협력적 연산에 집중되어 있어 보안 통제가 기본으로 내장되어 있지 않음.</t>
  </si>
  <si>
    <t>일부 worker(slave)가 실패해도 다른 worker로 작업을 재분배할 수 있지만 master 장애점은 남는다.</t>
  </si>
  <si>
    <t>클라이언트를 테스트하기 위해 항상 실제 또는 모의 중앙 데이터베이스 환경(테스트 데이터 세팅 및 롤백)을 구축해야 하는 번거로움이 있음.</t>
  </si>
  <si>
    <t>비결정론적(Non-deterministic) 실행 흐름을 가짐. 어떤 KS가 언제 실행될지 예측하기 어려워 재현 가능한 테스트 시나리오를 작성하기 매우 힘듦.</t>
  </si>
  <si>
    <t>보통 하나의 실행 단위로 강하게 결합되어 작은 변경도 전체 프로그램 재배포가 필요한 경우가 많다.</t>
  </si>
  <si>
    <t>worker를 개별 추가·교체·확장할 수 있어 계산 노드의 점진적 배포가 가능하다.</t>
  </si>
  <si>
    <t>데이터 저장 및 관리 아키텍처이므로 사용자 인터페이스(UI) 편의성 측면과는 관련이 없음.</t>
  </si>
  <si>
    <t>문제 해결 알고리즘을 위한 내부 구조이므로 일반적인 시스템 사용성에 영향을 주지 않음.</t>
  </si>
  <si>
    <t>직접 함수 호출과 공유 자료구조에 의존하기 쉬워 외부 시스템을 느슨하게 연결하기 어렵다.</t>
  </si>
  <si>
    <t>master-worker 프로토콜은 명확하지만 일반 외부 시스템 통합을 특별히 쉽게 하지는 않는다.</t>
  </si>
  <si>
    <t>직접 호출 중심이라 메시징·직렬화·네트워크 같은 추가 런타임 오버헤드가 매우 작다.</t>
  </si>
  <si>
    <t>여러 worker를 유지하고 작업 분배·동기화해야 하므로 유휴 자원과 통신 비용이 생길 수 있다.</t>
  </si>
  <si>
    <t>상위 호출 구조와 하위 함수 간 의존성이 커지면 변경이 호출 계층 전체로 전파되기 쉽다.</t>
  </si>
  <si>
    <t>동일 계약을 지키면 worker 구현이나 개수를 바꾸기 쉬운 편이다.</t>
  </si>
  <si>
    <t>프로세스 내부 직접 함수 호출로 실행 경로가 짧고 통신 오버헤드가 거의 없다.</t>
  </si>
  <si>
    <t>독립 작업을 여러 worker에 병렬 분산하여 처리량과 계산 성능을 크게 높일 수 있다.</t>
  </si>
  <si>
    <t>제어 흐름이 명시적이고 비교적 결정적이어서 실행 경로 분석과 검증이 쉽다.</t>
  </si>
  <si>
    <t>컴포넌트는 독립적이지만, 이벤트 발송 중 수신측이 다운되어 있거나 블로킹되면 시스템 흐름에 영향을 줄 수 있음.</t>
  </si>
  <si>
    <t>master가 작업 할당과 결과 취합·검증을 중앙에서 통제해 잘못된 worker 결과를 감지하기 쉽다.</t>
  </si>
  <si>
    <t>메시지 큐(브로커)가 메시지를 버퍼링하므로, 수신자가 다운되거나 일시적인 장애가 발생해도 데이터가 유실되지 않아 가용성이 매우 높음.</t>
  </si>
  <si>
    <t>외부 경계가 적다는 장점은 있지만 내부 함수 간 권한 분리는 약해 구조 자체 효과는 중립적이다.</t>
  </si>
  <si>
    <t>이벤트 발행자(Publisher)와 구독자(Subscriber)가 독립적이므로 개별 마이크로서비스나 모듈 단위 배포가 용이함.</t>
  </si>
  <si>
    <t>분산 worker와 master 사이의 통신·노드 인증이 추가되어 공격면과 키 관리 복잡성이 증가한다.</t>
  </si>
  <si>
    <t>발행자와 구독자가 물리적으로도 완전히 분리(비동기)되므로 브로커를 매개로 한 독립적 배포가 극대화됨.</t>
  </si>
  <si>
    <t>잘 분리된 서브루틴은 독립 테스트가 쉽지만 전역 상태가 많아지면 장점이 줄어든다.</t>
  </si>
  <si>
    <t>이벤트를 발행하는 컴포넌트를 수정하지 않고도 새로운 리스너(구독자)를 등록하여 기능을 통합하기 쉬움.</t>
  </si>
  <si>
    <t>worker 로직은 독립 테스트하기 쉽지만 분산 스케줄링·장애 시나리오 검증은 추가로 필요하다.</t>
  </si>
  <si>
    <t>다양한 플랫폼과 언어로 작성된 이질적인 시스템이라도 메시지 브로커의 프로토콜(AMQP, MQTT 등)만 맞추면 완벽히 통합 가능함.</t>
  </si>
  <si>
    <t>프로그램 내부 제어 구조이므로 사용자 인터페이스 품질에 직접적인 영향은 거의 없다.</t>
  </si>
  <si>
    <t>주로 계산 분산 구조이므로 사용자 경험에 직접적인 영향은 제한적이다.</t>
  </si>
  <si>
    <t>시스템간 호출 방식 변경이 전체적인 전력 사용 최적화로 직결되지는 않음.</t>
  </si>
  <si>
    <t>비동기 처리 덕분에 컴포넌트들이 항상 활성화되어 대기할 필요 없이, 메시지가 큐에 쌓였을 때만 일괄 처리(Wake-up)하여 유휴 자원/에너지를 아낄 수 있음.</t>
  </si>
  <si>
    <t>시스템 구성 요소 간의 결합도가 매우 낮아, 이벤트 처리 로직을 수정하거나 새로운 이벤트 핸들러를 추가하는 작업이 기존 코드에 영향을 주지 않음.</t>
  </si>
  <si>
    <t>송신자와 수신자가 서로의 존재조차 알 필요가 없는 극단적인 느슨한 결합(Loose Coupling)으로 유연한 수정 및 시스템 확장이 가능함.</t>
  </si>
  <si>
    <t>중간에 브로커를 거치지 않아 이벤트 전달 지연(Latency)이 짧음. 단, 수신자가 많을 경우 발행자의 스레드가 차단될 수 있는 위험은 존재함.</t>
  </si>
  <si>
    <t>비동기 처리를 통해 시스템 전체의 Throughput(처리량)은 획기적으로 늘지만, 메시지가 큐를 거쳐가는 오버헤드로 인해 실시간성(Latency)은 다소 떨어짐.</t>
  </si>
  <si>
    <t>상태 기반 물리적 제어보다는 소프트웨어 내부 상태 전파에 쓰이므로 안전성 요소는 없음.</t>
  </si>
  <si>
    <t>이벤트 전파 방식이므로 치명적인 물리적 안전 보장 기법과는 관련이 없음.</t>
  </si>
  <si>
    <t>계층 분리는 장애 위치를 구분하는 데 도움을 주지만 하위 계층 장애가 상위 계층에 전파될 수 있다.</t>
  </si>
  <si>
    <t>버퍼나 브로커가 없으므로 악의적인 컴포넌트가 이벤트를 엿듣거나 가짜 이벤트를 발생시키는 것을 중앙에서 통제하기 어려움.</t>
  </si>
  <si>
    <t>게스트별 격리와 스냅샷·재시작은 복구에 유리하지만 호스트/하이퍼바이저 장애 영향은 남는다.</t>
  </si>
  <si>
    <t>메시지 브로커 단에서 토픽(Topic) 또는 큐(Queue) 단위의 엄격한 접근 제어 및 인증, 메시지 암호화를 적용하여 보안을 강화할 수 있음.</t>
  </si>
  <si>
    <t>핵심 기능만 커널에 두고 나머지 서비스를 분리해 개별 서비스 장애를 재시작·격리하기 쉽다.</t>
  </si>
  <si>
    <t>컴포넌트 간 호출이 암시적이고 흐름이 분산되어 있어, 디버깅 및 전체적인 이벤트 실행 추적(Traceability)이 까다로움.</t>
  </si>
  <si>
    <t>비동기 통신으로 전체 흐름 추적(Distributed Tracing)은 여전히 어렵지만, 메시지 큐에 테스트용 메시지를 주입(Inject)하여 개별 컴포넌트를 분리 테스트하기는 비교적 수월함.</t>
  </si>
  <si>
    <t>계층 경계와 인터페이스가 안정적이면 특정 계층을 독립적으로 교체·업데이트하기 쉬워진다.</t>
  </si>
  <si>
    <t>백엔드 시스템 및 컴포넌트 간의 통신/호출 방식이므로 사용자 관점의 사용성(UI/UX)에는 직접적인 영향이 없음.</t>
  </si>
  <si>
    <t>애플리케이션과 실행 환경을 VM 이미지로 함께 패키징해 환경 차이를 줄이고 이동·배포하기 쉽다.</t>
  </si>
  <si>
    <t>백엔드 메시징 방식이므로 사용자 인터페이스나 조작성과는 관계가 없음.</t>
  </si>
  <si>
    <t>서버 기능을 독립 프로세스로 추가·교체할 수 있어 핵심을 건드리지 않고 확장하기 좋다.</t>
  </si>
  <si>
    <t>명확한 계층 인터페이스를 통해 외부 기능을 특정 계층에 연결하고 의존 방향을 제한할 수 있다.</t>
  </si>
  <si>
    <t>표준화된 가상 하드웨어와 네트워크 환경이 서로 다른 플랫폼 간 실행 환경 통합을 돕는다.</t>
  </si>
  <si>
    <t>명확한 IPC 계약을 통해 새로운 서비스나 드라이버를 연결하기 쉬운 편이다.</t>
  </si>
  <si>
    <t>여러 계층을 통과하는 호출·데이터 변환이 추가되어 직접 구현보다 오버헤드가 증가한다.</t>
  </si>
  <si>
    <t>게스트 OS가 중복되고 가상화 계층이 추가되어 컨테이너나 네이티브보다 메모리·CPU 자원 소비가 크다.</t>
  </si>
  <si>
    <t>서비스 간 IPC와 컨텍스트 스위칭이 빈번해 단일 커널 구조보다 추가 자원 비용이 발생한다.</t>
  </si>
  <si>
    <t>변경을 해당 책임 계층에 국소화할 수 있어 다른 부분에 대한 파급을 크게 줄인다.</t>
  </si>
  <si>
    <t>Model, View, Controller 간 결합도가 높아 특정 레이어의 장애가 전체 서비스 중단으로 이어질 수 있음</t>
  </si>
  <si>
    <t>OS·미들웨어 의존성을 VM 내부에 캡슐화해 호스트 환경 변경의 영향을 줄일 수 있다.</t>
  </si>
  <si>
    <t>에이전트(Agent) 단위로 격리(Fault Isolation)되어 있어 특정 에이전트에 장애가 발생해도 타 에이전트가 정상 작동하여 전체 시스템 가용성 유지.</t>
  </si>
  <si>
    <t>최소 커널을 유지하면서 주변 서비스만 변경할 수 있어 변경 파급 범위가 매우 작다.</t>
  </si>
  <si>
    <t>모듈 간 세로형/계층적 결합으로 인해 일부 로직 수정 시 전체 애플리케이션을 재배포해야 하는 경우가 많음.</t>
  </si>
  <si>
    <t>요청이 여러 계층을 거치며 간접 호출·변환이 누적되어 지연이 늘어날 수 있다.</t>
  </si>
  <si>
    <t>기능 단위의 독립적인 PAC 에이전트로 구성되어 있어 개별 모듈 단위의 핫 스왑(Hot-swap) 및 독립 배포가 쉬움.</t>
  </si>
  <si>
    <t>하드웨어 가상화 오버헤드와 추가 I/O 경로로 네이티브보다 성능 손실이 발생할 수 있다.</t>
  </si>
  <si>
    <t>시스템 호출이 여러 IPC·컨텍스트 전환을 거칠 수 있어 모놀리식 구조보다 지연이 커지기 쉽다.</t>
  </si>
  <si>
    <t>중앙 집중식 Model과 명확히 구분된 단일 Controller 구조 덕분에 외부 API/DB 연동 인터페이스 적용이 단순함.</t>
  </si>
  <si>
    <t>에이전트 간 계층적 통신 프로토콜 및 컨트롤러 메시지 라우팅이 복잡하여 외부 서비스 및 데이터베이스와의 통합 난이도가 매우 높음.</t>
  </si>
  <si>
    <t>입력 검증, 업무 규칙, 데이터 접근을 계층별로 분리해 잘못된 접근 경로를 통제하기 좋다.</t>
  </si>
  <si>
    <t>게스트 간 강한 격리를 통해 한 실행환경의 오류가 다른 환경으로 전파되는 것을 제한한다.</t>
  </si>
  <si>
    <t>단일 흐름 형태의 가벼운 내부 메서드 호출로 CPU/메모리 오버헤드가 적음.</t>
  </si>
  <si>
    <t>서비스를 사용자 공간에 격리해 드라이버·서비스 오류가 시스템 전체를 손상시키는 위험을 줄인다.</t>
  </si>
  <si>
    <t>트리 구조를 따르는 에이전트 간 상하 메시지 전달 및 이벤트 처리 비용으로 인해 리소스 및 에너지 소모가 큼.</t>
  </si>
  <si>
    <t>계층별 검증·인가를 겹쳐 적용하는 defense-in-depth 구조를 만들기 좋다.</t>
  </si>
  <si>
    <t>VM 경계가 강한 격리를 제공하지만 하이퍼바이저 취약점은 공통 위험이 된다.</t>
  </si>
  <si>
    <t>UI(View) 변경이나 데이터 구조(Model) 변경은 쉽지만, 새로운 대화형 기능 추가 시 컨트롤러가 거대해져 파급 효과가 큼</t>
  </si>
  <si>
    <t>에이전트 단위로 완전히 독립되어 있어 기존 코드에 영향을 주지 않고 새로운 에이전트를 추가/수정하기가 훨씬 용이함.</t>
  </si>
  <si>
    <t>작은 trusted computing base와 최소 권한의 서비스 분리가 공격 표면과 침해 범위를 줄인다.</t>
  </si>
  <si>
    <t>각 계층을 Mock으로 격리해 단위 테스트하고 계층 간 계약을 별도로 검증하기 쉽다.</t>
  </si>
  <si>
    <t>직접적인 메서드 호출 및 단순한 레이어 통과 구조로 처리 속도와 응답성이 뛰어남.</t>
  </si>
  <si>
    <t>계층적 트리 구조에서 최상위-중간-하위 컨트롤러를 거치는 메시지 라우팅 오버헤드 때문에 응답 지연이 발생할 수 있음</t>
  </si>
  <si>
    <t>오류 발생 시 전역 데이터(Model) 손상으로 이어져 시스템 전체가 불안정해질 위험이 존재함.</t>
  </si>
  <si>
    <t>동일한 VM 이미지를 반복 생성해 재현 가능한 테스트 환경과 스냅샷 기반 복구를 제공하기 쉽다.</t>
  </si>
  <si>
    <t>에이전트 캡슐화를 통해 결함의 영향 범위를 한정 짓고 안전하게 예외 처리를 수행할 수 있음.</t>
  </si>
  <si>
    <t>개별 서비스는 격리 테스트하기 쉽지만 IPC와 전체 시스템 통합 테스트는 여전히 필요하다.</t>
  </si>
  <si>
    <t>데이터 접근(Model) 및 요청 제어(Controller) 경로가 일원화되어 있어 보안 정책(인증/인가/검증) 적용이 용이함.</t>
  </si>
  <si>
    <t>Presentation 계층을 업무 로직과 분리하면 UI 변경과 다양한 클라이언트 지원이 쉬워진다.</t>
  </si>
  <si>
    <t>수많은 에이전트 간 독립적인 통신 채널이 생성되므로 데이터 유출 위험이 커지고 공격 접점(Attack Surface)이 확대됨.</t>
  </si>
  <si>
    <t>실행환경 일관성은 운영자에게 유용하지만 최종 사용자 UX에는 직접 영향이 크지 않다.</t>
  </si>
  <si>
    <t>UI 없이 Model과 Controller를 독립적으로 단위 테스트(Unit Test)하기 매우 용이함.</t>
  </si>
  <si>
    <t>OS 내부 구조의 장점이 주로 운영·안정성에 나타나며 최종 사용자 인터페이스에는 간접적이다.</t>
  </si>
  <si>
    <t>에이전트 간 비동기 메시지 교환 및 트리 구조의 상호작용 흐름을 추적하고 모킹(Mocking)하여 테스트하기 어려움.</t>
  </si>
  <si>
    <t>단일 화면/표준적인 웹 UI를 처리하기에는 적합하나 multi-window 대화형 UI 지원에는 한계가 있음</t>
  </si>
  <si>
    <t>각 에이전트가 자체 Presentation과 Controller를 가져 화면 단위별 독립적 상태 관리가 가능하며 복잡한 대화형 UI/UX 구현에 최적화됨.</t>
  </si>
  <si>
    <t>한 단계가 실패하면 중간부터 재시작 가능하다고 하더라도 뒤 단계가 모두 대기하거나 재시작 해야 하는 것이 치명적</t>
  </si>
  <si>
    <t>Filter별 독립적 행동이 보장되므로 문제가 발생하더라고, 전체 system에 영향이 있음.
 Pipe에 고장이 나면 뒤에 연결된 Filter도 사용할 수 없게 되므로 좋진 않음</t>
  </si>
  <si>
    <t>품질 속성 (Quality Attribute)</t>
  </si>
  <si>
    <t>process unit or control unit 고장시, 오작동하여 시스템 전체에 문제가 발생할 수 있음</t>
  </si>
  <si>
    <t>효과 발생 근거 및 원인 (Justification)</t>
  </si>
  <si>
    <t>각 tier를 복제·스케일아웃해 장애를 우회할 수 있지만 tier 간 의존성 때문에 완전한 격리는 어렵다.</t>
  </si>
  <si>
    <t>구조가 단순한 것이 가장 큰 이점, 배포 시 개발자들에게 porting 등의 O/H가 적을 것으로 예상.</t>
  </si>
  <si>
    <t>중앙 서버가 중단되면 많은 클라이언트가 동시에 서비스를 잃는 장애점이 되기 쉽다.</t>
  </si>
  <si>
    <t>Availability
(가용성)</t>
  </si>
  <si>
    <t>필터는 서로 독립적인 개체이므로 개별 구성요소 별로 배포하기 쉬운 편이다.</t>
  </si>
  <si>
    <t>개별 구성요소를 독립 배포하기 어렵다.</t>
  </si>
  <si>
    <t>단일 프로세스/스레드로 동작하므로 서브루틴 하나에서 에러 발생 시 전체 시스템이 중단됨</t>
  </si>
  <si>
    <t>• Client-Server: 서버가 단일 실패점(Single Point of Failure, SPOF)이 될 수 있어 서버 장애 시 전체 시스템 중단 위험이 큼.
• Multi-tier: 계층 증가로 관리 요소는 늘어나지만, Middle tier의 분산 및 이중화 구성을 통해 가용성 위험을 보완 가능함.</t>
  </si>
  <si>
    <t>특정 Slave에 장애가 발생해도 타 Slave가 대신 처리하거나 Master가 해당 Slave만 재시작할 수 있어 가용성이 높음. (단, Master 단일 장애점(SPOF) 관리는 필요)</t>
  </si>
  <si>
    <t>Presentation·Business·Data tier를 별도 배포할 수 있으나 버전 호환과 순서 조정이 필요할 수 있다.</t>
  </si>
  <si>
    <t>표준화된 connector를 사용해서, 새로운 필터를 연결하기 매우 쉽다.</t>
  </si>
  <si>
    <t>전체 코드가 단일 바이너리/프로세스로 강하게 결합되어 일부 수정 시 전체 재배포가 필요함.</t>
  </si>
  <si>
    <t>클라이언트와 서버를 따로 배포할 수 있지만 API 호환성과 클라이언트 버전 관리가 필요하다.</t>
  </si>
  <si>
    <t>노드/프로세스를 독립적으로 배포하거나 동적으로 노드를 추가/제거(Scale-out)할 수 있음.</t>
  </si>
  <si>
    <t>componenet에 따라 인터페이스가 달라(특정 환경에 맞춰져 있어서) 통합이 어렵다.</t>
  </si>
  <si>
    <t>Deployability
(배포성)</t>
  </si>
  <si>
    <t>함수 호출 규격(API)이 명확하여 라이브러리 형태의 모듈 통합이 매우 쉬움.</t>
  </si>
  <si>
    <t>1. 에너지, 혹은 처리량 총량의 차이가 있지, 총량 / Energy 값인 효율적 측면은 영향이 없다</t>
  </si>
  <si>
    <t>Master와 Slave 간 메시지 프로토콜, 데이터 분할/합성 로직 정의가 필요하여 외부 통합 난이도가 존재함.</t>
  </si>
  <si>
    <t>데이터 처리 자체는 에너지 효율과 직접적인 연관성이 적다.</t>
  </si>
  <si>
    <t>필요한 시점에만 동작하므로 자원을 효율적으로 쓸 수 있다.</t>
  </si>
  <si>
    <t>프로세스 간 통신(IPC)이나 오버헤드 없이 메모리 스택 직접 접근만 수행하므로 CPU/메모리 자원 효율이 최상임.</t>
  </si>
  <si>
    <t>• Client-Server: UI 표현과 Business Logic 처리가 분리되어 클라이언트와 서버를 각각 독립적으로 배포 가능함.
• Multi-tier: Business Logic이 포함된 Middle tier 중심으로 독립적 배포 및 스케일링이 수월함.</t>
  </si>
  <si>
    <t>네트워크 통신, 데이터 분할 및 집계, 프로세스 동기화 오버헤드로 인해 소비 자원량이 큼.</t>
  </si>
  <si>
    <t>각 단계가 독립적으로, processing step간 대체가 용이하고 reusing이 가능한 것이 장점</t>
  </si>
  <si>
    <t>tier 간 명확한 네트워크 인터페이스를 통해 외부 시스템 연결 지점을 분리하기 좋다.</t>
  </si>
  <si>
    <t>필터는 서로 독립적인 개체이므로 개별 구성요소 별로 추가,삭체, 교체하기 쉬운 편이다.</t>
  </si>
  <si>
    <t>서버가 명확한 API를 제공하면 다양한 클라이언트와 외부 시스템을 동일 인터페이스로 연결하기 쉽다.</t>
  </si>
  <si>
    <t>모듈화는 잘 되어 있으나, 하위 서브루틴의 파라미터 변경이 상위호출부에 연쇄 영향(Ripple Effect)을 줌.</t>
  </si>
  <si>
    <t>Integrability
(통합성)</t>
  </si>
  <si>
    <t>Component가 변경 되면 시스템 전체에 영향을 주게 된다.</t>
  </si>
  <si>
    <t>처리 로직이나 알고리즘을 독립적으로 개편하기 용이하며, 병렬 처리 노드 확장이 자유로움.</t>
  </si>
  <si>
    <t>• Client-Server: 클라이언트와 서버 간의 역할 분담 및 표준화된 요청-응답 구조로 연동이 용이함.
• Multi-tier: Presentation, Application, Data 계층이 명확히 분리되어 외부 서비스 및 DB 통합이 매우 용이함.</t>
  </si>
  <si>
    <t>모든 단계가 sequential하게 되어 있으므로 단계마다 전체 데이터를 기다려야 하므로 latency가 좋지 않음 -&gt; latency측면 영향성이 낮음</t>
  </si>
  <si>
    <t>단일 스레드/순차적 실행 구조이므로 대용량 데이터 처리나 멀티코어 활용에 한계가 있음.</t>
  </si>
  <si>
    <t>Filter의 수가 많아질수록 Computational O/H가 증가하나, 병렬성이 존재하므로 장점이 더 큼</t>
  </si>
  <si>
    <t>여러 서버 계층과 네트워크 홉을 유지하므로 단일 프로세스 구조보다 자원 소비가 증가한다.</t>
  </si>
  <si>
    <t>데이터를 병렬(Parallelism)로 동시에 처리하여 전체적인 작업 처리량(Throughput) 및 execution 시간을 획기적으로 단축함.</t>
  </si>
  <si>
    <t>서버에 자원을 집중할 수 있지만 네트워크 통신과 상시 서버 운영 비용이 발생한다.</t>
  </si>
  <si>
    <t>Energy Efficiency
(에너지 효율)</t>
  </si>
  <si>
    <t>제어 흐름이 명시적이여서 실행 경로 분석과 검증이 쉽다.</t>
  </si>
  <si>
    <t>직렬로 이루어져 있으므로 단일 장애가 전체 안전에 영향이 큰 점도 있으나, 오류 분석이 쉬운 장점도 있음</t>
  </si>
  <si>
    <t>Slave들이 서로 격리된 프로세스/노드 환경에서 실행되므로 결함의 확산이 차단됨.</t>
  </si>
  <si>
    <t>• Client-Server: 고성능 서버 중심의 자원 집중 활용으로 불필요한 네트워크/프로세스 오버헤드가 적어 비교적 효율적임.
• Multi-tier: 계층 간 통신 오버헤드 및 Middle tier의 멀티스레딩 유지 자원 소모가 발생함.</t>
  </si>
  <si>
    <t>단계별 검증과 오류 격리를 통해 안전성에 간접적으로 기여할 수 있지만, 물리적 위험을 직접 감지·제어하는 아키텍처는 아니므로 Safety에 대한 직접적인 영향은 제한적이다.</t>
  </si>
  <si>
    <t>메모리 공간이 단순하고 통신 채널 노출이 없어 공격 접점이 적음.</t>
  </si>
  <si>
    <t>책임을 tier별로 나눠 UI·업무·데이터 변경을 어느 정도 독립적으로 수행할 수 있다.</t>
  </si>
  <si>
    <t>Master와 Slave 간 네트워크 메시지 교환 시 데이터 탈취/위변조 위험 및 접근 제어 복잡성이 증가함.</t>
  </si>
  <si>
    <t>서버 로직과 클라이언트 UI를 분리해 한쪽 변경을 독립적으로 수행할 여지가 있다.</t>
  </si>
  <si>
    <t>병렬로 동작하는 시스템 대비 중간 파일 등이 공격받기 쉬운 구조이기 때문에 영향성이 큼</t>
  </si>
  <si>
    <t>Modifiability
(변경 용이성)</t>
  </si>
  <si>
    <t>필터별 보안 검증을 분리해 적용할 수 있다는 장점은 있지만, 다수의 데이터 전달 경로가 추가적인 공격면이 될 수 있음</t>
  </si>
  <si>
    <t>입출력이 명확한 동기식 호출 구조이므로 단위 테스트(Unit Test) 및 스텁(Stub) 작성이 매우 용이함.</t>
  </si>
  <si>
    <t>비동기/병렬 실행, 타이밍 이슈(Race Condition), 분산 환경에서의 상태 추적이 어려워 테스트 난이도가 높음.</t>
  </si>
  <si>
    <t>공격받으면 전체적인 제어에 직접 영향을 준다.</t>
  </si>
  <si>
    <t>• Client-Server: UI와 Business Logic이 분리되어 있어 관련 모듈 수정이 용이함.
• Multi-tier: 비즈니스 요구사항 변경 시 다른 계층에 영향을 주지 않고 Middle tier만 수정하면 되므로 변경 용이성이 극대화됨.</t>
  </si>
  <si>
    <t>네트워크 지연은 늘지만 각 tier를 독립 확장해 병목을 완화할 수 있어 효과가 상쇄된다.</t>
  </si>
  <si>
    <t>각 컴포넌트의 역할이 매우 잘 정의되어 있으므로 Test하기에도 용이, 통합 test측면에서도 좋음</t>
  </si>
  <si>
    <t>백엔드/알고리즘 처리 및 제어 구조 패턴이므로 최종 사용자의 UI/UX 사용성에는 직접적인 영향을 미치지 않음.</t>
  </si>
  <si>
    <t>중앙 서버 최적화의 장점이 있지만 네트워크 지연과 서버 병목이 동시에 존재한다.</t>
  </si>
  <si>
    <t>각 필터별 독립 테스트 용이, batch sequence보다는 떨어짐, 0이나 -까지도</t>
  </si>
  <si>
    <t>Performance
(성능/처리량)</t>
  </si>
  <si>
    <t>물리적인 테스트 환경이 필요하여 테스트하기 어렵다. 변경점 발생에 따른 결과가 바로보이기 때문에 통합 test는 용이함</t>
  </si>
  <si>
    <t>• Client-Server: 클라이언트 접속 폭주 시 단일 서버가 성능 병목(Bottleneck) 지점이 됨.
• Multi-tier: Middle tier가 Multithreading을 지원하여 동시성(Concurrency)과 전체 처리량을 향상시킴.</t>
  </si>
  <si>
    <t>interactive한 UI 구성이 불가능하고, 병렬적이지 않으므로 Performance가 종합적으로 나빠 UX도 좋지 않다.</t>
  </si>
  <si>
    <t>업무 규칙과 데이터 접근을 별도 tier로 통제해 잘못된 요청이 핵심 데이터에 직접 닿지 않게 할 수 있다.</t>
  </si>
  <si>
    <t>처리 성능이나 응답 속도를 통해 사용자 경험에 간접적인 영향을 줄 수는 있지만, Pipe and Filter 자체는 사용자 인터페이스나 조작 방식을 결정하지 않으므로 Usability에 대한 직접 영향은 중립적이다.</t>
  </si>
  <si>
    <t>중요한 업무 규칙과 데이터 검증을 서버에서 일관되게 강제할 수 있다.</t>
  </si>
  <si>
    <t>Safety
(안전성)</t>
  </si>
  <si>
    <t>자동으로 타겟에 가까워지므로 사용자가 원하는 작업을 쉽게 완수할 수 있다./ 입력에 따른 출력이 바로 보이기 때문에 +</t>
  </si>
  <si>
    <t>• Client-Server: 단일 서버 구조로 인해 오류 발생 시 서버 전체 프로세스가 영향을 받아 오염될 수 있음.
• Multi-tier: Presentation, Application, Data 계층 격리로 데이터 손상 및 시스템 파급 효과를 예방함.</t>
  </si>
  <si>
    <t>DMZ·애플리케이션·DB 등 네트워크 구역을 나누고 tier별로 방어 정책을 적용하기 좋다.</t>
  </si>
  <si>
    <t>인증·인가를 서버에 중앙화하기 쉽지만 서버 자체가 중요한 공격 대상이 된다.</t>
  </si>
  <si>
    <t>Security
(보안성)</t>
  </si>
  <si>
    <t>• Client-Server: 클라이언트와 서버 간 직접 통신으로 인해 데이터 검증 및 보안 정책 적용이 복잡함.
• Multi-tier: 계층 분리를 통해 민감한 비즈니스 로직과 데이터베이스를 최종 사용자의 직접 접근으로부터 완벽히 보호함.</t>
  </si>
  <si>
    <t>tier별 테스트와 Mock이 가능하지만 네트워크·데이터베이스를 포함한 통합 테스트가 필요하다.</t>
  </si>
  <si>
    <t>클라이언트와 서버를 Mock으로 분리 테스트하고 API 계약을 독립 검증하기 쉽다.</t>
  </si>
  <si>
    <t>Testability
(테스트 용이성)</t>
  </si>
  <si>
    <t>상위 계층이 하위 계층에 의존하므로 특정 계층 장애 시 전체 서비스 영향 가능.</t>
  </si>
  <si>
    <t>• Client-Server: 네트워크 및 분산 환경 특성상 단위 테스트 및 시뮬레이션 환경 구축이 제한됨.
• Multi-tier: 다계층 구조의 복잡성과 전용 테스트 도구의 부족으로 인해 테스트 작성 및 수행이 다소 어려움.</t>
  </si>
  <si>
    <t>Presentation tier를 별도로 발전시킬 수 있어 UI 개선과 다양한 클라이언트 지원에 유리하다.</t>
  </si>
  <si>
    <t>재해 상황 및 동작 모델 시뮬레이션을 지원하여 장애 대비 능력 향상.</t>
  </si>
  <si>
    <t>복잡한 로직을 서버에 두고 클라이언트를 단순화해 일관된 사용자 경험을 제공하기 쉽다.</t>
  </si>
  <si>
    <t>공유 저장소 장애 시 의존하는 모든 Client에 영향</t>
  </si>
  <si>
    <t>Usability
(사용성)</t>
  </si>
  <si>
    <t>분산 구조에서 동일 Server를 여러 Machine에 실행하여 고가용성(HA) 확보 가능.</t>
  </si>
  <si>
    <t>각 Component를 서로 다른 일정으로 독립적으로 배포 및 갱신 가능.</t>
  </si>
  <si>
    <t>• Client-Server: 역할 분리를 통해 클라이언트 단에서 풍부한 UI/UX 구현이 가능함.
• Multi-tier: 비즈니스 처리와 화면 처리가 계층별로 독립되어 있어 사용자 인터페이스 반응성을 향상시킴.</t>
  </si>
  <si>
    <t>중앙 블랙보드와 컨트롤러가 다운되면 모든 KS가 동작을 멈추어 전체적인 영향가능</t>
  </si>
  <si>
    <t>가상화 환경 덕분에 Platform 독립적인 이식·배포 용이.</t>
  </si>
  <si>
    <t>핵심 Kernel 변경 없이 External Server 단위의 독립적인 확장 및 배포 용이.</t>
  </si>
  <si>
    <t>스키마 변경 시 관련 Client의 배포 조율 필요</t>
  </si>
  <si>
    <t>하위 계층 인터페이스가 명확하여 외부 모듈/라이브러리 연동이 수월함.</t>
  </si>
  <si>
    <t>가상 플랫폼 규격에 맞춰 외부 요소 통합 가능.</t>
  </si>
  <si>
    <t>서버 간 통신 프로토콜 및 커널 인터페이스 구성으로 인해 외부 시스템 연동 난이도가 높음.</t>
  </si>
  <si>
    <t>공통 스키마를 따르는 Client를 저장소에 연결하여 통합 가능</t>
  </si>
  <si>
    <t>층 통과 시 발생하는 함수 호출 오버헤드로 에너지 소모 존재.</t>
  </si>
  <si>
    <t>중복 데이터 복제와 여러 저장소 운영을 줄여 자원 사용을 집중-&gt; data쪽과의 동시성을 가지고 볼 경우 -로 볼 수 있음</t>
  </si>
  <si>
    <t>인터프리터 방식 및 추가 계층 레이어로 인해 CPU/메모리 자원 및 에너지 소모가 가장 큼.</t>
  </si>
  <si>
    <t>서비스 위치가 바뀌거나 일부 제공자가 실패해도 broker가 다른 제공자로 연결할 수 있지만 broker 자체 장애 위험은 있다.</t>
  </si>
  <si>
    <t>버 간 IPC(프로세스 간 통신) 오버헤드로 인해 에너지 효율이 낮음.</t>
  </si>
  <si>
    <t>요청을 여러 처리기로 재분배해 일부 handler 장애를 우회할 수 있지만 dispatcher 장애점은 남는다.</t>
  </si>
  <si>
    <t>높은 응집도와 하위 계층에만 결합된 구조로 Layer 교체/대체가 쉬움</t>
  </si>
  <si>
    <t>하드웨어 변경에 영향받지 않는 소프트웨어 개발 및 수정 단순화.</t>
  </si>
  <si>
    <t>서비스 소비자가 실제 제공자의 위치·구현을 몰라도 되어 제공자를 독립 배포·이동하기 쉽다.</t>
  </si>
  <si>
    <t>새로운 View 필요 시 External Server, 기능 추가 시 Internal Server만 추가/확장하면 되어 가장 우수</t>
  </si>
  <si>
    <t>클라이언트, KS간 변경의 영향은 최소화 되지만 데이의 스키마 변경등은 모든 클라이언트에게 영향을 주는 점을 고려해보아야 합니다</t>
  </si>
  <si>
    <t>새 handler를 등록하거나 기존 handler를 교체할 수 있어 처리 기능을 점진적으로 배포하기 쉽다.</t>
  </si>
  <si>
    <t>Layer가 너무 많아지면 요청 전달 시 호출 Overhead 발생</t>
  </si>
  <si>
    <t>블랙보드의 경우 Contrpller와 KS 간의 의존이 추가되는 점에도 수정용이성에는 문제 됩니다</t>
  </si>
  <si>
    <t>인터프리터 방식 특성 및 새 계층 추가에 따른 Overhead로 실행 속도가 가장 느림.</t>
  </si>
  <si>
    <t>broker가 서비스 탐색·호출 형식을 중재해 이기종 시스템을 느슨하게 연결하는 데 매우 유리하다.</t>
  </si>
  <si>
    <t>모놀리식 시스템(Monolithic) 대비 서버 간 IPC(통신) Overhead로 인해 성능 감소.</t>
  </si>
  <si>
    <t>공통 dispatch 계약을 통해 다양한 handler를 하나의 진입점 뒤에 연결할 수 있다.</t>
  </si>
  <si>
    <t>계층별 하부 구조 의존으로 오류 파급 제어는 제한적임.</t>
  </si>
  <si>
    <t>호스트 시스템과의 가상 격리를 통해 하드웨어/시스템 안전성 확보.</t>
  </si>
  <si>
    <t>공유 저장소에 동시 접근이 집중되면 병목 발생 가능</t>
  </si>
  <si>
    <t>모든 요청이 중개 계층과 직렬화 과정을 추가로 거치므로 직접 호출보다 자원 소비가 늘어난다.</t>
  </si>
  <si>
    <t>핵심 커널과 서버 기능의 분리로 특정 서버의 결함이 전체 커널 시스템으로 전이되지 않음.</t>
  </si>
  <si>
    <t>라우팅 오버헤드는 있지만 broker보다 단순한 경우가 많아 전체 에너지 영향은 대체로 작다.</t>
  </si>
  <si>
    <t>계층 간 내부 정보 은닉(Information Hiding)을 통해 상위/하위 보안 유지.</t>
  </si>
  <si>
    <t>중앙 저장소가 단일 장애 지점은 보안성에서도 문제지만 안정성에서 문제가 됨</t>
  </si>
  <si>
    <t>격리된 샌드박스 환경을 제공하여 외부 공격 및 이상 동작 차단.</t>
  </si>
  <si>
    <t>서비스 제공자나 위치를 변경해도 소비자 코드 변경을 최소화할 수 있다.</t>
  </si>
  <si>
    <t>최소 권한의 커널 구동 및 서브시스템 격리로 보안 침범 범위 최소화.</t>
  </si>
  <si>
    <t>클라이언트,KS 가 잘못된 정보를 등록하는 경우 다른 요소들의 오동작을 유발 할 수 있음</t>
  </si>
  <si>
    <t>라우팅 규칙과 handler 구현을 분리해 기능 추가·교체 시 핵심 호출자를 크게 바꾸지 않아도 된다.</t>
  </si>
  <si>
    <t>각 계층 및 컴포넌트를 독립적으로 분리하여 테스트(Mocking)하기 쉬움.</t>
  </si>
  <si>
    <t>요청이 broker를 한 번 더 거치면서 네트워크 홉과 중개 처리 지연이 추가된다.</t>
  </si>
  <si>
    <t>테스트 환경 시뮬레이션 및 가상 상태 캡처/복원이 용이함.</t>
  </si>
  <si>
    <t>Data Store, Black Bd의 데이터가 모든 Data client, KS에 공개되어 있으므로, 보안에 취약</t>
  </si>
  <si>
    <t>요청을 여러 handler에 분산해 병렬 처리와 부하 분산이 가능하며 라우팅 비용은 비교적 작다.</t>
  </si>
  <si>
    <t>서버 간 비동기 메시지 교환 및 복잡한 상호작용으로 인해 종합 테스트 난이도가 존재함.</t>
  </si>
  <si>
    <t>아키텍처 구조가 사용자 인터페이스/경험(UI/UX)에 직접 미치는 영향은 적음.</t>
  </si>
  <si>
    <t>중개 지점에서 라우팅, 재시도, 정책 검증을 일관되게 적용해 오류 전파를 줄일 수 있다.</t>
  </si>
  <si>
    <t>공유 상태로 인해 Client 시험 간 간섭 발생 가능</t>
  </si>
  <si>
    <t>중앙 dispatch 지점에서 요청 유효성·대상 선택을 통제해 잘못된 호출을 줄일 수 있다.</t>
  </si>
  <si>
    <t>External Server 추가를 통해 다양한 사용자 View/인터페이스를 유연하게 제공 가능.</t>
  </si>
  <si>
    <t>broker에 인증·접근 정책을 집중할 수 있지만 해당 지점이 고가치 공격 대상이 되는 점은 남는다.</t>
  </si>
  <si>
    <t>단일 진입점에 인증·권한·라우팅 제한을 적용하기 쉬우나 dispatcher 보호가 중요해진다.</t>
  </si>
  <si>
    <t>데이터 공유 구조 자체는 사용자 조작 편의성을 결정하지 않음</t>
  </si>
  <si>
    <t>사용자 상호 작용과는 관련된 부분이 없다/엔드유저의 입장에서 평가해야 함/데이터 접근 경로의 통일인 클ㄹ이넌트와 데이터 간의 동작문제는 개발자의 관심 영역임</t>
  </si>
  <si>
    <t>서비스 제공자나 broker를 Mock으로 대체해 계약 테스트가 가능하지만 분산 상호작용 테스트는 필요하다.</t>
  </si>
  <si>
    <t>라우팅 규칙과 handler를 각각 독립 테스트하기 쉽고 가짜 handler로 시나리오를 구성할 수 있다.</t>
  </si>
  <si>
    <t>서비스 위치 투명성은 내부 복잡성을 줄이지만 최종 사용자 UI 품질에 직접 영향은 제한적이다.</t>
  </si>
  <si>
    <t>주로 내부 요청 분배 구조이므로 최종 사용자 경험에 미치는 직접 영향은 크지 않다.</t>
  </si>
  <si>
    <t>계층 증가로 관리 요소는 늘어나지만, Middle tier의 분산 및 이중화 구성을 통해 가용성 위험을 보완 가능함.</t>
  </si>
  <si>
    <t>서버가 단일 실패점(Single Point of Failure, SPOF)이 될 수 있어 서버 장애 시 전체 시스템 중단 위험이 큼.</t>
  </si>
  <si>
    <t>송신 혹은 수신측이 다운되어 있을 동안 발생한 이벤트가 손실될 가능성이 있다.</t>
  </si>
  <si>
    <t>Mico-Service</t>
  </si>
  <si>
    <t>• Multi-tier: 계층 증가로 관리 요소는 늘어나지만, Middle tier의 분산 및 이중화 구성을 통해 가용성 위험을 보완 가능함.
• Client-Server: 서버가 단일 실패점(Single Point of Failure, SPOF)이 될 수 있어 서버 장애 시 전체 시스템 중단 위험이 큼.</t>
  </si>
  <si>
    <t>강한 결합으로 단일 배포에는 장점이 있으나 확장에 어려움이 있음</t>
  </si>
  <si>
    <t>Business Logic이 포함된 Middle tier 중심으로 독립적 배포 및 스케일링이 수월함.</t>
  </si>
  <si>
    <t>UI 표현과 Business Logic 처리가 분리되어 클라이언트와 서버를 각각 독립적으로 배포 가능함.</t>
  </si>
  <si>
    <t>서비스를 분리·복제해 일부 장애를 격리할 수 있지만 원격 호출과 오케스트레이션 의존성은 추가된다.</t>
  </si>
  <si>
    <t>서비스별 장애 격리와 독립 복제·스케일링이 가능해 적절한 회복탄력성 설계 시 높은 가용성을 만들기 좋다.</t>
  </si>
  <si>
    <t>강한 결합으로 시스템 연동에 어려움이 있음</t>
  </si>
  <si>
    <t>서비스 단위 배포가 가능하지만 공유 계약·ESB·거버넌스 때문에 완전한 독립 배포는 제한될 수 있다.</t>
  </si>
  <si>
    <t>• Multi-tier: Business Logic이 포함된 Middle tier 중심으로 독립적 배포 및 스케일링이 수월함.
• Client-Server: UI 표현과 Business Logic 처리가 분리되어 클라이언트와 서버를 각각 독립적으로 배포 가능함.</t>
  </si>
  <si>
    <t>각 서비스를 독립 빌드·배포·롤백할 수 있어 작은 변경을 빠르게 배포하기 매우 유리하다.</t>
  </si>
  <si>
    <t>Non-Buff는 빈번한 이벤트 발생시 자원소비가 증가하게 된다(소스와 리스너가 거의 동시에 구동)</t>
  </si>
  <si>
    <t>비동기 처리로 component가 항시 대기 필요없고, 메시지 queue도 일괄 처리 가능</t>
  </si>
  <si>
    <t>Presentation, Application, Data 계층이 명확히 분리되어 외부 서비스 및 DB 통합이 매우 용이함.</t>
  </si>
  <si>
    <t>명시적인 서비스 계약과 표준 프로토콜을 통해 이기종·레거시 시스템 통합에 매우 유리하다.</t>
  </si>
  <si>
    <t>API·이벤트 계약으로 연계할 수 있지만 서비스 수가 많아지면 계약·버전 관리 복잡성도 커진다.</t>
  </si>
  <si>
    <t>클라이언트와 서버 간의 역할 분담 및 표준화된 요청-응답 구조로 연동이 용이함.</t>
  </si>
  <si>
    <t>이벤트 인터페이스가 유지되는 한 발행자와 소비자를 독립적으로 추가·수정·교체할 수 있어 변경 파급 범위가 작고 시스템 확장이 용이하다.
-&gt; sync방식이기 때문에 확장성이 떨어진다. 마이너스 [강한결합상태]</t>
  </si>
  <si>
    <t>원격 호출, XML/JSON 직렬화, 중개·오케스트레이션 계층이 추가 자원을 소비한다.</t>
  </si>
  <si>
    <t>• Multi-tier: Presentation, Application, Data 계층이 명확히 분리되어 외부 서비스 및 DB 통합이 매우 용이함.
• Client-Server: 클라이언트와 서버 간의 역할 분담 및 표준화된 요청-응답 구조로 연동이 용이함.</t>
  </si>
  <si>
    <t>많은 프로세스/컨테이너, 네트워크 통신, 서비스 디스커버리와 관측 도구가 추가 자원을 지속적으로 사용한다.</t>
  </si>
  <si>
    <t>이벤트를 직접 전달 가능하여 전달 지연이 짧음</t>
  </si>
  <si>
    <t>버퍼링과 Consumer 병렬화를 통해 부하를 평준화하고 높은 처리량을 확보할 수 있어 전체적인 Performance +</t>
  </si>
  <si>
    <t>서비스 계약을 유지하면 내부 구현을 교체하거나 새 비즈니스 서비스를 조합하기 쉽다.</t>
  </si>
  <si>
    <t>기능 경계를 잘 나누면 특정 서비스만 변경할 수 있어 변경 영향 범위를 작게 유지할 수 있다.</t>
  </si>
  <si>
    <t>tier 간 request/reply 통신으로 복잡성과 오버헤드가 발생한다.</t>
  </si>
  <si>
    <t>중요 이벤트가 유실시 알수없음</t>
  </si>
  <si>
    <t>세분화된 원격 호출과 서비스 조합이 네트워크 지연·직렬화 비용을 누적시킬 수 있다.</t>
  </si>
  <si>
    <t>중요 이벤트의 손실 방지와 재처리를 통해 안전성에 간접적으로 기여할 수 있지만, 시스템의 물리적 위험을 직접 제어하거나 Safety를 보장하는 구조는 아니므로 일반적인 영향은 중립적이다.
buffer가 처리하는 지연 발생시, 실시간성에 부정적</t>
  </si>
  <si>
    <t>이 아키텍처 스타일이 해당 품질속성을 직접 좌우하지 않음.</t>
  </si>
  <si>
    <t>프로세스 내부 호출이 네트워크 호출로 바뀌고 직렬화·재시도 등이 추가되어 지연이 커질 수 있다.</t>
  </si>
  <si>
    <t>Non-Buff의 간한 결합(동기)은 정보의 유출 가능성을 줄여 준다</t>
  </si>
  <si>
    <t>• Multi-tier: 계층 간 통신 오버헤드 및 Middle tier의 멀티스레딩 유지 자원 소모가 발생함.
• Client-Server: 고성능 서버 중심의 자원 집중 활용으로 불필요한 네트워크/프로세스 오버헤드가 적어 비교적 효율적임.</t>
  </si>
  <si>
    <t>중앙 Broker를 통해 인증·인가와 보안 정책을 일관되게 적용할 수 있다는 장점이 있지만, Broker 및 저장된 메시지가 추가적인 공격면과 중요한 보안 자산이 되므로 전체적인 영향은 구성에 따라 달라진다.
다양한 listener가 붙을수 있기에 security측면에서 불리하다. 메시지를 중간에 가로채는 사례가 있음</t>
  </si>
  <si>
    <t>업무 기능을 서비스 경계로 나누고 계약을 명시해 잘못된 상호작용을 통제하기 쉽다.</t>
  </si>
  <si>
    <t>장애 blast radius를 서비스 단위로 제한할 수 있으나 분산 트랜잭션과 최종 일관성은 별도 설계가 필요하다.</t>
  </si>
  <si>
    <t>동기 결합으로 test에 좋음</t>
  </si>
  <si>
    <t>비즈니스 관련 변경은 중간 tier에만 적용되어 재사용성·수정 용이성이 높다(reusability and modifiability).</t>
  </si>
  <si>
    <t>전체 비동기 흐름의 추적은 별도 Tracing이 필요.
통합 test환경 구축에 어려움</t>
  </si>
  <si>
    <t>서비스 게이트웨이·정책으로 보안을 표준화할 수 있지만 엔드포인트 수 증가에 대한 관리가 필요하다.</t>
  </si>
  <si>
    <t>책임이 분리되고(UI 표현 vs 비즈니스 로직) server 컴포넌트를 재사용할 수 있다.</t>
  </si>
  <si>
    <t>서비스 간 인증, 비밀 관리, API 수 증가로 공격면과 보안 운영 복잡성이 커진다.</t>
  </si>
  <si>
    <t>이벤트, 메시지에 대한 즉각적 반응은 UX 개선에 도움이 된다</t>
  </si>
  <si>
    <t>서비스 단위 계약 테스트가 가능하지만 여러 서비스가 참여하는 시나리오는 통합 테스트 비용이 크다.</t>
  </si>
  <si>
    <t xml:space="preserve"> Non-Buff의 경우 메시지 유실이 발생할 수 있는점 다소 부정적인 측면이다</t>
  </si>
  <si>
    <t>• Multi-tier: 비즈니스 요구사항 변경 시 다른 계층에 영향을 주지 않고 Middle tier만 수정하면 되므로 변경 용이성이 극대화됨.
• Client-Server: UI와 Business Logic이 분리되어 있어 관련 모듈 수정이 용이함.</t>
  </si>
  <si>
    <t>개별 서비스 단위 테스트는 쉽지만 전체 시나리오·계약·분산 장애 테스트가 어려워 장단점이 상쇄된다.</t>
  </si>
  <si>
    <t>[+] 교안: 중간 tier가 확장성·성능을 위한 멀티스레딩을 지원한다.
 [-] 복잡성과 오버헤드가 있다.</t>
  </si>
  <si>
    <t>서비스 재사용은 기능 개발을 돕지만 사용자 인터페이스 품질을 직접 결정하는 구조는 아니다.</t>
  </si>
  <si>
    <t>[+] 교안: 동시성·확장성의 잠재력이 있고 다수 client가 고성능 server에 접근할 때 자원을 효과적으로 쓴다.
 [-] server가 성능 병목이 될 수 있다.</t>
  </si>
  <si>
    <t>빠른 기능 변경에는 도움이 되지만 최종 사용자 UX를 직접 향상시키는 아키텍처 스타일은 아니다.</t>
  </si>
  <si>
    <t>• Multi-tier: Middle tier가 Multithreading을 지원하여 동시성(Concurrency)과 전체 처리량을 향상시킴.
• Client-Server: 클라이언트 접속 폭주 시 단일 서버가 성능 병목(Bottleneck) 지점이 됨.</t>
  </si>
  <si>
    <t>• Multi-tier: Presentation, Application, Data 계층 격리로 데이터 손상 및 시스템 파급 효과를 예방함.
• Client-Server: 단일 서버 구조로 인해 오류 발생 시 서버 전체 프로세스가 영향을 받아 오염될 수 있음.</t>
  </si>
  <si>
    <t>presentation·application·data tier를 분리하여 민감한 비즈니스 로직·데이터를 최종 사용자의 직접 접근으로부터 보호한다(enhancement of security).</t>
  </si>
  <si>
    <t>보안 복잡성(security complications)이 약점으로 언급된다.</t>
  </si>
  <si>
    <t>컨테이너 단위로 장애를 격리하고 재시작·복제할 수 있어 서비스 복구와 고가용성 구성이 용이함</t>
  </si>
  <si>
    <t>• Multi-tier: 계층 분리를 통해 민감한 비즈니스 로직과 데이터베이스를 최종 사용자의 직접 접근으로부터 완벽히 보호함.
• Client-Server: 클라이언트와 서버 간 직접 통신으로 인해 데이터 검증 및 보안 정책 적용이 복잡함.</t>
  </si>
  <si>
    <t>Multi-AZ/Region, Load Balancing, Auto Scaling 등을 이용해 장애 대응과 서비스 지속성을 높이기 쉬움</t>
  </si>
  <si>
    <t>네트워크가 끊겨도 Edge 장치에서 로컬 처리를 계속할 수 있어 중앙 시스템 장애의 영향을 줄일 수 있음</t>
  </si>
  <si>
    <t>테스트 도구의 일반적 부족으로 테스트 용이성이 떨어진다.</t>
  </si>
  <si>
    <t>제한된 테스트 용이성(limited testability)이 약점으로 언급된다.</t>
  </si>
  <si>
    <t>애플리케이션과 실행 환경을 이미지로 패키징하므로 환경 차이를 줄이고 빠르고 반복 가능한 배포가 가능함</t>
  </si>
  <si>
    <t>자동화된 인프라, CI/CD, 관리형 서비스를 활용하여 신속한 배포와 확장이 가능함</t>
  </si>
  <si>
    <t>• Multi-tier: 다계층 구조의 복잡성과 전용 테스트 도구의 부족으로 인해 테스트 작성 및 수행이 다소 어려움.
• Client-Server: 네트워크 및 분산 환경 특성상 단위 테스트 및 시뮬레이션 환경 구축이 제한됨.</t>
  </si>
  <si>
    <t>다수의 분산된 Edge 장치에 소프트웨어를 배포·업데이트해야 하므로 버전 관리와 배포 관리가 복잡함</t>
  </si>
  <si>
    <t>표준화된 Container 환경과 API를 사용하여 서로 다른 서비스들을 비교적 쉽게 조합할 수 있음</t>
  </si>
  <si>
    <t>API Gateway, Message Queue, Managed Service 등 다양한 통합 서비스를 활용하여 외부 시스템 연계가 용이함</t>
  </si>
  <si>
    <t>Edge 장치마다 HW, OS, 프로토콜, 네트워크 환경이 다를 수 있어 시스템 간 통합이 복잡해질 수 있음</t>
  </si>
  <si>
    <t>VM보다 경량화된 실행 환경을 사용하여 동일 자원에서 많은 서비스를 실행할 수 있어 자원 활용 효율이 높음</t>
  </si>
  <si>
    <t>• Multi-tier: 비즈니스 처리와 화면 처리가 계층별로 독립되어 있어 사용자 인터페이스 반응성을 향상시킴.
• Client-Server: 역할 분리를 통해 클라이언트 단에서 풍부한 UI/UX 구현이 가능함.</t>
  </si>
  <si>
    <t>서버 자원을 공유하고 필요에 따라 Scale In/Out할 수 있어 전체 자원 활용도를 높일 수 있음</t>
  </si>
  <si>
    <t>데이터를 모두 Cloud로 전송하지 않고 로컬에서 처리하여 네트워크 전송량과 중앙 서버의 처리량을 줄일 수 있음</t>
  </si>
  <si>
    <t>각 서비스를 독립적인 Container로 분리할 수 있어 특정 서비스만 변경·교체하기 쉬움</t>
  </si>
  <si>
    <t>서비스 분리, Managed Service, Infrastructure as Code 등을 통해 시스템 구성 변경 및 확장이 비교적 용이함</t>
  </si>
  <si>
    <t>기능을 Edge에 분산할 수 있지만 장치별 환경 차이와 배포된 버전의 다양성 때문에 전체 변경 관리가 어려울 수 있음</t>
  </si>
  <si>
    <t>Container의 가상화 오버헤드가 비교적 작고 서비스를 필요한 위치에 빠르게 배치할 수 있음</t>
  </si>
  <si>
    <t>Broker나 Server 장애 시 이에 의존하는 앱이 마비되어 Fault Tolerance가 낮음 (컴포넌트 복제 필요).</t>
  </si>
  <si>
    <t>대규모 자원과 Auto Scaling으로 높은 처리량을 제공할 수 있지만 네트워크 지연이 발생할 수 있음</t>
  </si>
  <si>
    <t>장애 발생 시 다른 장비에서 새 Server를 동적으로 활성화할 수 있어 Fault Tolerance 및 가용성이 우수함.</t>
  </si>
  <si>
    <t>• Broker: Broker나 Server 장애 시 이에 의존하는 앱이 마비되어 Fault Tolerance가 낮음 (컴포넌트 복제 필요).
• Dispatcher: 장애 발생 시 다른 장비에서 새 Server를 동적으로 활성화할 수 있어 Fault Tolerance 및 가용성이 우수함.</t>
  </si>
  <si>
    <t>데이터를 사용자나 장치와 가까운 위치에서 처리하여 네트워크 왕복 지연을 줄이고 빠른 응답을 제공할 수 있음</t>
  </si>
  <si>
    <t>Location transparency 덕분에 런타임 중 Server Component 추가/제거 및 배포가 매우 용이함.</t>
  </si>
  <si>
    <t>서비스별 격리와 Resource Limit을 통해 한 Container의 문제를 다른 서비스로부터 어느 정도 격리할 수 있음</t>
  </si>
  <si>
    <t>중앙에서 정책, 모니터링, 백업 등을 일관되게 적용할 수 있어 시스템 안전 관리가 용이함</t>
  </si>
  <si>
    <t>Dispatcher나 Client 변경 없이 Server를 자유롭게 추가·수정 및 재구성(Re-configuration) 가능함.</t>
  </si>
  <si>
    <t>긴급 제어나 실시간 처리를 Cloud 연결 없이 현장에서 수행할 수 있어 안전이 중요한 시스템에 적합함</t>
  </si>
  <si>
    <t>• Broker: Location transparency 덕분에 런타임 중 Server Component 추가/제거 및 배포가 매우 용이함.
• Dispatcher: Dispatcher나 Client 변경 없이 Server를 자유롭게 추가·수정 및 재구성(Re-configuration) 가능함.</t>
  </si>
  <si>
    <t>Broker bridge를 통해 서로 다른 이종 시스템 간 상호운용성(Interoperability) 및 기존 서비스 재사용성이 극대화됨.</t>
  </si>
  <si>
    <t>Client 변경 없이 Server 교체(Exchangeability) 및 위치 연동이 수월하나 Bridge 수준의 이종 통합 기능은 미비함.</t>
  </si>
  <si>
    <t>Container Isolation, Image Signing, 접근 제어 등을 적용할 수 있으나 잘못된 이미지나 Host 침해 시 여러 Container가 영향을 받을 수 있음</t>
  </si>
  <si>
    <t>IAM, Encryption, WAF, 중앙 보안 모니터링 등 강력한 보안 기능을 활용할 수 있지만 인터넷 노출과 Cloud 계정 침해 위험이 존재함</t>
  </si>
  <si>
    <t>많은 Edge 장치가 물리적으로 분산되어 있어 장치 탈취, 변조, 취약한 네트워크 등 공격 지점이 증가함</t>
  </si>
  <si>
    <t>• Broker: Broker bridge를 통해 서로 다른 이종 시스템 간 상호운용성(Interoperability) 및 기존 서비스 재사용성이 극대화됨.
• Dispatcher: Client 변경 없이 Server 교체(Exchangeability) 및 위치 연동이 수월하나 Bridge 수준의 이종 통합 기능은 미비함.</t>
  </si>
  <si>
    <t>동일한 Container Image를 개발·테스트·운영 환경에서 사용할 수 있어 테스트 환경 재현성이 높음</t>
  </si>
  <si>
    <t>Proxy 및 Broker를 거치는 간접 호출(Indirection) 단계가 많아 네트워크/CPU 리소스 및 에너지 소모가 큼.</t>
  </si>
  <si>
    <t>테스트 환경을 필요할 때 빠르게 생성하고 자동화된 테스트를 수행하기 쉽지만 외부 Cloud 서비스 의존성이 있을 수 있음</t>
  </si>
  <si>
    <t>다양한 실제 장치, 네트워크 상태, 위치, HW 환경을 재현해야 하므로 전체 시스템 테스트가 어려움</t>
  </si>
  <si>
    <t>Dispatcher 오버헤드가 존재하지만 Broker의 다단계 Proxy 구조보다는 간접 호출 비용이 작음.</t>
  </si>
  <si>
    <t>사용자 경험에 직접적인 영향은 작지만 일관된 실행 환경과 빠른 배포를 통해 서비스 품질 개선에 기여할 수 있음</t>
  </si>
  <si>
    <t>• Broker: Proxy 및 Broker를 거치는 간접 호출(Indirection) 단계가 많아 네트워크/CPU 리소스 및 에너지 소모가 큼.
• Dispatcher: Dispatcher 오버헤드가 존재하지만 Broker의 다단계 Proxy 구조보다는 간접 호출 비용이 작음.</t>
  </si>
  <si>
    <t>사용자가 장소나 장치에 관계없이 서비스를 이용할 수 있고 자원 확장을 통해 안정적인 서비스 제공이 가능함</t>
  </si>
  <si>
    <t>사용자와 가까운 위치에서 처리하여 응답속도를 낮추고 네트워크가 불안정한 환경에서도 기능 제공이 가능함</t>
  </si>
  <si>
    <t>Component의 Changeability와 Extensibility가 뛰어나며 런타임 변경(Runtime changes)이 완벽히 지원됨.</t>
  </si>
  <si>
    <t>Server 교체 및 위치·이동 투명성이 우수하나, Dispatcher 자체의 Interface 변경에는 민감하다는 제약이 있음.</t>
  </si>
  <si>
    <t>• Broker: Component의 Changeability와 Extensibility가 뛰어나며 런타임 변경(Runtime changes)이 완벽히 지원됨.
• Dispatcher: Server 교체 및 위치·이동 투명성이 우수하나, Dispatcher 자체의 Interface 변경에는 민감하다는 제약이 있음.</t>
  </si>
  <si>
    <t>중앙 main과 Subroutine간의 강한 coupling으로 인해 main의 장애가 전체 프로그램의 중단으로 이어질 수 있다.</t>
  </si>
  <si>
    <t>Client-Proxy-Broker-Server를 거치는 간접 호출 때문에 비효율성이 크고 응답 지연이 발생함.</t>
  </si>
  <si>
    <t>일부 Slave에 장애가 발생해도 다른 Slave가 대신 처리하거나 Master가 해당 Slave만 재시작할 수 있어 가용성이 높음</t>
  </si>
  <si>
    <t>Dispatcher 라우팅/중계에 따른 Overhead가 발생하나 Broker에 비해 경로가 비교적 단순함.</t>
  </si>
  <si>
    <t>• Broker: Client-Proxy-Broker-Server를 거치는 간접 호출 때문에 비효율성이 크고 응답 지연이 발생함.
• Dispatcher: Dispatcher 라우팅/중계에 따른 Overhead가 발생하나 Broker에 비해 경로가 비교적 단순함.</t>
  </si>
  <si>
    <t>Procedure끼리의 tight coupling으로 인하여 작은 변경도 재배포가 필요한 경우가 생긴다.</t>
  </si>
  <si>
    <t>노드/프로세스를 독립적으로 배포하거나 동적으로 노드를  추가/제거할 수 있다</t>
  </si>
  <si>
    <t>분산 상호작용이 복잡하고 특정 Server/Broker 다운 시 연쇄 중단 위험이 존재함.</t>
  </si>
  <si>
    <t>장애 시 대체 Server 동적 활성화 및 이동 투명성을 통해 시스템 전체의 안전성을 유지하기 수월함.</t>
  </si>
  <si>
    <t>강한 결합 기반으로 외부 시스템을 통합 할 때의 flexibility가 떨어진다.</t>
  </si>
  <si>
    <t>Slave가 Master의 작업·결과 규약에 맞아야 함</t>
  </si>
  <si>
    <t>• Broker: 분산 상호작용이 복잡하고 특정 Server/Broker 다운 시 연쇄 중단 위험이 존재함.
• Dispatcher: 장애 시 대체 Server 동적 활성화 및 이동 투명성을 통해 시스템 전체의 안전성을 유지하기 수월함.</t>
  </si>
  <si>
    <t>직접 호출되는 방식으로 procedure간 메시지 전송 등 추가 런타임 오버헤드가 매우 작다.</t>
  </si>
  <si>
    <t xml:space="preserve"> 다중 컴포넌트 간 브릿지 및 분산 통신 경로로 인해 보안 검증 및 정책 적용이 복잡함.</t>
  </si>
  <si>
    <t>작업 분배·결과 수집의 통신과 조정에 추가 에너지 소비</t>
  </si>
  <si>
    <t>요청 라우팅 단일점 제어가 가능하나 Dispatcher 인터페이스 노출에 따른 관리 포인트가 존재함</t>
  </si>
  <si>
    <t>• Broker: 다중 컴포넌트 간 브릿지 및 분산 통신 경로로 인해 보안 검증 및 정책 적용이 복잡함.
• Dispatcher: 요청 라우팅 단일점 제어가 가능하나 Dispatcher 인터페이스 노출에 따른 관리 포인트가 존재함.</t>
  </si>
  <si>
    <t>강한 결합으로 특정 procedure의 변경에 대한 연쇄 변경 side effect가 일어날 수 있다.</t>
  </si>
  <si>
    <t>작업·결과 계약 유지 시 Slave 내부 처리 방식 변경 용이</t>
  </si>
  <si>
    <t>관여하는 Component 수가 많아 테스트와 디버깅이 매우 번거롭고 어려움.</t>
  </si>
  <si>
    <t>여러 서브루틴이 동일한 전역 데이터에 접근할 경우 데이터 동기화 및 경쟁 조건 처리 과정에서 처리 속도가 저하될 수 있습니다.</t>
  </si>
  <si>
    <t>분할 가능한 작업을 Slave가 병렬 처리하여 완료 시간 단축 가능</t>
  </si>
  <si>
    <t>Dispatcher 의존성 및 서버 동적 이동에 따른 시나리오 테스트 난이도가 존재하나 Broker보다는 단순</t>
  </si>
  <si>
    <t>• Broker: 관여하는 Component 수가 많아 테스트와 디버깅이 매우 번거롭고 어려움.
• Dispatcher: Dispatcher 의존성 및 서버 동적 이동에 따른 시나리오 테스트 난이도가 존재하나 Broker보다는 단순함.</t>
  </si>
  <si>
    <t>두 패턴 모두 백엔드 분산/라우팅 메커니즘을 다루므로 최종 사용자 UI/UX에 직접 미치는 영향은 적음.</t>
  </si>
  <si>
    <t>• 공통: 두 패턴 모두 백엔드 분산/라우팅 메커니즘을 다루므로 최종 사용자 UI/UX에 직접 미치는 영향은 적음.</t>
  </si>
  <si>
    <t>컴포넌트간 직접 호출로 공격 접점이 적음.</t>
  </si>
  <si>
    <t>입출력이 명확하여 단위 테스트가 용이하다.</t>
  </si>
  <si>
    <t>여러 Slave가 병렬로 실행되므로 타이밍 문제, 레이스 조건(Race Condition), 데드락(Deadlock) 등 실행 시점마다 달라지는 비동기적 결함을 테스트하고 재현하기 어려움</t>
  </si>
  <si>
    <t>프로그램 내부 제어 구조이므로 직접적인 영향은 거의 없다.</t>
  </si>
  <si>
    <t xml:space="preserve">SOA는 서비스 격리로 가용성이 높으나 ESB 등 중앙 구성요소가 Single Point of Failure(SPOF)가 될 수 있음. </t>
  </si>
  <si>
    <t>Microservices는 완전 분산 및 격리로 한 서비스 장애가 전면 장애로 전이되지 않음.</t>
  </si>
  <si>
    <t>SOA는 모놀리식과 분산의 중간 단계로 배포 의존성이 남아있음.</t>
  </si>
  <si>
    <t xml:space="preserve"> Microservices는 CI/CD 기반 독자 배포 단위(Independent Deployability)가 극대화됨.</t>
  </si>
  <si>
    <t xml:space="preserve">SOA는 Enterprise Service Bus(ESB) 및 표준 프로토콜 기반으로 이종 시스템 간 통합에 매우 강함. </t>
  </si>
  <si>
    <t xml:space="preserve">특정 계층 장애가 전체 서비스에 부정적인 영향을 미칠 수 있다. </t>
  </si>
  <si>
    <t>Microservices는 경량 API(REST/gRPC) 위주라 개별 통합은 용이하나 오케스트레이션이 복잡함.</t>
  </si>
  <si>
    <t xml:space="preserve">분산 환경 특성상 네트워킹 및 중복 프로세스로 인해 단일 아키텍처 대비 에너지 소모가 큼. </t>
  </si>
  <si>
    <t>Microservices가 인스턴스 수가 훨씬 많아 네트워크 Overhead가 더 큼.</t>
  </si>
  <si>
    <t>SOA는 서비스 단위 수정이 가능하지만 ESB/엔터프라이즈 데이터 모델 수정에 제약이 있음..</t>
  </si>
  <si>
    <t xml:space="preserve"> Microservices는 캡슐화가 완벽하여 독립적 변경/확장이 최고 수준임</t>
  </si>
  <si>
    <t>원격 호출(RPC/HTTP) 및 Serialization 비용 발생.</t>
  </si>
  <si>
    <t>계층이 분리되어있으므로 특정 계층 독립적으로 배포 가능하다.</t>
  </si>
  <si>
    <t xml:space="preserve"> Microservices는 서비스 간 잦은 Network Hop과 분산 트랜잭션 처리 문제로 Latency 영향이 더 큼.</t>
  </si>
  <si>
    <t>아키텍처 스타일 자체보다는 도메인 및 하드웨어 연동/제어 로직에 국한됨.</t>
  </si>
  <si>
    <t>명확한 계층 인터페이스로 인하여 외부 모듈의 연동이 수월하다.</t>
  </si>
  <si>
    <t>SOA는 중앙(ESB/Gateway)에서 통제 및 보안 정책 적용이 용이함.</t>
  </si>
  <si>
    <t xml:space="preserve"> Microservices는 공격 접점(Attack Surface)이 넓어지고 API Endpoints 관리 및 Zero-Trust 적용 난이도가 상승함.</t>
  </si>
  <si>
    <t xml:space="preserve">분산 환경 테스트는 복잡함. </t>
  </si>
  <si>
    <t>여러 계층을 통과하는 과정에서 호출 및 데이터 변환에 의한 오버헤드가 발생한다.</t>
  </si>
  <si>
    <t>Microservices는 서비스 수 증대, 서비스 간 비동기 통신, 분산 데이터베이스로 인해 End-to-End 및 통합 테스트 난이도가 매우 높음.</t>
  </si>
  <si>
    <t>백엔드 구조적 스타일이므로 End-User Usability에는 직접적인 영향을 미치지 않음.</t>
  </si>
  <si>
    <t>특정 계층에 변경을 국소화할 수 있으므로 상위 계층에 대한 파급이 적을 수 있다.</t>
  </si>
  <si>
    <t>계층 누적에 따른 오버헤드 발생</t>
  </si>
  <si>
    <t>하위 계층에만 결합되어 있어 변경/장애의 확산을 일부 제한할 수 있으나, 최하위 핵심 계층(예: DB/Infra Layer)에 오류가 발생하면 상위 계층 전체에 영향을 줄 수 있어 제어 범위가 제한적임.</t>
  </si>
  <si>
    <t>Availability: 컨테이너 오케스트레이션(예: Kubernetes)을 통한 자동 재시작(Auto-restart) 및 헬스 체크로 빠른 복구 및 가용성 향상이 가능합니다.</t>
  </si>
  <si>
    <t>layer별 private정보를 다른 layer에서 확인 어렵기 때문에 security 좋음</t>
  </si>
  <si>
    <t>멀티 AZ(가용 영역) 및 글로벌 리전 기반의 자동 장애 조치(Failover)와 리던던시 구성으로 최고 수준의 가용성을 제공합니다.</t>
  </si>
  <si>
    <t>중앙 클라우드 네트워크가 끊겨도 로컬 디바이스 독립 처리를 통해 서비스 연속성을 유지합니다.</t>
  </si>
  <si>
    <t>독립된 layer별 test에 용이</t>
  </si>
  <si>
    <t>애플리케이션과 실행 환경을 일관되게 패키징(Immutability)하여 개발, 테스트, 운영 환경 간의 배포 불일치를 제거하고 빠른 배포를 지원합니다.</t>
  </si>
  <si>
    <t>Layered 패턴은 시스템의 내부 책임 분리와 소프트웨어 구조화에 초점을 맞추므로, 엔드 유저의 UI/UX 반응성이나 사용성에 직접적인 긍정/부정적 영향을 미치지 않음</t>
  </si>
  <si>
    <t>IaC(Code 기반 인프라) 및 Cloud-native CI/CD 파이프라인을 통해 인프라 프로비저닝과 소프트웨어 배포를 즉시 자동화할 수 있습니다</t>
  </si>
  <si>
    <t>지리적으로 분산된 수많은 이종 에지 디바이스로의 펌웨어/소프트웨어 원격 배포 및 롤백 관리가 매우 복잡합니다.</t>
  </si>
  <si>
    <t>표준화된 컨테이너 이미지를 활용하여 이종 애플리케이션 및 마이크로서비스 간의 표준 이식성 및 연결 편의성이 증가합니다.</t>
  </si>
  <si>
    <t>풍부한 매니지드 SaaS/PaaS API, 이벤트 버스, 사전 빌드된 커넥터를 활용해 외부 시스템과의 통합이 매우 용이합니다.</t>
  </si>
  <si>
    <t>다양한 레거시 파편화 프로토콜(IoT, 산업용 현장 버스 등) 및 제한된 하드웨어 스펙으로 인해 통합 난이도가 높습니다</t>
  </si>
  <si>
    <t>기존 가상 머신(VM)과 달리 게스트 OS 오버헤드가 없어 동일 하드웨어 대비 서버 자원 및 전력 사용 효율이 극대화됩니다</t>
  </si>
  <si>
    <t>하이퍼스케일 데이터센터 자원의 상시 운용 및 원격 데이터 전송으로 인한 네트워크 오버헤드로 절대적 에너지 소모가 큽니다.</t>
  </si>
  <si>
    <t>현장에서 데이터를 초기에 처리·필터링하여 원격 데이터 전송 전력을 대폭 줄이고 초저전력 디바이스 활용이 가능합니다.</t>
  </si>
  <si>
    <t>각 서비스 및 라이브러리 의존성이 컨테이너 내부로 격리되어 있어, 외부 환경 변화에 따른 코드 수정 및 버전 업데이트가 용이합니다.</t>
  </si>
  <si>
    <t>Tier가 증가할 수록 위험성이 증가하여 관리 요소가 늘어날 수 있음.</t>
  </si>
  <si>
    <t>온디맨드 인프라 확장성 및 매니지드 서비스를 통해 아키텍처 구조 변경 및 스케일 업/아웃을 유연하게 처리할 수 있습니다.</t>
  </si>
  <si>
    <t>서버가 단일 실패점이 될 수 있어 서버 장애 시 전체 시스템 중단될 수 있다.</t>
  </si>
  <si>
    <t>하드웨어 스펙의 제약 및 펌웨어 밀집 연동 구조로 인해 소프트웨어 기능 변경 및 리팩토링에 제약이 큽니다.</t>
  </si>
  <si>
    <t>각 Tier별 기능이 나누어져 있으므로 Tier에 해당하는 시스템의 단독 배포가 용이하다.</t>
  </si>
  <si>
    <t>OS 커널을 직접 공유하는 경량화 구조로, 구동 시간이 수 초 이내로 빠르고 프로세스 실행 오버헤드가 최소화됩니다.</t>
  </si>
  <si>
    <t>클라이언트와 서버를 각각 독립적으로 배포가 가능하다.</t>
  </si>
  <si>
    <t>오토스케일링 및 고성능 컴퓨팅 인스턴스를 활용해 트래픽 폭주 시에도 유연하게 대응하고 성능을 유지합니다.</t>
  </si>
  <si>
    <t>Client–Server에서 클라이언트 업데이트가 필요해지는 순간,  ‘사용자 디바이스 전체’로 확장되어 급격히 악화된다.(--)
 서버 중심의 배포는 비교적 단순하다(+)</t>
  </si>
  <si>
    <t>데이터 발생지 바로 인근에서 실시간 처리하여 네트워크 전송 지연을 완벽히 줄이고 초저지연(Ultra-low Latency)을 달성합니다.</t>
  </si>
  <si>
    <t>Tier마다 서로 다른 기능 및 책임을 부여하여 외부 서비스의 확장에 용이하다.</t>
  </si>
  <si>
    <t>서버가 API를 제공한다면 표준화된 요청-응답 구조로 클라이언트를 연결하기 쉽다.</t>
  </si>
  <si>
    <t>프로세스 수준의 격리는 제공하지만 호스트 커널을 공유하므로 결함 파급 차단 측면에서 기능적 안전성에 주는 영향은 중립적입니다.</t>
  </si>
  <si>
    <t>클라우드 사업자의 SLA에 의존하며, 물리적 하드웨어 제어가 불가능하여 실시간 현장 안전 제어에는 한계가 있습니다.</t>
  </si>
  <si>
    <t>여러 서버 tier를 유지해야 하며, middle tier의 다중화가 적용된다면 Energy 소모량이 많아진다.</t>
  </si>
  <si>
    <t>네트워크 지연이나 단절 없이 로컬 차원에서 즉각적인 제어 및 셧다운을 수행할 수 있어 물리적 현장 안전 확보에 최적입니다.</t>
  </si>
  <si>
    <t>많은 client가 고성능 server에 접근할 때 자원을 효과적으로 사용한다.</t>
  </si>
  <si>
    <t>각 Tier간 책임이 분산되어 있으므로 재사용성이 높고 수정에 용이하다.</t>
  </si>
  <si>
    <t>호스트 커널 공유 구조로 인한 보안 취약점 전파 가능성 및 Base 이미지 내 취약점 지속 관리 부담이 존재합니다.</t>
  </si>
  <si>
    <t>UI표현과  business logic 처리 같은 책임이 분리되어 있고 서버 컴포넌트 재사용할 수 있다.</t>
  </si>
  <si>
    <t>클라우드 벤더의 고도화된 IAM, 암호화, 보안 규정 준수 기능을 활용할 수 있으나, 설정 오류에 따른 위험은 잔존합니다.</t>
  </si>
  <si>
    <t>장치가 현장에 물리적으로 노출되어 있어 도난, 분실, 물리적 접근 공격 및 엔드포인트 탈취 위험에 극도로 취약합니다.</t>
  </si>
  <si>
    <t>Multithread, 다중화를 시키는 것으로 Performance의 확장이 가능하나, tier간 통신에 의한 O/H, tier가 너무 많아지면 추가로 O/H가 증가할 위험성이 있다.</t>
  </si>
  <si>
    <t>동시성과 확정성의 가능성이 있으나 서버가 bottleneck이 될 수 있다.</t>
  </si>
  <si>
    <t>개발자의 로컬 환경 및 CI 파이프라인에서 실제 운영 환경과 100% 동일한 컨테이너 환경을 즉시 재현하여 테스트할 수 있습니다.</t>
  </si>
  <si>
    <t>필요할 때만 일회성 테스트 인프라(Ephemeral Environment)를 동적으로 생성하고 폐기할 수 있어 테스트 유연성이 높습니다.</t>
  </si>
  <si>
    <t>Tier 분리를 통해 오류를 검증·격리할 수 있어 Safety에 긍정적이지만, Tier가 많아지거나 계층 간 장애 전파 가능성이 존재할 경우 상쇄된다.</t>
  </si>
  <si>
    <t>서버와 클라이언트가 분리되어 있어 장애의 직접적인 전파 및 영향 범위를 제한할 수 있다.</t>
  </si>
  <si>
    <t>다양한 물리 현장의 필드 하드웨어 환경 및 간헐적 네트워크 불안정 상태를 개발/테스트 환경에서 재현하기가 매우 어렵습니다.</t>
  </si>
  <si>
    <t>Tier들 간 security 권한, data access를 따로 부여하는 것으로 보안 위험을 줄일 수 있다.</t>
  </si>
  <si>
    <t>배포 및 패키징 기술로서 엔드유저의 인터페이스 및 사용성에는 직접적인 영향을 미치지 않습니다.</t>
  </si>
  <si>
    <t>Network를 통한 통신이 필요하기 때문에 보안 취약점이 존재한다.</t>
  </si>
  <si>
    <t>CDN 및 글로벌 엣지 로케이션 배포를 통해 사용자에게 최적의 응답 속도를 제공함으로써 사용자 경험을 대폭 향상시킵니다.</t>
  </si>
  <si>
    <t>분산된 환경을 고려한 test도구가 필요하며, 각 물리적 tier의 특성을 고려해야 하기 때문에 통합 testability가 떨어짐</t>
  </si>
  <si>
    <t>네트워크 연결 없이도 즉각적인 응답 속도를 보장하고 오프라인 동작을 지원하여 특정 현장 사용성을 높입니다.</t>
  </si>
  <si>
    <t>서버의 설정을 모두 고려해야 하기 때문에 test용이성이 떨어짐</t>
  </si>
  <si>
    <t>Presentation tier가 존재한다면, User experience 향상을 위한 다양한 지원 기능을 추가할 수 있다. 그러나 해당 tier가 없을 경우 아키텍쳐적인 이득은 없다.</t>
  </si>
  <si>
    <t>Server나 Broker에 장애가 발생하면 이에 의존하는 모든 application이 중단될 수 있다.</t>
  </si>
  <si>
    <t>네트워크나 서버 장애 시 다른 머신에서 새 서버를 활성화할 수 있다.</t>
  </si>
  <si>
    <t xml:space="preserve">Dispatcher의 장애는 전체 시스템이 정상적인 동작을 방해한다. (-)
  -&gt; Broker 보다 이중화의 방식이 복잡하다(이미 연결된 세션의 복구가 필요해짐) </t>
  </si>
  <si>
    <t>간접 계층이 OS와 네트워크 세부 사항을 Client와 Server로부터 숨겨, 다른 운영 환경으로 시스템을 이식하고 배포하기 용이하다.</t>
  </si>
  <si>
    <t>어떤 서버를 어디에 둘지 시작 시점 또는 이후에 결정할 수 있고, 서버를 dispatcher·client 수정 없이 추가·변경할 수 있다.</t>
  </si>
  <si>
    <t>Broker가 위치·통신 세부사항을 중개하여 이기종 서비스 연결이 용이하다.</t>
  </si>
  <si>
    <t>서버 교환성(exchangeability of servers), 위치·이관 투명성(location and migration transparency)으로 서버를 다른 머신으로 동적 이주할 수 있다.</t>
  </si>
  <si>
    <t>Proxy 및 Broker를 거치는 간접 호출 단계가 많아 자원 소모가 크다.</t>
  </si>
  <si>
    <t>dispatcher를 거치는 오버헤드(dispatcher overhead)가 있다.</t>
  </si>
  <si>
    <t>Component를 교체하거나 기능을 추가할 때 다른 컴포넌트에 미치는 영향이 적어 runtime changes가 가능하다.</t>
  </si>
  <si>
    <t>서버를 dispatcher나 client 수정 없이 추가·변경할 수 있지만, Dispatcher interface 변경은 어렵다</t>
  </si>
  <si>
    <t>Proxy와 Broker를 거치는 간접 호출 때문에  비효율성이 크고 응답 지연이 발생한다.</t>
  </si>
  <si>
    <t>dispatcher 오버헤드가 있다.</t>
  </si>
  <si>
    <t>특정 Server나 Broker 의 장애가 연쇄 중단으로 이어질 위험이 존재한다.</t>
  </si>
  <si>
    <t>Bridge 및 분산 통신 경로로 인해 Component의 보안 검증과 정책 적용이 복잡하다.</t>
  </si>
  <si>
    <t>단일 진입점에 인증/권한/라우팅 제한을 적용하기 쉬우나 Dispatcher 인터페이스 단일점에 대한 관리 포인트가 존재</t>
  </si>
  <si>
    <t>여러 Component 간 상호작용을 확인해야 하므로 결함 발견과 원인 추적이 어렵다.</t>
  </si>
  <si>
    <t>서비스 중개 구조 자체는 사용자 조작 편의성을 결정하지 않는다.</t>
  </si>
  <si>
    <t xml:space="preserve">오케스트레이션 의존성은 추가되나 각 서비스를 격리하기 때문에 부하가 분산되어 availability가 높다. </t>
  </si>
  <si>
    <t>서비스가 독립적일 경우, 하나의 장애가 전체를 멈추지 않음</t>
  </si>
  <si>
    <t>서비스 단위 배포는 가능하나 Intermediary에 관한 영향을 고려해야 한다.</t>
  </si>
  <si>
    <t>독립배포로 bugfix,release,roll back이 쉬움</t>
  </si>
  <si>
    <t>기술적으로 어떤 client 나 서비스든 platform, 기술, vendor, 언어와 무관하게 다른 서비스에 접근할 수 있다</t>
  </si>
  <si>
    <t>코드, data store 비공유로 의존성 최소화</t>
  </si>
  <si>
    <t xml:space="preserve">중개 기능과 분산 환경으로 인해 에너지 소모가 크다. </t>
  </si>
  <si>
    <t>서비스 수에 비례하여 overhead커짐</t>
  </si>
  <si>
    <t>각 서비스 component가 독립적이므로 공개된 interface만 바뀌지 않는다면 서비스 구현 변경이 application에 영향을 주지 않는다.</t>
  </si>
  <si>
    <t>서비스별 독립적이여서 수정에 용이함</t>
  </si>
  <si>
    <t xml:space="preserve">세분화된 원격 호출과 서비스 조합으로 인해 비용이 발생한다. </t>
  </si>
  <si>
    <t>서비스간 통신 증가로 latency증가</t>
  </si>
  <si>
    <t xml:space="preserve">서비스 경계로 나누어져 있어 잘못된 동작의 통제가 용이하다. </t>
  </si>
  <si>
    <t>독립적인 시스템으로 하나의 서비스에 문제가 되더라도 타 서비스에 영향이 적음</t>
  </si>
  <si>
    <t xml:space="preserve">중앙에서 보안 정책 적용이 용이하나 gateway에 대한 보안 위험성이 존재한다. </t>
  </si>
  <si>
    <t>각 서비스마다 data가 isolation되어 있으므로 위험이 분산된다</t>
  </si>
  <si>
    <t xml:space="preserve">분산 환경에 대한 통합 테스트 구성의 복잡도가 증가한다. </t>
  </si>
  <si>
    <t>서비스 의존성으로 테스트 어려움</t>
  </si>
  <si>
    <t xml:space="preserve">백엔드 구조 스타일로 End-User Usability에 대한 직접적 영향이 없다. </t>
  </si>
  <si>
    <t>사용자가  원하는 Microservier만을 사용하여 원하는 뷰를 구성하기에 용이하다.
(Microfrontend)</t>
  </si>
  <si>
    <t>중앙 site가 멈춰도 지역 site에서 독립운영하여 가용성을 높일 수 있음, edge node가 1개로 구성시 가용성이 낮아질 수 있음</t>
  </si>
  <si>
    <t>지리적으로 분산된 edge별 환경 및 버전 차이로 런타임 시 배포에 어려울 수 있음</t>
  </si>
  <si>
    <t>다양한 레거시 파편화 프로토콜(IoT, 산업용 현장 버스 등) 및 제한된 하드웨어 스펙으로 인해 통합 난이도가 높음</t>
  </si>
  <si>
    <t>현장에서 데이터 처리 후 필터링하여 전달하기에 효율 높으나, 별도의 조건 없이 항시 데이터 처리가 필요하여 효율 떨어질수 있어 0</t>
  </si>
  <si>
    <t>edge별 환경 및 버전 차이로 수정에 어려울 수 있음</t>
  </si>
  <si>
    <t>단계별 레리어 규약이 시스템 종속적이어서 시스템간 연동이 어렵다
 (Layer 개념으로 보면 하위 의존성이 존재)</t>
  </si>
  <si>
    <t>분석용 자원을 최종 사용자 가까이에 두기에 속도 측면 좋음</t>
  </si>
  <si>
    <t>로컬에서 즉각적인 대응 가능하여 safety 높음</t>
  </si>
  <si>
    <t>많은 데이터가 core 밖에서 처리되어 유출, 도난 침해 가능</t>
  </si>
  <si>
    <t>[+] 교안: 프라이버시 — 데이터를 엣지에 두어 수집 데이터의 소유권을 서비스 제공자에서 최종 사용자로 옮길 수 있다.
 [-] 보안 — 코어 밖에서 처리되는 데이터가 늘어 유출·도난·침해 위험이 크게 증가한다.</t>
  </si>
  <si>
    <t>각 edge별 test는 용이하나 중앙과 연결된 전체 test시 복잡해짐</t>
  </si>
  <si>
    <t>실제 네트워크/센서/현장 조건 재현이 어렵고 디바이스 다양성 때문에 테스트 가 복잡해짐</t>
  </si>
  <si>
    <t>연관성 없다고 판단</t>
  </si>
  <si>
    <t>지연 감소와 오프라인/로컬 연속성으로 반응성·끊김 없는 경험을 제공해 UX 개선 효과가 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</si>
</sst>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돋움"/>
    </font>
    <font>
      <b/>
      <sz val="11.0"/>
      <color rgb="FFFFFFFF"/>
      <name val="Calibri"/>
    </font>
    <font/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color rgb="FF000000"/>
      <name val="Calibri"/>
      <scheme val="minor"/>
    </font>
    <font>
      <color rgb="FF000000"/>
      <name val="Calibri"/>
      <scheme val="minor"/>
    </font>
    <font>
      <sz val="11.0"/>
      <color rgb="FFFFFFFF"/>
      <name val="Calibri"/>
    </font>
    <font>
      <sz val="11.0"/>
      <color theme="1"/>
      <name val="Arial"/>
    </font>
    <font>
      <sz val="11.0"/>
      <color theme="1"/>
      <name val="Malgun Gothic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Calibri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5" fillId="0" fontId="4" numFmtId="0" xfId="0" applyBorder="1" applyFont="1"/>
    <xf borderId="6" fillId="3" fontId="3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shrinkToFit="0" vertical="center" wrapText="1"/>
    </xf>
    <xf borderId="6" fillId="4" fontId="6" numFmtId="49" xfId="0" applyAlignment="1" applyBorder="1" applyFill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left" vertical="center"/>
    </xf>
    <xf borderId="6" fillId="0" fontId="7" numFmtId="49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vertical="center"/>
    </xf>
    <xf borderId="6" fillId="0" fontId="7" numFmtId="49" xfId="0" applyAlignment="1" applyBorder="1" applyFont="1" applyNumberFormat="1">
      <alignment horizontal="center" shrinkToFit="0" vertical="center" wrapText="1"/>
    </xf>
    <xf borderId="6" fillId="0" fontId="7" numFmtId="49" xfId="0" applyAlignment="1" applyBorder="1" applyFont="1" applyNumberFormat="1">
      <alignment horizontal="left" vertical="center"/>
    </xf>
    <xf borderId="6" fillId="0" fontId="7" numFmtId="49" xfId="0" applyAlignment="1" applyBorder="1" applyFont="1" applyNumberFormat="1">
      <alignment horizontal="left" shrinkToFit="0" vertical="center" wrapText="1"/>
    </xf>
    <xf borderId="6" fillId="0" fontId="7" numFmtId="49" xfId="0" applyAlignment="1" applyBorder="1" applyFont="1" applyNumberFormat="1">
      <alignment horizontal="center" readingOrder="0" vertical="center"/>
    </xf>
    <xf borderId="6" fillId="0" fontId="7" numFmtId="49" xfId="0" applyAlignment="1" applyBorder="1" applyFont="1" applyNumberFormat="1">
      <alignment horizontal="left" readingOrder="0" vertical="center"/>
    </xf>
    <xf quotePrefix="1" borderId="6" fillId="0" fontId="7" numFmtId="49" xfId="0" applyAlignment="1" applyBorder="1" applyFont="1" applyNumberFormat="1">
      <alignment horizontal="center" readingOrder="0" vertical="center"/>
    </xf>
    <xf borderId="6" fillId="0" fontId="7" numFmtId="49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6" fillId="0" fontId="7" numFmtId="49" xfId="0" applyAlignment="1" applyBorder="1" applyFont="1" applyNumberFormat="1">
      <alignment horizontal="left" readingOrder="0" shrinkToFit="0" vertical="center" wrapText="1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6" fillId="5" fontId="7" numFmtId="49" xfId="0" applyAlignment="1" applyBorder="1" applyFill="1" applyFont="1" applyNumberFormat="1">
      <alignment horizontal="center" vertical="center"/>
    </xf>
    <xf borderId="6" fillId="5" fontId="7" numFmtId="0" xfId="0" applyAlignment="1" applyBorder="1" applyFill="1" applyFont="1">
      <alignment horizontal="left" vertical="center"/>
    </xf>
    <xf borderId="6" fillId="5" fontId="7" numFmtId="49" xfId="0" applyAlignment="1" applyBorder="1" applyFill="1" applyFont="1" applyNumberFormat="1">
      <alignment horizontal="left" vertical="center"/>
    </xf>
    <xf borderId="6" fillId="5" fontId="7" numFmtId="0" xfId="0" applyAlignment="1" applyBorder="1" applyFill="1" applyFont="1">
      <alignment horizontal="left" shrinkToFit="0" vertical="center" wrapText="1"/>
    </xf>
    <xf borderId="6" fillId="5" fontId="7" numFmtId="49" xfId="0" applyAlignment="1" applyBorder="1" applyFill="1" applyFont="1" applyNumberFormat="1">
      <alignment horizontal="left" shrinkToFit="0" vertical="center" wrapText="1"/>
    </xf>
    <xf borderId="0" fillId="0" fontId="8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readingOrder="0" vertical="bottom"/>
    </xf>
    <xf borderId="6" fillId="0" fontId="7" numFmtId="0" xfId="0" applyAlignment="1" applyBorder="1" applyFont="1">
      <alignment horizontal="left" readingOrder="0" vertical="center"/>
    </xf>
    <xf borderId="6" fillId="4" fontId="6" numFmtId="49" xfId="0" applyAlignment="1" applyBorder="1" applyFill="1" applyFont="1" applyNumberFormat="1">
      <alignment horizontal="center" vertical="center"/>
    </xf>
    <xf borderId="6" fillId="0" fontId="1" numFmtId="0" xfId="0" applyAlignment="1" applyBorder="1" applyFont="1">
      <alignment vertical="center"/>
    </xf>
    <xf borderId="6" fillId="0" fontId="7" numFmtId="49" xfId="0" applyAlignment="1" applyBorder="1" applyFont="1" applyNumberFormat="1">
      <alignment vertical="center"/>
    </xf>
    <xf borderId="6" fillId="0" fontId="7" numFmtId="0" xfId="0" applyAlignment="1" applyBorder="1" applyFont="1">
      <alignment vertical="center"/>
    </xf>
    <xf borderId="6" fillId="5" fontId="7" numFmtId="49" xfId="0" applyAlignment="1" applyBorder="1" applyFill="1" applyFont="1" applyNumberFormat="1">
      <alignment vertical="center"/>
    </xf>
    <xf borderId="7" fillId="3" fontId="3" numFmtId="0" xfId="0" applyAlignment="1" applyBorder="1" applyFill="1" applyFont="1">
      <alignment horizontal="center"/>
    </xf>
    <xf borderId="8" fillId="3" fontId="3" numFmtId="0" xfId="0" applyAlignment="1" applyBorder="1" applyFill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" fillId="3" fontId="3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1" fillId="0" fontId="7" numFmtId="0" xfId="0" applyBorder="1" applyFont="1"/>
    <xf borderId="8" fillId="3" fontId="10" numFmtId="0" xfId="0" applyAlignment="1" applyBorder="1" applyFill="1" applyFont="1">
      <alignment horizontal="center"/>
    </xf>
    <xf borderId="1" fillId="0" fontId="7" numFmtId="0" xfId="0" applyAlignment="1" applyBorder="1" applyFont="1">
      <alignment readingOrder="0"/>
    </xf>
    <xf borderId="7" fillId="5" fontId="11" numFmtId="0" xfId="0" applyAlignment="1" applyBorder="1" applyFill="1" applyFont="1">
      <alignment horizontal="center" shrinkToFit="0" wrapText="1"/>
    </xf>
    <xf borderId="8" fillId="5" fontId="11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1" fillId="0" fontId="12" numFmtId="49" xfId="0" applyAlignment="1" applyBorder="1" applyFont="1" applyNumberFormat="1">
      <alignment horizontal="center" shrinkToFit="0" wrapText="1"/>
    </xf>
    <xf borderId="1" fillId="0" fontId="12" numFmtId="49" xfId="0" applyAlignment="1" applyBorder="1" applyFont="1" applyNumberFormat="1">
      <alignment shrinkToFit="0" wrapText="1"/>
    </xf>
    <xf borderId="0" fillId="0" fontId="11" numFmtId="0" xfId="0" applyAlignment="1" applyFont="1">
      <alignment shrinkToFit="0" wrapText="1"/>
    </xf>
    <xf borderId="1" fillId="0" fontId="11" numFmtId="49" xfId="0" applyAlignment="1" applyBorder="1" applyFont="1" applyNumberFormat="1">
      <alignment shrinkToFit="0" wrapText="1"/>
    </xf>
    <xf borderId="0" fillId="0" fontId="7" numFmtId="0" xfId="0" applyFont="1"/>
    <xf borderId="11" fillId="5" fontId="11" numFmtId="0" xfId="0" applyAlignment="1" applyBorder="1" applyFill="1" applyFont="1">
      <alignment horizontal="center" shrinkToFit="0" wrapText="1"/>
    </xf>
    <xf borderId="12" fillId="5" fontId="7" numFmtId="0" xfId="0" applyBorder="1" applyFill="1" applyFont="1"/>
    <xf borderId="13" fillId="0" fontId="1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14" fillId="5" fontId="7" numFmtId="0" xfId="0" applyBorder="1" applyFill="1" applyFont="1"/>
    <xf borderId="0" fillId="0" fontId="12" numFmtId="0" xfId="0" applyFont="1"/>
    <xf borderId="0" fillId="0" fontId="12" numFmtId="49" xfId="0" applyFont="1" applyNumberFormat="1"/>
    <xf borderId="15" fillId="5" fontId="11" numFmtId="0" xfId="0" applyAlignment="1" applyBorder="1" applyFill="1" applyFont="1">
      <alignment horizontal="center" shrinkToFit="0" wrapText="1"/>
    </xf>
    <xf borderId="0" fillId="0" fontId="7" numFmtId="49" xfId="0" applyFont="1" applyNumberFormat="1"/>
    <xf borderId="1" fillId="6" fontId="1" numFmtId="49" xfId="0" applyAlignment="1" applyBorder="1" applyFill="1" applyFont="1" applyNumberFormat="1">
      <alignment horizontal="center" readingOrder="0" shrinkToFit="0" wrapText="0"/>
    </xf>
    <xf borderId="1" fillId="6" fontId="1" numFmtId="0" xfId="0" applyAlignment="1" applyBorder="1" applyFill="1" applyFont="1">
      <alignment readingOrder="0"/>
    </xf>
    <xf quotePrefix="1" borderId="1" fillId="6" fontId="1" numFmtId="49" xfId="0" applyAlignment="1" applyBorder="1" applyFill="1" applyFont="1" applyNumberFormat="1">
      <alignment horizontal="center" readingOrder="0" shrinkToFit="0" wrapText="0"/>
    </xf>
    <xf borderId="0" fillId="6" fontId="1" numFmtId="0" xfId="0" applyAlignment="1" applyFill="1" applyFont="1">
      <alignment readingOrder="0"/>
    </xf>
    <xf borderId="8" fillId="5" fontId="11" numFmtId="49" xfId="0" applyAlignment="1" applyBorder="1" applyFill="1" applyFont="1" applyNumberFormat="1">
      <alignment horizontal="center" shrinkToFit="0" wrapText="1"/>
    </xf>
    <xf borderId="1" fillId="0" fontId="11" numFmtId="49" xfId="0" applyAlignment="1" applyBorder="1" applyFont="1" applyNumberFormat="1">
      <alignment horizontal="center" shrinkToFit="0" wrapText="1"/>
    </xf>
    <xf borderId="15" fillId="5" fontId="11" numFmtId="49" xfId="0" applyAlignment="1" applyBorder="1" applyFill="1" applyFont="1" applyNumberFormat="1">
      <alignment horizontal="center" shrinkToFit="0" wrapText="1"/>
    </xf>
    <xf borderId="13" fillId="0" fontId="11" numFmtId="49" xfId="0" applyAlignment="1" applyBorder="1" applyFont="1" applyNumberFormat="1">
      <alignment horizontal="center" shrinkToFit="0" wrapText="1"/>
    </xf>
    <xf borderId="1" fillId="7" fontId="7" numFmtId="49" xfId="0" applyAlignment="1" applyBorder="1" applyFill="1" applyFont="1" applyNumberFormat="1">
      <alignment readingOrder="0"/>
    </xf>
    <xf borderId="1" fillId="7" fontId="7" numFmtId="0" xfId="0" applyAlignment="1" applyBorder="1" applyFill="1" applyFont="1">
      <alignment readingOrder="0"/>
    </xf>
    <xf quotePrefix="1" borderId="1" fillId="7" fontId="7" numFmtId="49" xfId="0" applyAlignment="1" applyBorder="1" applyFill="1" applyFont="1" applyNumberFormat="1">
      <alignment readingOrder="0"/>
    </xf>
    <xf borderId="0" fillId="6" fontId="5" numFmtId="0" xfId="0" applyAlignment="1" applyFill="1" applyFont="1">
      <alignment horizontal="center" readingOrder="0"/>
    </xf>
    <xf borderId="0" fillId="6" fontId="5" numFmtId="0" xfId="0" applyFill="1" applyFont="1"/>
    <xf borderId="16" fillId="0" fontId="7" numFmtId="0" xfId="0" applyBorder="1" applyFont="1"/>
    <xf borderId="17" fillId="7" fontId="7" numFmtId="0" xfId="0" applyAlignment="1" applyBorder="1" applyFill="1" applyFont="1">
      <alignment readingOrder="0"/>
    </xf>
    <xf borderId="1" fillId="7" fontId="7" numFmtId="49" xfId="0" applyBorder="1" applyFill="1" applyFont="1" applyNumberFormat="1"/>
    <xf borderId="1" fillId="5" fontId="7" numFmtId="0" xfId="0" applyAlignment="1" applyBorder="1" applyFill="1" applyFont="1">
      <alignment readingOrder="0"/>
    </xf>
    <xf borderId="0" fillId="0" fontId="13" numFmtId="0" xfId="0" applyAlignment="1" applyFont="1">
      <alignment readingOrder="0"/>
    </xf>
    <xf borderId="1" fillId="5" fontId="1" numFmtId="0" xfId="0" applyAlignment="1" applyBorder="1" applyFill="1" applyFont="1">
      <alignment readingOrder="0"/>
    </xf>
    <xf borderId="0" fillId="0" fontId="14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0" fontId="14" numFmtId="0" xfId="0" applyFont="1"/>
    <xf borderId="0" fillId="0" fontId="7" numFmtId="0" xfId="0" applyAlignment="1" applyFont="1">
      <alignment readingOrder="0"/>
    </xf>
    <xf borderId="6" fillId="5" fontId="7" numFmtId="49" xfId="0" applyAlignment="1" applyBorder="1" applyFill="1" applyFont="1" applyNumberFormat="1">
      <alignment horizontal="left" readingOrder="0" vertical="center"/>
    </xf>
    <xf borderId="6" fillId="5" fontId="1" numFmtId="0" xfId="0" applyAlignment="1" applyBorder="1" applyFill="1" applyFont="1">
      <alignment horizontal="left" readingOrder="0" vertical="center"/>
    </xf>
    <xf borderId="1" fillId="6" fontId="1" numFmtId="49" xfId="0" applyAlignment="1" applyBorder="1" applyFill="1" applyFont="1" applyNumberFormat="1">
      <alignment readingOrder="0" shrinkToFit="0" vertical="bottom" wrapText="0"/>
    </xf>
    <xf borderId="6" fillId="5" fontId="7" numFmtId="49" xfId="0" applyAlignment="1" applyBorder="1" applyFill="1" applyFont="1" applyNumberFormat="1">
      <alignment horizontal="left" readingOrder="0" shrinkToFit="0" vertical="center" wrapText="1"/>
    </xf>
    <xf borderId="1" fillId="6" fontId="1" numFmtId="0" xfId="0" applyAlignment="1" applyBorder="1" applyFill="1" applyFont="1">
      <alignment readingOrder="0" vertical="top"/>
    </xf>
    <xf quotePrefix="1" borderId="1" fillId="6" fontId="1" numFmtId="49" xfId="0" applyAlignment="1" applyBorder="1" applyFill="1" applyFont="1" applyNumberFormat="1">
      <alignment readingOrder="0" shrinkToFit="0" vertical="bottom" wrapText="0"/>
    </xf>
    <xf borderId="1" fillId="7" fontId="7" numFmtId="0" xfId="0" applyBorder="1" applyFill="1" applyFont="1"/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17" fillId="7" fontId="7" numFmtId="0" xfId="0" applyBorder="1" applyFill="1" applyFont="1"/>
    <xf borderId="0" fillId="0" fontId="16" numFmtId="0" xfId="0" applyAlignment="1" applyFont="1">
      <alignment vertical="bottom"/>
    </xf>
    <xf quotePrefix="1" borderId="1" fillId="5" fontId="7" numFmtId="49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22.0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11</v>
      </c>
      <c r="B6" s="4" t="s">
        <v>12</v>
      </c>
    </row>
    <row r="7">
      <c r="A7" s="3" t="s">
        <v>15</v>
      </c>
      <c r="B7" s="4" t="s">
        <v>16</v>
      </c>
    </row>
    <row r="8">
      <c r="A8" s="3" t="s">
        <v>17</v>
      </c>
      <c r="B8" s="4" t="s">
        <v>19</v>
      </c>
    </row>
    <row r="9">
      <c r="A9" s="3" t="s">
        <v>20</v>
      </c>
      <c r="B9" s="4" t="s">
        <v>21</v>
      </c>
    </row>
    <row r="10">
      <c r="A10" s="3" t="s">
        <v>23</v>
      </c>
      <c r="B10" s="4" t="s">
        <v>24</v>
      </c>
    </row>
    <row r="11">
      <c r="A11" s="3" t="s">
        <v>27</v>
      </c>
      <c r="B11" s="4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57"/>
    <col customWidth="1" min="2" max="2" width="7.71"/>
    <col customWidth="1" min="3" max="3" width="110.71"/>
    <col customWidth="1" min="4" max="4" width="7.71"/>
    <col customWidth="1" min="5" max="5" width="100.86"/>
    <col customWidth="1" min="6" max="6" width="7.71"/>
    <col customWidth="1" min="7" max="7" width="98.86"/>
  </cols>
  <sheetData>
    <row r="1">
      <c r="A1" s="5"/>
      <c r="B1" s="6" t="s">
        <v>10</v>
      </c>
      <c r="C1" s="7"/>
      <c r="D1" s="8" t="s">
        <v>18</v>
      </c>
      <c r="E1" s="7"/>
      <c r="F1" s="8" t="s">
        <v>22</v>
      </c>
      <c r="G1" s="7"/>
      <c r="H1" s="9"/>
    </row>
    <row r="2">
      <c r="A2" s="10"/>
      <c r="B2" s="11" t="s">
        <v>29</v>
      </c>
      <c r="C2" s="12" t="s">
        <v>32</v>
      </c>
      <c r="D2" s="12" t="s">
        <v>29</v>
      </c>
      <c r="E2" s="12" t="s">
        <v>32</v>
      </c>
      <c r="F2" s="12" t="s">
        <v>29</v>
      </c>
      <c r="G2" s="12" t="s">
        <v>32</v>
      </c>
      <c r="H2" s="9"/>
    </row>
    <row r="3">
      <c r="A3" s="13" t="s">
        <v>33</v>
      </c>
      <c r="B3" s="13" t="str">
        <f>'Detailed Reasoning'!B$3</f>
        <v/>
      </c>
      <c r="C3" s="14" t="str">
        <f>'Detailed Reasoning'!C$3</f>
        <v/>
      </c>
      <c r="D3" s="14" t="str">
        <f>'Detailed Reasoning'!D$3</f>
        <v/>
      </c>
      <c r="E3" s="14" t="str">
        <f>'Detailed Reasoning'!E$3</f>
        <v/>
      </c>
      <c r="F3" s="15" t="str">
        <f>'Detailed Reasoning'!F$3</f>
        <v/>
      </c>
      <c r="G3" s="15" t="str">
        <f>'Detailed Reasoning'!G$3</f>
        <v/>
      </c>
      <c r="H3" s="9"/>
    </row>
    <row r="4">
      <c r="A4" s="16" t="s">
        <v>34</v>
      </c>
      <c r="B4" s="17" t="str">
        <f>'AI#1_GPT'!B$3</f>
        <v>-</v>
      </c>
      <c r="C4" s="18" t="str">
        <f>'AI#1_GPT'!C3</f>
        <v>한 단계가 실패하면 뒤 단계가 모두 대기하고, 긴 배치를 처음 또는 체크포인트부터 재처리해야 할 수 있다.</v>
      </c>
      <c r="D4" s="20" t="str">
        <f>'AI#1_GPT'!D$3</f>
        <v>0</v>
      </c>
      <c r="E4" s="18" t="str">
        <f>'AI#1_GPT'!E3</f>
        <v>필터를 독립적으로 재시작할 수 있지만 한 필터가 중단되면 전체 파이프라인 흐름도 멈출 수 있다.</v>
      </c>
      <c r="F4" s="20" t="str">
        <f>'AI#1_GPT'!F$3</f>
        <v>+</v>
      </c>
      <c r="G4" s="18" t="str">
        <f>'AI#1_GPT'!G3</f>
        <v>피드백 루프가 상태 변화를 감지해 보정할 수 있어 일부 환경 변화나 구성요소 편차에 대응하기 쉽다.</v>
      </c>
      <c r="H4" s="9"/>
    </row>
    <row r="5">
      <c r="A5" s="16" t="s">
        <v>35</v>
      </c>
      <c r="B5" s="17" t="str">
        <f>'AI#2_Gemini'!B$3</f>
        <v>0</v>
      </c>
      <c r="C5" s="18" t="str">
        <f>'AI#2_Gemini'!C$3</f>
        <v>한 단계가 실패하면 전체 배치가 중단될 수 있으나, 실패 지점부터 재시작이 가능하므로 중립적임.</v>
      </c>
      <c r="D5" s="20" t="str">
        <f>'AI#2_Gemini'!D$3</f>
        <v>0</v>
      </c>
      <c r="E5" s="22" t="str">
        <f>'AI#2_Gemini'!E$3</f>
        <v>필터 하나가 고장나면 파이프라인이 멈추지만, 상태를 유지하지 않아 재시작 및 복구가 비교적 단순함.</v>
      </c>
      <c r="F5" s="20" t="str">
        <f>'AI#2_Gemini'!F$3</f>
        <v>+</v>
      </c>
      <c r="G5" s="22" t="str">
        <f>'AI#2_Gemini'!G$3</f>
        <v>시스템의 상태를 지속적으로 모니터링하고 목표 상태로 복구하려는 제어 루프 특성상 가용성 확보에 유리함.</v>
      </c>
      <c r="H5" s="9"/>
    </row>
    <row r="6">
      <c r="A6" s="16" t="s">
        <v>39</v>
      </c>
      <c r="B6" s="23" t="str">
        <f>Human!B3</f>
        <v>-</v>
      </c>
      <c r="C6" s="28" t="str">
        <f>Human!C3</f>
        <v>한 단계가 실패하면 중간부터 재시작 가능하다고 하더라도 뒤 단계가 모두 대기하거나 재시작 해야 하는 것이 치명적</v>
      </c>
      <c r="D6" s="20" t="str">
        <f>Human!D$3</f>
        <v>-</v>
      </c>
      <c r="E6" s="22" t="str">
        <f>Human!E$3</f>
        <v>Filter별 독립적 행동이 보장되므로 문제가 발생하더라고, 전체 system에 영향이 있음.
 Pipe에 고장이 나면 뒤에 연결된 Filter도 사용할 수 없게 되므로 좋진 않음</v>
      </c>
      <c r="F6" s="20" t="str">
        <f>Human!F$3</f>
        <v>+</v>
      </c>
      <c r="G6" s="22" t="str">
        <f>Human!G$3</f>
        <v>process unit or control unit 고장시, 오작동하여 시스템 전체에 문제가 발생할 수 있음</v>
      </c>
      <c r="H6" s="9"/>
    </row>
    <row r="7">
      <c r="A7" s="19"/>
      <c r="B7" s="29"/>
      <c r="C7" s="18"/>
      <c r="D7" s="30"/>
      <c r="E7" s="18"/>
      <c r="F7" s="30"/>
      <c r="G7" s="18"/>
      <c r="H7" s="9"/>
    </row>
    <row r="8">
      <c r="A8" s="13" t="s">
        <v>46</v>
      </c>
      <c r="B8" s="13" t="str">
        <f>'Detailed Reasoning'!B$4</f>
        <v/>
      </c>
      <c r="C8" s="14" t="str">
        <f>'Detailed Reasoning'!C$4</f>
        <v/>
      </c>
      <c r="D8" s="14" t="str">
        <f>'Detailed Reasoning'!D$4</f>
        <v/>
      </c>
      <c r="E8" s="14" t="str">
        <f>'Detailed Reasoning'!E$4</f>
        <v/>
      </c>
      <c r="F8" s="15" t="str">
        <f>'Detailed Reasoning'!F$4</f>
        <v/>
      </c>
      <c r="G8" s="15" t="str">
        <f>'Detailed Reasoning'!G$4</f>
        <v/>
      </c>
      <c r="H8" s="9"/>
    </row>
    <row r="9">
      <c r="A9" s="16" t="s">
        <v>34</v>
      </c>
      <c r="B9" s="17" t="str">
        <f>'AI#1_GPT'!B$4</f>
        <v>0</v>
      </c>
      <c r="C9" s="18" t="str">
        <f>'AI#1_GPT'!C4</f>
        <v>구조는 단순하지만 단계 간 데이터 형식과 실행 순서 의존성이 있어 배포 측면의 뚜렷한 이점은 제한적이다.</v>
      </c>
      <c r="D9" s="20" t="str">
        <f>'AI#1_GPT'!D$4</f>
        <v>+</v>
      </c>
      <c r="E9" s="18" t="str">
        <f>'AI#1_GPT'!E4</f>
        <v>인터페이스가 안정적이면 필터를 독립적으로 교체·배포하기 쉬운 편이다.</v>
      </c>
      <c r="F9" s="20" t="str">
        <f>'AI#1_GPT'!F$4</f>
        <v>-</v>
      </c>
      <c r="G9" s="18" t="str">
        <f>'AI#1_GPT'!G4</f>
        <v>제어기·센서·액추에이터가 함께 튜닝되어야 하므로 개별 구성요소를 독립 배포하기 어렵다.</v>
      </c>
      <c r="H9" s="9"/>
    </row>
    <row r="10">
      <c r="A10" s="16" t="s">
        <v>35</v>
      </c>
      <c r="B10" s="17" t="str">
        <f>'AI#2_Gemini'!B$4</f>
        <v>+</v>
      </c>
      <c r="C10" s="22" t="str">
        <f>'AI#2_Gemini'!C$4</f>
        <v>각 배치 단계가 독립적인 실행 파일(프로그램)로 구성되어 개별 배포가 용이함.</v>
      </c>
      <c r="D10" s="20" t="str">
        <f>'AI#2_Gemini'!D$4</f>
        <v>+</v>
      </c>
      <c r="E10" s="22" t="str">
        <f>'AI#2_Gemini'!E$4</f>
        <v>각 필터가 독립적인 컴포넌트이며 표준 I/O로 통신하므로 개별 배포 및 교체가 쉬움.</v>
      </c>
      <c r="F10" s="20" t="str">
        <f>'AI#2_Gemini'!F$4</f>
        <v>-</v>
      </c>
      <c r="G10" s="22" t="str">
        <f>'AI#2_Gemini'!G$4</f>
        <v>하드웨어 센서 및 액추에이터와 강하게 결합되어 있어 소프트웨어 단독 배포나 환경 변경이 까다로움.</v>
      </c>
      <c r="H10" s="9"/>
    </row>
    <row r="11">
      <c r="A11" s="16" t="s">
        <v>39</v>
      </c>
      <c r="B11" s="23" t="str">
        <f>Human!B4</f>
        <v>+</v>
      </c>
      <c r="C11" s="28" t="str">
        <f>Human!C4</f>
        <v>구조가 단순한 것이 가장 큰 이점, 배포 시 개발자들에게 porting 등의 O/H가 적을 것으로 예상.</v>
      </c>
      <c r="D11" s="20" t="str">
        <f>Human!D$4</f>
        <v>+</v>
      </c>
      <c r="E11" s="22" t="str">
        <f>Human!E$4</f>
        <v>필터는 서로 독립적인 개체이므로 개별 구성요소 별로 배포하기 쉬운 편이다.</v>
      </c>
      <c r="F11" s="20" t="str">
        <f>Human!F$4</f>
        <v>-</v>
      </c>
      <c r="G11" s="22" t="str">
        <f>Human!G$4</f>
        <v>개별 구성요소를 독립 배포하기 어렵다.</v>
      </c>
      <c r="H11" s="9"/>
    </row>
    <row r="12">
      <c r="A12" s="19"/>
      <c r="B12" s="29"/>
      <c r="C12" s="18"/>
      <c r="D12" s="30"/>
      <c r="E12" s="18"/>
      <c r="F12" s="30"/>
      <c r="G12" s="18"/>
      <c r="H12" s="9"/>
    </row>
    <row r="13">
      <c r="A13" s="13" t="s">
        <v>52</v>
      </c>
      <c r="B13" s="13" t="str">
        <f>'Detailed Reasoning'!B$5</f>
        <v/>
      </c>
      <c r="C13" s="14" t="str">
        <f>'Detailed Reasoning'!C$5</f>
        <v/>
      </c>
      <c r="D13" s="14" t="str">
        <f>'Detailed Reasoning'!D$5</f>
        <v/>
      </c>
      <c r="E13" s="14" t="str">
        <f>'Detailed Reasoning'!E$5</f>
        <v/>
      </c>
      <c r="F13" s="15" t="str">
        <f>'Detailed Reasoning'!F$5</f>
        <v/>
      </c>
      <c r="G13" s="15" t="str">
        <f>'Detailed Reasoning'!G$5</f>
        <v/>
      </c>
      <c r="H13" s="9"/>
    </row>
    <row r="14">
      <c r="A14" s="16" t="s">
        <v>34</v>
      </c>
      <c r="B14" s="17" t="str">
        <f>'AI#1_GPT'!B$5</f>
        <v>0</v>
      </c>
      <c r="C14" s="18" t="str">
        <f>'AI#1_GPT'!C5</f>
        <v>파일·레코드 같은 단순한 교환 방식은 연결이 쉽지만, 단계들이 동일 데이터 형식에 의존하기 쉽다.</v>
      </c>
      <c r="D14" s="20" t="str">
        <f>'AI#1_GPT'!D$5</f>
        <v>++</v>
      </c>
      <c r="E14" s="18" t="str">
        <f>'AI#1_GPT'!E5</f>
        <v>필터가 표준화된 입력·출력 스트림으로 연결되어 새로운 처리 단계를 조합하기 쉽다.</v>
      </c>
      <c r="F14" s="20" t="str">
        <f>'AI#1_GPT'!F$5</f>
        <v>-</v>
      </c>
      <c r="G14" s="18" t="str">
        <f>'AI#1_GPT'!G5</f>
        <v>실시간 센서/액추에이터 프로토콜과 제어 주기 제약 때문에 일반 시스템과의 통합 비용이 커질 수 있다.</v>
      </c>
      <c r="H14" s="9"/>
    </row>
    <row r="15">
      <c r="A15" s="16" t="s">
        <v>35</v>
      </c>
      <c r="B15" s="17" t="str">
        <f>'AI#2_Gemini'!B$5</f>
        <v>+</v>
      </c>
      <c r="C15" s="22" t="str">
        <f>'AI#2_Gemini'!C$5</f>
        <v>공통 데이터 포맷(주로 파일)만 맞추면 새로운 배치 단계를 시퀀스의 앞뒤에 쉽게 추가할 수 있음.</v>
      </c>
      <c r="D15" s="20" t="str">
        <f>'AI#2_Gemini'!D$5</f>
        <v>++</v>
      </c>
      <c r="E15" s="22" t="str">
        <f>'AI#2_Gemini'!E$5</f>
        <v>파이프라는 표준화된 인터페이스를 사용하므로, 새로운 필터를 기존 파이프라인에 조립하고 연결하기 매우 쉬움.</v>
      </c>
      <c r="F15" s="20" t="str">
        <f>'AI#2_Gemini'!F$5</f>
        <v>-</v>
      </c>
      <c r="G15" s="22" t="str">
        <f>'AI#2_Gemini'!G$5</f>
        <v>물리적 센서의 종류나 데이터 형태가 다양하고 실시간 제약이 있어 새로운 하드웨어/모듈 통합이 어려움.</v>
      </c>
      <c r="H15" s="9"/>
    </row>
    <row r="16">
      <c r="A16" s="16" t="s">
        <v>39</v>
      </c>
      <c r="B16" s="17" t="str">
        <f>Human!B$5</f>
        <v>+</v>
      </c>
      <c r="C16" s="22" t="str">
        <f>Human!C$5</f>
        <v>공통 데이터 포맷(주로 파일)만 맞추면 새로운 배치 단계를 시퀀스의 앞뒤에 쉽게 추가할 수 있음.</v>
      </c>
      <c r="D16" s="20" t="str">
        <f>Human!D$5</f>
        <v>++</v>
      </c>
      <c r="E16" s="22" t="str">
        <f>Human!E$5</f>
        <v>표준화된 connector를 사용해서, 새로운 필터를 연결하기 매우 쉽다.</v>
      </c>
      <c r="F16" s="20" t="str">
        <f>Human!F$5</f>
        <v>-</v>
      </c>
      <c r="G16" s="22" t="str">
        <f>Human!G$5</f>
        <v>componenet에 따라 인터페이스가 달라(특정 환경에 맞춰져 있어서) 통합이 어렵다.</v>
      </c>
      <c r="H16" s="9"/>
    </row>
    <row r="17">
      <c r="A17" s="19"/>
      <c r="B17" s="29"/>
      <c r="C17" s="18"/>
      <c r="D17" s="30"/>
      <c r="E17" s="18"/>
      <c r="F17" s="30"/>
      <c r="G17" s="18"/>
      <c r="H17" s="9"/>
    </row>
    <row r="18">
      <c r="A18" s="13" t="s">
        <v>58</v>
      </c>
      <c r="B18" s="13" t="str">
        <f>'Detailed Reasoning'!B$6</f>
        <v/>
      </c>
      <c r="C18" s="14" t="str">
        <f>'Detailed Reasoning'!C$6</f>
        <v/>
      </c>
      <c r="D18" s="14" t="str">
        <f>'Detailed Reasoning'!D$6</f>
        <v/>
      </c>
      <c r="E18" s="14" t="str">
        <f>'Detailed Reasoning'!E$6</f>
        <v/>
      </c>
      <c r="F18" s="15" t="str">
        <f>'Detailed Reasoning'!F$6</f>
        <v/>
      </c>
      <c r="G18" s="15" t="str">
        <f>'Detailed Reasoning'!G$6</f>
        <v/>
      </c>
      <c r="H18" s="9"/>
    </row>
    <row r="19">
      <c r="A19" s="16" t="s">
        <v>34</v>
      </c>
      <c r="B19" s="17" t="str">
        <f>'AI#1_GPT'!B$6</f>
        <v>++</v>
      </c>
      <c r="C19" s="34" t="str">
        <f>'AI#1_GPT'!C6</f>
        <v>요청을 모아 일괄 처리하므로 초기화·통신 오버헤드를 여러 작업에 분산시킬 수 있다.</v>
      </c>
      <c r="D19" s="20" t="str">
        <f>'AI#1_GPT'!D$6</f>
        <v>0</v>
      </c>
      <c r="E19" s="18" t="str">
        <f>'AI#1_GPT'!E6</f>
        <v>스트리밍은 불필요한 전체 적재를 줄이지만 필터 간 전달·직렬화 오버헤드도 발생한다.</v>
      </c>
      <c r="F19" s="20" t="str">
        <f>'AI#1_GPT'!F$6</f>
        <v>0</v>
      </c>
      <c r="G19" s="18" t="str">
        <f>'AI#1_GPT'!G6</f>
        <v>지속 측정·제어는 자원을 쓰지만 제어 자체가 물리 시스템의 낭비를 줄일 수도 있어 영향이 상쇄된다.</v>
      </c>
      <c r="H19" s="9"/>
    </row>
    <row r="20">
      <c r="A20" s="16" t="s">
        <v>35</v>
      </c>
      <c r="B20" s="17" t="str">
        <f>'AI#2_Gemini'!B$6</f>
        <v>0</v>
      </c>
      <c r="C20" s="35" t="str">
        <f>'AI#2_Gemini'!C$6</f>
        <v>아키텍처 자체보다는 처리할 데이터의 양과 배치 주기(스케줄링)에 따라 달라지므로 직접적 영향 없음.</v>
      </c>
      <c r="D20" s="20" t="str">
        <f>'AI#2_Gemini'!D$6</f>
        <v>0</v>
      </c>
      <c r="E20" s="22" t="str">
        <f>'AI#2_Gemini'!E$6</f>
        <v>데이터 스트리밍 처리 방식 자체는 에너지 효율과 직접적인 연관성이 적음.</v>
      </c>
      <c r="F20" s="20" t="str">
        <f>'AI#2_Gemini'!F$6</f>
        <v>+</v>
      </c>
      <c r="G20" s="22" t="str">
        <f>'AI#2_Gemini'!G$6</f>
        <v>목표 상태를 유지하기 위해 필요한 시점에만 액추에이터를 가동하도록 최적화하여 자원 및 에너지를 효율적으로 씀.</v>
      </c>
      <c r="H20" s="9"/>
    </row>
    <row r="21" ht="15.75" customHeight="1">
      <c r="A21" s="16" t="s">
        <v>39</v>
      </c>
      <c r="B21" s="17" t="str">
        <f>Human!B$6</f>
        <v>0</v>
      </c>
      <c r="C21" s="22" t="str">
        <f>Human!C$6</f>
        <v>1. 에너지, 혹은 처리량 총량의 차이가 있지, 총량 / Energy 값인 효율적 측면은 영향이 없다</v>
      </c>
      <c r="D21" s="20" t="str">
        <f>Human!D$6</f>
        <v>0</v>
      </c>
      <c r="E21" s="22" t="str">
        <f>Human!E$6</f>
        <v>데이터 처리 자체는 에너지 효율과 직접적인 연관성이 적다.</v>
      </c>
      <c r="F21" s="20" t="str">
        <f>Human!F$6</f>
        <v>+</v>
      </c>
      <c r="G21" s="22" t="str">
        <f>Human!G$6</f>
        <v>필요한 시점에만 동작하므로 자원을 효율적으로 쓸 수 있다.</v>
      </c>
      <c r="H21" s="9"/>
    </row>
    <row r="22" ht="15.75" customHeight="1">
      <c r="A22" s="19"/>
      <c r="B22" s="29"/>
      <c r="C22" s="18"/>
      <c r="D22" s="30"/>
      <c r="E22" s="18"/>
      <c r="F22" s="30"/>
      <c r="G22" s="18"/>
      <c r="H22" s="9"/>
    </row>
    <row r="23" ht="15.75" customHeight="1">
      <c r="A23" s="13" t="s">
        <v>61</v>
      </c>
      <c r="B23" s="13" t="str">
        <f>'Detailed Reasoning'!B$7</f>
        <v/>
      </c>
      <c r="C23" s="14" t="str">
        <f>'Detailed Reasoning'!C$7</f>
        <v/>
      </c>
      <c r="D23" s="14" t="str">
        <f>'Detailed Reasoning'!D$7</f>
        <v/>
      </c>
      <c r="E23" s="14" t="str">
        <f>'Detailed Reasoning'!E$7</f>
        <v/>
      </c>
      <c r="F23" s="14" t="str">
        <f>'Detailed Reasoning'!F$7</f>
        <v/>
      </c>
      <c r="G23" s="15" t="str">
        <f>'Detailed Reasoning'!G$7</f>
        <v/>
      </c>
      <c r="H23" s="9"/>
    </row>
    <row r="24" ht="15.75" customHeight="1">
      <c r="A24" s="16" t="s">
        <v>34</v>
      </c>
      <c r="B24" s="17" t="str">
        <f>'AI#1_GPT'!B$7</f>
        <v>0</v>
      </c>
      <c r="C24" s="18" t="str">
        <f>'AI#1_GPT'!C7</f>
        <v>단계 자체는 분리할 수 있으나 중간 데이터 형식이나 순서 변경이 후속 단계에 연쇄 영향을 줄 수 있다.</v>
      </c>
      <c r="D24" s="20" t="str">
        <f>'AI#1_GPT'!D$7</f>
        <v>++</v>
      </c>
      <c r="E24" s="18" t="str">
        <f>'AI#1_GPT'!E7</f>
        <v>처리 기능이 독립 필터로 분리되어 특정 변환을 추가·삭제·교체하기 쉽다.</v>
      </c>
      <c r="F24" s="20" t="str">
        <f>'AI#1_GPT'!F$7</f>
        <v>-</v>
      </c>
      <c r="G24" s="18" t="str">
        <f>'AI#1_GPT'!G7</f>
        <v>제어 로직 변경 시 안정성·응답 특성을 다시 튜닝하고 전체 루프를 재검증해야 할 가능성이 높다.</v>
      </c>
      <c r="H24" s="9"/>
    </row>
    <row r="25" ht="15.75" customHeight="1">
      <c r="A25" s="16" t="s">
        <v>35</v>
      </c>
      <c r="B25" s="17" t="str">
        <f>'AI#2_Gemini'!B$7</f>
        <v>+</v>
      </c>
      <c r="C25" s="22" t="str">
        <f>'AI#2_Gemini'!C$7</f>
        <v>각 단계가 독립적이므로, 특정 단계의 로직을 수정해도 입출력 포맷만 같으면 다른 단계에 영향을 주지 않음.</v>
      </c>
      <c r="D25" s="20" t="str">
        <f>'AI#2_Gemini'!D$7</f>
        <v>++</v>
      </c>
      <c r="E25" s="22" t="str">
        <f>'AI#2_Gemini'!E$7</f>
        <v>필터 간 결합도가 매우 낮아 특정 필터의 내부 로직 변경, 삭제, 순서 변경이 시스템 전체에 영향을 주지 않음.</v>
      </c>
      <c r="F25" s="20" t="str">
        <f>'AI#2_Gemini'!F$7</f>
        <v>-</v>
      </c>
      <c r="G25" s="22" t="str">
        <f>'AI#2_Gemini'!G$7</f>
        <v>제어 변수나 알고리즘을 변경할 경우 제어 루프 전체의 타이밍과 물리적 피드백 시스템을 재설계해야 하므로 어려움.</v>
      </c>
      <c r="H25" s="9"/>
    </row>
    <row r="26" ht="15.75" customHeight="1">
      <c r="A26" s="16" t="s">
        <v>39</v>
      </c>
      <c r="B26" s="17" t="str">
        <f>Human!B$7</f>
        <v>++</v>
      </c>
      <c r="C26" s="22" t="str">
        <f>Human!C$7</f>
        <v>각 단계가 독립적으로, processing step간 대체가 용이하고 reusing이 가능한 것이 장점</v>
      </c>
      <c r="D26" s="20" t="str">
        <f>Human!D$7</f>
        <v>++</v>
      </c>
      <c r="E26" s="22" t="str">
        <f>Human!E$7</f>
        <v>필터는 서로 독립적인 개체이므로 개별 구성요소 별로 추가,삭체, 교체하기 쉬운 편이다.</v>
      </c>
      <c r="F26" s="20" t="str">
        <f>Human!F$7</f>
        <v>-</v>
      </c>
      <c r="G26" s="22" t="str">
        <f>Human!G$7</f>
        <v>Component가 변경 되면 시스템 전체에 영향을 주게 된다.</v>
      </c>
      <c r="H26" s="9"/>
    </row>
    <row r="27" ht="15.75" customHeight="1">
      <c r="A27" s="19"/>
      <c r="B27" s="29"/>
      <c r="C27" s="18"/>
      <c r="D27" s="30"/>
      <c r="E27" s="18"/>
      <c r="F27" s="30"/>
      <c r="G27" s="18"/>
      <c r="H27" s="9"/>
    </row>
    <row r="28" ht="15.75" customHeight="1">
      <c r="A28" s="13" t="s">
        <v>65</v>
      </c>
      <c r="B28" s="13" t="str">
        <f>'Detailed Reasoning'!B$8</f>
        <v/>
      </c>
      <c r="C28" s="14" t="str">
        <f>'Detailed Reasoning'!C$8</f>
        <v/>
      </c>
      <c r="D28" s="14" t="str">
        <f>'Detailed Reasoning'!D$8</f>
        <v/>
      </c>
      <c r="E28" s="14" t="str">
        <f>'Detailed Reasoning'!E$8</f>
        <v/>
      </c>
      <c r="F28" s="15" t="str">
        <f>'Detailed Reasoning'!F$8</f>
        <v/>
      </c>
      <c r="G28" s="14" t="str">
        <f>'Detailed Reasoning'!G$8</f>
        <v/>
      </c>
      <c r="H28" s="9"/>
    </row>
    <row r="29" ht="15.75" customHeight="1">
      <c r="A29" s="16" t="s">
        <v>34</v>
      </c>
      <c r="B29" s="17" t="str">
        <f>'AI#1_GPT'!B$8</f>
        <v>-</v>
      </c>
      <c r="C29" s="18" t="str">
        <f>'AI#1_GPT'!C8</f>
        <v>단계가 순차적으로 실행되고 중간 결과 I/O가 발생해 병렬·스트리밍 처리보다 지연이 커지기 쉽다.</v>
      </c>
      <c r="D29" s="20" t="str">
        <f>'AI#1_GPT'!D$8</f>
        <v>+</v>
      </c>
      <c r="E29" s="18" t="str">
        <f>'AI#1_GPT'!E8</f>
        <v>필터들을 파이프라인으로 병렬 실행할 수 있어 처리량을 높일 수 있으나 전달 오버헤드는 존재한다.</v>
      </c>
      <c r="F29" s="20" t="str">
        <f>'AI#1_GPT'!F$8</f>
        <v>++</v>
      </c>
      <c r="G29" s="34" t="str">
        <f>'AI#1_GPT'!G8</f>
        <v>짧은 제어 주기와 즉각적인 피드백을 목표로 하므로 실시간 응답 성능에 매우 유리하다.</v>
      </c>
      <c r="H29" s="9"/>
    </row>
    <row r="30" ht="15.75" customHeight="1">
      <c r="A30" s="16" t="s">
        <v>35</v>
      </c>
      <c r="B30" s="17" t="str">
        <f>'AI#2_Gemini'!B$8</f>
        <v>--</v>
      </c>
      <c r="C30" s="22" t="str">
        <f>'AI#2_Gemini'!C$8</f>
        <v>한 단계가 완전히 끝나야 다음 단계가 시작(지연 시간 김)되며, 대규모 파일 I/O가 발생하여 병렬 처리가 불가함.</v>
      </c>
      <c r="D30" s="20" t="str">
        <f>'AI#2_Gemini'!D$8</f>
        <v>+</v>
      </c>
      <c r="E30" s="22" t="str">
        <f>'AI#2_Gemini'!E$8</f>
        <v>여러 필터가 파이프를 통해 데이터를 주고받으며 동시에(병렬로) 실행될 수 있어 전체적인 Throughput(처리량)이 높음.</v>
      </c>
      <c r="F30" s="20" t="str">
        <f>'AI#2_Gemini'!F$8</f>
        <v>0</v>
      </c>
      <c r="G30" s="35" t="str">
        <f>'AI#2_Gemini'!G$8</f>
        <v>실시간 처리에는 적합하나, 대규모 데이터 처리나 연산 성능 관점보다는 '정시성(Deadline)'에 초점이 맞춰져 있음.</v>
      </c>
      <c r="H30" s="9"/>
    </row>
    <row r="31" ht="15.75" customHeight="1">
      <c r="A31" s="16" t="s">
        <v>39</v>
      </c>
      <c r="B31" s="17" t="str">
        <f>Human!B$8</f>
        <v>-</v>
      </c>
      <c r="C31" s="22" t="str">
        <f>Human!C$8</f>
        <v>모든 단계가 sequential하게 되어 있으므로 단계마다 전체 데이터를 기다려야 하므로 latency가 좋지 않음 -&gt; latency측면 영향성이 낮음</v>
      </c>
      <c r="D31" s="20" t="str">
        <f>Human!D$8</f>
        <v>+</v>
      </c>
      <c r="E31" s="22" t="str">
        <f>Human!E$8</f>
        <v>Filter의 수가 많아질수록 Computational O/H가 증가하나, 병렬성이 존재하므로 장점이 더 큼</v>
      </c>
      <c r="F31" s="20" t="str">
        <f>Human!F$8</f>
        <v>++</v>
      </c>
      <c r="G31" s="22" t="str">
        <f>Human!G$8</f>
        <v>짧은 제어 주기와 즉각적인 피드백을 목표로 하므로 실시간 응답 성능에 매우 유리하다.</v>
      </c>
      <c r="H31" s="9"/>
    </row>
    <row r="32" ht="15.75" customHeight="1">
      <c r="A32" s="19"/>
      <c r="B32" s="29"/>
      <c r="C32" s="18"/>
      <c r="D32" s="30"/>
      <c r="E32" s="18"/>
      <c r="F32" s="30"/>
      <c r="G32" s="18"/>
      <c r="H32" s="9"/>
    </row>
    <row r="33" ht="15.75" customHeight="1">
      <c r="A33" s="13" t="s">
        <v>68</v>
      </c>
      <c r="B33" s="13" t="str">
        <f>'Detailed Reasoning'!B$9</f>
        <v/>
      </c>
      <c r="C33" s="14" t="str">
        <f>'Detailed Reasoning'!C$9</f>
        <v/>
      </c>
      <c r="D33" s="14" t="str">
        <f>'Detailed Reasoning'!D$9</f>
        <v/>
      </c>
      <c r="E33" s="14" t="str">
        <f>'Detailed Reasoning'!E$9</f>
        <v/>
      </c>
      <c r="F33" s="15" t="str">
        <f>'Detailed Reasoning'!F$9</f>
        <v/>
      </c>
      <c r="G33" s="15" t="str">
        <f>'Detailed Reasoning'!G$9</f>
        <v/>
      </c>
      <c r="H33" s="9"/>
    </row>
    <row r="34" ht="15.75" customHeight="1">
      <c r="A34" s="16" t="s">
        <v>34</v>
      </c>
      <c r="B34" s="17" t="str">
        <f>'AI#1_GPT'!B$9</f>
        <v>+</v>
      </c>
      <c r="C34" s="18" t="str">
        <f>'AI#1_GPT'!C9</f>
        <v>처리 순서와 상태 전이가 비교적 결정적이어서 검증·감사 및 오류 지점 추적이 쉽다.</v>
      </c>
      <c r="D34" s="20" t="str">
        <f>'AI#1_GPT'!D$9</f>
        <v>+</v>
      </c>
      <c r="E34" s="18" t="str">
        <f>'AI#1_GPT'!E9</f>
        <v>변환 책임과 데이터 흐름이 명확해 잘못된 처리 단계의 범위를 제한하고 검증하기 쉽다.</v>
      </c>
      <c r="F34" s="20" t="str">
        <f>'AI#1_GPT'!F$9</f>
        <v>++</v>
      </c>
      <c r="G34" s="18" t="str">
        <f>'AI#1_GPT'!G9</f>
        <v>피드백, 제한값, 인터록을 통해 위험 상태를 감지하고 즉시 보정·차단하도록 설계하기 좋다.</v>
      </c>
      <c r="H34" s="9"/>
    </row>
    <row r="35" ht="15.75" customHeight="1">
      <c r="A35" s="16" t="s">
        <v>35</v>
      </c>
      <c r="B35" s="17" t="str">
        <f>'AI#2_Gemini'!B$9</f>
        <v>0</v>
      </c>
      <c r="C35" s="37" t="s">
        <v>80</v>
      </c>
      <c r="D35" s="20" t="str">
        <f>'AI#2_Gemini'!D$9</f>
        <v>0</v>
      </c>
      <c r="E35" s="37" t="s">
        <v>81</v>
      </c>
      <c r="F35" s="20" t="str">
        <f>'AI#2_Gemini'!F$9</f>
        <v>++</v>
      </c>
      <c r="G35" s="37" t="s">
        <v>83</v>
      </c>
      <c r="H35" s="9"/>
    </row>
    <row r="36" ht="15.75" customHeight="1">
      <c r="A36" s="16" t="s">
        <v>39</v>
      </c>
      <c r="B36" s="17" t="str">
        <f>Human!B$9</f>
        <v>0</v>
      </c>
      <c r="C36" s="22" t="str">
        <f>Human!C$9</f>
        <v>직렬로 이루어져 있으므로 단일 장애가 전체 안전에 영향이 큰 점도 있으나, 오류 분석이 쉬운 장점도 있음</v>
      </c>
      <c r="D36" s="20" t="str">
        <f>Human!D$9</f>
        <v>0</v>
      </c>
      <c r="E36" s="22" t="str">
        <f>Human!E$9</f>
        <v>단계별 검증과 오류 격리를 통해 안전성에 간접적으로 기여할 수 있지만, 물리적 위험을 직접 감지·제어하는 아키텍처는 아니므로 Safety에 대한 직접적인 영향은 제한적이다.</v>
      </c>
      <c r="F36" s="20" t="str">
        <f>Human!F$9</f>
        <v>++</v>
      </c>
      <c r="G36" s="22" t="str">
        <f>Human!G$9</f>
        <v>짧은 제어 주기와 즉각적인 피드백을 목표로 하므로 실시간 응답 성능에 매우 유리하다.</v>
      </c>
      <c r="H36" s="9"/>
    </row>
    <row r="37" ht="15.75" customHeight="1">
      <c r="A37" s="19"/>
      <c r="B37" s="29"/>
      <c r="C37" s="18"/>
      <c r="D37" s="30"/>
      <c r="E37" s="18"/>
      <c r="F37" s="30"/>
      <c r="G37" s="18"/>
      <c r="H37" s="9"/>
    </row>
    <row r="38" ht="15.75" customHeight="1">
      <c r="A38" s="13" t="s">
        <v>74</v>
      </c>
      <c r="B38" s="13" t="str">
        <f>'Detailed Reasoning'!B$10</f>
        <v/>
      </c>
      <c r="C38" s="14" t="str">
        <f>'Detailed Reasoning'!C$10</f>
        <v/>
      </c>
      <c r="D38" s="14" t="str">
        <f>'Detailed Reasoning'!D$10</f>
        <v/>
      </c>
      <c r="E38" s="14" t="str">
        <f>'Detailed Reasoning'!E$10</f>
        <v/>
      </c>
      <c r="F38" s="14" t="str">
        <f>'Detailed Reasoning'!F$10</f>
        <v/>
      </c>
      <c r="G38" s="14" t="str">
        <f>'Detailed Reasoning'!G$10</f>
        <v/>
      </c>
      <c r="H38" s="9"/>
    </row>
    <row r="39" ht="15.75" customHeight="1">
      <c r="A39" s="16" t="s">
        <v>34</v>
      </c>
      <c r="B39" s="17" t="str">
        <f>'AI#1_GPT'!B$10</f>
        <v>0</v>
      </c>
      <c r="C39" s="18" t="str">
        <f>'AI#1_GPT'!C10</f>
        <v>구조 자체의 보안 이점은 크지 않으며, 중간 파일을 사용하면 별도의 접근통제가 필요하다.</v>
      </c>
      <c r="D39" s="20" t="str">
        <f>'AI#1_GPT'!D$10</f>
        <v>0</v>
      </c>
      <c r="E39" s="18" t="str">
        <f>'AI#1_GPT'!E10</f>
        <v>필터 경계에 통제를 넣을 수 있지만 연결 지점이 늘어나므로 구조만으로 보안이 향상되지는 않는다.</v>
      </c>
      <c r="F39" s="20" t="str">
        <f>'AI#1_GPT'!F$10</f>
        <v>-</v>
      </c>
      <c r="G39" s="18" t="str">
        <f>'AI#1_GPT'!G10</f>
        <v>센서와 액추에이터 접점이 공격받으면 실제 제어 결과에 직접 영향을 주므로 공격면이 중요해진다.</v>
      </c>
      <c r="H39" s="9"/>
    </row>
    <row r="40" ht="15.75" customHeight="1">
      <c r="A40" s="16" t="s">
        <v>35</v>
      </c>
      <c r="B40" s="17" t="str">
        <f>'AI#2_Gemini'!B$10</f>
        <v>0</v>
      </c>
      <c r="C40" s="22" t="str">
        <f>'AI#2_Gemini'!C$10</f>
        <v>시스템 외부와의 연결보다는 내부 파일 시스템 권한에 의존하므로 아키텍처 차원의 보안 이점은 없음.</v>
      </c>
      <c r="D40" s="20" t="str">
        <f>'AI#2_Gemini'!D$10</f>
        <v>0</v>
      </c>
      <c r="E40" s="22" t="str">
        <f>'AI#2_Gemini'!E$10</f>
        <v>필터 간 통신 암호화 등이 추가로 필요하며, 스타일 자체에서 보안 기능을 내재하고 있지 않음.</v>
      </c>
      <c r="F40" s="20" t="str">
        <f>'AI#2_Gemini'!F$10</f>
        <v>0</v>
      </c>
      <c r="G40" s="22" t="str">
        <f>'AI#2_Gemini'!G$10</f>
        <v>시스템 내부의 제어 루프 자체는 보안을 고려하지 않으며, 외부 네트워크 연결 시 별도의 보안 아키텍처가 필요함.</v>
      </c>
      <c r="H40" s="9"/>
    </row>
    <row r="41" ht="15.75" customHeight="1">
      <c r="A41" s="16" t="s">
        <v>39</v>
      </c>
      <c r="B41" s="17" t="str">
        <f>Human!B$10</f>
        <v>-</v>
      </c>
      <c r="C41" s="22" t="str">
        <f>Human!C$10</f>
        <v>병렬로 동작하는 시스템 대비 중간 파일 등이 공격받기 쉬운 구조이기 때문에 영향성이 큼</v>
      </c>
      <c r="D41" s="20" t="str">
        <f>Human!D$10</f>
        <v>0</v>
      </c>
      <c r="E41" s="22" t="str">
        <f>Human!E$10</f>
        <v>필터별 보안 검증을 분리해 적용할 수 있다는 장점은 있지만, 다수의 데이터 전달 경로가 추가적인 공격면이 될 수 있음</v>
      </c>
      <c r="F41" s="20" t="str">
        <f>Human!F$10</f>
        <v>-</v>
      </c>
      <c r="G41" s="22" t="str">
        <f>Human!G$10</f>
        <v>공격받으면 전체적인 제어에 직접 영향을 준다.</v>
      </c>
      <c r="H41" s="9"/>
    </row>
    <row r="42" ht="15.75" customHeight="1">
      <c r="A42" s="19"/>
      <c r="B42" s="29"/>
      <c r="C42" s="18"/>
      <c r="D42" s="30"/>
      <c r="E42" s="18"/>
      <c r="F42" s="30"/>
      <c r="G42" s="18"/>
      <c r="H42" s="9"/>
    </row>
    <row r="43" ht="15.75" customHeight="1">
      <c r="A43" s="13" t="s">
        <v>75</v>
      </c>
      <c r="B43" s="13" t="str">
        <f>'Detailed Reasoning'!B$11</f>
        <v/>
      </c>
      <c r="C43" s="14" t="str">
        <f>'Detailed Reasoning'!C$11</f>
        <v/>
      </c>
      <c r="D43" s="14" t="str">
        <f>'Detailed Reasoning'!D$11</f>
        <v/>
      </c>
      <c r="E43" s="14" t="str">
        <f>'Detailed Reasoning'!E$11</f>
        <v/>
      </c>
      <c r="F43" s="14" t="str">
        <f>'Detailed Reasoning'!F$11</f>
        <v/>
      </c>
      <c r="G43" s="14" t="str">
        <f>'Detailed Reasoning'!G$11</f>
        <v/>
      </c>
      <c r="H43" s="9"/>
    </row>
    <row r="44" ht="15.75" customHeight="1">
      <c r="A44" s="16" t="s">
        <v>34</v>
      </c>
      <c r="B44" s="17" t="str">
        <f>'AI#1_GPT'!B$11</f>
        <v>+</v>
      </c>
      <c r="C44" s="18" t="str">
        <f>'AI#1_GPT'!C11</f>
        <v>각 단계에 고정 입력을 주고 결과를 비교하기 쉬워 재현 가능한 테스트에 유리하다.</v>
      </c>
      <c r="D44" s="20" t="str">
        <f>'AI#1_GPT'!D$11</f>
        <v>++</v>
      </c>
      <c r="E44" s="18" t="str">
        <f>'AI#1_GPT'!E11</f>
        <v>각 필터를 독립 입력·출력으로 단위 테스트하고 전체 파이프라인도 단계별 검증하기 쉽다.</v>
      </c>
      <c r="F44" s="20" t="str">
        <f>'AI#1_GPT'!F$11</f>
        <v>-</v>
      </c>
      <c r="G44" s="18" t="str">
        <f>'AI#1_GPT'!G11</f>
        <v>실시간 타이밍과 물리 환경을 함께 재현해야 해서 시뮬레이터·HIL 없이 테스트하기 어렵다.</v>
      </c>
      <c r="H44" s="9"/>
    </row>
    <row r="45">
      <c r="A45" s="16" t="s">
        <v>35</v>
      </c>
      <c r="B45" s="17" t="str">
        <f>'AI#2_Gemini'!B$11</f>
        <v>++</v>
      </c>
      <c r="C45" s="22" t="str">
        <f>'AI#2_Gemini'!C$11</f>
        <v>각 배치 프로그램이 완전히 독립적이며, 테스트용 입력 파일을 주고 출력 파일을 검증하는 방식(블랙박스 테스트)이 매우 직관적임.</v>
      </c>
      <c r="D45" s="20" t="str">
        <f>'AI#2_Gemini'!D$11</f>
        <v>+</v>
      </c>
      <c r="E45" s="22" t="str">
        <f>'AI#2_Gemini'!E$11</f>
        <v>개별 필터에 더미 데이터를 파이프 스트림으로 주입하여 독립적으로 테스트하기 용이함.</v>
      </c>
      <c r="F45" s="20" t="str">
        <f>'AI#2_Gemini'!F$11</f>
        <v>-</v>
      </c>
      <c r="G45" s="22" t="str">
        <f>'AI#2_Gemini'!G$11</f>
        <v>물리적 환경(센서, 액추에이터)과 결합되어 있어, 이를 흉내 내는 복잡한 시뮬레이터(HIL 테스트 등)가 반드시 필요함.</v>
      </c>
      <c r="H45" s="9"/>
    </row>
    <row r="46" ht="15.75" customHeight="1">
      <c r="A46" s="16" t="s">
        <v>39</v>
      </c>
      <c r="B46" s="17" t="str">
        <f>Human!B$11</f>
        <v>++</v>
      </c>
      <c r="C46" s="22" t="str">
        <f>Human!C$11</f>
        <v>각 컴포넌트의 역할이 매우 잘 정의되어 있으므로 Test하기에도 용이, 통합 test측면에서도 좋음</v>
      </c>
      <c r="D46" s="20" t="str">
        <f>Human!D$11</f>
        <v>0</v>
      </c>
      <c r="E46" s="22" t="str">
        <f>Human!E$11</f>
        <v>각 필터별 독립 테스트 용이, batch sequence보다는 떨어짐, 0이나 -까지도</v>
      </c>
      <c r="F46" s="20" t="str">
        <f>Human!F$11</f>
        <v>+</v>
      </c>
      <c r="G46" s="22" t="str">
        <f>Human!G$11</f>
        <v>물리적인 테스트 환경이 필요하여 테스트하기 어렵다. 변경점 발생에 따른 결과가 바로보이기 때문에 통합 test는 용이함</v>
      </c>
      <c r="H46" s="9"/>
    </row>
    <row r="47" ht="15.0" customHeight="1">
      <c r="A47" s="19"/>
      <c r="B47" s="29"/>
      <c r="C47" s="18"/>
      <c r="D47" s="30"/>
      <c r="E47" s="18"/>
      <c r="F47" s="30"/>
      <c r="G47" s="18"/>
      <c r="H47" s="9"/>
    </row>
    <row r="48" ht="15.75" customHeight="1">
      <c r="A48" s="13" t="s">
        <v>79</v>
      </c>
      <c r="B48" s="13" t="str">
        <f>'Detailed Reasoning'!B$12</f>
        <v/>
      </c>
      <c r="C48" s="14" t="str">
        <f>'Detailed Reasoning'!C$12</f>
        <v/>
      </c>
      <c r="D48" s="14" t="str">
        <f>'Detailed Reasoning'!D$12</f>
        <v/>
      </c>
      <c r="E48" s="14" t="str">
        <f>'Detailed Reasoning'!E$12</f>
        <v/>
      </c>
      <c r="F48" s="14" t="str">
        <f>'Detailed Reasoning'!F$12</f>
        <v/>
      </c>
      <c r="G48" s="14" t="str">
        <f>'Detailed Reasoning'!G$12</f>
        <v/>
      </c>
      <c r="H48" s="9"/>
    </row>
    <row r="49" ht="15.75" customHeight="1">
      <c r="A49" s="16" t="s">
        <v>34</v>
      </c>
      <c r="B49" s="17" t="str">
        <f>'AI#1_GPT'!B$12</f>
        <v>-</v>
      </c>
      <c r="C49" s="18" t="str">
        <f>'AI#1_GPT'!C12</f>
        <v>처리가 완료될 때까지 결과 피드백이 늦어 대화형·즉시 반응이 필요한 사용자 경험에는 불리하다.</v>
      </c>
      <c r="D49" s="20" t="str">
        <f>'AI#1_GPT'!D$12</f>
        <v>0</v>
      </c>
      <c r="E49" s="18" t="str">
        <f>'AI#1_GPT'!E12</f>
        <v>주로 내부 데이터 처리 구조이므로 최종 사용자 인터랙션에 미치는 직접 영향은 제한적이다.</v>
      </c>
      <c r="F49" s="20" t="str">
        <f>'AI#1_GPT'!F$12</f>
        <v>+</v>
      </c>
      <c r="G49" s="18" t="str">
        <f>'AI#1_GPT'!G12</f>
        <v>자동 제어가 정상 범위를 유지해 운영자의 지속적인 수동 개입을 줄일 수 있다.</v>
      </c>
      <c r="H49" s="9"/>
    </row>
    <row r="50" ht="15.75" customHeight="1">
      <c r="A50" s="16" t="s">
        <v>35</v>
      </c>
      <c r="B50" s="17" t="str">
        <f>'AI#2_Gemini'!B$12</f>
        <v>0</v>
      </c>
      <c r="C50" s="22" t="str">
        <f>'AI#2_Gemini'!C$12</f>
        <v>백엔드 데이터 처리 방식이므로 사용자 인터페이스(UI)나 사용성에 미치는 직접적인 영향이 없음.</v>
      </c>
      <c r="D50" s="20" t="str">
        <f>'AI#2_Gemini'!D$12</f>
        <v>0</v>
      </c>
      <c r="E50" s="22" t="str">
        <f>'AI#2_Gemini'!E$12</f>
        <v>데이터 스트림 처리 방식이므로 최종 사용자의 조작성(Usability)과는 관련이 없음.</v>
      </c>
      <c r="F50" s="20" t="str">
        <f>'AI#2_Gemini'!F$12</f>
        <v>0</v>
      </c>
      <c r="G50" s="22" t="str">
        <f>'AI#2_Gemini'!G$12</f>
        <v>내부 제어 루프 메커니즘이므로 직접적인 사용자 조작성보다는 시스템 자체의 자율성에 가까움.</v>
      </c>
      <c r="H50" s="9"/>
    </row>
    <row r="51" ht="15.75" customHeight="1">
      <c r="A51" s="16" t="s">
        <v>39</v>
      </c>
      <c r="B51" s="17" t="str">
        <f>Human!B$12</f>
        <v>--</v>
      </c>
      <c r="C51" s="22" t="str">
        <f>Human!C$12</f>
        <v>interactive한 UI 구성이 불가능하고, 병렬적이지 않으므로 Performance가 종합적으로 나빠 UX도 좋지 않다.</v>
      </c>
      <c r="D51" s="20" t="str">
        <f>Human!D$12</f>
        <v>0</v>
      </c>
      <c r="E51" s="22" t="str">
        <f>Human!E$12</f>
        <v>처리 성능이나 응답 속도를 통해 사용자 경험에 간접적인 영향을 줄 수는 있지만, Pipe and Filter 자체는 사용자 인터페이스나 조작 방식을 결정하지 않으므로 Usability에 대한 직접 영향은 중립적이다.</v>
      </c>
      <c r="F51" s="20" t="str">
        <f>Human!F$12</f>
        <v>+</v>
      </c>
      <c r="G51" s="22" t="str">
        <f>Human!G$12</f>
        <v>자동으로 타겟에 가까워지므로 사용자가 원하는 작업을 쉽게 완수할 수 있다./ 입력에 따른 출력이 바로 보이기 때문에 +</v>
      </c>
      <c r="H51" s="9"/>
    </row>
    <row r="52" ht="15.75" customHeight="1">
      <c r="C52" s="9"/>
      <c r="D52" s="9"/>
      <c r="E52" s="9"/>
      <c r="F52" s="9"/>
      <c r="G52" s="9"/>
      <c r="H52" s="9"/>
    </row>
    <row r="53" ht="15.75" customHeight="1">
      <c r="C53" s="9"/>
      <c r="D53" s="9"/>
      <c r="E53" s="9"/>
      <c r="F53" s="9"/>
      <c r="G53" s="9"/>
      <c r="H53" s="9"/>
    </row>
    <row r="54" ht="15.75" customHeight="1">
      <c r="C54" s="9"/>
      <c r="D54" s="9"/>
      <c r="E54" s="9"/>
      <c r="F54" s="9"/>
      <c r="G54" s="9"/>
      <c r="H54" s="9"/>
    </row>
    <row r="55" ht="15.75" customHeight="1">
      <c r="C55" s="9"/>
      <c r="D55" s="9"/>
      <c r="E55" s="9"/>
      <c r="F55" s="9"/>
      <c r="G55" s="9"/>
      <c r="H55" s="9"/>
    </row>
    <row r="56" ht="15.75" customHeight="1">
      <c r="C56" s="9"/>
      <c r="D56" s="9"/>
      <c r="E56" s="9"/>
      <c r="F56" s="9"/>
      <c r="G56" s="9"/>
      <c r="H56" s="9"/>
    </row>
    <row r="57" ht="15.75" customHeight="1">
      <c r="C57" s="9"/>
      <c r="D57" s="9"/>
      <c r="E57" s="9"/>
      <c r="F57" s="9"/>
      <c r="G57" s="9"/>
      <c r="H57" s="9"/>
    </row>
    <row r="58" ht="15.75" customHeight="1">
      <c r="C58" s="9"/>
      <c r="D58" s="9"/>
      <c r="E58" s="9"/>
      <c r="F58" s="9"/>
      <c r="G58" s="9"/>
      <c r="H58" s="9"/>
    </row>
    <row r="59" ht="15.75" customHeight="1">
      <c r="C59" s="9"/>
      <c r="D59" s="9"/>
      <c r="E59" s="9"/>
      <c r="F59" s="9"/>
      <c r="G59" s="9"/>
      <c r="H59" s="9"/>
    </row>
    <row r="60" ht="15.75" customHeight="1">
      <c r="C60" s="9"/>
      <c r="D60" s="9"/>
      <c r="E60" s="9"/>
      <c r="F60" s="9"/>
      <c r="G60" s="9"/>
      <c r="H60" s="9"/>
    </row>
    <row r="61" ht="15.75" customHeight="1">
      <c r="C61" s="9"/>
      <c r="D61" s="9"/>
      <c r="E61" s="9"/>
      <c r="F61" s="9"/>
      <c r="G61" s="9"/>
      <c r="H61" s="9"/>
    </row>
    <row r="62" ht="15.75" customHeight="1">
      <c r="C62" s="9"/>
      <c r="D62" s="9"/>
      <c r="E62" s="9"/>
      <c r="F62" s="9"/>
      <c r="G62" s="9"/>
      <c r="H62" s="9"/>
    </row>
    <row r="63" ht="15.75" customHeight="1">
      <c r="C63" s="9"/>
      <c r="D63" s="9"/>
      <c r="E63" s="9"/>
      <c r="F63" s="9"/>
      <c r="G63" s="9"/>
      <c r="H63" s="9"/>
    </row>
    <row r="64" ht="15.75" customHeight="1">
      <c r="C64" s="9"/>
      <c r="D64" s="9"/>
      <c r="E64" s="9"/>
      <c r="F64" s="9"/>
      <c r="G64" s="9"/>
      <c r="H64" s="9"/>
    </row>
    <row r="65" ht="15.75" customHeight="1">
      <c r="C65" s="9"/>
      <c r="D65" s="9"/>
      <c r="E65" s="9"/>
      <c r="F65" s="9"/>
      <c r="G65" s="9"/>
      <c r="H65" s="9"/>
    </row>
    <row r="66" ht="15.75" customHeight="1">
      <c r="C66" s="9"/>
      <c r="D66" s="9"/>
      <c r="E66" s="9"/>
      <c r="F66" s="9"/>
      <c r="G66" s="9"/>
      <c r="H66" s="9"/>
    </row>
    <row r="67" ht="15.75" customHeight="1">
      <c r="C67" s="9"/>
      <c r="D67" s="9"/>
      <c r="E67" s="9"/>
      <c r="F67" s="9"/>
      <c r="G67" s="9"/>
      <c r="H67" s="9"/>
    </row>
    <row r="68" ht="15.75" customHeight="1">
      <c r="C68" s="9"/>
      <c r="D68" s="9"/>
      <c r="E68" s="9"/>
      <c r="F68" s="9"/>
      <c r="G68" s="9"/>
      <c r="H68" s="9"/>
    </row>
    <row r="69" ht="15.75" customHeight="1">
      <c r="C69" s="9"/>
      <c r="D69" s="9"/>
      <c r="E69" s="9"/>
      <c r="F69" s="9"/>
      <c r="G69" s="9"/>
      <c r="H69" s="9"/>
    </row>
    <row r="70" ht="15.75" customHeight="1">
      <c r="C70" s="9"/>
      <c r="D70" s="9"/>
      <c r="E70" s="9"/>
      <c r="F70" s="9"/>
      <c r="G70" s="9"/>
      <c r="H70" s="9"/>
    </row>
    <row r="71" ht="15.75" customHeight="1">
      <c r="C71" s="9"/>
      <c r="D71" s="9"/>
      <c r="E71" s="9"/>
      <c r="F71" s="9"/>
      <c r="G71" s="9"/>
      <c r="H71" s="9"/>
    </row>
    <row r="72" ht="15.75" customHeight="1">
      <c r="C72" s="9"/>
      <c r="D72" s="9"/>
      <c r="E72" s="9"/>
      <c r="F72" s="9"/>
      <c r="G72" s="9"/>
      <c r="H72" s="9"/>
    </row>
    <row r="73" ht="15.75" customHeight="1">
      <c r="C73" s="9"/>
      <c r="D73" s="9"/>
      <c r="E73" s="9"/>
      <c r="F73" s="9"/>
      <c r="G73" s="9"/>
      <c r="H73" s="9"/>
    </row>
    <row r="74" ht="15.75" customHeight="1">
      <c r="C74" s="9"/>
      <c r="D74" s="9"/>
      <c r="E74" s="9"/>
      <c r="F74" s="9"/>
      <c r="G74" s="9"/>
      <c r="H74" s="9"/>
    </row>
    <row r="75" ht="15.75" customHeight="1">
      <c r="C75" s="9"/>
      <c r="D75" s="9"/>
      <c r="E75" s="9"/>
      <c r="F75" s="9"/>
      <c r="G75" s="9"/>
      <c r="H75" s="9"/>
    </row>
    <row r="76" ht="15.75" customHeight="1">
      <c r="C76" s="9"/>
      <c r="D76" s="9"/>
      <c r="E76" s="9"/>
      <c r="F76" s="9"/>
      <c r="G76" s="9"/>
      <c r="H76" s="9"/>
    </row>
    <row r="77" ht="15.75" customHeight="1">
      <c r="C77" s="9"/>
      <c r="D77" s="9"/>
      <c r="E77" s="9"/>
      <c r="F77" s="9"/>
      <c r="G77" s="9"/>
      <c r="H77" s="9"/>
    </row>
    <row r="78" ht="15.75" customHeight="1">
      <c r="C78" s="9"/>
      <c r="D78" s="9"/>
      <c r="E78" s="9"/>
      <c r="F78" s="9"/>
      <c r="G78" s="9"/>
      <c r="H78" s="9"/>
    </row>
    <row r="79" ht="15.75" customHeight="1">
      <c r="C79" s="9"/>
      <c r="D79" s="9"/>
      <c r="E79" s="9"/>
      <c r="F79" s="9"/>
      <c r="G79" s="9"/>
      <c r="H79" s="9"/>
    </row>
    <row r="80" ht="15.75" customHeight="1">
      <c r="C80" s="9"/>
      <c r="D80" s="9"/>
      <c r="E80" s="9"/>
      <c r="F80" s="9"/>
      <c r="G80" s="9"/>
      <c r="H80" s="9"/>
    </row>
    <row r="81" ht="15.75" customHeight="1">
      <c r="C81" s="9"/>
      <c r="D81" s="9"/>
      <c r="E81" s="9"/>
      <c r="F81" s="9"/>
      <c r="G81" s="9"/>
      <c r="H81" s="9"/>
    </row>
    <row r="82" ht="15.75" customHeight="1">
      <c r="C82" s="9"/>
      <c r="D82" s="9"/>
      <c r="E82" s="9"/>
      <c r="F82" s="9"/>
      <c r="G82" s="9"/>
      <c r="H82" s="9"/>
    </row>
    <row r="83" ht="15.75" customHeight="1">
      <c r="C83" s="9"/>
      <c r="D83" s="9"/>
      <c r="E83" s="9"/>
      <c r="F83" s="9"/>
      <c r="G83" s="9"/>
      <c r="H83" s="9"/>
    </row>
    <row r="84" ht="15.75" customHeight="1">
      <c r="C84" s="9"/>
      <c r="D84" s="9"/>
      <c r="E84" s="9"/>
      <c r="F84" s="9"/>
      <c r="G84" s="9"/>
      <c r="H84" s="9"/>
    </row>
    <row r="85" ht="15.75" customHeight="1">
      <c r="C85" s="9"/>
      <c r="D85" s="9"/>
      <c r="E85" s="9"/>
      <c r="F85" s="9"/>
      <c r="G85" s="9"/>
      <c r="H85" s="9"/>
    </row>
    <row r="86" ht="15.75" customHeight="1">
      <c r="C86" s="9"/>
      <c r="D86" s="9"/>
      <c r="E86" s="9"/>
      <c r="F86" s="9"/>
      <c r="G86" s="9"/>
      <c r="H86" s="9"/>
    </row>
    <row r="87" ht="15.75" customHeight="1">
      <c r="C87" s="9"/>
      <c r="D87" s="9"/>
      <c r="E87" s="9"/>
      <c r="F87" s="9"/>
      <c r="G87" s="9"/>
      <c r="H87" s="9"/>
    </row>
    <row r="88" ht="15.75" customHeight="1">
      <c r="C88" s="9"/>
      <c r="D88" s="9"/>
      <c r="E88" s="9"/>
      <c r="F88" s="9"/>
      <c r="G88" s="9"/>
      <c r="H88" s="9"/>
    </row>
    <row r="89" ht="15.75" customHeight="1">
      <c r="C89" s="9"/>
      <c r="D89" s="9"/>
      <c r="E89" s="9"/>
      <c r="F89" s="9"/>
      <c r="G89" s="9"/>
      <c r="H89" s="9"/>
    </row>
    <row r="90" ht="15.75" customHeight="1">
      <c r="C90" s="9"/>
      <c r="D90" s="9"/>
      <c r="E90" s="9"/>
      <c r="F90" s="9"/>
      <c r="G90" s="9"/>
      <c r="H90" s="9"/>
    </row>
    <row r="91" ht="15.75" customHeight="1">
      <c r="C91" s="9"/>
      <c r="D91" s="9"/>
      <c r="E91" s="9"/>
      <c r="F91" s="9"/>
      <c r="G91" s="9"/>
      <c r="H91" s="9"/>
    </row>
    <row r="92" ht="15.75" customHeight="1">
      <c r="C92" s="9"/>
      <c r="D92" s="9"/>
      <c r="E92" s="9"/>
      <c r="F92" s="9"/>
      <c r="G92" s="9"/>
      <c r="H92" s="9"/>
    </row>
    <row r="93" ht="15.75" customHeight="1">
      <c r="C93" s="9"/>
      <c r="D93" s="9"/>
      <c r="E93" s="9"/>
      <c r="F93" s="9"/>
      <c r="G93" s="9"/>
      <c r="H93" s="9"/>
    </row>
    <row r="94" ht="15.75" customHeight="1">
      <c r="C94" s="9"/>
      <c r="D94" s="9"/>
      <c r="E94" s="9"/>
      <c r="F94" s="9"/>
      <c r="G94" s="9"/>
      <c r="H94" s="9"/>
    </row>
    <row r="95" ht="15.75" customHeight="1">
      <c r="C95" s="9"/>
      <c r="D95" s="9"/>
      <c r="E95" s="9"/>
      <c r="F95" s="9"/>
      <c r="G95" s="9"/>
      <c r="H95" s="9"/>
    </row>
    <row r="96" ht="15.75" customHeight="1">
      <c r="C96" s="9"/>
      <c r="D96" s="9"/>
      <c r="E96" s="9"/>
      <c r="F96" s="9"/>
      <c r="G96" s="9"/>
      <c r="H96" s="9"/>
    </row>
    <row r="97" ht="15.75" customHeight="1">
      <c r="C97" s="9"/>
      <c r="D97" s="9"/>
      <c r="E97" s="9"/>
      <c r="F97" s="9"/>
      <c r="G97" s="9"/>
      <c r="H97" s="9"/>
    </row>
    <row r="98" ht="15.75" customHeight="1">
      <c r="C98" s="9"/>
      <c r="D98" s="9"/>
      <c r="E98" s="9"/>
      <c r="F98" s="9"/>
      <c r="G98" s="9"/>
      <c r="H98" s="9"/>
    </row>
    <row r="99" ht="15.75" customHeight="1">
      <c r="C99" s="9"/>
      <c r="D99" s="9"/>
      <c r="E99" s="9"/>
      <c r="F99" s="9"/>
      <c r="G99" s="9"/>
      <c r="H99" s="9"/>
    </row>
    <row r="100" ht="15.75" customHeight="1">
      <c r="C100" s="9"/>
      <c r="D100" s="9"/>
      <c r="E100" s="9"/>
      <c r="F100" s="9"/>
      <c r="G100" s="9"/>
      <c r="H100" s="9"/>
    </row>
    <row r="101" ht="15.75" customHeight="1">
      <c r="C101" s="9"/>
      <c r="D101" s="9"/>
      <c r="E101" s="9"/>
      <c r="F101" s="9"/>
      <c r="G101" s="9"/>
      <c r="H101" s="9"/>
    </row>
    <row r="102" ht="15.75" customHeight="1">
      <c r="C102" s="9"/>
      <c r="D102" s="9"/>
      <c r="E102" s="9"/>
      <c r="F102" s="9"/>
      <c r="G102" s="9"/>
      <c r="H102" s="9"/>
    </row>
    <row r="103" ht="15.75" customHeight="1">
      <c r="C103" s="9"/>
      <c r="D103" s="9"/>
      <c r="E103" s="9"/>
      <c r="F103" s="9"/>
      <c r="G103" s="9"/>
      <c r="H103" s="9"/>
    </row>
    <row r="104" ht="15.75" customHeight="1">
      <c r="C104" s="9"/>
      <c r="D104" s="9"/>
      <c r="E104" s="9"/>
      <c r="F104" s="9"/>
      <c r="G104" s="9"/>
      <c r="H104" s="9"/>
    </row>
    <row r="105" ht="15.75" customHeight="1">
      <c r="C105" s="9"/>
      <c r="D105" s="9"/>
      <c r="E105" s="9"/>
      <c r="F105" s="9"/>
      <c r="G105" s="9"/>
      <c r="H105" s="9"/>
    </row>
    <row r="106" ht="15.75" customHeight="1">
      <c r="C106" s="9"/>
      <c r="D106" s="9"/>
      <c r="E106" s="9"/>
      <c r="F106" s="9"/>
      <c r="G106" s="9"/>
      <c r="H106" s="9"/>
    </row>
    <row r="107" ht="15.75" customHeight="1">
      <c r="C107" s="9"/>
      <c r="D107" s="9"/>
      <c r="E107" s="9"/>
      <c r="F107" s="9"/>
      <c r="G107" s="9"/>
      <c r="H107" s="9"/>
    </row>
    <row r="108" ht="15.75" customHeight="1">
      <c r="C108" s="9"/>
      <c r="D108" s="9"/>
      <c r="E108" s="9"/>
      <c r="F108" s="9"/>
      <c r="G108" s="9"/>
      <c r="H108" s="9"/>
    </row>
    <row r="109" ht="15.75" customHeight="1">
      <c r="C109" s="9"/>
      <c r="D109" s="9"/>
      <c r="E109" s="9"/>
      <c r="F109" s="9"/>
      <c r="G109" s="9"/>
      <c r="H109" s="9"/>
    </row>
    <row r="110" ht="15.75" customHeight="1">
      <c r="C110" s="9"/>
      <c r="D110" s="9"/>
      <c r="E110" s="9"/>
      <c r="F110" s="9"/>
      <c r="G110" s="9"/>
      <c r="H110" s="9"/>
    </row>
    <row r="111" ht="15.75" customHeight="1">
      <c r="C111" s="9"/>
      <c r="D111" s="9"/>
      <c r="E111" s="9"/>
      <c r="F111" s="9"/>
      <c r="G111" s="9"/>
      <c r="H111" s="9"/>
    </row>
    <row r="112" ht="15.75" customHeight="1">
      <c r="C112" s="9"/>
      <c r="D112" s="9"/>
      <c r="E112" s="9"/>
      <c r="F112" s="9"/>
      <c r="G112" s="9"/>
      <c r="H112" s="9"/>
    </row>
    <row r="113" ht="15.75" customHeight="1">
      <c r="C113" s="9"/>
      <c r="D113" s="9"/>
      <c r="E113" s="9"/>
      <c r="F113" s="9"/>
      <c r="G113" s="9"/>
      <c r="H113" s="9"/>
    </row>
    <row r="114" ht="15.75" customHeight="1">
      <c r="C114" s="9"/>
      <c r="D114" s="9"/>
      <c r="E114" s="9"/>
      <c r="F114" s="9"/>
      <c r="G114" s="9"/>
      <c r="H114" s="9"/>
    </row>
    <row r="115" ht="15.75" customHeight="1">
      <c r="C115" s="9"/>
      <c r="D115" s="9"/>
      <c r="E115" s="9"/>
      <c r="F115" s="9"/>
      <c r="G115" s="9"/>
      <c r="H115" s="9"/>
    </row>
    <row r="116" ht="15.75" customHeight="1">
      <c r="C116" s="9"/>
      <c r="D116" s="9"/>
      <c r="E116" s="9"/>
      <c r="F116" s="9"/>
      <c r="G116" s="9"/>
      <c r="H116" s="9"/>
    </row>
    <row r="117" ht="15.75" customHeight="1">
      <c r="C117" s="9"/>
      <c r="D117" s="9"/>
      <c r="E117" s="9"/>
      <c r="F117" s="9"/>
      <c r="G117" s="9"/>
      <c r="H117" s="9"/>
    </row>
    <row r="118" ht="15.75" customHeight="1">
      <c r="C118" s="9"/>
      <c r="D118" s="9"/>
      <c r="E118" s="9"/>
      <c r="F118" s="9"/>
      <c r="G118" s="9"/>
      <c r="H118" s="9"/>
    </row>
    <row r="119" ht="15.75" customHeight="1">
      <c r="C119" s="9"/>
      <c r="D119" s="9"/>
      <c r="E119" s="9"/>
      <c r="F119" s="9"/>
      <c r="G119" s="9"/>
      <c r="H119" s="9"/>
    </row>
    <row r="120" ht="15.75" customHeight="1">
      <c r="C120" s="9"/>
      <c r="D120" s="9"/>
      <c r="E120" s="9"/>
      <c r="F120" s="9"/>
      <c r="G120" s="9"/>
      <c r="H120" s="9"/>
    </row>
    <row r="121" ht="15.75" customHeight="1">
      <c r="C121" s="9"/>
      <c r="D121" s="9"/>
      <c r="E121" s="9"/>
      <c r="F121" s="9"/>
      <c r="G121" s="9"/>
      <c r="H121" s="9"/>
    </row>
    <row r="122" ht="15.75" customHeight="1">
      <c r="C122" s="9"/>
      <c r="D122" s="9"/>
      <c r="E122" s="9"/>
      <c r="F122" s="9"/>
      <c r="G122" s="9"/>
      <c r="H122" s="9"/>
    </row>
    <row r="123" ht="15.75" customHeight="1">
      <c r="C123" s="9"/>
      <c r="D123" s="9"/>
      <c r="E123" s="9"/>
      <c r="F123" s="9"/>
      <c r="G123" s="9"/>
      <c r="H123" s="9"/>
    </row>
    <row r="124" ht="15.75" customHeight="1">
      <c r="C124" s="9"/>
      <c r="D124" s="9"/>
      <c r="E124" s="9"/>
      <c r="F124" s="9"/>
      <c r="G124" s="9"/>
      <c r="H124" s="9"/>
    </row>
    <row r="125" ht="15.75" customHeight="1">
      <c r="C125" s="9"/>
      <c r="D125" s="9"/>
      <c r="E125" s="9"/>
      <c r="F125" s="9"/>
      <c r="G125" s="9"/>
      <c r="H125" s="9"/>
    </row>
    <row r="126" ht="15.75" customHeight="1">
      <c r="C126" s="9"/>
      <c r="D126" s="9"/>
      <c r="E126" s="9"/>
      <c r="F126" s="9"/>
      <c r="G126" s="9"/>
      <c r="H126" s="9"/>
    </row>
    <row r="127" ht="15.75" customHeight="1">
      <c r="C127" s="9"/>
      <c r="D127" s="9"/>
      <c r="E127" s="9"/>
      <c r="F127" s="9"/>
      <c r="G127" s="9"/>
      <c r="H127" s="9"/>
    </row>
    <row r="128" ht="15.75" customHeight="1">
      <c r="C128" s="9"/>
      <c r="D128" s="9"/>
      <c r="E128" s="9"/>
      <c r="F128" s="9"/>
      <c r="G128" s="9"/>
      <c r="H128" s="9"/>
    </row>
    <row r="129" ht="15.75" customHeight="1">
      <c r="C129" s="9"/>
      <c r="D129" s="9"/>
      <c r="E129" s="9"/>
      <c r="F129" s="9"/>
      <c r="G129" s="9"/>
      <c r="H129" s="9"/>
    </row>
    <row r="130" ht="15.75" customHeight="1">
      <c r="C130" s="9"/>
      <c r="D130" s="9"/>
      <c r="E130" s="9"/>
      <c r="F130" s="9"/>
      <c r="G130" s="9"/>
      <c r="H130" s="9"/>
    </row>
    <row r="131" ht="15.75" customHeight="1">
      <c r="C131" s="9"/>
      <c r="D131" s="9"/>
      <c r="E131" s="9"/>
      <c r="F131" s="9"/>
      <c r="G131" s="9"/>
      <c r="H131" s="9"/>
    </row>
    <row r="132" ht="15.75" customHeight="1">
      <c r="C132" s="9"/>
      <c r="D132" s="9"/>
      <c r="E132" s="9"/>
      <c r="F132" s="9"/>
      <c r="G132" s="9"/>
      <c r="H132" s="9"/>
    </row>
    <row r="133" ht="15.75" customHeight="1">
      <c r="C133" s="9"/>
      <c r="D133" s="9"/>
      <c r="E133" s="9"/>
      <c r="F133" s="9"/>
      <c r="G133" s="9"/>
      <c r="H133" s="9"/>
    </row>
    <row r="134" ht="15.75" customHeight="1">
      <c r="C134" s="9"/>
      <c r="D134" s="9"/>
      <c r="E134" s="9"/>
      <c r="F134" s="9"/>
      <c r="G134" s="9"/>
      <c r="H134" s="9"/>
    </row>
    <row r="135" ht="15.75" customHeight="1">
      <c r="C135" s="9"/>
      <c r="D135" s="9"/>
      <c r="E135" s="9"/>
      <c r="F135" s="9"/>
      <c r="G135" s="9"/>
      <c r="H135" s="9"/>
    </row>
    <row r="136" ht="15.75" customHeight="1">
      <c r="C136" s="9"/>
      <c r="D136" s="9"/>
      <c r="E136" s="9"/>
      <c r="F136" s="9"/>
      <c r="G136" s="9"/>
      <c r="H136" s="9"/>
    </row>
    <row r="137" ht="15.75" customHeight="1">
      <c r="C137" s="9"/>
      <c r="D137" s="9"/>
      <c r="E137" s="9"/>
      <c r="F137" s="9"/>
      <c r="G137" s="9"/>
      <c r="H137" s="9"/>
    </row>
    <row r="138" ht="15.75" customHeight="1">
      <c r="C138" s="9"/>
      <c r="D138" s="9"/>
      <c r="E138" s="9"/>
      <c r="F138" s="9"/>
      <c r="G138" s="9"/>
      <c r="H138" s="9"/>
    </row>
    <row r="139" ht="15.75" customHeight="1">
      <c r="C139" s="9"/>
      <c r="D139" s="9"/>
      <c r="E139" s="9"/>
      <c r="F139" s="9"/>
      <c r="G139" s="9"/>
      <c r="H139" s="9"/>
    </row>
    <row r="140" ht="15.75" customHeight="1">
      <c r="C140" s="9"/>
      <c r="D140" s="9"/>
      <c r="E140" s="9"/>
      <c r="F140" s="9"/>
      <c r="G140" s="9"/>
      <c r="H140" s="9"/>
    </row>
    <row r="141" ht="15.75" customHeight="1">
      <c r="C141" s="9"/>
      <c r="D141" s="9"/>
      <c r="E141" s="9"/>
      <c r="F141" s="9"/>
      <c r="G141" s="9"/>
      <c r="H141" s="9"/>
    </row>
    <row r="142" ht="15.75" customHeight="1">
      <c r="C142" s="9"/>
      <c r="D142" s="9"/>
      <c r="E142" s="9"/>
      <c r="F142" s="9"/>
      <c r="G142" s="9"/>
      <c r="H142" s="9"/>
    </row>
    <row r="143" ht="15.75" customHeight="1">
      <c r="C143" s="9"/>
      <c r="D143" s="9"/>
      <c r="E143" s="9"/>
      <c r="F143" s="9"/>
      <c r="G143" s="9"/>
      <c r="H143" s="9"/>
    </row>
    <row r="144" ht="15.75" customHeight="1">
      <c r="C144" s="9"/>
      <c r="D144" s="9"/>
      <c r="E144" s="9"/>
      <c r="F144" s="9"/>
      <c r="G144" s="9"/>
      <c r="H144" s="9"/>
    </row>
    <row r="145" ht="15.75" customHeight="1">
      <c r="C145" s="9"/>
      <c r="D145" s="9"/>
      <c r="E145" s="9"/>
      <c r="F145" s="9"/>
      <c r="G145" s="9"/>
      <c r="H145" s="9"/>
    </row>
    <row r="146" ht="15.75" customHeight="1">
      <c r="C146" s="9"/>
      <c r="D146" s="9"/>
      <c r="E146" s="9"/>
      <c r="F146" s="9"/>
      <c r="G146" s="9"/>
      <c r="H146" s="9"/>
    </row>
    <row r="147" ht="15.75" customHeight="1">
      <c r="C147" s="9"/>
      <c r="D147" s="9"/>
      <c r="E147" s="9"/>
      <c r="F147" s="9"/>
      <c r="G147" s="9"/>
      <c r="H147" s="9"/>
    </row>
    <row r="148" ht="15.75" customHeight="1">
      <c r="C148" s="9"/>
      <c r="D148" s="9"/>
      <c r="E148" s="9"/>
      <c r="F148" s="9"/>
      <c r="G148" s="9"/>
      <c r="H148" s="9"/>
    </row>
    <row r="149" ht="15.75" customHeight="1">
      <c r="C149" s="9"/>
      <c r="D149" s="9"/>
      <c r="E149" s="9"/>
      <c r="F149" s="9"/>
      <c r="G149" s="9"/>
      <c r="H149" s="9"/>
    </row>
    <row r="150" ht="15.75" customHeight="1">
      <c r="C150" s="9"/>
      <c r="D150" s="9"/>
      <c r="E150" s="9"/>
      <c r="F150" s="9"/>
      <c r="G150" s="9"/>
      <c r="H150" s="9"/>
    </row>
    <row r="151" ht="15.75" customHeight="1">
      <c r="C151" s="9"/>
      <c r="D151" s="9"/>
      <c r="E151" s="9"/>
      <c r="F151" s="9"/>
      <c r="G151" s="9"/>
      <c r="H151" s="9"/>
    </row>
    <row r="152" ht="15.75" customHeight="1">
      <c r="C152" s="9"/>
      <c r="D152" s="9"/>
      <c r="E152" s="9"/>
      <c r="F152" s="9"/>
      <c r="G152" s="9"/>
      <c r="H152" s="9"/>
    </row>
    <row r="153" ht="15.75" customHeight="1">
      <c r="C153" s="9"/>
      <c r="D153" s="9"/>
      <c r="E153" s="9"/>
      <c r="F153" s="9"/>
      <c r="G153" s="9"/>
      <c r="H153" s="9"/>
    </row>
    <row r="154" ht="15.75" customHeight="1">
      <c r="C154" s="9"/>
      <c r="D154" s="9"/>
      <c r="E154" s="9"/>
      <c r="F154" s="9"/>
      <c r="G154" s="9"/>
      <c r="H154" s="9"/>
    </row>
    <row r="155" ht="15.75" customHeight="1">
      <c r="C155" s="9"/>
      <c r="D155" s="9"/>
      <c r="E155" s="9"/>
      <c r="F155" s="9"/>
      <c r="G155" s="9"/>
      <c r="H155" s="9"/>
    </row>
    <row r="156" ht="15.75" customHeight="1">
      <c r="C156" s="9"/>
      <c r="D156" s="9"/>
      <c r="E156" s="9"/>
      <c r="F156" s="9"/>
      <c r="G156" s="9"/>
      <c r="H156" s="9"/>
    </row>
    <row r="157" ht="15.75" customHeight="1">
      <c r="C157" s="9"/>
      <c r="D157" s="9"/>
      <c r="E157" s="9"/>
      <c r="F157" s="9"/>
      <c r="G157" s="9"/>
      <c r="H157" s="9"/>
    </row>
    <row r="158" ht="15.75" customHeight="1">
      <c r="C158" s="9"/>
      <c r="D158" s="9"/>
      <c r="E158" s="9"/>
      <c r="F158" s="9"/>
      <c r="G158" s="9"/>
      <c r="H158" s="9"/>
    </row>
    <row r="159" ht="15.75" customHeight="1">
      <c r="C159" s="9"/>
      <c r="D159" s="9"/>
      <c r="E159" s="9"/>
      <c r="F159" s="9"/>
      <c r="G159" s="9"/>
      <c r="H159" s="9"/>
    </row>
    <row r="160" ht="15.75" customHeight="1">
      <c r="C160" s="9"/>
      <c r="D160" s="9"/>
      <c r="E160" s="9"/>
      <c r="F160" s="9"/>
      <c r="G160" s="9"/>
      <c r="H160" s="9"/>
    </row>
    <row r="161" ht="15.75" customHeight="1">
      <c r="C161" s="9"/>
      <c r="D161" s="9"/>
      <c r="E161" s="9"/>
      <c r="F161" s="9"/>
      <c r="G161" s="9"/>
      <c r="H161" s="9"/>
    </row>
    <row r="162" ht="15.75" customHeight="1">
      <c r="C162" s="9"/>
      <c r="D162" s="9"/>
      <c r="E162" s="9"/>
      <c r="F162" s="9"/>
      <c r="G162" s="9"/>
      <c r="H162" s="9"/>
    </row>
    <row r="163" ht="15.75" customHeight="1">
      <c r="C163" s="9"/>
      <c r="D163" s="9"/>
      <c r="E163" s="9"/>
      <c r="F163" s="9"/>
      <c r="G163" s="9"/>
      <c r="H163" s="9"/>
    </row>
    <row r="164" ht="15.75" customHeight="1">
      <c r="C164" s="9"/>
      <c r="D164" s="9"/>
      <c r="E164" s="9"/>
      <c r="F164" s="9"/>
      <c r="G164" s="9"/>
      <c r="H164" s="9"/>
    </row>
    <row r="165" ht="15.75" customHeight="1">
      <c r="C165" s="9"/>
      <c r="D165" s="9"/>
      <c r="E165" s="9"/>
      <c r="F165" s="9"/>
      <c r="G165" s="9"/>
      <c r="H165" s="9"/>
    </row>
    <row r="166" ht="15.75" customHeight="1">
      <c r="C166" s="9"/>
      <c r="D166" s="9"/>
      <c r="E166" s="9"/>
      <c r="F166" s="9"/>
      <c r="G166" s="9"/>
      <c r="H166" s="9"/>
    </row>
    <row r="167" ht="15.75" customHeight="1">
      <c r="C167" s="9"/>
      <c r="D167" s="9"/>
      <c r="E167" s="9"/>
      <c r="F167" s="9"/>
      <c r="G167" s="9"/>
      <c r="H167" s="9"/>
    </row>
    <row r="168" ht="15.75" customHeight="1">
      <c r="C168" s="9"/>
      <c r="D168" s="9"/>
      <c r="E168" s="9"/>
      <c r="F168" s="9"/>
      <c r="G168" s="9"/>
      <c r="H168" s="9"/>
    </row>
    <row r="169" ht="15.75" customHeight="1">
      <c r="C169" s="9"/>
      <c r="D169" s="9"/>
      <c r="E169" s="9"/>
      <c r="F169" s="9"/>
      <c r="G169" s="9"/>
      <c r="H169" s="9"/>
    </row>
    <row r="170" ht="15.75" customHeight="1">
      <c r="C170" s="9"/>
      <c r="D170" s="9"/>
      <c r="E170" s="9"/>
      <c r="F170" s="9"/>
      <c r="G170" s="9"/>
      <c r="H170" s="9"/>
    </row>
    <row r="171" ht="15.75" customHeight="1">
      <c r="C171" s="9"/>
      <c r="D171" s="9"/>
      <c r="E171" s="9"/>
      <c r="F171" s="9"/>
      <c r="G171" s="9"/>
      <c r="H171" s="9"/>
    </row>
    <row r="172" ht="15.75" customHeight="1">
      <c r="C172" s="9"/>
      <c r="D172" s="9"/>
      <c r="E172" s="9"/>
      <c r="F172" s="9"/>
      <c r="G172" s="9"/>
      <c r="H172" s="9"/>
    </row>
    <row r="173" ht="15.75" customHeight="1">
      <c r="C173" s="9"/>
      <c r="D173" s="9"/>
      <c r="E173" s="9"/>
      <c r="F173" s="9"/>
      <c r="G173" s="9"/>
      <c r="H173" s="9"/>
    </row>
    <row r="174" ht="15.75" customHeight="1">
      <c r="C174" s="9"/>
      <c r="D174" s="9"/>
      <c r="E174" s="9"/>
      <c r="F174" s="9"/>
      <c r="G174" s="9"/>
      <c r="H174" s="9"/>
    </row>
    <row r="175" ht="15.75" customHeight="1">
      <c r="C175" s="9"/>
      <c r="D175" s="9"/>
      <c r="E175" s="9"/>
      <c r="F175" s="9"/>
      <c r="G175" s="9"/>
      <c r="H175" s="9"/>
    </row>
    <row r="176" ht="15.75" customHeight="1">
      <c r="C176" s="9"/>
      <c r="D176" s="9"/>
      <c r="E176" s="9"/>
      <c r="F176" s="9"/>
      <c r="G176" s="9"/>
      <c r="H176" s="9"/>
    </row>
    <row r="177" ht="15.75" customHeight="1">
      <c r="C177" s="9"/>
      <c r="D177" s="9"/>
      <c r="E177" s="9"/>
      <c r="F177" s="9"/>
      <c r="G177" s="9"/>
      <c r="H177" s="9"/>
    </row>
    <row r="178" ht="15.75" customHeight="1">
      <c r="C178" s="9"/>
      <c r="D178" s="9"/>
      <c r="E178" s="9"/>
      <c r="F178" s="9"/>
      <c r="G178" s="9"/>
      <c r="H178" s="9"/>
    </row>
    <row r="179" ht="15.75" customHeight="1">
      <c r="C179" s="9"/>
      <c r="D179" s="9"/>
      <c r="E179" s="9"/>
      <c r="F179" s="9"/>
      <c r="G179" s="9"/>
      <c r="H179" s="9"/>
    </row>
    <row r="180" ht="15.75" customHeight="1">
      <c r="C180" s="9"/>
      <c r="D180" s="9"/>
      <c r="E180" s="9"/>
      <c r="F180" s="9"/>
      <c r="G180" s="9"/>
      <c r="H180" s="9"/>
    </row>
    <row r="181" ht="15.75" customHeight="1">
      <c r="C181" s="9"/>
      <c r="D181" s="9"/>
      <c r="E181" s="9"/>
      <c r="F181" s="9"/>
      <c r="G181" s="9"/>
      <c r="H181" s="9"/>
    </row>
    <row r="182" ht="15.75" customHeight="1">
      <c r="C182" s="9"/>
      <c r="D182" s="9"/>
      <c r="E182" s="9"/>
      <c r="F182" s="9"/>
      <c r="G182" s="9"/>
      <c r="H182" s="9"/>
    </row>
    <row r="183" ht="15.75" customHeight="1">
      <c r="C183" s="9"/>
      <c r="D183" s="9"/>
      <c r="E183" s="9"/>
      <c r="F183" s="9"/>
      <c r="G183" s="9"/>
      <c r="H183" s="9"/>
    </row>
    <row r="184" ht="15.75" customHeight="1">
      <c r="C184" s="9"/>
      <c r="D184" s="9"/>
      <c r="E184" s="9"/>
      <c r="F184" s="9"/>
      <c r="G184" s="9"/>
      <c r="H184" s="9"/>
    </row>
    <row r="185" ht="15.75" customHeight="1">
      <c r="C185" s="9"/>
      <c r="D185" s="9"/>
      <c r="E185" s="9"/>
      <c r="F185" s="9"/>
      <c r="G185" s="9"/>
      <c r="H185" s="9"/>
    </row>
    <row r="186" ht="15.75" customHeight="1">
      <c r="C186" s="9"/>
      <c r="D186" s="9"/>
      <c r="E186" s="9"/>
      <c r="F186" s="9"/>
      <c r="G186" s="9"/>
      <c r="H186" s="9"/>
    </row>
    <row r="187" ht="15.75" customHeight="1">
      <c r="C187" s="9"/>
      <c r="D187" s="9"/>
      <c r="E187" s="9"/>
      <c r="F187" s="9"/>
      <c r="G187" s="9"/>
      <c r="H187" s="9"/>
    </row>
    <row r="188" ht="15.75" customHeight="1">
      <c r="C188" s="9"/>
      <c r="D188" s="9"/>
      <c r="E188" s="9"/>
      <c r="F188" s="9"/>
      <c r="G188" s="9"/>
      <c r="H188" s="9"/>
    </row>
    <row r="189" ht="15.75" customHeight="1">
      <c r="C189" s="9"/>
      <c r="D189" s="9"/>
      <c r="E189" s="9"/>
      <c r="F189" s="9"/>
      <c r="G189" s="9"/>
      <c r="H189" s="9"/>
    </row>
    <row r="190" ht="15.75" customHeight="1">
      <c r="C190" s="9"/>
      <c r="D190" s="9"/>
      <c r="E190" s="9"/>
      <c r="F190" s="9"/>
      <c r="G190" s="9"/>
      <c r="H190" s="9"/>
    </row>
    <row r="191" ht="15.75" customHeight="1">
      <c r="C191" s="9"/>
      <c r="D191" s="9"/>
      <c r="E191" s="9"/>
      <c r="F191" s="9"/>
      <c r="G191" s="9"/>
      <c r="H191" s="9"/>
    </row>
    <row r="192" ht="15.75" customHeight="1">
      <c r="C192" s="9"/>
      <c r="D192" s="9"/>
      <c r="E192" s="9"/>
      <c r="F192" s="9"/>
      <c r="G192" s="9"/>
      <c r="H192" s="9"/>
    </row>
    <row r="193" ht="15.75" customHeight="1">
      <c r="C193" s="9"/>
      <c r="D193" s="9"/>
      <c r="E193" s="9"/>
      <c r="F193" s="9"/>
      <c r="G193" s="9"/>
      <c r="H193" s="9"/>
    </row>
    <row r="194" ht="15.75" customHeight="1">
      <c r="C194" s="9"/>
      <c r="D194" s="9"/>
      <c r="E194" s="9"/>
      <c r="F194" s="9"/>
      <c r="G194" s="9"/>
      <c r="H194" s="9"/>
    </row>
    <row r="195" ht="15.75" customHeight="1">
      <c r="C195" s="9"/>
      <c r="D195" s="9"/>
      <c r="E195" s="9"/>
      <c r="F195" s="9"/>
      <c r="G195" s="9"/>
      <c r="H195" s="9"/>
    </row>
    <row r="196" ht="15.75" customHeight="1">
      <c r="C196" s="9"/>
      <c r="D196" s="9"/>
      <c r="E196" s="9"/>
      <c r="F196" s="9"/>
      <c r="G196" s="9"/>
      <c r="H196" s="9"/>
    </row>
    <row r="197" ht="15.75" customHeight="1">
      <c r="C197" s="9"/>
      <c r="D197" s="9"/>
      <c r="E197" s="9"/>
      <c r="F197" s="9"/>
      <c r="G197" s="9"/>
      <c r="H197" s="9"/>
    </row>
    <row r="198" ht="15.75" customHeight="1">
      <c r="C198" s="9"/>
      <c r="D198" s="9"/>
      <c r="E198" s="9"/>
      <c r="F198" s="9"/>
      <c r="G198" s="9"/>
      <c r="H198" s="9"/>
    </row>
    <row r="199" ht="15.75" customHeight="1">
      <c r="C199" s="9"/>
      <c r="D199" s="9"/>
      <c r="E199" s="9"/>
      <c r="F199" s="9"/>
      <c r="G199" s="9"/>
      <c r="H199" s="9"/>
    </row>
    <row r="200" ht="15.75" customHeight="1">
      <c r="C200" s="9"/>
      <c r="D200" s="9"/>
      <c r="E200" s="9"/>
      <c r="F200" s="9"/>
      <c r="G200" s="9"/>
      <c r="H200" s="9"/>
    </row>
    <row r="201" ht="15.75" customHeight="1">
      <c r="C201" s="9"/>
      <c r="D201" s="9"/>
      <c r="E201" s="9"/>
      <c r="F201" s="9"/>
      <c r="G201" s="9"/>
      <c r="H201" s="9"/>
    </row>
    <row r="202" ht="15.75" customHeight="1">
      <c r="C202" s="9"/>
      <c r="D202" s="9"/>
      <c r="E202" s="9"/>
      <c r="F202" s="9"/>
      <c r="G202" s="9"/>
      <c r="H202" s="9"/>
    </row>
    <row r="203" ht="15.75" customHeight="1">
      <c r="C203" s="9"/>
      <c r="D203" s="9"/>
      <c r="E203" s="9"/>
      <c r="F203" s="9"/>
      <c r="G203" s="9"/>
      <c r="H203" s="9"/>
    </row>
    <row r="204" ht="15.75" customHeight="1">
      <c r="C204" s="9"/>
      <c r="D204" s="9"/>
      <c r="E204" s="9"/>
      <c r="F204" s="9"/>
      <c r="G204" s="9"/>
      <c r="H204" s="9"/>
    </row>
    <row r="205" ht="15.75" customHeight="1">
      <c r="C205" s="9"/>
      <c r="D205" s="9"/>
      <c r="E205" s="9"/>
      <c r="F205" s="9"/>
      <c r="G205" s="9"/>
      <c r="H205" s="9"/>
    </row>
    <row r="206" ht="15.75" customHeight="1">
      <c r="C206" s="9"/>
      <c r="D206" s="9"/>
      <c r="E206" s="9"/>
      <c r="F206" s="9"/>
      <c r="G206" s="9"/>
      <c r="H206" s="9"/>
    </row>
    <row r="207" ht="15.75" customHeight="1">
      <c r="C207" s="9"/>
      <c r="D207" s="9"/>
      <c r="E207" s="9"/>
      <c r="F207" s="9"/>
      <c r="G207" s="9"/>
      <c r="H207" s="9"/>
    </row>
    <row r="208" ht="15.75" customHeight="1">
      <c r="C208" s="9"/>
      <c r="D208" s="9"/>
      <c r="E208" s="9"/>
      <c r="F208" s="9"/>
      <c r="G208" s="9"/>
      <c r="H208" s="9"/>
    </row>
    <row r="209" ht="15.75" customHeight="1">
      <c r="C209" s="9"/>
      <c r="D209" s="9"/>
      <c r="E209" s="9"/>
      <c r="F209" s="9"/>
      <c r="G209" s="9"/>
      <c r="H209" s="9"/>
    </row>
    <row r="210" ht="15.75" customHeight="1">
      <c r="C210" s="9"/>
      <c r="D210" s="9"/>
      <c r="E210" s="9"/>
      <c r="F210" s="9"/>
      <c r="G210" s="9"/>
      <c r="H210" s="9"/>
    </row>
    <row r="211" ht="15.75" customHeight="1">
      <c r="C211" s="9"/>
      <c r="D211" s="9"/>
      <c r="E211" s="9"/>
      <c r="F211" s="9"/>
      <c r="G211" s="9"/>
      <c r="H211" s="9"/>
    </row>
    <row r="212" ht="15.75" customHeight="1">
      <c r="C212" s="9"/>
      <c r="D212" s="9"/>
      <c r="E212" s="9"/>
      <c r="F212" s="9"/>
      <c r="G212" s="9"/>
      <c r="H212" s="9"/>
    </row>
    <row r="213" ht="15.75" customHeight="1">
      <c r="C213" s="9"/>
      <c r="D213" s="9"/>
      <c r="E213" s="9"/>
      <c r="F213" s="9"/>
      <c r="G213" s="9"/>
      <c r="H213" s="9"/>
    </row>
    <row r="214" ht="15.75" customHeight="1">
      <c r="C214" s="9"/>
      <c r="D214" s="9"/>
      <c r="E214" s="9"/>
      <c r="F214" s="9"/>
      <c r="G214" s="9"/>
      <c r="H214" s="9"/>
    </row>
    <row r="215" ht="15.75" customHeight="1">
      <c r="C215" s="9"/>
      <c r="D215" s="9"/>
      <c r="E215" s="9"/>
      <c r="F215" s="9"/>
      <c r="G215" s="9"/>
      <c r="H215" s="9"/>
    </row>
    <row r="216" ht="15.75" customHeight="1">
      <c r="C216" s="9"/>
      <c r="D216" s="9"/>
      <c r="E216" s="9"/>
      <c r="F216" s="9"/>
      <c r="G216" s="9"/>
      <c r="H216" s="9"/>
    </row>
    <row r="217" ht="15.75" customHeight="1">
      <c r="C217" s="9"/>
      <c r="D217" s="9"/>
      <c r="E217" s="9"/>
      <c r="F217" s="9"/>
      <c r="G217" s="9"/>
      <c r="H217" s="9"/>
    </row>
    <row r="218" ht="15.75" customHeight="1">
      <c r="C218" s="9"/>
      <c r="D218" s="9"/>
      <c r="E218" s="9"/>
      <c r="F218" s="9"/>
      <c r="G218" s="9"/>
      <c r="H218" s="9"/>
    </row>
    <row r="219" ht="15.75" customHeight="1">
      <c r="C219" s="9"/>
      <c r="D219" s="9"/>
      <c r="E219" s="9"/>
      <c r="F219" s="9"/>
      <c r="G219" s="9"/>
      <c r="H219" s="9"/>
    </row>
    <row r="220" ht="15.75" customHeight="1">
      <c r="C220" s="9"/>
      <c r="D220" s="9"/>
      <c r="E220" s="9"/>
      <c r="F220" s="9"/>
      <c r="G220" s="9"/>
      <c r="H220" s="9"/>
    </row>
    <row r="221" ht="15.75" customHeight="1">
      <c r="C221" s="9"/>
      <c r="D221" s="9"/>
      <c r="E221" s="9"/>
      <c r="F221" s="9"/>
      <c r="G221" s="9"/>
      <c r="H221" s="9"/>
    </row>
    <row r="222" ht="15.75" customHeight="1">
      <c r="C222" s="9"/>
      <c r="D222" s="9"/>
      <c r="E222" s="9"/>
      <c r="F222" s="9"/>
      <c r="G222" s="9"/>
      <c r="H222" s="9"/>
    </row>
    <row r="223" ht="15.75" customHeight="1">
      <c r="C223" s="9"/>
      <c r="D223" s="9"/>
      <c r="E223" s="9"/>
      <c r="F223" s="9"/>
      <c r="G223" s="9"/>
      <c r="H223" s="9"/>
    </row>
    <row r="224" ht="15.75" customHeight="1">
      <c r="C224" s="9"/>
      <c r="D224" s="9"/>
      <c r="E224" s="9"/>
      <c r="F224" s="9"/>
      <c r="G224" s="9"/>
      <c r="H224" s="9"/>
    </row>
    <row r="225" ht="15.75" customHeight="1">
      <c r="C225" s="9"/>
      <c r="D225" s="9"/>
      <c r="E225" s="9"/>
      <c r="F225" s="9"/>
      <c r="G225" s="9"/>
      <c r="H225" s="9"/>
    </row>
    <row r="226" ht="15.75" customHeight="1">
      <c r="C226" s="9"/>
      <c r="D226" s="9"/>
      <c r="E226" s="9"/>
      <c r="F226" s="9"/>
      <c r="G226" s="9"/>
      <c r="H226" s="9"/>
    </row>
    <row r="227" ht="15.75" customHeight="1">
      <c r="C227" s="9"/>
      <c r="D227" s="9"/>
      <c r="E227" s="9"/>
      <c r="F227" s="9"/>
      <c r="G227" s="9"/>
      <c r="H227" s="9"/>
    </row>
    <row r="228" ht="15.75" customHeight="1">
      <c r="C228" s="9"/>
      <c r="D228" s="9"/>
      <c r="E228" s="9"/>
      <c r="F228" s="9"/>
      <c r="G228" s="9"/>
      <c r="H228" s="9"/>
    </row>
    <row r="229" ht="15.75" customHeight="1">
      <c r="C229" s="9"/>
      <c r="D229" s="9"/>
      <c r="E229" s="9"/>
      <c r="F229" s="9"/>
      <c r="G229" s="9"/>
      <c r="H229" s="9"/>
    </row>
    <row r="230" ht="15.75" customHeight="1">
      <c r="C230" s="9"/>
      <c r="D230" s="9"/>
      <c r="E230" s="9"/>
      <c r="F230" s="9"/>
      <c r="G230" s="9"/>
      <c r="H230" s="9"/>
    </row>
    <row r="231" ht="15.75" customHeight="1">
      <c r="C231" s="9"/>
      <c r="D231" s="9"/>
      <c r="E231" s="9"/>
      <c r="F231" s="9"/>
      <c r="G231" s="9"/>
      <c r="H231" s="9"/>
    </row>
    <row r="232" ht="15.75" customHeight="1">
      <c r="C232" s="9"/>
      <c r="D232" s="9"/>
      <c r="E232" s="9"/>
      <c r="F232" s="9"/>
      <c r="G232" s="9"/>
      <c r="H232" s="9"/>
    </row>
    <row r="233" ht="15.75" customHeight="1">
      <c r="C233" s="9"/>
      <c r="D233" s="9"/>
      <c r="E233" s="9"/>
      <c r="F233" s="9"/>
      <c r="G233" s="9"/>
      <c r="H233" s="9"/>
    </row>
    <row r="234" ht="15.75" customHeight="1">
      <c r="C234" s="9"/>
      <c r="D234" s="9"/>
      <c r="E234" s="9"/>
      <c r="F234" s="9"/>
      <c r="G234" s="9"/>
      <c r="H234" s="9"/>
    </row>
    <row r="235" ht="15.75" customHeight="1">
      <c r="C235" s="9"/>
      <c r="D235" s="9"/>
      <c r="E235" s="9"/>
      <c r="F235" s="9"/>
      <c r="G235" s="9"/>
      <c r="H235" s="9"/>
    </row>
    <row r="236" ht="15.75" customHeight="1">
      <c r="C236" s="9"/>
      <c r="D236" s="9"/>
      <c r="E236" s="9"/>
      <c r="F236" s="9"/>
      <c r="G236" s="9"/>
      <c r="H236" s="9"/>
    </row>
    <row r="237" ht="15.75" customHeight="1">
      <c r="C237" s="9"/>
      <c r="D237" s="9"/>
      <c r="E237" s="9"/>
      <c r="F237" s="9"/>
      <c r="G237" s="9"/>
      <c r="H237" s="9"/>
    </row>
    <row r="238" ht="15.75" customHeight="1">
      <c r="C238" s="9"/>
      <c r="D238" s="9"/>
      <c r="E238" s="9"/>
      <c r="F238" s="9"/>
      <c r="G238" s="9"/>
      <c r="H238" s="9"/>
    </row>
    <row r="239" ht="15.75" customHeight="1">
      <c r="C239" s="9"/>
      <c r="D239" s="9"/>
      <c r="E239" s="9"/>
      <c r="F239" s="9"/>
      <c r="G239" s="9"/>
      <c r="H239" s="9"/>
    </row>
    <row r="240" ht="15.75" customHeight="1">
      <c r="C240" s="9"/>
      <c r="D240" s="9"/>
      <c r="E240" s="9"/>
      <c r="F240" s="9"/>
      <c r="G240" s="9"/>
      <c r="H240" s="9"/>
    </row>
    <row r="241" ht="15.75" customHeight="1">
      <c r="C241" s="9"/>
      <c r="D241" s="9"/>
      <c r="E241" s="9"/>
      <c r="F241" s="9"/>
      <c r="G241" s="9"/>
      <c r="H241" s="9"/>
    </row>
    <row r="242" ht="15.75" customHeight="1">
      <c r="C242" s="9"/>
      <c r="D242" s="9"/>
      <c r="E242" s="9"/>
      <c r="F242" s="9"/>
      <c r="G242" s="9"/>
      <c r="H242" s="9"/>
    </row>
    <row r="243" ht="15.75" customHeight="1">
      <c r="C243" s="9"/>
      <c r="D243" s="9"/>
      <c r="E243" s="9"/>
      <c r="F243" s="9"/>
      <c r="G243" s="9"/>
      <c r="H243" s="9"/>
    </row>
    <row r="244" ht="15.75" customHeight="1">
      <c r="C244" s="9"/>
      <c r="D244" s="9"/>
      <c r="E244" s="9"/>
      <c r="F244" s="9"/>
      <c r="G244" s="9"/>
      <c r="H244" s="9"/>
    </row>
    <row r="245" ht="15.75" customHeight="1">
      <c r="C245" s="9"/>
      <c r="D245" s="9"/>
      <c r="E245" s="9"/>
      <c r="F245" s="9"/>
      <c r="G245" s="9"/>
      <c r="H245" s="9"/>
    </row>
    <row r="246" ht="15.75" customHeight="1">
      <c r="C246" s="9"/>
      <c r="D246" s="9"/>
      <c r="E246" s="9"/>
      <c r="F246" s="9"/>
      <c r="G246" s="9"/>
      <c r="H246" s="9"/>
    </row>
    <row r="247" ht="15.75" customHeight="1">
      <c r="C247" s="9"/>
      <c r="D247" s="9"/>
      <c r="E247" s="9"/>
      <c r="F247" s="9"/>
      <c r="G247" s="9"/>
      <c r="H247" s="9"/>
    </row>
    <row r="248" ht="15.75" customHeight="1">
      <c r="C248" s="9"/>
      <c r="D248" s="9"/>
      <c r="E248" s="9"/>
      <c r="F248" s="9"/>
      <c r="G248" s="9"/>
      <c r="H248" s="9"/>
    </row>
    <row r="249" ht="15.75" customHeight="1">
      <c r="C249" s="9"/>
      <c r="D249" s="9"/>
      <c r="E249" s="9"/>
      <c r="F249" s="9"/>
      <c r="G249" s="9"/>
      <c r="H249" s="9"/>
    </row>
    <row r="250" ht="15.75" customHeight="1">
      <c r="C250" s="9"/>
      <c r="D250" s="9"/>
      <c r="E250" s="9"/>
      <c r="F250" s="9"/>
      <c r="G250" s="9"/>
      <c r="H250" s="9"/>
    </row>
    <row r="251" ht="15.75" customHeight="1">
      <c r="C251" s="9"/>
      <c r="D251" s="9"/>
      <c r="E251" s="9"/>
      <c r="F251" s="9"/>
      <c r="G251" s="9"/>
      <c r="H251" s="9"/>
    </row>
    <row r="252" ht="15.75" customHeight="1">
      <c r="C252" s="9"/>
      <c r="D252" s="9"/>
      <c r="E252" s="9"/>
      <c r="F252" s="9"/>
      <c r="G252" s="9"/>
      <c r="H252" s="9"/>
    </row>
    <row r="253" ht="15.75" customHeight="1">
      <c r="C253" s="9"/>
      <c r="D253" s="9"/>
      <c r="E253" s="9"/>
      <c r="F253" s="9"/>
      <c r="G253" s="9"/>
      <c r="H253" s="9"/>
    </row>
    <row r="254" ht="15.75" customHeight="1">
      <c r="C254" s="9"/>
      <c r="D254" s="9"/>
      <c r="E254" s="9"/>
      <c r="F254" s="9"/>
      <c r="G254" s="9"/>
      <c r="H254" s="9"/>
    </row>
    <row r="255" ht="15.75" customHeight="1">
      <c r="C255" s="9"/>
      <c r="D255" s="9"/>
      <c r="E255" s="9"/>
      <c r="F255" s="9"/>
      <c r="G255" s="9"/>
      <c r="H255" s="9"/>
    </row>
    <row r="256" ht="15.75" customHeight="1">
      <c r="C256" s="9"/>
      <c r="D256" s="9"/>
      <c r="E256" s="9"/>
      <c r="F256" s="9"/>
      <c r="G256" s="9"/>
      <c r="H256" s="9"/>
    </row>
    <row r="257" ht="15.75" customHeight="1">
      <c r="C257" s="9"/>
      <c r="D257" s="9"/>
      <c r="E257" s="9"/>
      <c r="F257" s="9"/>
      <c r="G257" s="9"/>
      <c r="H257" s="9"/>
    </row>
    <row r="258" ht="15.75" customHeight="1">
      <c r="C258" s="9"/>
      <c r="D258" s="9"/>
      <c r="E258" s="9"/>
      <c r="F258" s="9"/>
      <c r="G258" s="9"/>
      <c r="H258" s="9"/>
    </row>
    <row r="259" ht="15.75" customHeight="1">
      <c r="C259" s="9"/>
      <c r="D259" s="9"/>
      <c r="E259" s="9"/>
      <c r="F259" s="9"/>
      <c r="G259" s="9"/>
      <c r="H259" s="9"/>
    </row>
    <row r="260" ht="15.75" customHeight="1">
      <c r="C260" s="9"/>
      <c r="D260" s="9"/>
      <c r="E260" s="9"/>
      <c r="F260" s="9"/>
      <c r="G260" s="9"/>
      <c r="H260" s="9"/>
    </row>
    <row r="261" ht="15.75" customHeight="1">
      <c r="C261" s="9"/>
      <c r="D261" s="9"/>
      <c r="E261" s="9"/>
      <c r="F261" s="9"/>
      <c r="G261" s="9"/>
      <c r="H261" s="9"/>
    </row>
    <row r="262" ht="15.75" customHeight="1">
      <c r="C262" s="9"/>
      <c r="D262" s="9"/>
      <c r="E262" s="9"/>
      <c r="F262" s="9"/>
      <c r="G262" s="9"/>
      <c r="H262" s="9"/>
    </row>
    <row r="263" ht="15.75" customHeight="1">
      <c r="C263" s="9"/>
      <c r="D263" s="9"/>
      <c r="E263" s="9"/>
      <c r="F263" s="9"/>
      <c r="G263" s="9"/>
      <c r="H263" s="9"/>
    </row>
    <row r="264" ht="15.75" customHeight="1">
      <c r="C264" s="9"/>
      <c r="D264" s="9"/>
      <c r="E264" s="9"/>
      <c r="F264" s="9"/>
      <c r="G264" s="9"/>
      <c r="H264" s="9"/>
    </row>
    <row r="265" ht="15.75" customHeight="1">
      <c r="C265" s="9"/>
      <c r="D265" s="9"/>
      <c r="E265" s="9"/>
      <c r="F265" s="9"/>
      <c r="G265" s="9"/>
      <c r="H265" s="9"/>
    </row>
    <row r="266" ht="15.75" customHeight="1">
      <c r="C266" s="9"/>
      <c r="D266" s="9"/>
      <c r="E266" s="9"/>
      <c r="F266" s="9"/>
      <c r="G266" s="9"/>
      <c r="H266" s="9"/>
    </row>
    <row r="267" ht="15.75" customHeight="1">
      <c r="C267" s="9"/>
      <c r="D267" s="9"/>
      <c r="E267" s="9"/>
      <c r="F267" s="9"/>
      <c r="G267" s="9"/>
      <c r="H267" s="9"/>
    </row>
    <row r="268" ht="15.75" customHeight="1">
      <c r="C268" s="9"/>
      <c r="D268" s="9"/>
      <c r="E268" s="9"/>
      <c r="F268" s="9"/>
      <c r="G268" s="9"/>
      <c r="H268" s="9"/>
    </row>
    <row r="269" ht="15.75" customHeight="1">
      <c r="C269" s="9"/>
      <c r="D269" s="9"/>
      <c r="E269" s="9"/>
      <c r="F269" s="9"/>
      <c r="G269" s="9"/>
      <c r="H269" s="9"/>
    </row>
    <row r="270" ht="15.75" customHeight="1">
      <c r="C270" s="9"/>
      <c r="D270" s="9"/>
      <c r="E270" s="9"/>
      <c r="F270" s="9"/>
      <c r="G270" s="9"/>
      <c r="H270" s="9"/>
    </row>
    <row r="271" ht="15.75" customHeight="1">
      <c r="C271" s="9"/>
      <c r="D271" s="9"/>
      <c r="E271" s="9"/>
      <c r="F271" s="9"/>
      <c r="G271" s="9"/>
      <c r="H271" s="9"/>
    </row>
    <row r="272" ht="15.75" customHeight="1">
      <c r="C272" s="9"/>
      <c r="D272" s="9"/>
      <c r="E272" s="9"/>
      <c r="F272" s="9"/>
      <c r="G272" s="9"/>
      <c r="H272" s="9"/>
    </row>
    <row r="273" ht="15.75" customHeight="1">
      <c r="C273" s="9"/>
      <c r="D273" s="9"/>
      <c r="E273" s="9"/>
      <c r="F273" s="9"/>
      <c r="G273" s="9"/>
      <c r="H273" s="9"/>
    </row>
    <row r="274" ht="15.75" customHeight="1">
      <c r="C274" s="9"/>
      <c r="D274" s="9"/>
      <c r="E274" s="9"/>
      <c r="F274" s="9"/>
      <c r="G274" s="9"/>
      <c r="H274" s="9"/>
    </row>
    <row r="275" ht="15.75" customHeight="1">
      <c r="C275" s="9"/>
      <c r="D275" s="9"/>
      <c r="E275" s="9"/>
      <c r="F275" s="9"/>
      <c r="G275" s="9"/>
      <c r="H275" s="9"/>
    </row>
    <row r="276" ht="15.75" customHeight="1">
      <c r="C276" s="9"/>
      <c r="D276" s="9"/>
      <c r="E276" s="9"/>
      <c r="F276" s="9"/>
      <c r="G276" s="9"/>
      <c r="H276" s="9"/>
    </row>
    <row r="277" ht="15.75" customHeight="1">
      <c r="C277" s="9"/>
      <c r="D277" s="9"/>
      <c r="E277" s="9"/>
      <c r="F277" s="9"/>
      <c r="G277" s="9"/>
      <c r="H277" s="9"/>
    </row>
    <row r="278" ht="15.75" customHeight="1">
      <c r="C278" s="9"/>
      <c r="D278" s="9"/>
      <c r="E278" s="9"/>
      <c r="F278" s="9"/>
      <c r="G278" s="9"/>
      <c r="H278" s="9"/>
    </row>
    <row r="279" ht="15.75" customHeight="1">
      <c r="C279" s="9"/>
      <c r="D279" s="9"/>
      <c r="E279" s="9"/>
      <c r="F279" s="9"/>
      <c r="G279" s="9"/>
      <c r="H279" s="9"/>
    </row>
    <row r="280" ht="15.75" customHeight="1">
      <c r="C280" s="9"/>
      <c r="D280" s="9"/>
      <c r="E280" s="9"/>
      <c r="F280" s="9"/>
      <c r="G280" s="9"/>
      <c r="H280" s="9"/>
    </row>
    <row r="281" ht="15.75" customHeight="1">
      <c r="C281" s="9"/>
      <c r="D281" s="9"/>
      <c r="E281" s="9"/>
      <c r="F281" s="9"/>
      <c r="G281" s="9"/>
      <c r="H281" s="9"/>
    </row>
    <row r="282" ht="15.75" customHeight="1">
      <c r="C282" s="9"/>
      <c r="D282" s="9"/>
      <c r="E282" s="9"/>
      <c r="F282" s="9"/>
      <c r="G282" s="9"/>
      <c r="H282" s="9"/>
    </row>
    <row r="283" ht="15.75" customHeight="1">
      <c r="C283" s="9"/>
      <c r="D283" s="9"/>
      <c r="E283" s="9"/>
      <c r="F283" s="9"/>
      <c r="G283" s="9"/>
      <c r="H283" s="9"/>
    </row>
    <row r="284" ht="15.75" customHeight="1">
      <c r="C284" s="9"/>
      <c r="D284" s="9"/>
      <c r="E284" s="9"/>
      <c r="F284" s="9"/>
      <c r="G284" s="9"/>
      <c r="H284" s="9"/>
    </row>
    <row r="285" ht="15.75" customHeight="1">
      <c r="C285" s="9"/>
      <c r="D285" s="9"/>
      <c r="E285" s="9"/>
      <c r="F285" s="9"/>
      <c r="G285" s="9"/>
      <c r="H285" s="9"/>
    </row>
    <row r="286" ht="15.75" customHeight="1">
      <c r="C286" s="9"/>
      <c r="D286" s="9"/>
      <c r="E286" s="9"/>
      <c r="F286" s="9"/>
      <c r="G286" s="9"/>
      <c r="H286" s="9"/>
    </row>
    <row r="287" ht="15.75" customHeight="1">
      <c r="C287" s="9"/>
      <c r="D287" s="9"/>
      <c r="E287" s="9"/>
      <c r="F287" s="9"/>
      <c r="G287" s="9"/>
      <c r="H287" s="9"/>
    </row>
    <row r="288" ht="15.75" customHeight="1">
      <c r="C288" s="9"/>
      <c r="D288" s="9"/>
      <c r="E288" s="9"/>
      <c r="F288" s="9"/>
      <c r="G288" s="9"/>
      <c r="H288" s="9"/>
    </row>
    <row r="289" ht="15.75" customHeight="1">
      <c r="C289" s="9"/>
      <c r="D289" s="9"/>
      <c r="E289" s="9"/>
      <c r="F289" s="9"/>
      <c r="G289" s="9"/>
      <c r="H289" s="9"/>
    </row>
    <row r="290" ht="15.75" customHeight="1">
      <c r="C290" s="9"/>
      <c r="D290" s="9"/>
      <c r="E290" s="9"/>
      <c r="F290" s="9"/>
      <c r="G290" s="9"/>
      <c r="H290" s="9"/>
    </row>
    <row r="291" ht="15.75" customHeight="1">
      <c r="C291" s="9"/>
      <c r="D291" s="9"/>
      <c r="E291" s="9"/>
      <c r="F291" s="9"/>
      <c r="G291" s="9"/>
      <c r="H291" s="9"/>
    </row>
    <row r="292" ht="15.75" customHeight="1">
      <c r="C292" s="9"/>
      <c r="D292" s="9"/>
      <c r="E292" s="9"/>
      <c r="F292" s="9"/>
      <c r="G292" s="9"/>
      <c r="H292" s="9"/>
    </row>
    <row r="293" ht="15.75" customHeight="1">
      <c r="C293" s="9"/>
      <c r="D293" s="9"/>
      <c r="E293" s="9"/>
      <c r="F293" s="9"/>
      <c r="G293" s="9"/>
      <c r="H293" s="9"/>
    </row>
    <row r="294" ht="15.75" customHeight="1">
      <c r="C294" s="9"/>
      <c r="D294" s="9"/>
      <c r="E294" s="9"/>
      <c r="F294" s="9"/>
      <c r="G294" s="9"/>
      <c r="H294" s="9"/>
    </row>
    <row r="295" ht="15.75" customHeight="1">
      <c r="C295" s="9"/>
      <c r="D295" s="9"/>
      <c r="E295" s="9"/>
      <c r="F295" s="9"/>
      <c r="G295" s="9"/>
      <c r="H295" s="9"/>
    </row>
    <row r="296" ht="15.75" customHeight="1">
      <c r="C296" s="9"/>
      <c r="D296" s="9"/>
      <c r="E296" s="9"/>
      <c r="F296" s="9"/>
      <c r="G296" s="9"/>
      <c r="H296" s="9"/>
    </row>
    <row r="297" ht="15.75" customHeight="1">
      <c r="C297" s="9"/>
      <c r="D297" s="9"/>
      <c r="E297" s="9"/>
      <c r="F297" s="9"/>
      <c r="G297" s="9"/>
      <c r="H297" s="9"/>
    </row>
    <row r="298" ht="15.75" customHeight="1">
      <c r="C298" s="9"/>
      <c r="D298" s="9"/>
      <c r="E298" s="9"/>
      <c r="F298" s="9"/>
      <c r="G298" s="9"/>
      <c r="H298" s="9"/>
    </row>
    <row r="299" ht="15.75" customHeight="1">
      <c r="C299" s="9"/>
      <c r="D299" s="9"/>
      <c r="E299" s="9"/>
      <c r="F299" s="9"/>
      <c r="G299" s="9"/>
      <c r="H299" s="9"/>
    </row>
    <row r="300" ht="15.75" customHeight="1">
      <c r="C300" s="9"/>
      <c r="D300" s="9"/>
      <c r="E300" s="9"/>
      <c r="F300" s="9"/>
      <c r="G300" s="9"/>
      <c r="H300" s="9"/>
    </row>
    <row r="301" ht="15.75" customHeight="1">
      <c r="C301" s="9"/>
      <c r="D301" s="9"/>
      <c r="E301" s="9"/>
      <c r="F301" s="9"/>
      <c r="G301" s="9"/>
      <c r="H301" s="9"/>
    </row>
    <row r="302" ht="15.75" customHeight="1">
      <c r="C302" s="9"/>
      <c r="D302" s="9"/>
      <c r="E302" s="9"/>
      <c r="F302" s="9"/>
      <c r="G302" s="9"/>
      <c r="H302" s="9"/>
    </row>
    <row r="303" ht="15.75" customHeight="1">
      <c r="C303" s="9"/>
      <c r="D303" s="9"/>
      <c r="E303" s="9"/>
      <c r="F303" s="9"/>
      <c r="G303" s="9"/>
      <c r="H303" s="9"/>
    </row>
    <row r="304" ht="15.75" customHeight="1">
      <c r="C304" s="9"/>
      <c r="D304" s="9"/>
      <c r="E304" s="9"/>
      <c r="F304" s="9"/>
      <c r="G304" s="9"/>
      <c r="H304" s="9"/>
    </row>
    <row r="305" ht="15.75" customHeight="1">
      <c r="C305" s="9"/>
      <c r="D305" s="9"/>
      <c r="E305" s="9"/>
      <c r="F305" s="9"/>
      <c r="G305" s="9"/>
      <c r="H305" s="9"/>
    </row>
    <row r="306" ht="15.75" customHeight="1">
      <c r="C306" s="9"/>
      <c r="D306" s="9"/>
      <c r="E306" s="9"/>
      <c r="F306" s="9"/>
      <c r="G306" s="9"/>
      <c r="H306" s="9"/>
    </row>
    <row r="307" ht="15.75" customHeight="1">
      <c r="C307" s="9"/>
      <c r="D307" s="9"/>
      <c r="E307" s="9"/>
      <c r="F307" s="9"/>
      <c r="G307" s="9"/>
      <c r="H307" s="9"/>
    </row>
    <row r="308" ht="15.75" customHeight="1">
      <c r="C308" s="9"/>
      <c r="D308" s="9"/>
      <c r="E308" s="9"/>
      <c r="F308" s="9"/>
      <c r="G308" s="9"/>
      <c r="H308" s="9"/>
    </row>
    <row r="309" ht="15.75" customHeight="1">
      <c r="C309" s="9"/>
      <c r="D309" s="9"/>
      <c r="E309" s="9"/>
      <c r="F309" s="9"/>
      <c r="G309" s="9"/>
      <c r="H309" s="9"/>
    </row>
    <row r="310" ht="15.75" customHeight="1">
      <c r="C310" s="9"/>
      <c r="D310" s="9"/>
      <c r="E310" s="9"/>
      <c r="F310" s="9"/>
      <c r="G310" s="9"/>
      <c r="H310" s="9"/>
    </row>
    <row r="311" ht="15.75" customHeight="1">
      <c r="C311" s="9"/>
      <c r="D311" s="9"/>
      <c r="E311" s="9"/>
      <c r="F311" s="9"/>
      <c r="G311" s="9"/>
      <c r="H311" s="9"/>
    </row>
    <row r="312" ht="15.75" customHeight="1">
      <c r="C312" s="9"/>
      <c r="D312" s="9"/>
      <c r="E312" s="9"/>
      <c r="F312" s="9"/>
      <c r="G312" s="9"/>
      <c r="H312" s="9"/>
    </row>
    <row r="313" ht="15.75" customHeight="1">
      <c r="C313" s="9"/>
      <c r="D313" s="9"/>
      <c r="E313" s="9"/>
      <c r="F313" s="9"/>
      <c r="G313" s="9"/>
      <c r="H313" s="9"/>
    </row>
    <row r="314" ht="15.75" customHeight="1">
      <c r="C314" s="9"/>
      <c r="D314" s="9"/>
      <c r="E314" s="9"/>
      <c r="F314" s="9"/>
      <c r="G314" s="9"/>
      <c r="H314" s="9"/>
    </row>
    <row r="315" ht="15.75" customHeight="1">
      <c r="C315" s="9"/>
      <c r="D315" s="9"/>
      <c r="E315" s="9"/>
      <c r="F315" s="9"/>
      <c r="G315" s="9"/>
      <c r="H315" s="9"/>
    </row>
    <row r="316" ht="15.75" customHeight="1">
      <c r="C316" s="9"/>
      <c r="D316" s="9"/>
      <c r="E316" s="9"/>
      <c r="F316" s="9"/>
      <c r="G316" s="9"/>
      <c r="H316" s="9"/>
    </row>
    <row r="317" ht="15.75" customHeight="1">
      <c r="C317" s="9"/>
      <c r="D317" s="9"/>
      <c r="E317" s="9"/>
      <c r="F317" s="9"/>
      <c r="G317" s="9"/>
      <c r="H317" s="9"/>
    </row>
    <row r="318" ht="15.75" customHeight="1">
      <c r="C318" s="9"/>
      <c r="D318" s="9"/>
      <c r="E318" s="9"/>
      <c r="F318" s="9"/>
      <c r="G318" s="9"/>
      <c r="H318" s="9"/>
    </row>
    <row r="319" ht="15.75" customHeight="1">
      <c r="C319" s="9"/>
      <c r="D319" s="9"/>
      <c r="E319" s="9"/>
      <c r="F319" s="9"/>
      <c r="G319" s="9"/>
      <c r="H319" s="9"/>
    </row>
    <row r="320" ht="15.75" customHeight="1">
      <c r="C320" s="9"/>
      <c r="D320" s="9"/>
      <c r="E320" s="9"/>
      <c r="F320" s="9"/>
      <c r="G320" s="9"/>
      <c r="H320" s="9"/>
    </row>
    <row r="321" ht="15.75" customHeight="1">
      <c r="C321" s="9"/>
      <c r="D321" s="9"/>
      <c r="E321" s="9"/>
      <c r="F321" s="9"/>
      <c r="G321" s="9"/>
      <c r="H321" s="9"/>
    </row>
    <row r="322" ht="15.75" customHeight="1">
      <c r="C322" s="9"/>
      <c r="D322" s="9"/>
      <c r="E322" s="9"/>
      <c r="F322" s="9"/>
      <c r="G322" s="9"/>
      <c r="H322" s="9"/>
    </row>
    <row r="323" ht="15.75" customHeight="1">
      <c r="C323" s="9"/>
      <c r="D323" s="9"/>
      <c r="E323" s="9"/>
      <c r="F323" s="9"/>
      <c r="G323" s="9"/>
      <c r="H323" s="9"/>
    </row>
    <row r="324" ht="15.75" customHeight="1">
      <c r="C324" s="9"/>
      <c r="D324" s="9"/>
      <c r="E324" s="9"/>
      <c r="F324" s="9"/>
      <c r="G324" s="9"/>
      <c r="H324" s="9"/>
    </row>
    <row r="325" ht="15.75" customHeight="1">
      <c r="C325" s="9"/>
      <c r="D325" s="9"/>
      <c r="E325" s="9"/>
      <c r="F325" s="9"/>
      <c r="G325" s="9"/>
      <c r="H325" s="9"/>
    </row>
    <row r="326" ht="15.75" customHeight="1">
      <c r="C326" s="9"/>
      <c r="D326" s="9"/>
      <c r="E326" s="9"/>
      <c r="F326" s="9"/>
      <c r="G326" s="9"/>
      <c r="H326" s="9"/>
    </row>
    <row r="327" ht="15.75" customHeight="1">
      <c r="C327" s="9"/>
      <c r="D327" s="9"/>
      <c r="E327" s="9"/>
      <c r="F327" s="9"/>
      <c r="G327" s="9"/>
      <c r="H327" s="9"/>
    </row>
    <row r="328" ht="15.75" customHeight="1">
      <c r="C328" s="9"/>
      <c r="D328" s="9"/>
      <c r="E328" s="9"/>
      <c r="F328" s="9"/>
      <c r="G328" s="9"/>
      <c r="H328" s="9"/>
    </row>
    <row r="329" ht="15.75" customHeight="1">
      <c r="C329" s="9"/>
      <c r="D329" s="9"/>
      <c r="E329" s="9"/>
      <c r="F329" s="9"/>
      <c r="G329" s="9"/>
      <c r="H329" s="9"/>
    </row>
    <row r="330" ht="15.75" customHeight="1">
      <c r="C330" s="9"/>
      <c r="D330" s="9"/>
      <c r="E330" s="9"/>
      <c r="F330" s="9"/>
      <c r="G330" s="9"/>
      <c r="H330" s="9"/>
    </row>
    <row r="331" ht="15.75" customHeight="1">
      <c r="C331" s="9"/>
      <c r="D331" s="9"/>
      <c r="E331" s="9"/>
      <c r="F331" s="9"/>
      <c r="G331" s="9"/>
      <c r="H331" s="9"/>
    </row>
    <row r="332" ht="15.75" customHeight="1">
      <c r="C332" s="9"/>
      <c r="D332" s="9"/>
      <c r="E332" s="9"/>
      <c r="F332" s="9"/>
      <c r="G332" s="9"/>
      <c r="H332" s="9"/>
    </row>
    <row r="333" ht="15.75" customHeight="1">
      <c r="C333" s="9"/>
      <c r="D333" s="9"/>
      <c r="E333" s="9"/>
      <c r="F333" s="9"/>
      <c r="G333" s="9"/>
      <c r="H333" s="9"/>
    </row>
    <row r="334" ht="15.75" customHeight="1">
      <c r="C334" s="9"/>
      <c r="D334" s="9"/>
      <c r="E334" s="9"/>
      <c r="F334" s="9"/>
      <c r="G334" s="9"/>
      <c r="H334" s="9"/>
    </row>
    <row r="335" ht="15.75" customHeight="1">
      <c r="C335" s="9"/>
      <c r="D335" s="9"/>
      <c r="E335" s="9"/>
      <c r="F335" s="9"/>
      <c r="G335" s="9"/>
      <c r="H335" s="9"/>
    </row>
    <row r="336" ht="15.75" customHeight="1">
      <c r="C336" s="9"/>
      <c r="D336" s="9"/>
      <c r="E336" s="9"/>
      <c r="F336" s="9"/>
      <c r="G336" s="9"/>
      <c r="H336" s="9"/>
    </row>
    <row r="337" ht="15.75" customHeight="1">
      <c r="C337" s="9"/>
      <c r="D337" s="9"/>
      <c r="E337" s="9"/>
      <c r="F337" s="9"/>
      <c r="G337" s="9"/>
      <c r="H337" s="9"/>
    </row>
    <row r="338" ht="15.75" customHeight="1">
      <c r="C338" s="9"/>
      <c r="D338" s="9"/>
      <c r="E338" s="9"/>
      <c r="F338" s="9"/>
      <c r="G338" s="9"/>
      <c r="H338" s="9"/>
    </row>
    <row r="339" ht="15.75" customHeight="1">
      <c r="C339" s="9"/>
      <c r="D339" s="9"/>
      <c r="E339" s="9"/>
      <c r="F339" s="9"/>
      <c r="G339" s="9"/>
      <c r="H339" s="9"/>
    </row>
    <row r="340" ht="15.75" customHeight="1">
      <c r="C340" s="9"/>
      <c r="D340" s="9"/>
      <c r="E340" s="9"/>
      <c r="F340" s="9"/>
      <c r="G340" s="9"/>
      <c r="H340" s="9"/>
    </row>
    <row r="341" ht="15.75" customHeight="1">
      <c r="C341" s="9"/>
      <c r="D341" s="9"/>
      <c r="E341" s="9"/>
      <c r="F341" s="9"/>
      <c r="G341" s="9"/>
      <c r="H341" s="9"/>
    </row>
    <row r="342" ht="15.75" customHeight="1">
      <c r="C342" s="9"/>
      <c r="D342" s="9"/>
      <c r="E342" s="9"/>
      <c r="F342" s="9"/>
      <c r="G342" s="9"/>
      <c r="H342" s="9"/>
    </row>
    <row r="343" ht="15.75" customHeight="1">
      <c r="C343" s="9"/>
      <c r="D343" s="9"/>
      <c r="E343" s="9"/>
      <c r="F343" s="9"/>
      <c r="G343" s="9"/>
      <c r="H343" s="9"/>
    </row>
    <row r="344" ht="15.75" customHeight="1">
      <c r="C344" s="9"/>
      <c r="D344" s="9"/>
      <c r="E344" s="9"/>
      <c r="F344" s="9"/>
      <c r="G344" s="9"/>
      <c r="H344" s="9"/>
    </row>
    <row r="345" ht="15.75" customHeight="1">
      <c r="C345" s="9"/>
      <c r="D345" s="9"/>
      <c r="E345" s="9"/>
      <c r="F345" s="9"/>
      <c r="G345" s="9"/>
      <c r="H345" s="9"/>
    </row>
    <row r="346" ht="15.75" customHeight="1">
      <c r="C346" s="9"/>
      <c r="D346" s="9"/>
      <c r="E346" s="9"/>
      <c r="F346" s="9"/>
      <c r="G346" s="9"/>
      <c r="H346" s="9"/>
    </row>
    <row r="347" ht="15.75" customHeight="1">
      <c r="C347" s="9"/>
      <c r="D347" s="9"/>
      <c r="E347" s="9"/>
      <c r="F347" s="9"/>
      <c r="G347" s="9"/>
      <c r="H347" s="9"/>
    </row>
    <row r="348" ht="15.75" customHeight="1">
      <c r="C348" s="9"/>
      <c r="D348" s="9"/>
      <c r="E348" s="9"/>
      <c r="F348" s="9"/>
      <c r="G348" s="9"/>
      <c r="H348" s="9"/>
    </row>
    <row r="349" ht="15.75" customHeight="1">
      <c r="C349" s="9"/>
      <c r="D349" s="9"/>
      <c r="E349" s="9"/>
      <c r="F349" s="9"/>
      <c r="G349" s="9"/>
      <c r="H349" s="9"/>
    </row>
    <row r="350" ht="15.75" customHeight="1">
      <c r="C350" s="9"/>
      <c r="D350" s="9"/>
      <c r="E350" s="9"/>
      <c r="F350" s="9"/>
      <c r="G350" s="9"/>
      <c r="H350" s="9"/>
    </row>
    <row r="351" ht="15.75" customHeight="1">
      <c r="C351" s="9"/>
      <c r="D351" s="9"/>
      <c r="E351" s="9"/>
      <c r="F351" s="9"/>
      <c r="G351" s="9"/>
      <c r="H351" s="9"/>
    </row>
    <row r="352" ht="15.75" customHeight="1">
      <c r="C352" s="9"/>
      <c r="D352" s="9"/>
      <c r="E352" s="9"/>
      <c r="F352" s="9"/>
      <c r="G352" s="9"/>
      <c r="H352" s="9"/>
    </row>
    <row r="353" ht="15.75" customHeight="1">
      <c r="C353" s="9"/>
      <c r="D353" s="9"/>
      <c r="E353" s="9"/>
      <c r="F353" s="9"/>
      <c r="G353" s="9"/>
      <c r="H353" s="9"/>
    </row>
    <row r="354" ht="15.75" customHeight="1">
      <c r="C354" s="9"/>
      <c r="D354" s="9"/>
      <c r="E354" s="9"/>
      <c r="F354" s="9"/>
      <c r="G354" s="9"/>
      <c r="H354" s="9"/>
    </row>
    <row r="355" ht="15.75" customHeight="1">
      <c r="C355" s="9"/>
      <c r="D355" s="9"/>
      <c r="E355" s="9"/>
      <c r="F355" s="9"/>
      <c r="G355" s="9"/>
      <c r="H355" s="9"/>
    </row>
    <row r="356" ht="15.75" customHeight="1">
      <c r="C356" s="9"/>
      <c r="D356" s="9"/>
      <c r="E356" s="9"/>
      <c r="F356" s="9"/>
      <c r="G356" s="9"/>
      <c r="H356" s="9"/>
    </row>
    <row r="357" ht="15.75" customHeight="1">
      <c r="C357" s="9"/>
      <c r="D357" s="9"/>
      <c r="E357" s="9"/>
      <c r="F357" s="9"/>
      <c r="G357" s="9"/>
      <c r="H357" s="9"/>
    </row>
    <row r="358" ht="15.75" customHeight="1">
      <c r="C358" s="9"/>
      <c r="D358" s="9"/>
      <c r="E358" s="9"/>
      <c r="F358" s="9"/>
      <c r="G358" s="9"/>
      <c r="H358" s="9"/>
    </row>
    <row r="359" ht="15.75" customHeight="1">
      <c r="C359" s="9"/>
      <c r="D359" s="9"/>
      <c r="E359" s="9"/>
      <c r="F359" s="9"/>
      <c r="G359" s="9"/>
      <c r="H359" s="9"/>
    </row>
    <row r="360" ht="15.75" customHeight="1">
      <c r="C360" s="9"/>
      <c r="D360" s="9"/>
      <c r="E360" s="9"/>
      <c r="F360" s="9"/>
      <c r="G360" s="9"/>
      <c r="H360" s="9"/>
    </row>
    <row r="361" ht="15.75" customHeight="1">
      <c r="C361" s="9"/>
      <c r="D361" s="9"/>
      <c r="E361" s="9"/>
      <c r="F361" s="9"/>
      <c r="G361" s="9"/>
      <c r="H361" s="9"/>
    </row>
    <row r="362" ht="15.75" customHeight="1">
      <c r="C362" s="9"/>
      <c r="D362" s="9"/>
      <c r="E362" s="9"/>
      <c r="F362" s="9"/>
      <c r="G362" s="9"/>
      <c r="H362" s="9"/>
    </row>
    <row r="363" ht="15.75" customHeight="1">
      <c r="C363" s="9"/>
      <c r="D363" s="9"/>
      <c r="E363" s="9"/>
      <c r="F363" s="9"/>
      <c r="G363" s="9"/>
      <c r="H363" s="9"/>
    </row>
    <row r="364" ht="15.75" customHeight="1">
      <c r="C364" s="9"/>
      <c r="D364" s="9"/>
      <c r="E364" s="9"/>
      <c r="F364" s="9"/>
      <c r="G364" s="9"/>
      <c r="H364" s="9"/>
    </row>
    <row r="365" ht="15.75" customHeight="1">
      <c r="C365" s="9"/>
      <c r="D365" s="9"/>
      <c r="E365" s="9"/>
      <c r="F365" s="9"/>
      <c r="G365" s="9"/>
      <c r="H365" s="9"/>
    </row>
    <row r="366" ht="15.75" customHeight="1">
      <c r="C366" s="9"/>
      <c r="D366" s="9"/>
      <c r="E366" s="9"/>
      <c r="F366" s="9"/>
      <c r="G366" s="9"/>
      <c r="H366" s="9"/>
    </row>
    <row r="367" ht="15.75" customHeight="1">
      <c r="C367" s="9"/>
      <c r="D367" s="9"/>
      <c r="E367" s="9"/>
      <c r="F367" s="9"/>
      <c r="G367" s="9"/>
      <c r="H367" s="9"/>
    </row>
    <row r="368" ht="15.75" customHeight="1">
      <c r="C368" s="9"/>
      <c r="D368" s="9"/>
      <c r="E368" s="9"/>
      <c r="F368" s="9"/>
      <c r="G368" s="9"/>
      <c r="H368" s="9"/>
    </row>
    <row r="369" ht="15.75" customHeight="1">
      <c r="C369" s="9"/>
      <c r="D369" s="9"/>
      <c r="E369" s="9"/>
      <c r="F369" s="9"/>
      <c r="G369" s="9"/>
      <c r="H369" s="9"/>
    </row>
    <row r="370" ht="15.75" customHeight="1">
      <c r="C370" s="9"/>
      <c r="D370" s="9"/>
      <c r="E370" s="9"/>
      <c r="F370" s="9"/>
      <c r="G370" s="9"/>
      <c r="H370" s="9"/>
    </row>
    <row r="371" ht="15.75" customHeight="1">
      <c r="C371" s="9"/>
      <c r="D371" s="9"/>
      <c r="E371" s="9"/>
      <c r="F371" s="9"/>
      <c r="G371" s="9"/>
      <c r="H371" s="9"/>
    </row>
    <row r="372" ht="15.75" customHeight="1">
      <c r="C372" s="9"/>
      <c r="D372" s="9"/>
      <c r="E372" s="9"/>
      <c r="F372" s="9"/>
      <c r="G372" s="9"/>
      <c r="H372" s="9"/>
    </row>
    <row r="373" ht="15.75" customHeight="1">
      <c r="C373" s="9"/>
      <c r="D373" s="9"/>
      <c r="E373" s="9"/>
      <c r="F373" s="9"/>
      <c r="G373" s="9"/>
      <c r="H373" s="9"/>
    </row>
    <row r="374" ht="15.75" customHeight="1">
      <c r="C374" s="9"/>
      <c r="D374" s="9"/>
      <c r="E374" s="9"/>
      <c r="F374" s="9"/>
      <c r="G374" s="9"/>
      <c r="H374" s="9"/>
    </row>
    <row r="375" ht="15.75" customHeight="1">
      <c r="C375" s="9"/>
      <c r="D375" s="9"/>
      <c r="E375" s="9"/>
      <c r="F375" s="9"/>
      <c r="G375" s="9"/>
      <c r="H375" s="9"/>
    </row>
    <row r="376" ht="15.75" customHeight="1">
      <c r="C376" s="9"/>
      <c r="D376" s="9"/>
      <c r="E376" s="9"/>
      <c r="F376" s="9"/>
      <c r="G376" s="9"/>
      <c r="H376" s="9"/>
    </row>
    <row r="377" ht="15.75" customHeight="1">
      <c r="C377" s="9"/>
      <c r="D377" s="9"/>
      <c r="E377" s="9"/>
      <c r="F377" s="9"/>
      <c r="G377" s="9"/>
      <c r="H377" s="9"/>
    </row>
    <row r="378" ht="15.75" customHeight="1">
      <c r="C378" s="9"/>
      <c r="D378" s="9"/>
      <c r="E378" s="9"/>
      <c r="F378" s="9"/>
      <c r="G378" s="9"/>
      <c r="H378" s="9"/>
    </row>
    <row r="379" ht="15.75" customHeight="1">
      <c r="C379" s="9"/>
      <c r="D379" s="9"/>
      <c r="E379" s="9"/>
      <c r="F379" s="9"/>
      <c r="G379" s="9"/>
      <c r="H379" s="9"/>
    </row>
    <row r="380" ht="15.75" customHeight="1">
      <c r="C380" s="9"/>
      <c r="D380" s="9"/>
      <c r="E380" s="9"/>
      <c r="F380" s="9"/>
      <c r="G380" s="9"/>
      <c r="H380" s="9"/>
    </row>
    <row r="381" ht="15.75" customHeight="1">
      <c r="C381" s="9"/>
      <c r="D381" s="9"/>
      <c r="E381" s="9"/>
      <c r="F381" s="9"/>
      <c r="G381" s="9"/>
      <c r="H381" s="9"/>
    </row>
    <row r="382" ht="15.75" customHeight="1">
      <c r="C382" s="9"/>
      <c r="D382" s="9"/>
      <c r="E382" s="9"/>
      <c r="F382" s="9"/>
      <c r="G382" s="9"/>
      <c r="H382" s="9"/>
    </row>
    <row r="383" ht="15.75" customHeight="1">
      <c r="C383" s="9"/>
      <c r="D383" s="9"/>
      <c r="E383" s="9"/>
      <c r="F383" s="9"/>
      <c r="G383" s="9"/>
      <c r="H383" s="9"/>
    </row>
    <row r="384" ht="15.75" customHeight="1">
      <c r="C384" s="9"/>
      <c r="D384" s="9"/>
      <c r="E384" s="9"/>
      <c r="F384" s="9"/>
      <c r="G384" s="9"/>
      <c r="H384" s="9"/>
    </row>
    <row r="385" ht="15.75" customHeight="1">
      <c r="C385" s="9"/>
      <c r="D385" s="9"/>
      <c r="E385" s="9"/>
      <c r="F385" s="9"/>
      <c r="G385" s="9"/>
      <c r="H385" s="9"/>
    </row>
    <row r="386" ht="15.75" customHeight="1">
      <c r="C386" s="9"/>
      <c r="D386" s="9"/>
      <c r="E386" s="9"/>
      <c r="F386" s="9"/>
      <c r="G386" s="9"/>
      <c r="H386" s="9"/>
    </row>
    <row r="387" ht="15.75" customHeight="1">
      <c r="C387" s="9"/>
      <c r="D387" s="9"/>
      <c r="E387" s="9"/>
      <c r="F387" s="9"/>
      <c r="G387" s="9"/>
      <c r="H387" s="9"/>
    </row>
    <row r="388" ht="15.75" customHeight="1">
      <c r="C388" s="9"/>
      <c r="D388" s="9"/>
      <c r="E388" s="9"/>
      <c r="F388" s="9"/>
      <c r="G388" s="9"/>
      <c r="H388" s="9"/>
    </row>
    <row r="389" ht="15.75" customHeight="1">
      <c r="C389" s="9"/>
      <c r="D389" s="9"/>
      <c r="E389" s="9"/>
      <c r="F389" s="9"/>
      <c r="G389" s="9"/>
      <c r="H389" s="9"/>
    </row>
    <row r="390" ht="15.75" customHeight="1">
      <c r="C390" s="9"/>
      <c r="D390" s="9"/>
      <c r="E390" s="9"/>
      <c r="F390" s="9"/>
      <c r="G390" s="9"/>
      <c r="H390" s="9"/>
    </row>
    <row r="391" ht="15.75" customHeight="1">
      <c r="C391" s="9"/>
      <c r="D391" s="9"/>
      <c r="E391" s="9"/>
      <c r="F391" s="9"/>
      <c r="G391" s="9"/>
      <c r="H391" s="9"/>
    </row>
    <row r="392" ht="15.75" customHeight="1">
      <c r="C392" s="9"/>
      <c r="D392" s="9"/>
      <c r="E392" s="9"/>
      <c r="F392" s="9"/>
      <c r="G392" s="9"/>
      <c r="H392" s="9"/>
    </row>
    <row r="393" ht="15.75" customHeight="1">
      <c r="C393" s="9"/>
      <c r="D393" s="9"/>
      <c r="E393" s="9"/>
      <c r="F393" s="9"/>
      <c r="G393" s="9"/>
      <c r="H393" s="9"/>
    </row>
    <row r="394" ht="15.75" customHeight="1">
      <c r="C394" s="9"/>
      <c r="D394" s="9"/>
      <c r="E394" s="9"/>
      <c r="F394" s="9"/>
      <c r="G394" s="9"/>
      <c r="H394" s="9"/>
    </row>
    <row r="395" ht="15.75" customHeight="1">
      <c r="C395" s="9"/>
      <c r="D395" s="9"/>
      <c r="E395" s="9"/>
      <c r="F395" s="9"/>
      <c r="G395" s="9"/>
      <c r="H395" s="9"/>
    </row>
    <row r="396" ht="15.75" customHeight="1">
      <c r="C396" s="9"/>
      <c r="D396" s="9"/>
      <c r="E396" s="9"/>
      <c r="F396" s="9"/>
      <c r="G396" s="9"/>
      <c r="H396" s="9"/>
    </row>
    <row r="397" ht="15.75" customHeight="1">
      <c r="C397" s="9"/>
      <c r="D397" s="9"/>
      <c r="E397" s="9"/>
      <c r="F397" s="9"/>
      <c r="G397" s="9"/>
      <c r="H397" s="9"/>
    </row>
    <row r="398" ht="15.75" customHeight="1">
      <c r="C398" s="9"/>
      <c r="D398" s="9"/>
      <c r="E398" s="9"/>
      <c r="F398" s="9"/>
      <c r="G398" s="9"/>
      <c r="H398" s="9"/>
    </row>
    <row r="399" ht="15.75" customHeight="1">
      <c r="C399" s="9"/>
      <c r="D399" s="9"/>
      <c r="E399" s="9"/>
      <c r="F399" s="9"/>
      <c r="G399" s="9"/>
      <c r="H399" s="9"/>
    </row>
    <row r="400" ht="15.75" customHeight="1">
      <c r="C400" s="9"/>
      <c r="D400" s="9"/>
      <c r="E400" s="9"/>
      <c r="F400" s="9"/>
      <c r="G400" s="9"/>
      <c r="H400" s="9"/>
    </row>
    <row r="401" ht="15.75" customHeight="1">
      <c r="C401" s="9"/>
      <c r="D401" s="9"/>
      <c r="E401" s="9"/>
      <c r="F401" s="9"/>
      <c r="G401" s="9"/>
      <c r="H401" s="9"/>
    </row>
    <row r="402" ht="15.75" customHeight="1">
      <c r="C402" s="9"/>
      <c r="D402" s="9"/>
      <c r="E402" s="9"/>
      <c r="F402" s="9"/>
      <c r="G402" s="9"/>
      <c r="H402" s="9"/>
    </row>
    <row r="403" ht="15.75" customHeight="1">
      <c r="C403" s="9"/>
      <c r="D403" s="9"/>
      <c r="E403" s="9"/>
      <c r="F403" s="9"/>
      <c r="G403" s="9"/>
      <c r="H403" s="9"/>
    </row>
    <row r="404" ht="15.75" customHeight="1">
      <c r="C404" s="9"/>
      <c r="D404" s="9"/>
      <c r="E404" s="9"/>
      <c r="F404" s="9"/>
      <c r="G404" s="9"/>
      <c r="H404" s="9"/>
    </row>
    <row r="405" ht="15.75" customHeight="1">
      <c r="C405" s="9"/>
      <c r="D405" s="9"/>
      <c r="E405" s="9"/>
      <c r="F405" s="9"/>
      <c r="G405" s="9"/>
      <c r="H405" s="9"/>
    </row>
    <row r="406" ht="15.75" customHeight="1">
      <c r="C406" s="9"/>
      <c r="D406" s="9"/>
      <c r="E406" s="9"/>
      <c r="F406" s="9"/>
      <c r="G406" s="9"/>
      <c r="H406" s="9"/>
    </row>
    <row r="407" ht="15.75" customHeight="1">
      <c r="C407" s="9"/>
      <c r="D407" s="9"/>
      <c r="E407" s="9"/>
      <c r="F407" s="9"/>
      <c r="G407" s="9"/>
      <c r="H407" s="9"/>
    </row>
    <row r="408" ht="15.75" customHeight="1">
      <c r="C408" s="9"/>
      <c r="D408" s="9"/>
      <c r="E408" s="9"/>
      <c r="F408" s="9"/>
      <c r="G408" s="9"/>
      <c r="H408" s="9"/>
    </row>
    <row r="409" ht="15.75" customHeight="1">
      <c r="C409" s="9"/>
      <c r="D409" s="9"/>
      <c r="E409" s="9"/>
      <c r="F409" s="9"/>
      <c r="G409" s="9"/>
      <c r="H409" s="9"/>
    </row>
    <row r="410" ht="15.75" customHeight="1">
      <c r="C410" s="9"/>
      <c r="D410" s="9"/>
      <c r="E410" s="9"/>
      <c r="F410" s="9"/>
      <c r="G410" s="9"/>
      <c r="H410" s="9"/>
    </row>
    <row r="411" ht="15.75" customHeight="1">
      <c r="C411" s="9"/>
      <c r="D411" s="9"/>
      <c r="E411" s="9"/>
      <c r="F411" s="9"/>
      <c r="G411" s="9"/>
      <c r="H411" s="9"/>
    </row>
    <row r="412" ht="15.75" customHeight="1">
      <c r="C412" s="9"/>
      <c r="D412" s="9"/>
      <c r="E412" s="9"/>
      <c r="F412" s="9"/>
      <c r="G412" s="9"/>
      <c r="H412" s="9"/>
    </row>
    <row r="413" ht="15.75" customHeight="1">
      <c r="C413" s="9"/>
      <c r="D413" s="9"/>
      <c r="E413" s="9"/>
      <c r="F413" s="9"/>
      <c r="G413" s="9"/>
      <c r="H413" s="9"/>
    </row>
    <row r="414" ht="15.75" customHeight="1">
      <c r="C414" s="9"/>
      <c r="D414" s="9"/>
      <c r="E414" s="9"/>
      <c r="F414" s="9"/>
      <c r="G414" s="9"/>
      <c r="H414" s="9"/>
    </row>
    <row r="415" ht="15.75" customHeight="1">
      <c r="C415" s="9"/>
      <c r="D415" s="9"/>
      <c r="E415" s="9"/>
      <c r="F415" s="9"/>
      <c r="G415" s="9"/>
      <c r="H415" s="9"/>
    </row>
    <row r="416" ht="15.75" customHeight="1">
      <c r="C416" s="9"/>
      <c r="D416" s="9"/>
      <c r="E416" s="9"/>
      <c r="F416" s="9"/>
      <c r="G416" s="9"/>
      <c r="H416" s="9"/>
    </row>
    <row r="417" ht="15.75" customHeight="1">
      <c r="C417" s="9"/>
      <c r="D417" s="9"/>
      <c r="E417" s="9"/>
      <c r="F417" s="9"/>
      <c r="G417" s="9"/>
      <c r="H417" s="9"/>
    </row>
    <row r="418" ht="15.75" customHeight="1">
      <c r="C418" s="9"/>
      <c r="D418" s="9"/>
      <c r="E418" s="9"/>
      <c r="F418" s="9"/>
      <c r="G418" s="9"/>
      <c r="H418" s="9"/>
    </row>
    <row r="419" ht="15.75" customHeight="1">
      <c r="C419" s="9"/>
      <c r="D419" s="9"/>
      <c r="E419" s="9"/>
      <c r="F419" s="9"/>
      <c r="G419" s="9"/>
      <c r="H419" s="9"/>
    </row>
    <row r="420" ht="15.75" customHeight="1">
      <c r="C420" s="9"/>
      <c r="D420" s="9"/>
      <c r="E420" s="9"/>
      <c r="F420" s="9"/>
      <c r="G420" s="9"/>
      <c r="H420" s="9"/>
    </row>
    <row r="421" ht="15.75" customHeight="1">
      <c r="C421" s="9"/>
      <c r="D421" s="9"/>
      <c r="E421" s="9"/>
      <c r="F421" s="9"/>
      <c r="G421" s="9"/>
      <c r="H421" s="9"/>
    </row>
    <row r="422" ht="15.75" customHeight="1">
      <c r="C422" s="9"/>
      <c r="D422" s="9"/>
      <c r="E422" s="9"/>
      <c r="F422" s="9"/>
      <c r="G422" s="9"/>
      <c r="H422" s="9"/>
    </row>
    <row r="423" ht="15.75" customHeight="1">
      <c r="C423" s="9"/>
      <c r="D423" s="9"/>
      <c r="E423" s="9"/>
      <c r="F423" s="9"/>
      <c r="G423" s="9"/>
      <c r="H423" s="9"/>
    </row>
    <row r="424" ht="15.75" customHeight="1">
      <c r="C424" s="9"/>
      <c r="D424" s="9"/>
      <c r="E424" s="9"/>
      <c r="F424" s="9"/>
      <c r="G424" s="9"/>
      <c r="H424" s="9"/>
    </row>
    <row r="425" ht="15.75" customHeight="1">
      <c r="C425" s="9"/>
      <c r="D425" s="9"/>
      <c r="E425" s="9"/>
      <c r="F425" s="9"/>
      <c r="G425" s="9"/>
      <c r="H425" s="9"/>
    </row>
    <row r="426" ht="15.75" customHeight="1">
      <c r="C426" s="9"/>
      <c r="D426" s="9"/>
      <c r="E426" s="9"/>
      <c r="F426" s="9"/>
      <c r="G426" s="9"/>
      <c r="H426" s="9"/>
    </row>
    <row r="427" ht="15.75" customHeight="1">
      <c r="C427" s="9"/>
      <c r="D427" s="9"/>
      <c r="E427" s="9"/>
      <c r="F427" s="9"/>
      <c r="G427" s="9"/>
      <c r="H427" s="9"/>
    </row>
    <row r="428" ht="15.75" customHeight="1">
      <c r="C428" s="9"/>
      <c r="D428" s="9"/>
      <c r="E428" s="9"/>
      <c r="F428" s="9"/>
      <c r="G428" s="9"/>
      <c r="H428" s="9"/>
    </row>
    <row r="429" ht="15.75" customHeight="1">
      <c r="C429" s="9"/>
      <c r="D429" s="9"/>
      <c r="E429" s="9"/>
      <c r="F429" s="9"/>
      <c r="G429" s="9"/>
      <c r="H429" s="9"/>
    </row>
    <row r="430" ht="15.75" customHeight="1">
      <c r="C430" s="9"/>
      <c r="D430" s="9"/>
      <c r="E430" s="9"/>
      <c r="F430" s="9"/>
      <c r="G430" s="9"/>
      <c r="H430" s="9"/>
    </row>
    <row r="431" ht="15.75" customHeight="1">
      <c r="C431" s="9"/>
      <c r="D431" s="9"/>
      <c r="E431" s="9"/>
      <c r="F431" s="9"/>
      <c r="G431" s="9"/>
      <c r="H431" s="9"/>
    </row>
    <row r="432" ht="15.75" customHeight="1">
      <c r="C432" s="9"/>
      <c r="D432" s="9"/>
      <c r="E432" s="9"/>
      <c r="F432" s="9"/>
      <c r="G432" s="9"/>
      <c r="H432" s="9"/>
    </row>
    <row r="433" ht="15.75" customHeight="1">
      <c r="C433" s="9"/>
      <c r="D433" s="9"/>
      <c r="E433" s="9"/>
      <c r="F433" s="9"/>
      <c r="G433" s="9"/>
      <c r="H433" s="9"/>
    </row>
    <row r="434" ht="15.75" customHeight="1">
      <c r="C434" s="9"/>
      <c r="D434" s="9"/>
      <c r="E434" s="9"/>
      <c r="F434" s="9"/>
      <c r="G434" s="9"/>
      <c r="H434" s="9"/>
    </row>
    <row r="435" ht="15.75" customHeight="1">
      <c r="C435" s="9"/>
      <c r="D435" s="9"/>
      <c r="E435" s="9"/>
      <c r="F435" s="9"/>
      <c r="G435" s="9"/>
      <c r="H435" s="9"/>
    </row>
    <row r="436" ht="15.75" customHeight="1">
      <c r="C436" s="9"/>
      <c r="D436" s="9"/>
      <c r="E436" s="9"/>
      <c r="F436" s="9"/>
      <c r="G436" s="9"/>
      <c r="H436" s="9"/>
    </row>
    <row r="437" ht="15.75" customHeight="1">
      <c r="C437" s="9"/>
      <c r="D437" s="9"/>
      <c r="E437" s="9"/>
      <c r="F437" s="9"/>
      <c r="G437" s="9"/>
      <c r="H437" s="9"/>
    </row>
    <row r="438" ht="15.75" customHeight="1">
      <c r="C438" s="9"/>
      <c r="D438" s="9"/>
      <c r="E438" s="9"/>
      <c r="F438" s="9"/>
      <c r="G438" s="9"/>
      <c r="H438" s="9"/>
    </row>
    <row r="439" ht="15.75" customHeight="1">
      <c r="C439" s="9"/>
      <c r="D439" s="9"/>
      <c r="E439" s="9"/>
      <c r="F439" s="9"/>
      <c r="G439" s="9"/>
      <c r="H439" s="9"/>
    </row>
    <row r="440" ht="15.75" customHeight="1">
      <c r="C440" s="9"/>
      <c r="D440" s="9"/>
      <c r="E440" s="9"/>
      <c r="F440" s="9"/>
      <c r="G440" s="9"/>
      <c r="H440" s="9"/>
    </row>
    <row r="441" ht="15.75" customHeight="1">
      <c r="C441" s="9"/>
      <c r="D441" s="9"/>
      <c r="E441" s="9"/>
      <c r="F441" s="9"/>
      <c r="G441" s="9"/>
      <c r="H441" s="9"/>
    </row>
    <row r="442" ht="15.75" customHeight="1">
      <c r="C442" s="9"/>
      <c r="D442" s="9"/>
      <c r="E442" s="9"/>
      <c r="F442" s="9"/>
      <c r="G442" s="9"/>
      <c r="H442" s="9"/>
    </row>
    <row r="443" ht="15.75" customHeight="1">
      <c r="C443" s="9"/>
      <c r="D443" s="9"/>
      <c r="E443" s="9"/>
      <c r="F443" s="9"/>
      <c r="G443" s="9"/>
      <c r="H443" s="9"/>
    </row>
    <row r="444" ht="15.75" customHeight="1">
      <c r="C444" s="9"/>
      <c r="D444" s="9"/>
      <c r="E444" s="9"/>
      <c r="F444" s="9"/>
      <c r="G444" s="9"/>
      <c r="H444" s="9"/>
    </row>
    <row r="445" ht="15.75" customHeight="1">
      <c r="C445" s="9"/>
      <c r="D445" s="9"/>
      <c r="E445" s="9"/>
      <c r="F445" s="9"/>
      <c r="G445" s="9"/>
      <c r="H445" s="9"/>
    </row>
    <row r="446" ht="15.75" customHeight="1">
      <c r="C446" s="9"/>
      <c r="D446" s="9"/>
      <c r="E446" s="9"/>
      <c r="F446" s="9"/>
      <c r="G446" s="9"/>
      <c r="H446" s="9"/>
    </row>
    <row r="447" ht="15.75" customHeight="1">
      <c r="C447" s="9"/>
      <c r="D447" s="9"/>
      <c r="E447" s="9"/>
      <c r="F447" s="9"/>
      <c r="G447" s="9"/>
      <c r="H447" s="9"/>
    </row>
    <row r="448" ht="15.75" customHeight="1">
      <c r="C448" s="9"/>
      <c r="D448" s="9"/>
      <c r="E448" s="9"/>
      <c r="F448" s="9"/>
      <c r="G448" s="9"/>
      <c r="H448" s="9"/>
    </row>
    <row r="449" ht="15.75" customHeight="1">
      <c r="C449" s="9"/>
      <c r="D449" s="9"/>
      <c r="E449" s="9"/>
      <c r="F449" s="9"/>
      <c r="G449" s="9"/>
      <c r="H449" s="9"/>
    </row>
    <row r="450" ht="15.75" customHeight="1">
      <c r="C450" s="9"/>
      <c r="D450" s="9"/>
      <c r="E450" s="9"/>
      <c r="F450" s="9"/>
      <c r="G450" s="9"/>
      <c r="H450" s="9"/>
    </row>
    <row r="451" ht="15.75" customHeight="1">
      <c r="C451" s="9"/>
      <c r="D451" s="9"/>
      <c r="E451" s="9"/>
      <c r="F451" s="9"/>
      <c r="G451" s="9"/>
      <c r="H451" s="9"/>
    </row>
    <row r="452" ht="15.75" customHeight="1">
      <c r="C452" s="9"/>
      <c r="D452" s="9"/>
      <c r="E452" s="9"/>
      <c r="F452" s="9"/>
      <c r="G452" s="9"/>
      <c r="H452" s="9"/>
    </row>
    <row r="453" ht="15.75" customHeight="1">
      <c r="C453" s="9"/>
      <c r="D453" s="9"/>
      <c r="E453" s="9"/>
      <c r="F453" s="9"/>
      <c r="G453" s="9"/>
      <c r="H453" s="9"/>
    </row>
    <row r="454" ht="15.75" customHeight="1">
      <c r="C454" s="9"/>
      <c r="D454" s="9"/>
      <c r="E454" s="9"/>
      <c r="F454" s="9"/>
      <c r="G454" s="9"/>
      <c r="H454" s="9"/>
    </row>
    <row r="455" ht="15.75" customHeight="1">
      <c r="C455" s="9"/>
      <c r="D455" s="9"/>
      <c r="E455" s="9"/>
      <c r="F455" s="9"/>
      <c r="G455" s="9"/>
      <c r="H455" s="9"/>
    </row>
    <row r="456" ht="15.75" customHeight="1">
      <c r="C456" s="9"/>
      <c r="D456" s="9"/>
      <c r="E456" s="9"/>
      <c r="F456" s="9"/>
      <c r="G456" s="9"/>
      <c r="H456" s="9"/>
    </row>
    <row r="457" ht="15.75" customHeight="1">
      <c r="C457" s="9"/>
      <c r="D457" s="9"/>
      <c r="E457" s="9"/>
      <c r="F457" s="9"/>
      <c r="G457" s="9"/>
      <c r="H457" s="9"/>
    </row>
    <row r="458" ht="15.75" customHeight="1">
      <c r="C458" s="9"/>
      <c r="D458" s="9"/>
      <c r="E458" s="9"/>
      <c r="F458" s="9"/>
      <c r="G458" s="9"/>
      <c r="H458" s="9"/>
    </row>
    <row r="459" ht="15.75" customHeight="1">
      <c r="C459" s="9"/>
      <c r="D459" s="9"/>
      <c r="E459" s="9"/>
      <c r="F459" s="9"/>
      <c r="G459" s="9"/>
      <c r="H459" s="9"/>
    </row>
    <row r="460" ht="15.75" customHeight="1">
      <c r="C460" s="9"/>
      <c r="D460" s="9"/>
      <c r="E460" s="9"/>
      <c r="F460" s="9"/>
      <c r="G460" s="9"/>
      <c r="H460" s="9"/>
    </row>
    <row r="461" ht="15.75" customHeight="1">
      <c r="C461" s="9"/>
      <c r="D461" s="9"/>
      <c r="E461" s="9"/>
      <c r="F461" s="9"/>
      <c r="G461" s="9"/>
      <c r="H461" s="9"/>
    </row>
    <row r="462" ht="15.75" customHeight="1">
      <c r="C462" s="9"/>
      <c r="D462" s="9"/>
      <c r="E462" s="9"/>
      <c r="F462" s="9"/>
      <c r="G462" s="9"/>
      <c r="H462" s="9"/>
    </row>
    <row r="463" ht="15.75" customHeight="1">
      <c r="C463" s="9"/>
      <c r="D463" s="9"/>
      <c r="E463" s="9"/>
      <c r="F463" s="9"/>
      <c r="G463" s="9"/>
      <c r="H463" s="9"/>
    </row>
    <row r="464" ht="15.75" customHeight="1">
      <c r="C464" s="9"/>
      <c r="D464" s="9"/>
      <c r="E464" s="9"/>
      <c r="F464" s="9"/>
      <c r="G464" s="9"/>
      <c r="H464" s="9"/>
    </row>
    <row r="465" ht="15.75" customHeight="1">
      <c r="C465" s="9"/>
      <c r="D465" s="9"/>
      <c r="E465" s="9"/>
      <c r="F465" s="9"/>
      <c r="G465" s="9"/>
      <c r="H465" s="9"/>
    </row>
    <row r="466" ht="15.75" customHeight="1">
      <c r="C466" s="9"/>
      <c r="D466" s="9"/>
      <c r="E466" s="9"/>
      <c r="F466" s="9"/>
      <c r="G466" s="9"/>
      <c r="H466" s="9"/>
    </row>
    <row r="467" ht="15.75" customHeight="1">
      <c r="C467" s="9"/>
      <c r="D467" s="9"/>
      <c r="E467" s="9"/>
      <c r="F467" s="9"/>
      <c r="G467" s="9"/>
      <c r="H467" s="9"/>
    </row>
    <row r="468" ht="15.75" customHeight="1">
      <c r="C468" s="9"/>
      <c r="D468" s="9"/>
      <c r="E468" s="9"/>
      <c r="F468" s="9"/>
      <c r="G468" s="9"/>
      <c r="H468" s="9"/>
    </row>
    <row r="469" ht="15.75" customHeight="1">
      <c r="C469" s="9"/>
      <c r="D469" s="9"/>
      <c r="E469" s="9"/>
      <c r="F469" s="9"/>
      <c r="G469" s="9"/>
      <c r="H469" s="9"/>
    </row>
    <row r="470" ht="15.75" customHeight="1">
      <c r="C470" s="9"/>
      <c r="D470" s="9"/>
      <c r="E470" s="9"/>
      <c r="F470" s="9"/>
      <c r="G470" s="9"/>
      <c r="H470" s="9"/>
    </row>
    <row r="471" ht="15.75" customHeight="1">
      <c r="C471" s="9"/>
      <c r="D471" s="9"/>
      <c r="E471" s="9"/>
      <c r="F471" s="9"/>
      <c r="G471" s="9"/>
      <c r="H471" s="9"/>
    </row>
    <row r="472" ht="15.75" customHeight="1">
      <c r="C472" s="9"/>
      <c r="D472" s="9"/>
      <c r="E472" s="9"/>
      <c r="F472" s="9"/>
      <c r="G472" s="9"/>
      <c r="H472" s="9"/>
    </row>
    <row r="473" ht="15.75" customHeight="1">
      <c r="C473" s="9"/>
      <c r="D473" s="9"/>
      <c r="E473" s="9"/>
      <c r="F473" s="9"/>
      <c r="G473" s="9"/>
      <c r="H473" s="9"/>
    </row>
    <row r="474" ht="15.75" customHeight="1">
      <c r="C474" s="9"/>
      <c r="D474" s="9"/>
      <c r="E474" s="9"/>
      <c r="F474" s="9"/>
      <c r="G474" s="9"/>
      <c r="H474" s="9"/>
    </row>
    <row r="475" ht="15.75" customHeight="1">
      <c r="C475" s="9"/>
      <c r="D475" s="9"/>
      <c r="E475" s="9"/>
      <c r="F475" s="9"/>
      <c r="G475" s="9"/>
      <c r="H475" s="9"/>
    </row>
    <row r="476" ht="15.75" customHeight="1">
      <c r="C476" s="9"/>
      <c r="D476" s="9"/>
      <c r="E476" s="9"/>
      <c r="F476" s="9"/>
      <c r="G476" s="9"/>
      <c r="H476" s="9"/>
    </row>
    <row r="477" ht="15.75" customHeight="1">
      <c r="C477" s="9"/>
      <c r="D477" s="9"/>
      <c r="E477" s="9"/>
      <c r="F477" s="9"/>
      <c r="G477" s="9"/>
      <c r="H477" s="9"/>
    </row>
    <row r="478" ht="15.75" customHeight="1">
      <c r="C478" s="9"/>
      <c r="D478" s="9"/>
      <c r="E478" s="9"/>
      <c r="F478" s="9"/>
      <c r="G478" s="9"/>
      <c r="H478" s="9"/>
    </row>
    <row r="479" ht="15.75" customHeight="1">
      <c r="C479" s="9"/>
      <c r="D479" s="9"/>
      <c r="E479" s="9"/>
      <c r="F479" s="9"/>
      <c r="G479" s="9"/>
      <c r="H479" s="9"/>
    </row>
    <row r="480" ht="15.75" customHeight="1">
      <c r="C480" s="9"/>
      <c r="D480" s="9"/>
      <c r="E480" s="9"/>
      <c r="F480" s="9"/>
      <c r="G480" s="9"/>
      <c r="H480" s="9"/>
    </row>
    <row r="481" ht="15.75" customHeight="1">
      <c r="C481" s="9"/>
      <c r="D481" s="9"/>
      <c r="E481" s="9"/>
      <c r="F481" s="9"/>
      <c r="G481" s="9"/>
      <c r="H481" s="9"/>
    </row>
    <row r="482" ht="15.75" customHeight="1">
      <c r="C482" s="9"/>
      <c r="D482" s="9"/>
      <c r="E482" s="9"/>
      <c r="F482" s="9"/>
      <c r="G482" s="9"/>
      <c r="H482" s="9"/>
    </row>
    <row r="483" ht="15.75" customHeight="1">
      <c r="C483" s="9"/>
      <c r="D483" s="9"/>
      <c r="E483" s="9"/>
      <c r="F483" s="9"/>
      <c r="G483" s="9"/>
      <c r="H483" s="9"/>
    </row>
    <row r="484" ht="15.75" customHeight="1">
      <c r="C484" s="9"/>
      <c r="D484" s="9"/>
      <c r="E484" s="9"/>
      <c r="F484" s="9"/>
      <c r="G484" s="9"/>
      <c r="H484" s="9"/>
    </row>
    <row r="485" ht="15.75" customHeight="1">
      <c r="C485" s="9"/>
      <c r="D485" s="9"/>
      <c r="E485" s="9"/>
      <c r="F485" s="9"/>
      <c r="G485" s="9"/>
      <c r="H485" s="9"/>
    </row>
    <row r="486" ht="15.75" customHeight="1">
      <c r="C486" s="9"/>
      <c r="D486" s="9"/>
      <c r="E486" s="9"/>
      <c r="F486" s="9"/>
      <c r="G486" s="9"/>
      <c r="H486" s="9"/>
    </row>
    <row r="487" ht="15.75" customHeight="1">
      <c r="C487" s="9"/>
      <c r="D487" s="9"/>
      <c r="E487" s="9"/>
      <c r="F487" s="9"/>
      <c r="G487" s="9"/>
      <c r="H487" s="9"/>
    </row>
    <row r="488" ht="15.75" customHeight="1">
      <c r="C488" s="9"/>
      <c r="D488" s="9"/>
      <c r="E488" s="9"/>
      <c r="F488" s="9"/>
      <c r="G488" s="9"/>
      <c r="H488" s="9"/>
    </row>
    <row r="489" ht="15.75" customHeight="1">
      <c r="C489" s="9"/>
      <c r="D489" s="9"/>
      <c r="E489" s="9"/>
      <c r="F489" s="9"/>
      <c r="G489" s="9"/>
      <c r="H489" s="9"/>
    </row>
    <row r="490" ht="15.75" customHeight="1">
      <c r="C490" s="9"/>
      <c r="D490" s="9"/>
      <c r="E490" s="9"/>
      <c r="F490" s="9"/>
      <c r="G490" s="9"/>
      <c r="H490" s="9"/>
    </row>
    <row r="491" ht="15.75" customHeight="1">
      <c r="C491" s="9"/>
      <c r="D491" s="9"/>
      <c r="E491" s="9"/>
      <c r="F491" s="9"/>
      <c r="G491" s="9"/>
      <c r="H491" s="9"/>
    </row>
    <row r="492" ht="15.75" customHeight="1">
      <c r="C492" s="9"/>
      <c r="D492" s="9"/>
      <c r="E492" s="9"/>
      <c r="F492" s="9"/>
      <c r="G492" s="9"/>
      <c r="H492" s="9"/>
    </row>
    <row r="493" ht="15.75" customHeight="1">
      <c r="C493" s="9"/>
      <c r="D493" s="9"/>
      <c r="E493" s="9"/>
      <c r="F493" s="9"/>
      <c r="G493" s="9"/>
      <c r="H493" s="9"/>
    </row>
    <row r="494" ht="15.75" customHeight="1">
      <c r="C494" s="9"/>
      <c r="D494" s="9"/>
      <c r="E494" s="9"/>
      <c r="F494" s="9"/>
      <c r="G494" s="9"/>
      <c r="H494" s="9"/>
    </row>
    <row r="495" ht="15.75" customHeight="1">
      <c r="C495" s="9"/>
      <c r="D495" s="9"/>
      <c r="E495" s="9"/>
      <c r="F495" s="9"/>
      <c r="G495" s="9"/>
      <c r="H495" s="9"/>
    </row>
    <row r="496" ht="15.75" customHeight="1">
      <c r="C496" s="9"/>
      <c r="D496" s="9"/>
      <c r="E496" s="9"/>
      <c r="F496" s="9"/>
      <c r="G496" s="9"/>
      <c r="H496" s="9"/>
    </row>
    <row r="497" ht="15.75" customHeight="1">
      <c r="C497" s="9"/>
      <c r="D497" s="9"/>
      <c r="E497" s="9"/>
      <c r="F497" s="9"/>
      <c r="G497" s="9"/>
      <c r="H497" s="9"/>
    </row>
    <row r="498" ht="15.75" customHeight="1">
      <c r="C498" s="9"/>
      <c r="D498" s="9"/>
      <c r="E498" s="9"/>
      <c r="F498" s="9"/>
      <c r="G498" s="9"/>
      <c r="H498" s="9"/>
    </row>
    <row r="499" ht="15.75" customHeight="1">
      <c r="C499" s="9"/>
      <c r="D499" s="9"/>
      <c r="E499" s="9"/>
      <c r="F499" s="9"/>
      <c r="G499" s="9"/>
      <c r="H499" s="9"/>
    </row>
    <row r="500" ht="15.75" customHeight="1">
      <c r="C500" s="9"/>
      <c r="D500" s="9"/>
      <c r="E500" s="9"/>
      <c r="F500" s="9"/>
      <c r="G500" s="9"/>
      <c r="H500" s="9"/>
    </row>
    <row r="501" ht="15.75" customHeight="1">
      <c r="C501" s="9"/>
      <c r="D501" s="9"/>
      <c r="E501" s="9"/>
      <c r="F501" s="9"/>
      <c r="G501" s="9"/>
      <c r="H501" s="9"/>
    </row>
    <row r="502" ht="15.75" customHeight="1">
      <c r="C502" s="9"/>
      <c r="D502" s="9"/>
      <c r="E502" s="9"/>
      <c r="F502" s="9"/>
      <c r="G502" s="9"/>
      <c r="H502" s="9"/>
    </row>
    <row r="503" ht="15.75" customHeight="1">
      <c r="C503" s="9"/>
      <c r="D503" s="9"/>
      <c r="E503" s="9"/>
      <c r="F503" s="9"/>
      <c r="G503" s="9"/>
      <c r="H503" s="9"/>
    </row>
    <row r="504" ht="15.75" customHeight="1">
      <c r="C504" s="9"/>
      <c r="D504" s="9"/>
      <c r="E504" s="9"/>
      <c r="F504" s="9"/>
      <c r="G504" s="9"/>
      <c r="H504" s="9"/>
    </row>
    <row r="505" ht="15.75" customHeight="1">
      <c r="C505" s="9"/>
      <c r="D505" s="9"/>
      <c r="E505" s="9"/>
      <c r="F505" s="9"/>
      <c r="G505" s="9"/>
      <c r="H505" s="9"/>
    </row>
    <row r="506" ht="15.75" customHeight="1">
      <c r="C506" s="9"/>
      <c r="D506" s="9"/>
      <c r="E506" s="9"/>
      <c r="F506" s="9"/>
      <c r="G506" s="9"/>
      <c r="H506" s="9"/>
    </row>
    <row r="507" ht="15.75" customHeight="1">
      <c r="C507" s="9"/>
      <c r="D507" s="9"/>
      <c r="E507" s="9"/>
      <c r="F507" s="9"/>
      <c r="G507" s="9"/>
      <c r="H507" s="9"/>
    </row>
    <row r="508" ht="15.75" customHeight="1">
      <c r="C508" s="9"/>
      <c r="D508" s="9"/>
      <c r="E508" s="9"/>
      <c r="F508" s="9"/>
      <c r="G508" s="9"/>
      <c r="H508" s="9"/>
    </row>
    <row r="509" ht="15.75" customHeight="1">
      <c r="C509" s="9"/>
      <c r="D509" s="9"/>
      <c r="E509" s="9"/>
      <c r="F509" s="9"/>
      <c r="G509" s="9"/>
      <c r="H509" s="9"/>
    </row>
    <row r="510" ht="15.75" customHeight="1">
      <c r="C510" s="9"/>
      <c r="D510" s="9"/>
      <c r="E510" s="9"/>
      <c r="F510" s="9"/>
      <c r="G510" s="9"/>
      <c r="H510" s="9"/>
    </row>
    <row r="511" ht="15.75" customHeight="1">
      <c r="C511" s="9"/>
      <c r="D511" s="9"/>
      <c r="E511" s="9"/>
      <c r="F511" s="9"/>
      <c r="G511" s="9"/>
      <c r="H511" s="9"/>
    </row>
    <row r="512" ht="15.75" customHeight="1">
      <c r="C512" s="9"/>
      <c r="D512" s="9"/>
      <c r="E512" s="9"/>
      <c r="F512" s="9"/>
      <c r="G512" s="9"/>
      <c r="H512" s="9"/>
    </row>
    <row r="513" ht="15.75" customHeight="1">
      <c r="C513" s="9"/>
      <c r="D513" s="9"/>
      <c r="E513" s="9"/>
      <c r="F513" s="9"/>
      <c r="G513" s="9"/>
      <c r="H513" s="9"/>
    </row>
    <row r="514" ht="15.75" customHeight="1">
      <c r="C514" s="9"/>
      <c r="D514" s="9"/>
      <c r="E514" s="9"/>
      <c r="F514" s="9"/>
      <c r="G514" s="9"/>
      <c r="H514" s="9"/>
    </row>
    <row r="515" ht="15.75" customHeight="1">
      <c r="C515" s="9"/>
      <c r="D515" s="9"/>
      <c r="E515" s="9"/>
      <c r="F515" s="9"/>
      <c r="G515" s="9"/>
      <c r="H515" s="9"/>
    </row>
    <row r="516" ht="15.75" customHeight="1">
      <c r="C516" s="9"/>
      <c r="D516" s="9"/>
      <c r="E516" s="9"/>
      <c r="F516" s="9"/>
      <c r="G516" s="9"/>
      <c r="H516" s="9"/>
    </row>
    <row r="517" ht="15.75" customHeight="1">
      <c r="C517" s="9"/>
      <c r="D517" s="9"/>
      <c r="E517" s="9"/>
      <c r="F517" s="9"/>
      <c r="G517" s="9"/>
      <c r="H517" s="9"/>
    </row>
    <row r="518" ht="15.75" customHeight="1">
      <c r="C518" s="9"/>
      <c r="D518" s="9"/>
      <c r="E518" s="9"/>
      <c r="F518" s="9"/>
      <c r="G518" s="9"/>
      <c r="H518" s="9"/>
    </row>
    <row r="519" ht="15.75" customHeight="1">
      <c r="C519" s="9"/>
      <c r="D519" s="9"/>
      <c r="E519" s="9"/>
      <c r="F519" s="9"/>
      <c r="G519" s="9"/>
      <c r="H519" s="9"/>
    </row>
    <row r="520" ht="15.75" customHeight="1">
      <c r="C520" s="9"/>
      <c r="D520" s="9"/>
      <c r="E520" s="9"/>
      <c r="F520" s="9"/>
      <c r="G520" s="9"/>
      <c r="H520" s="9"/>
    </row>
    <row r="521" ht="15.75" customHeight="1">
      <c r="C521" s="9"/>
      <c r="D521" s="9"/>
      <c r="E521" s="9"/>
      <c r="F521" s="9"/>
      <c r="G521" s="9"/>
      <c r="H521" s="9"/>
    </row>
    <row r="522" ht="15.75" customHeight="1">
      <c r="C522" s="9"/>
      <c r="D522" s="9"/>
      <c r="E522" s="9"/>
      <c r="F522" s="9"/>
      <c r="G522" s="9"/>
      <c r="H522" s="9"/>
    </row>
    <row r="523" ht="15.75" customHeight="1">
      <c r="C523" s="9"/>
      <c r="D523" s="9"/>
      <c r="E523" s="9"/>
      <c r="F523" s="9"/>
      <c r="G523" s="9"/>
      <c r="H523" s="9"/>
    </row>
    <row r="524" ht="15.75" customHeight="1">
      <c r="C524" s="9"/>
      <c r="D524" s="9"/>
      <c r="E524" s="9"/>
      <c r="F524" s="9"/>
      <c r="G524" s="9"/>
      <c r="H524" s="9"/>
    </row>
    <row r="525" ht="15.75" customHeight="1">
      <c r="C525" s="9"/>
      <c r="D525" s="9"/>
      <c r="E525" s="9"/>
      <c r="F525" s="9"/>
      <c r="G525" s="9"/>
      <c r="H525" s="9"/>
    </row>
    <row r="526" ht="15.75" customHeight="1">
      <c r="C526" s="9"/>
      <c r="D526" s="9"/>
      <c r="E526" s="9"/>
      <c r="F526" s="9"/>
      <c r="G526" s="9"/>
      <c r="H526" s="9"/>
    </row>
    <row r="527" ht="15.75" customHeight="1">
      <c r="C527" s="9"/>
      <c r="D527" s="9"/>
      <c r="E527" s="9"/>
      <c r="F527" s="9"/>
      <c r="G527" s="9"/>
      <c r="H527" s="9"/>
    </row>
    <row r="528" ht="15.75" customHeight="1">
      <c r="C528" s="9"/>
      <c r="D528" s="9"/>
      <c r="E528" s="9"/>
      <c r="F528" s="9"/>
      <c r="G528" s="9"/>
      <c r="H528" s="9"/>
    </row>
    <row r="529" ht="15.75" customHeight="1">
      <c r="C529" s="9"/>
      <c r="D529" s="9"/>
      <c r="E529" s="9"/>
      <c r="F529" s="9"/>
      <c r="G529" s="9"/>
      <c r="H529" s="9"/>
    </row>
    <row r="530" ht="15.75" customHeight="1">
      <c r="C530" s="9"/>
      <c r="D530" s="9"/>
      <c r="E530" s="9"/>
      <c r="F530" s="9"/>
      <c r="G530" s="9"/>
      <c r="H530" s="9"/>
    </row>
    <row r="531" ht="15.75" customHeight="1">
      <c r="C531" s="9"/>
      <c r="D531" s="9"/>
      <c r="E531" s="9"/>
      <c r="F531" s="9"/>
      <c r="G531" s="9"/>
      <c r="H531" s="9"/>
    </row>
    <row r="532" ht="15.75" customHeight="1">
      <c r="C532" s="9"/>
      <c r="D532" s="9"/>
      <c r="E532" s="9"/>
      <c r="F532" s="9"/>
      <c r="G532" s="9"/>
      <c r="H532" s="9"/>
    </row>
    <row r="533" ht="15.75" customHeight="1">
      <c r="C533" s="9"/>
      <c r="D533" s="9"/>
      <c r="E533" s="9"/>
      <c r="F533" s="9"/>
      <c r="G533" s="9"/>
      <c r="H533" s="9"/>
    </row>
    <row r="534" ht="15.75" customHeight="1">
      <c r="C534" s="9"/>
      <c r="D534" s="9"/>
      <c r="E534" s="9"/>
      <c r="F534" s="9"/>
      <c r="G534" s="9"/>
      <c r="H534" s="9"/>
    </row>
    <row r="535" ht="15.75" customHeight="1">
      <c r="C535" s="9"/>
      <c r="D535" s="9"/>
      <c r="E535" s="9"/>
      <c r="F535" s="9"/>
      <c r="G535" s="9"/>
      <c r="H535" s="9"/>
    </row>
    <row r="536" ht="15.75" customHeight="1">
      <c r="C536" s="9"/>
      <c r="D536" s="9"/>
      <c r="E536" s="9"/>
      <c r="F536" s="9"/>
      <c r="G536" s="9"/>
      <c r="H536" s="9"/>
    </row>
    <row r="537" ht="15.75" customHeight="1">
      <c r="C537" s="9"/>
      <c r="D537" s="9"/>
      <c r="E537" s="9"/>
      <c r="F537" s="9"/>
      <c r="G537" s="9"/>
      <c r="H537" s="9"/>
    </row>
    <row r="538" ht="15.75" customHeight="1">
      <c r="C538" s="9"/>
      <c r="D538" s="9"/>
      <c r="E538" s="9"/>
      <c r="F538" s="9"/>
      <c r="G538" s="9"/>
      <c r="H538" s="9"/>
    </row>
    <row r="539" ht="15.75" customHeight="1">
      <c r="C539" s="9"/>
      <c r="D539" s="9"/>
      <c r="E539" s="9"/>
      <c r="F539" s="9"/>
      <c r="G539" s="9"/>
      <c r="H539" s="9"/>
    </row>
    <row r="540" ht="15.75" customHeight="1">
      <c r="C540" s="9"/>
      <c r="D540" s="9"/>
      <c r="E540" s="9"/>
      <c r="F540" s="9"/>
      <c r="G540" s="9"/>
      <c r="H540" s="9"/>
    </row>
    <row r="541" ht="15.75" customHeight="1">
      <c r="C541" s="9"/>
      <c r="D541" s="9"/>
      <c r="E541" s="9"/>
      <c r="F541" s="9"/>
      <c r="G541" s="9"/>
      <c r="H541" s="9"/>
    </row>
    <row r="542" ht="15.75" customHeight="1">
      <c r="C542" s="9"/>
      <c r="D542" s="9"/>
      <c r="E542" s="9"/>
      <c r="F542" s="9"/>
      <c r="G542" s="9"/>
      <c r="H542" s="9"/>
    </row>
    <row r="543" ht="15.75" customHeight="1">
      <c r="C543" s="9"/>
      <c r="D543" s="9"/>
      <c r="E543" s="9"/>
      <c r="F543" s="9"/>
      <c r="G543" s="9"/>
      <c r="H543" s="9"/>
    </row>
    <row r="544" ht="15.75" customHeight="1">
      <c r="C544" s="9"/>
      <c r="D544" s="9"/>
      <c r="E544" s="9"/>
      <c r="F544" s="9"/>
      <c r="G544" s="9"/>
      <c r="H544" s="9"/>
    </row>
    <row r="545" ht="15.75" customHeight="1">
      <c r="C545" s="9"/>
      <c r="D545" s="9"/>
      <c r="E545" s="9"/>
      <c r="F545" s="9"/>
      <c r="G545" s="9"/>
      <c r="H545" s="9"/>
    </row>
    <row r="546" ht="15.75" customHeight="1">
      <c r="C546" s="9"/>
      <c r="D546" s="9"/>
      <c r="E546" s="9"/>
      <c r="F546" s="9"/>
      <c r="G546" s="9"/>
      <c r="H546" s="9"/>
    </row>
    <row r="547" ht="15.75" customHeight="1">
      <c r="C547" s="9"/>
      <c r="D547" s="9"/>
      <c r="E547" s="9"/>
      <c r="F547" s="9"/>
      <c r="G547" s="9"/>
      <c r="H547" s="9"/>
    </row>
    <row r="548" ht="15.75" customHeight="1">
      <c r="C548" s="9"/>
      <c r="D548" s="9"/>
      <c r="E548" s="9"/>
      <c r="F548" s="9"/>
      <c r="G548" s="9"/>
      <c r="H548" s="9"/>
    </row>
    <row r="549" ht="15.75" customHeight="1">
      <c r="C549" s="9"/>
      <c r="D549" s="9"/>
      <c r="E549" s="9"/>
      <c r="F549" s="9"/>
      <c r="G549" s="9"/>
      <c r="H549" s="9"/>
    </row>
    <row r="550" ht="15.75" customHeight="1">
      <c r="C550" s="9"/>
      <c r="D550" s="9"/>
      <c r="E550" s="9"/>
      <c r="F550" s="9"/>
      <c r="G550" s="9"/>
      <c r="H550" s="9"/>
    </row>
    <row r="551" ht="15.75" customHeight="1">
      <c r="C551" s="9"/>
      <c r="D551" s="9"/>
      <c r="E551" s="9"/>
      <c r="F551" s="9"/>
      <c r="G551" s="9"/>
      <c r="H551" s="9"/>
    </row>
    <row r="552" ht="15.75" customHeight="1">
      <c r="C552" s="9"/>
      <c r="D552" s="9"/>
      <c r="E552" s="9"/>
      <c r="F552" s="9"/>
      <c r="G552" s="9"/>
      <c r="H552" s="9"/>
    </row>
    <row r="553" ht="15.75" customHeight="1">
      <c r="C553" s="9"/>
      <c r="D553" s="9"/>
      <c r="E553" s="9"/>
      <c r="F553" s="9"/>
      <c r="G553" s="9"/>
      <c r="H553" s="9"/>
    </row>
    <row r="554" ht="15.75" customHeight="1">
      <c r="C554" s="9"/>
      <c r="D554" s="9"/>
      <c r="E554" s="9"/>
      <c r="F554" s="9"/>
      <c r="G554" s="9"/>
      <c r="H554" s="9"/>
    </row>
    <row r="555" ht="15.75" customHeight="1">
      <c r="C555" s="9"/>
      <c r="D555" s="9"/>
      <c r="E555" s="9"/>
      <c r="F555" s="9"/>
      <c r="G555" s="9"/>
      <c r="H555" s="9"/>
    </row>
    <row r="556" ht="15.75" customHeight="1">
      <c r="C556" s="9"/>
      <c r="D556" s="9"/>
      <c r="E556" s="9"/>
      <c r="F556" s="9"/>
      <c r="G556" s="9"/>
      <c r="H556" s="9"/>
    </row>
    <row r="557" ht="15.75" customHeight="1">
      <c r="C557" s="9"/>
      <c r="D557" s="9"/>
      <c r="E557" s="9"/>
      <c r="F557" s="9"/>
      <c r="G557" s="9"/>
      <c r="H557" s="9"/>
    </row>
    <row r="558" ht="15.75" customHeight="1">
      <c r="C558" s="9"/>
      <c r="D558" s="9"/>
      <c r="E558" s="9"/>
      <c r="F558" s="9"/>
      <c r="G558" s="9"/>
      <c r="H558" s="9"/>
    </row>
    <row r="559" ht="15.75" customHeight="1">
      <c r="C559" s="9"/>
      <c r="D559" s="9"/>
      <c r="E559" s="9"/>
      <c r="F559" s="9"/>
      <c r="G559" s="9"/>
      <c r="H559" s="9"/>
    </row>
    <row r="560" ht="15.75" customHeight="1">
      <c r="C560" s="9"/>
      <c r="D560" s="9"/>
      <c r="E560" s="9"/>
      <c r="F560" s="9"/>
      <c r="G560" s="9"/>
      <c r="H560" s="9"/>
    </row>
    <row r="561" ht="15.75" customHeight="1">
      <c r="C561" s="9"/>
      <c r="D561" s="9"/>
      <c r="E561" s="9"/>
      <c r="F561" s="9"/>
      <c r="G561" s="9"/>
      <c r="H561" s="9"/>
    </row>
    <row r="562" ht="15.75" customHeight="1">
      <c r="C562" s="9"/>
      <c r="D562" s="9"/>
      <c r="E562" s="9"/>
      <c r="F562" s="9"/>
      <c r="G562" s="9"/>
      <c r="H562" s="9"/>
    </row>
    <row r="563" ht="15.75" customHeight="1">
      <c r="C563" s="9"/>
      <c r="D563" s="9"/>
      <c r="E563" s="9"/>
      <c r="F563" s="9"/>
      <c r="G563" s="9"/>
      <c r="H563" s="9"/>
    </row>
    <row r="564" ht="15.75" customHeight="1">
      <c r="C564" s="9"/>
      <c r="D564" s="9"/>
      <c r="E564" s="9"/>
      <c r="F564" s="9"/>
      <c r="G564" s="9"/>
      <c r="H564" s="9"/>
    </row>
    <row r="565" ht="15.75" customHeight="1">
      <c r="C565" s="9"/>
      <c r="D565" s="9"/>
      <c r="E565" s="9"/>
      <c r="F565" s="9"/>
      <c r="G565" s="9"/>
      <c r="H565" s="9"/>
    </row>
    <row r="566" ht="15.75" customHeight="1">
      <c r="C566" s="9"/>
      <c r="D566" s="9"/>
      <c r="E566" s="9"/>
      <c r="F566" s="9"/>
      <c r="G566" s="9"/>
      <c r="H566" s="9"/>
    </row>
    <row r="567" ht="15.75" customHeight="1">
      <c r="C567" s="9"/>
      <c r="D567" s="9"/>
      <c r="E567" s="9"/>
      <c r="F567" s="9"/>
      <c r="G567" s="9"/>
      <c r="H567" s="9"/>
    </row>
    <row r="568" ht="15.75" customHeight="1">
      <c r="C568" s="9"/>
      <c r="D568" s="9"/>
      <c r="E568" s="9"/>
      <c r="F568" s="9"/>
      <c r="G568" s="9"/>
      <c r="H568" s="9"/>
    </row>
    <row r="569" ht="15.75" customHeight="1">
      <c r="C569" s="9"/>
      <c r="D569" s="9"/>
      <c r="E569" s="9"/>
      <c r="F569" s="9"/>
      <c r="G569" s="9"/>
      <c r="H569" s="9"/>
    </row>
    <row r="570" ht="15.75" customHeight="1">
      <c r="C570" s="9"/>
      <c r="D570" s="9"/>
      <c r="E570" s="9"/>
      <c r="F570" s="9"/>
      <c r="G570" s="9"/>
      <c r="H570" s="9"/>
    </row>
    <row r="571" ht="15.75" customHeight="1">
      <c r="C571" s="9"/>
      <c r="D571" s="9"/>
      <c r="E571" s="9"/>
      <c r="F571" s="9"/>
      <c r="G571" s="9"/>
      <c r="H571" s="9"/>
    </row>
    <row r="572" ht="15.75" customHeight="1">
      <c r="C572" s="9"/>
      <c r="D572" s="9"/>
      <c r="E572" s="9"/>
      <c r="F572" s="9"/>
      <c r="G572" s="9"/>
      <c r="H572" s="9"/>
    </row>
    <row r="573" ht="15.75" customHeight="1">
      <c r="C573" s="9"/>
      <c r="D573" s="9"/>
      <c r="E573" s="9"/>
      <c r="F573" s="9"/>
      <c r="G573" s="9"/>
      <c r="H573" s="9"/>
    </row>
    <row r="574" ht="15.75" customHeight="1">
      <c r="C574" s="9"/>
      <c r="D574" s="9"/>
      <c r="E574" s="9"/>
      <c r="F574" s="9"/>
      <c r="G574" s="9"/>
      <c r="H574" s="9"/>
    </row>
    <row r="575" ht="15.75" customHeight="1">
      <c r="C575" s="9"/>
      <c r="D575" s="9"/>
      <c r="E575" s="9"/>
      <c r="F575" s="9"/>
      <c r="G575" s="9"/>
      <c r="H575" s="9"/>
    </row>
    <row r="576" ht="15.75" customHeight="1">
      <c r="C576" s="9"/>
      <c r="D576" s="9"/>
      <c r="E576" s="9"/>
      <c r="F576" s="9"/>
      <c r="G576" s="9"/>
      <c r="H576" s="9"/>
    </row>
    <row r="577" ht="15.75" customHeight="1">
      <c r="C577" s="9"/>
      <c r="D577" s="9"/>
      <c r="E577" s="9"/>
      <c r="F577" s="9"/>
      <c r="G577" s="9"/>
      <c r="H577" s="9"/>
    </row>
    <row r="578" ht="15.75" customHeight="1">
      <c r="C578" s="9"/>
      <c r="D578" s="9"/>
      <c r="E578" s="9"/>
      <c r="F578" s="9"/>
      <c r="G578" s="9"/>
      <c r="H578" s="9"/>
    </row>
    <row r="579" ht="15.75" customHeight="1">
      <c r="C579" s="9"/>
      <c r="D579" s="9"/>
      <c r="E579" s="9"/>
      <c r="F579" s="9"/>
      <c r="G579" s="9"/>
      <c r="H579" s="9"/>
    </row>
    <row r="580" ht="15.75" customHeight="1">
      <c r="C580" s="9"/>
      <c r="D580" s="9"/>
      <c r="E580" s="9"/>
      <c r="F580" s="9"/>
      <c r="G580" s="9"/>
      <c r="H580" s="9"/>
    </row>
    <row r="581" ht="15.75" customHeight="1">
      <c r="C581" s="9"/>
      <c r="D581" s="9"/>
      <c r="E581" s="9"/>
      <c r="F581" s="9"/>
      <c r="G581" s="9"/>
      <c r="H581" s="9"/>
    </row>
    <row r="582" ht="15.75" customHeight="1">
      <c r="C582" s="9"/>
      <c r="D582" s="9"/>
      <c r="E582" s="9"/>
      <c r="F582" s="9"/>
      <c r="G582" s="9"/>
      <c r="H582" s="9"/>
    </row>
    <row r="583" ht="15.75" customHeight="1">
      <c r="C583" s="9"/>
      <c r="D583" s="9"/>
      <c r="E583" s="9"/>
      <c r="F583" s="9"/>
      <c r="G583" s="9"/>
      <c r="H583" s="9"/>
    </row>
    <row r="584" ht="15.75" customHeight="1">
      <c r="C584" s="9"/>
      <c r="D584" s="9"/>
      <c r="E584" s="9"/>
      <c r="F584" s="9"/>
      <c r="G584" s="9"/>
      <c r="H584" s="9"/>
    </row>
    <row r="585" ht="15.75" customHeight="1">
      <c r="C585" s="9"/>
      <c r="D585" s="9"/>
      <c r="E585" s="9"/>
      <c r="F585" s="9"/>
      <c r="G585" s="9"/>
      <c r="H585" s="9"/>
    </row>
    <row r="586" ht="15.75" customHeight="1">
      <c r="C586" s="9"/>
      <c r="D586" s="9"/>
      <c r="E586" s="9"/>
      <c r="F586" s="9"/>
      <c r="G586" s="9"/>
      <c r="H586" s="9"/>
    </row>
    <row r="587" ht="15.75" customHeight="1">
      <c r="C587" s="9"/>
      <c r="D587" s="9"/>
      <c r="E587" s="9"/>
      <c r="F587" s="9"/>
      <c r="G587" s="9"/>
      <c r="H587" s="9"/>
    </row>
    <row r="588" ht="15.75" customHeight="1">
      <c r="C588" s="9"/>
      <c r="D588" s="9"/>
      <c r="E588" s="9"/>
      <c r="F588" s="9"/>
      <c r="G588" s="9"/>
      <c r="H588" s="9"/>
    </row>
    <row r="589" ht="15.75" customHeight="1">
      <c r="C589" s="9"/>
      <c r="D589" s="9"/>
      <c r="E589" s="9"/>
      <c r="F589" s="9"/>
      <c r="G589" s="9"/>
      <c r="H589" s="9"/>
    </row>
    <row r="590" ht="15.75" customHeight="1">
      <c r="C590" s="9"/>
      <c r="D590" s="9"/>
      <c r="E590" s="9"/>
      <c r="F590" s="9"/>
      <c r="G590" s="9"/>
      <c r="H590" s="9"/>
    </row>
    <row r="591" ht="15.75" customHeight="1">
      <c r="C591" s="9"/>
      <c r="D591" s="9"/>
      <c r="E591" s="9"/>
      <c r="F591" s="9"/>
      <c r="G591" s="9"/>
      <c r="H591" s="9"/>
    </row>
    <row r="592" ht="15.75" customHeight="1">
      <c r="C592" s="9"/>
      <c r="D592" s="9"/>
      <c r="E592" s="9"/>
      <c r="F592" s="9"/>
      <c r="G592" s="9"/>
      <c r="H592" s="9"/>
    </row>
    <row r="593" ht="15.75" customHeight="1">
      <c r="C593" s="9"/>
      <c r="D593" s="9"/>
      <c r="E593" s="9"/>
      <c r="F593" s="9"/>
      <c r="G593" s="9"/>
      <c r="H593" s="9"/>
    </row>
    <row r="594" ht="15.75" customHeight="1">
      <c r="C594" s="9"/>
      <c r="D594" s="9"/>
      <c r="E594" s="9"/>
      <c r="F594" s="9"/>
      <c r="G594" s="9"/>
      <c r="H594" s="9"/>
    </row>
    <row r="595" ht="15.75" customHeight="1">
      <c r="C595" s="9"/>
      <c r="D595" s="9"/>
      <c r="E595" s="9"/>
      <c r="F595" s="9"/>
      <c r="G595" s="9"/>
      <c r="H595" s="9"/>
    </row>
    <row r="596" ht="15.75" customHeight="1">
      <c r="C596" s="9"/>
      <c r="D596" s="9"/>
      <c r="E596" s="9"/>
      <c r="F596" s="9"/>
      <c r="G596" s="9"/>
      <c r="H596" s="9"/>
    </row>
    <row r="597" ht="15.75" customHeight="1">
      <c r="C597" s="9"/>
      <c r="D597" s="9"/>
      <c r="E597" s="9"/>
      <c r="F597" s="9"/>
      <c r="G597" s="9"/>
      <c r="H597" s="9"/>
    </row>
    <row r="598" ht="15.75" customHeight="1">
      <c r="C598" s="9"/>
      <c r="D598" s="9"/>
      <c r="E598" s="9"/>
      <c r="F598" s="9"/>
      <c r="G598" s="9"/>
      <c r="H598" s="9"/>
    </row>
    <row r="599" ht="15.75" customHeight="1">
      <c r="C599" s="9"/>
      <c r="D599" s="9"/>
      <c r="E599" s="9"/>
      <c r="F599" s="9"/>
      <c r="G599" s="9"/>
      <c r="H599" s="9"/>
    </row>
    <row r="600" ht="15.75" customHeight="1">
      <c r="C600" s="9"/>
      <c r="D600" s="9"/>
      <c r="E600" s="9"/>
      <c r="F600" s="9"/>
      <c r="G600" s="9"/>
      <c r="H600" s="9"/>
    </row>
    <row r="601" ht="15.75" customHeight="1">
      <c r="C601" s="9"/>
      <c r="D601" s="9"/>
      <c r="E601" s="9"/>
      <c r="F601" s="9"/>
      <c r="G601" s="9"/>
      <c r="H601" s="9"/>
    </row>
    <row r="602" ht="15.75" customHeight="1">
      <c r="C602" s="9"/>
      <c r="D602" s="9"/>
      <c r="E602" s="9"/>
      <c r="F602" s="9"/>
      <c r="G602" s="9"/>
      <c r="H602" s="9"/>
    </row>
    <row r="603" ht="15.75" customHeight="1">
      <c r="C603" s="9"/>
      <c r="D603" s="9"/>
      <c r="E603" s="9"/>
      <c r="F603" s="9"/>
      <c r="G603" s="9"/>
      <c r="H603" s="9"/>
    </row>
    <row r="604" ht="15.75" customHeight="1">
      <c r="C604" s="9"/>
      <c r="D604" s="9"/>
      <c r="E604" s="9"/>
      <c r="F604" s="9"/>
      <c r="G604" s="9"/>
      <c r="H604" s="9"/>
    </row>
    <row r="605" ht="15.75" customHeight="1">
      <c r="C605" s="9"/>
      <c r="D605" s="9"/>
      <c r="E605" s="9"/>
      <c r="F605" s="9"/>
      <c r="G605" s="9"/>
      <c r="H605" s="9"/>
    </row>
    <row r="606" ht="15.75" customHeight="1">
      <c r="C606" s="9"/>
      <c r="D606" s="9"/>
      <c r="E606" s="9"/>
      <c r="F606" s="9"/>
      <c r="G606" s="9"/>
      <c r="H606" s="9"/>
    </row>
    <row r="607" ht="15.75" customHeight="1">
      <c r="C607" s="9"/>
      <c r="D607" s="9"/>
      <c r="E607" s="9"/>
      <c r="F607" s="9"/>
      <c r="G607" s="9"/>
      <c r="H607" s="9"/>
    </row>
    <row r="608" ht="15.75" customHeight="1">
      <c r="C608" s="9"/>
      <c r="D608" s="9"/>
      <c r="E608" s="9"/>
      <c r="F608" s="9"/>
      <c r="G608" s="9"/>
      <c r="H608" s="9"/>
    </row>
    <row r="609" ht="15.75" customHeight="1">
      <c r="C609" s="9"/>
      <c r="D609" s="9"/>
      <c r="E609" s="9"/>
      <c r="F609" s="9"/>
      <c r="G609" s="9"/>
      <c r="H609" s="9"/>
    </row>
    <row r="610" ht="15.75" customHeight="1">
      <c r="C610" s="9"/>
      <c r="D610" s="9"/>
      <c r="E610" s="9"/>
      <c r="F610" s="9"/>
      <c r="G610" s="9"/>
      <c r="H610" s="9"/>
    </row>
    <row r="611" ht="15.75" customHeight="1">
      <c r="C611" s="9"/>
      <c r="D611" s="9"/>
      <c r="E611" s="9"/>
      <c r="F611" s="9"/>
      <c r="G611" s="9"/>
      <c r="H611" s="9"/>
    </row>
    <row r="612" ht="15.75" customHeight="1">
      <c r="C612" s="9"/>
      <c r="D612" s="9"/>
      <c r="E612" s="9"/>
      <c r="F612" s="9"/>
      <c r="G612" s="9"/>
      <c r="H612" s="9"/>
    </row>
    <row r="613" ht="15.75" customHeight="1">
      <c r="C613" s="9"/>
      <c r="D613" s="9"/>
      <c r="E613" s="9"/>
      <c r="F613" s="9"/>
      <c r="G613" s="9"/>
      <c r="H613" s="9"/>
    </row>
    <row r="614" ht="15.75" customHeight="1">
      <c r="C614" s="9"/>
      <c r="D614" s="9"/>
      <c r="E614" s="9"/>
      <c r="F614" s="9"/>
      <c r="G614" s="9"/>
      <c r="H614" s="9"/>
    </row>
    <row r="615" ht="15.75" customHeight="1">
      <c r="C615" s="9"/>
      <c r="D615" s="9"/>
      <c r="E615" s="9"/>
      <c r="F615" s="9"/>
      <c r="G615" s="9"/>
      <c r="H615" s="9"/>
    </row>
    <row r="616" ht="15.75" customHeight="1">
      <c r="C616" s="9"/>
      <c r="D616" s="9"/>
      <c r="E616" s="9"/>
      <c r="F616" s="9"/>
      <c r="G616" s="9"/>
      <c r="H616" s="9"/>
    </row>
    <row r="617" ht="15.75" customHeight="1">
      <c r="C617" s="9"/>
      <c r="D617" s="9"/>
      <c r="E617" s="9"/>
      <c r="F617" s="9"/>
      <c r="G617" s="9"/>
      <c r="H617" s="9"/>
    </row>
    <row r="618" ht="15.75" customHeight="1">
      <c r="C618" s="9"/>
      <c r="D618" s="9"/>
      <c r="E618" s="9"/>
      <c r="F618" s="9"/>
      <c r="G618" s="9"/>
      <c r="H618" s="9"/>
    </row>
    <row r="619" ht="15.75" customHeight="1">
      <c r="C619" s="9"/>
      <c r="D619" s="9"/>
      <c r="E619" s="9"/>
      <c r="F619" s="9"/>
      <c r="G619" s="9"/>
      <c r="H619" s="9"/>
    </row>
    <row r="620" ht="15.75" customHeight="1">
      <c r="C620" s="9"/>
      <c r="D620" s="9"/>
      <c r="E620" s="9"/>
      <c r="F620" s="9"/>
      <c r="G620" s="9"/>
      <c r="H620" s="9"/>
    </row>
    <row r="621" ht="15.75" customHeight="1">
      <c r="C621" s="9"/>
      <c r="D621" s="9"/>
      <c r="E621" s="9"/>
      <c r="F621" s="9"/>
      <c r="G621" s="9"/>
      <c r="H621" s="9"/>
    </row>
    <row r="622" ht="15.75" customHeight="1">
      <c r="C622" s="9"/>
      <c r="D622" s="9"/>
      <c r="E622" s="9"/>
      <c r="F622" s="9"/>
      <c r="G622" s="9"/>
      <c r="H622" s="9"/>
    </row>
    <row r="623" ht="15.75" customHeight="1">
      <c r="C623" s="9"/>
      <c r="D623" s="9"/>
      <c r="E623" s="9"/>
      <c r="F623" s="9"/>
      <c r="G623" s="9"/>
      <c r="H623" s="9"/>
    </row>
    <row r="624" ht="15.75" customHeight="1">
      <c r="C624" s="9"/>
      <c r="D624" s="9"/>
      <c r="E624" s="9"/>
      <c r="F624" s="9"/>
      <c r="G624" s="9"/>
      <c r="H624" s="9"/>
    </row>
    <row r="625" ht="15.75" customHeight="1">
      <c r="C625" s="9"/>
      <c r="D625" s="9"/>
      <c r="E625" s="9"/>
      <c r="F625" s="9"/>
      <c r="G625" s="9"/>
      <c r="H625" s="9"/>
    </row>
    <row r="626" ht="15.75" customHeight="1">
      <c r="C626" s="9"/>
      <c r="D626" s="9"/>
      <c r="E626" s="9"/>
      <c r="F626" s="9"/>
      <c r="G626" s="9"/>
      <c r="H626" s="9"/>
    </row>
    <row r="627" ht="15.75" customHeight="1">
      <c r="C627" s="9"/>
      <c r="D627" s="9"/>
      <c r="E627" s="9"/>
      <c r="F627" s="9"/>
      <c r="G627" s="9"/>
      <c r="H627" s="9"/>
    </row>
    <row r="628" ht="15.75" customHeight="1">
      <c r="C628" s="9"/>
      <c r="D628" s="9"/>
      <c r="E628" s="9"/>
      <c r="F628" s="9"/>
      <c r="G628" s="9"/>
      <c r="H628" s="9"/>
    </row>
    <row r="629" ht="15.75" customHeight="1">
      <c r="C629" s="9"/>
      <c r="D629" s="9"/>
      <c r="E629" s="9"/>
      <c r="F629" s="9"/>
      <c r="G629" s="9"/>
      <c r="H629" s="9"/>
    </row>
    <row r="630" ht="15.75" customHeight="1">
      <c r="C630" s="9"/>
      <c r="D630" s="9"/>
      <c r="E630" s="9"/>
      <c r="F630" s="9"/>
      <c r="G630" s="9"/>
      <c r="H630" s="9"/>
    </row>
    <row r="631" ht="15.75" customHeight="1">
      <c r="C631" s="9"/>
      <c r="D631" s="9"/>
      <c r="E631" s="9"/>
      <c r="F631" s="9"/>
      <c r="G631" s="9"/>
      <c r="H631" s="9"/>
    </row>
    <row r="632" ht="15.75" customHeight="1">
      <c r="C632" s="9"/>
      <c r="D632" s="9"/>
      <c r="E632" s="9"/>
      <c r="F632" s="9"/>
      <c r="G632" s="9"/>
      <c r="H632" s="9"/>
    </row>
    <row r="633" ht="15.75" customHeight="1">
      <c r="C633" s="9"/>
      <c r="D633" s="9"/>
      <c r="E633" s="9"/>
      <c r="F633" s="9"/>
      <c r="G633" s="9"/>
      <c r="H633" s="9"/>
    </row>
    <row r="634" ht="15.75" customHeight="1">
      <c r="C634" s="9"/>
      <c r="D634" s="9"/>
      <c r="E634" s="9"/>
      <c r="F634" s="9"/>
      <c r="G634" s="9"/>
      <c r="H634" s="9"/>
    </row>
    <row r="635" ht="15.75" customHeight="1">
      <c r="C635" s="9"/>
      <c r="D635" s="9"/>
      <c r="E635" s="9"/>
      <c r="F635" s="9"/>
      <c r="G635" s="9"/>
      <c r="H635" s="9"/>
    </row>
    <row r="636" ht="15.75" customHeight="1">
      <c r="C636" s="9"/>
      <c r="D636" s="9"/>
      <c r="E636" s="9"/>
      <c r="F636" s="9"/>
      <c r="G636" s="9"/>
      <c r="H636" s="9"/>
    </row>
    <row r="637" ht="15.75" customHeight="1">
      <c r="C637" s="9"/>
      <c r="D637" s="9"/>
      <c r="E637" s="9"/>
      <c r="F637" s="9"/>
      <c r="G637" s="9"/>
      <c r="H637" s="9"/>
    </row>
    <row r="638" ht="15.75" customHeight="1">
      <c r="C638" s="9"/>
      <c r="D638" s="9"/>
      <c r="E638" s="9"/>
      <c r="F638" s="9"/>
      <c r="G638" s="9"/>
      <c r="H638" s="9"/>
    </row>
    <row r="639" ht="15.75" customHeight="1">
      <c r="C639" s="9"/>
      <c r="D639" s="9"/>
      <c r="E639" s="9"/>
      <c r="F639" s="9"/>
      <c r="G639" s="9"/>
      <c r="H639" s="9"/>
    </row>
    <row r="640" ht="15.75" customHeight="1">
      <c r="C640" s="9"/>
      <c r="D640" s="9"/>
      <c r="E640" s="9"/>
      <c r="F640" s="9"/>
      <c r="G640" s="9"/>
      <c r="H640" s="9"/>
    </row>
    <row r="641" ht="15.75" customHeight="1">
      <c r="C641" s="9"/>
      <c r="D641" s="9"/>
      <c r="E641" s="9"/>
      <c r="F641" s="9"/>
      <c r="G641" s="9"/>
      <c r="H641" s="9"/>
    </row>
    <row r="642" ht="15.75" customHeight="1">
      <c r="C642" s="9"/>
      <c r="D642" s="9"/>
      <c r="E642" s="9"/>
      <c r="F642" s="9"/>
      <c r="G642" s="9"/>
      <c r="H642" s="9"/>
    </row>
    <row r="643" ht="15.75" customHeight="1">
      <c r="C643" s="9"/>
      <c r="D643" s="9"/>
      <c r="E643" s="9"/>
      <c r="F643" s="9"/>
      <c r="G643" s="9"/>
      <c r="H643" s="9"/>
    </row>
    <row r="644" ht="15.75" customHeight="1">
      <c r="C644" s="9"/>
      <c r="D644" s="9"/>
      <c r="E644" s="9"/>
      <c r="F644" s="9"/>
      <c r="G644" s="9"/>
      <c r="H644" s="9"/>
    </row>
    <row r="645" ht="15.75" customHeight="1">
      <c r="C645" s="9"/>
      <c r="D645" s="9"/>
      <c r="E645" s="9"/>
      <c r="F645" s="9"/>
      <c r="G645" s="9"/>
      <c r="H645" s="9"/>
    </row>
    <row r="646" ht="15.75" customHeight="1">
      <c r="C646" s="9"/>
      <c r="D646" s="9"/>
      <c r="E646" s="9"/>
      <c r="F646" s="9"/>
      <c r="G646" s="9"/>
      <c r="H646" s="9"/>
    </row>
    <row r="647" ht="15.75" customHeight="1">
      <c r="C647" s="9"/>
      <c r="D647" s="9"/>
      <c r="E647" s="9"/>
      <c r="F647" s="9"/>
      <c r="G647" s="9"/>
      <c r="H647" s="9"/>
    </row>
    <row r="648" ht="15.75" customHeight="1">
      <c r="C648" s="9"/>
      <c r="D648" s="9"/>
      <c r="E648" s="9"/>
      <c r="F648" s="9"/>
      <c r="G648" s="9"/>
      <c r="H648" s="9"/>
    </row>
    <row r="649" ht="15.75" customHeight="1">
      <c r="C649" s="9"/>
      <c r="D649" s="9"/>
      <c r="E649" s="9"/>
      <c r="F649" s="9"/>
      <c r="G649" s="9"/>
      <c r="H649" s="9"/>
    </row>
    <row r="650" ht="15.75" customHeight="1">
      <c r="C650" s="9"/>
      <c r="D650" s="9"/>
      <c r="E650" s="9"/>
      <c r="F650" s="9"/>
      <c r="G650" s="9"/>
      <c r="H650" s="9"/>
    </row>
    <row r="651" ht="15.75" customHeight="1">
      <c r="C651" s="9"/>
      <c r="D651" s="9"/>
      <c r="E651" s="9"/>
      <c r="F651" s="9"/>
      <c r="G651" s="9"/>
      <c r="H651" s="9"/>
    </row>
    <row r="652" ht="15.75" customHeight="1">
      <c r="C652" s="9"/>
      <c r="D652" s="9"/>
      <c r="E652" s="9"/>
      <c r="F652" s="9"/>
      <c r="G652" s="9"/>
      <c r="H652" s="9"/>
    </row>
    <row r="653" ht="15.75" customHeight="1">
      <c r="C653" s="9"/>
      <c r="D653" s="9"/>
      <c r="E653" s="9"/>
      <c r="F653" s="9"/>
      <c r="G653" s="9"/>
      <c r="H653" s="9"/>
    </row>
    <row r="654" ht="15.75" customHeight="1">
      <c r="C654" s="9"/>
      <c r="D654" s="9"/>
      <c r="E654" s="9"/>
      <c r="F654" s="9"/>
      <c r="G654" s="9"/>
      <c r="H654" s="9"/>
    </row>
    <row r="655" ht="15.75" customHeight="1">
      <c r="C655" s="9"/>
      <c r="D655" s="9"/>
      <c r="E655" s="9"/>
      <c r="F655" s="9"/>
      <c r="G655" s="9"/>
      <c r="H655" s="9"/>
    </row>
    <row r="656" ht="15.75" customHeight="1">
      <c r="C656" s="9"/>
      <c r="D656" s="9"/>
      <c r="E656" s="9"/>
      <c r="F656" s="9"/>
      <c r="G656" s="9"/>
      <c r="H656" s="9"/>
    </row>
    <row r="657" ht="15.75" customHeight="1">
      <c r="C657" s="9"/>
      <c r="D657" s="9"/>
      <c r="E657" s="9"/>
      <c r="F657" s="9"/>
      <c r="G657" s="9"/>
      <c r="H657" s="9"/>
    </row>
    <row r="658" ht="15.75" customHeight="1">
      <c r="C658" s="9"/>
      <c r="D658" s="9"/>
      <c r="E658" s="9"/>
      <c r="F658" s="9"/>
      <c r="G658" s="9"/>
      <c r="H658" s="9"/>
    </row>
    <row r="659" ht="15.75" customHeight="1">
      <c r="C659" s="9"/>
      <c r="D659" s="9"/>
      <c r="E659" s="9"/>
      <c r="F659" s="9"/>
      <c r="G659" s="9"/>
      <c r="H659" s="9"/>
    </row>
    <row r="660" ht="15.75" customHeight="1">
      <c r="C660" s="9"/>
      <c r="D660" s="9"/>
      <c r="E660" s="9"/>
      <c r="F660" s="9"/>
      <c r="G660" s="9"/>
      <c r="H660" s="9"/>
    </row>
    <row r="661" ht="15.75" customHeight="1">
      <c r="C661" s="9"/>
      <c r="D661" s="9"/>
      <c r="E661" s="9"/>
      <c r="F661" s="9"/>
      <c r="G661" s="9"/>
      <c r="H661" s="9"/>
    </row>
    <row r="662" ht="15.75" customHeight="1">
      <c r="C662" s="9"/>
      <c r="D662" s="9"/>
      <c r="E662" s="9"/>
      <c r="F662" s="9"/>
      <c r="G662" s="9"/>
      <c r="H662" s="9"/>
    </row>
    <row r="663" ht="15.75" customHeight="1">
      <c r="C663" s="9"/>
      <c r="D663" s="9"/>
      <c r="E663" s="9"/>
      <c r="F663" s="9"/>
      <c r="G663" s="9"/>
      <c r="H663" s="9"/>
    </row>
    <row r="664" ht="15.75" customHeight="1">
      <c r="C664" s="9"/>
      <c r="D664" s="9"/>
      <c r="E664" s="9"/>
      <c r="F664" s="9"/>
      <c r="G664" s="9"/>
      <c r="H664" s="9"/>
    </row>
    <row r="665" ht="15.75" customHeight="1">
      <c r="C665" s="9"/>
      <c r="D665" s="9"/>
      <c r="E665" s="9"/>
      <c r="F665" s="9"/>
      <c r="G665" s="9"/>
      <c r="H665" s="9"/>
    </row>
    <row r="666" ht="15.75" customHeight="1">
      <c r="C666" s="9"/>
      <c r="D666" s="9"/>
      <c r="E666" s="9"/>
      <c r="F666" s="9"/>
      <c r="G666" s="9"/>
      <c r="H666" s="9"/>
    </row>
    <row r="667" ht="15.75" customHeight="1">
      <c r="C667" s="9"/>
      <c r="D667" s="9"/>
      <c r="E667" s="9"/>
      <c r="F667" s="9"/>
      <c r="G667" s="9"/>
      <c r="H667" s="9"/>
    </row>
    <row r="668" ht="15.75" customHeight="1">
      <c r="C668" s="9"/>
      <c r="D668" s="9"/>
      <c r="E668" s="9"/>
      <c r="F668" s="9"/>
      <c r="G668" s="9"/>
      <c r="H668" s="9"/>
    </row>
    <row r="669" ht="15.75" customHeight="1">
      <c r="C669" s="9"/>
      <c r="D669" s="9"/>
      <c r="E669" s="9"/>
      <c r="F669" s="9"/>
      <c r="G669" s="9"/>
      <c r="H669" s="9"/>
    </row>
    <row r="670" ht="15.75" customHeight="1">
      <c r="C670" s="9"/>
      <c r="D670" s="9"/>
      <c r="E670" s="9"/>
      <c r="F670" s="9"/>
      <c r="G670" s="9"/>
      <c r="H670" s="9"/>
    </row>
    <row r="671" ht="15.75" customHeight="1">
      <c r="C671" s="9"/>
      <c r="D671" s="9"/>
      <c r="E671" s="9"/>
      <c r="F671" s="9"/>
      <c r="G671" s="9"/>
      <c r="H671" s="9"/>
    </row>
    <row r="672" ht="15.75" customHeight="1">
      <c r="C672" s="9"/>
      <c r="D672" s="9"/>
      <c r="E672" s="9"/>
      <c r="F672" s="9"/>
      <c r="G672" s="9"/>
      <c r="H672" s="9"/>
    </row>
    <row r="673" ht="15.75" customHeight="1">
      <c r="C673" s="9"/>
      <c r="D673" s="9"/>
      <c r="E673" s="9"/>
      <c r="F673" s="9"/>
      <c r="G673" s="9"/>
      <c r="H673" s="9"/>
    </row>
    <row r="674" ht="15.75" customHeight="1">
      <c r="C674" s="9"/>
      <c r="D674" s="9"/>
      <c r="E674" s="9"/>
      <c r="F674" s="9"/>
      <c r="G674" s="9"/>
      <c r="H674" s="9"/>
    </row>
    <row r="675" ht="15.75" customHeight="1">
      <c r="C675" s="9"/>
      <c r="D675" s="9"/>
      <c r="E675" s="9"/>
      <c r="F675" s="9"/>
      <c r="G675" s="9"/>
      <c r="H675" s="9"/>
    </row>
    <row r="676" ht="15.75" customHeight="1">
      <c r="C676" s="9"/>
      <c r="D676" s="9"/>
      <c r="E676" s="9"/>
      <c r="F676" s="9"/>
      <c r="G676" s="9"/>
      <c r="H676" s="9"/>
    </row>
    <row r="677" ht="15.75" customHeight="1">
      <c r="C677" s="9"/>
      <c r="D677" s="9"/>
      <c r="E677" s="9"/>
      <c r="F677" s="9"/>
      <c r="G677" s="9"/>
      <c r="H677" s="9"/>
    </row>
    <row r="678" ht="15.75" customHeight="1">
      <c r="C678" s="9"/>
      <c r="D678" s="9"/>
      <c r="E678" s="9"/>
      <c r="F678" s="9"/>
      <c r="G678" s="9"/>
      <c r="H678" s="9"/>
    </row>
    <row r="679" ht="15.75" customHeight="1">
      <c r="C679" s="9"/>
      <c r="D679" s="9"/>
      <c r="E679" s="9"/>
      <c r="F679" s="9"/>
      <c r="G679" s="9"/>
      <c r="H679" s="9"/>
    </row>
    <row r="680" ht="15.75" customHeight="1">
      <c r="C680" s="9"/>
      <c r="D680" s="9"/>
      <c r="E680" s="9"/>
      <c r="F680" s="9"/>
      <c r="G680" s="9"/>
      <c r="H680" s="9"/>
    </row>
    <row r="681" ht="15.75" customHeight="1">
      <c r="C681" s="9"/>
      <c r="D681" s="9"/>
      <c r="E681" s="9"/>
      <c r="F681" s="9"/>
      <c r="G681" s="9"/>
      <c r="H681" s="9"/>
    </row>
    <row r="682" ht="15.75" customHeight="1">
      <c r="C682" s="9"/>
      <c r="D682" s="9"/>
      <c r="E682" s="9"/>
      <c r="F682" s="9"/>
      <c r="G682" s="9"/>
      <c r="H682" s="9"/>
    </row>
    <row r="683" ht="15.75" customHeight="1">
      <c r="C683" s="9"/>
      <c r="D683" s="9"/>
      <c r="E683" s="9"/>
      <c r="F683" s="9"/>
      <c r="G683" s="9"/>
      <c r="H683" s="9"/>
    </row>
    <row r="684" ht="15.75" customHeight="1">
      <c r="C684" s="9"/>
      <c r="D684" s="9"/>
      <c r="E684" s="9"/>
      <c r="F684" s="9"/>
      <c r="G684" s="9"/>
      <c r="H684" s="9"/>
    </row>
    <row r="685" ht="15.75" customHeight="1">
      <c r="C685" s="9"/>
      <c r="D685" s="9"/>
      <c r="E685" s="9"/>
      <c r="F685" s="9"/>
      <c r="G685" s="9"/>
      <c r="H685" s="9"/>
    </row>
    <row r="686" ht="15.75" customHeight="1">
      <c r="C686" s="9"/>
      <c r="D686" s="9"/>
      <c r="E686" s="9"/>
      <c r="F686" s="9"/>
      <c r="G686" s="9"/>
      <c r="H686" s="9"/>
    </row>
    <row r="687" ht="15.75" customHeight="1">
      <c r="C687" s="9"/>
      <c r="D687" s="9"/>
      <c r="E687" s="9"/>
      <c r="F687" s="9"/>
      <c r="G687" s="9"/>
      <c r="H687" s="9"/>
    </row>
    <row r="688" ht="15.75" customHeight="1">
      <c r="C688" s="9"/>
      <c r="D688" s="9"/>
      <c r="E688" s="9"/>
      <c r="F688" s="9"/>
      <c r="G688" s="9"/>
      <c r="H688" s="9"/>
    </row>
    <row r="689" ht="15.75" customHeight="1">
      <c r="C689" s="9"/>
      <c r="D689" s="9"/>
      <c r="E689" s="9"/>
      <c r="F689" s="9"/>
      <c r="G689" s="9"/>
      <c r="H689" s="9"/>
    </row>
    <row r="690" ht="15.75" customHeight="1">
      <c r="C690" s="9"/>
      <c r="D690" s="9"/>
      <c r="E690" s="9"/>
      <c r="F690" s="9"/>
      <c r="G690" s="9"/>
      <c r="H690" s="9"/>
    </row>
    <row r="691" ht="15.75" customHeight="1">
      <c r="C691" s="9"/>
      <c r="D691" s="9"/>
      <c r="E691" s="9"/>
      <c r="F691" s="9"/>
      <c r="G691" s="9"/>
      <c r="H691" s="9"/>
    </row>
    <row r="692" ht="15.75" customHeight="1">
      <c r="C692" s="9"/>
      <c r="D692" s="9"/>
      <c r="E692" s="9"/>
      <c r="F692" s="9"/>
      <c r="G692" s="9"/>
      <c r="H692" s="9"/>
    </row>
    <row r="693" ht="15.75" customHeight="1">
      <c r="C693" s="9"/>
      <c r="D693" s="9"/>
      <c r="E693" s="9"/>
      <c r="F693" s="9"/>
      <c r="G693" s="9"/>
      <c r="H693" s="9"/>
    </row>
    <row r="694" ht="15.75" customHeight="1">
      <c r="C694" s="9"/>
      <c r="D694" s="9"/>
      <c r="E694" s="9"/>
      <c r="F694" s="9"/>
      <c r="G694" s="9"/>
      <c r="H694" s="9"/>
    </row>
    <row r="695" ht="15.75" customHeight="1">
      <c r="C695" s="9"/>
      <c r="D695" s="9"/>
      <c r="E695" s="9"/>
      <c r="F695" s="9"/>
      <c r="G695" s="9"/>
      <c r="H695" s="9"/>
    </row>
    <row r="696" ht="15.75" customHeight="1">
      <c r="C696" s="9"/>
      <c r="D696" s="9"/>
      <c r="E696" s="9"/>
      <c r="F696" s="9"/>
      <c r="G696" s="9"/>
      <c r="H696" s="9"/>
    </row>
    <row r="697" ht="15.75" customHeight="1">
      <c r="C697" s="9"/>
      <c r="D697" s="9"/>
      <c r="E697" s="9"/>
      <c r="F697" s="9"/>
      <c r="G697" s="9"/>
      <c r="H697" s="9"/>
    </row>
    <row r="698" ht="15.75" customHeight="1">
      <c r="C698" s="9"/>
      <c r="D698" s="9"/>
      <c r="E698" s="9"/>
      <c r="F698" s="9"/>
      <c r="G698" s="9"/>
      <c r="H698" s="9"/>
    </row>
    <row r="699" ht="15.75" customHeight="1">
      <c r="C699" s="9"/>
      <c r="D699" s="9"/>
      <c r="E699" s="9"/>
      <c r="F699" s="9"/>
      <c r="G699" s="9"/>
      <c r="H699" s="9"/>
    </row>
    <row r="700" ht="15.75" customHeight="1">
      <c r="C700" s="9"/>
      <c r="D700" s="9"/>
      <c r="E700" s="9"/>
      <c r="F700" s="9"/>
      <c r="G700" s="9"/>
      <c r="H700" s="9"/>
    </row>
    <row r="701" ht="15.75" customHeight="1">
      <c r="C701" s="9"/>
      <c r="D701" s="9"/>
      <c r="E701" s="9"/>
      <c r="F701" s="9"/>
      <c r="G701" s="9"/>
      <c r="H701" s="9"/>
    </row>
    <row r="702" ht="15.75" customHeight="1">
      <c r="C702" s="9"/>
      <c r="D702" s="9"/>
      <c r="E702" s="9"/>
      <c r="F702" s="9"/>
      <c r="G702" s="9"/>
      <c r="H702" s="9"/>
    </row>
    <row r="703" ht="15.75" customHeight="1">
      <c r="C703" s="9"/>
      <c r="D703" s="9"/>
      <c r="E703" s="9"/>
      <c r="F703" s="9"/>
      <c r="G703" s="9"/>
      <c r="H703" s="9"/>
    </row>
    <row r="704" ht="15.75" customHeight="1">
      <c r="C704" s="9"/>
      <c r="D704" s="9"/>
      <c r="E704" s="9"/>
      <c r="F704" s="9"/>
      <c r="G704" s="9"/>
      <c r="H704" s="9"/>
    </row>
    <row r="705" ht="15.75" customHeight="1">
      <c r="C705" s="9"/>
      <c r="D705" s="9"/>
      <c r="E705" s="9"/>
      <c r="F705" s="9"/>
      <c r="G705" s="9"/>
      <c r="H705" s="9"/>
    </row>
    <row r="706" ht="15.75" customHeight="1">
      <c r="C706" s="9"/>
      <c r="D706" s="9"/>
      <c r="E706" s="9"/>
      <c r="F706" s="9"/>
      <c r="G706" s="9"/>
      <c r="H706" s="9"/>
    </row>
    <row r="707" ht="15.75" customHeight="1">
      <c r="C707" s="9"/>
      <c r="D707" s="9"/>
      <c r="E707" s="9"/>
      <c r="F707" s="9"/>
      <c r="G707" s="9"/>
      <c r="H707" s="9"/>
    </row>
    <row r="708" ht="15.75" customHeight="1">
      <c r="C708" s="9"/>
      <c r="D708" s="9"/>
      <c r="E708" s="9"/>
      <c r="F708" s="9"/>
      <c r="G708" s="9"/>
      <c r="H708" s="9"/>
    </row>
    <row r="709" ht="15.75" customHeight="1">
      <c r="C709" s="9"/>
      <c r="D709" s="9"/>
      <c r="E709" s="9"/>
      <c r="F709" s="9"/>
      <c r="G709" s="9"/>
      <c r="H709" s="9"/>
    </row>
    <row r="710" ht="15.75" customHeight="1">
      <c r="C710" s="9"/>
      <c r="D710" s="9"/>
      <c r="E710" s="9"/>
      <c r="F710" s="9"/>
      <c r="G710" s="9"/>
      <c r="H710" s="9"/>
    </row>
    <row r="711" ht="15.75" customHeight="1">
      <c r="C711" s="9"/>
      <c r="D711" s="9"/>
      <c r="E711" s="9"/>
      <c r="F711" s="9"/>
      <c r="G711" s="9"/>
      <c r="H711" s="9"/>
    </row>
    <row r="712" ht="15.75" customHeight="1">
      <c r="C712" s="9"/>
      <c r="D712" s="9"/>
      <c r="E712" s="9"/>
      <c r="F712" s="9"/>
      <c r="G712" s="9"/>
      <c r="H712" s="9"/>
    </row>
    <row r="713" ht="15.75" customHeight="1">
      <c r="C713" s="9"/>
      <c r="D713" s="9"/>
      <c r="E713" s="9"/>
      <c r="F713" s="9"/>
      <c r="G713" s="9"/>
      <c r="H713" s="9"/>
    </row>
    <row r="714" ht="15.75" customHeight="1">
      <c r="C714" s="9"/>
      <c r="D714" s="9"/>
      <c r="E714" s="9"/>
      <c r="F714" s="9"/>
      <c r="G714" s="9"/>
      <c r="H714" s="9"/>
    </row>
    <row r="715" ht="15.75" customHeight="1">
      <c r="C715" s="9"/>
      <c r="D715" s="9"/>
      <c r="E715" s="9"/>
      <c r="F715" s="9"/>
      <c r="G715" s="9"/>
      <c r="H715" s="9"/>
    </row>
    <row r="716" ht="15.75" customHeight="1">
      <c r="C716" s="9"/>
      <c r="D716" s="9"/>
      <c r="E716" s="9"/>
      <c r="F716" s="9"/>
      <c r="G716" s="9"/>
      <c r="H716" s="9"/>
    </row>
    <row r="717" ht="15.75" customHeight="1">
      <c r="C717" s="9"/>
      <c r="D717" s="9"/>
      <c r="E717" s="9"/>
      <c r="F717" s="9"/>
      <c r="G717" s="9"/>
      <c r="H717" s="9"/>
    </row>
    <row r="718" ht="15.75" customHeight="1">
      <c r="C718" s="9"/>
      <c r="D718" s="9"/>
      <c r="E718" s="9"/>
      <c r="F718" s="9"/>
      <c r="G718" s="9"/>
      <c r="H718" s="9"/>
    </row>
    <row r="719" ht="15.75" customHeight="1">
      <c r="C719" s="9"/>
      <c r="D719" s="9"/>
      <c r="E719" s="9"/>
      <c r="F719" s="9"/>
      <c r="G719" s="9"/>
      <c r="H719" s="9"/>
    </row>
    <row r="720" ht="15.75" customHeight="1">
      <c r="C720" s="9"/>
      <c r="D720" s="9"/>
      <c r="E720" s="9"/>
      <c r="F720" s="9"/>
      <c r="G720" s="9"/>
      <c r="H720" s="9"/>
    </row>
    <row r="721" ht="15.75" customHeight="1">
      <c r="C721" s="9"/>
      <c r="D721" s="9"/>
      <c r="E721" s="9"/>
      <c r="F721" s="9"/>
      <c r="G721" s="9"/>
      <c r="H721" s="9"/>
    </row>
    <row r="722" ht="15.75" customHeight="1">
      <c r="C722" s="9"/>
      <c r="D722" s="9"/>
      <c r="E722" s="9"/>
      <c r="F722" s="9"/>
      <c r="G722" s="9"/>
      <c r="H722" s="9"/>
    </row>
    <row r="723" ht="15.75" customHeight="1">
      <c r="C723" s="9"/>
      <c r="D723" s="9"/>
      <c r="E723" s="9"/>
      <c r="F723" s="9"/>
      <c r="G723" s="9"/>
      <c r="H723" s="9"/>
    </row>
    <row r="724" ht="15.75" customHeight="1">
      <c r="C724" s="9"/>
      <c r="D724" s="9"/>
      <c r="E724" s="9"/>
      <c r="F724" s="9"/>
      <c r="G724" s="9"/>
      <c r="H724" s="9"/>
    </row>
    <row r="725" ht="15.75" customHeight="1">
      <c r="C725" s="9"/>
      <c r="D725" s="9"/>
      <c r="E725" s="9"/>
      <c r="F725" s="9"/>
      <c r="G725" s="9"/>
      <c r="H725" s="9"/>
    </row>
    <row r="726" ht="15.75" customHeight="1">
      <c r="C726" s="9"/>
      <c r="D726" s="9"/>
      <c r="E726" s="9"/>
      <c r="F726" s="9"/>
      <c r="G726" s="9"/>
      <c r="H726" s="9"/>
    </row>
    <row r="727" ht="15.75" customHeight="1">
      <c r="C727" s="9"/>
      <c r="D727" s="9"/>
      <c r="E727" s="9"/>
      <c r="F727" s="9"/>
      <c r="G727" s="9"/>
      <c r="H727" s="9"/>
    </row>
    <row r="728" ht="15.75" customHeight="1">
      <c r="C728" s="9"/>
      <c r="D728" s="9"/>
      <c r="E728" s="9"/>
      <c r="F728" s="9"/>
      <c r="G728" s="9"/>
      <c r="H728" s="9"/>
    </row>
    <row r="729" ht="15.75" customHeight="1">
      <c r="C729" s="9"/>
      <c r="D729" s="9"/>
      <c r="E729" s="9"/>
      <c r="F729" s="9"/>
      <c r="G729" s="9"/>
      <c r="H729" s="9"/>
    </row>
    <row r="730" ht="15.75" customHeight="1">
      <c r="C730" s="9"/>
      <c r="D730" s="9"/>
      <c r="E730" s="9"/>
      <c r="F730" s="9"/>
      <c r="G730" s="9"/>
      <c r="H730" s="9"/>
    </row>
    <row r="731" ht="15.75" customHeight="1">
      <c r="C731" s="9"/>
      <c r="D731" s="9"/>
      <c r="E731" s="9"/>
      <c r="F731" s="9"/>
      <c r="G731" s="9"/>
      <c r="H731" s="9"/>
    </row>
    <row r="732" ht="15.75" customHeight="1">
      <c r="C732" s="9"/>
      <c r="D732" s="9"/>
      <c r="E732" s="9"/>
      <c r="F732" s="9"/>
      <c r="G732" s="9"/>
      <c r="H732" s="9"/>
    </row>
    <row r="733" ht="15.75" customHeight="1">
      <c r="C733" s="9"/>
      <c r="D733" s="9"/>
      <c r="E733" s="9"/>
      <c r="F733" s="9"/>
      <c r="G733" s="9"/>
      <c r="H733" s="9"/>
    </row>
    <row r="734" ht="15.75" customHeight="1">
      <c r="C734" s="9"/>
      <c r="D734" s="9"/>
      <c r="E734" s="9"/>
      <c r="F734" s="9"/>
      <c r="G734" s="9"/>
      <c r="H734" s="9"/>
    </row>
    <row r="735" ht="15.75" customHeight="1">
      <c r="C735" s="9"/>
      <c r="D735" s="9"/>
      <c r="E735" s="9"/>
      <c r="F735" s="9"/>
      <c r="G735" s="9"/>
      <c r="H735" s="9"/>
    </row>
    <row r="736" ht="15.75" customHeight="1">
      <c r="C736" s="9"/>
      <c r="D736" s="9"/>
      <c r="E736" s="9"/>
      <c r="F736" s="9"/>
      <c r="G736" s="9"/>
      <c r="H736" s="9"/>
    </row>
    <row r="737" ht="15.75" customHeight="1">
      <c r="C737" s="9"/>
      <c r="D737" s="9"/>
      <c r="E737" s="9"/>
      <c r="F737" s="9"/>
      <c r="G737" s="9"/>
      <c r="H737" s="9"/>
    </row>
    <row r="738" ht="15.75" customHeight="1">
      <c r="C738" s="9"/>
      <c r="D738" s="9"/>
      <c r="E738" s="9"/>
      <c r="F738" s="9"/>
      <c r="G738" s="9"/>
      <c r="H738" s="9"/>
    </row>
    <row r="739" ht="15.75" customHeight="1">
      <c r="C739" s="9"/>
      <c r="D739" s="9"/>
      <c r="E739" s="9"/>
      <c r="F739" s="9"/>
      <c r="G739" s="9"/>
      <c r="H739" s="9"/>
    </row>
    <row r="740" ht="15.75" customHeight="1">
      <c r="C740" s="9"/>
      <c r="D740" s="9"/>
      <c r="E740" s="9"/>
      <c r="F740" s="9"/>
      <c r="G740" s="9"/>
      <c r="H740" s="9"/>
    </row>
    <row r="741" ht="15.75" customHeight="1">
      <c r="C741" s="9"/>
      <c r="D741" s="9"/>
      <c r="E741" s="9"/>
      <c r="F741" s="9"/>
      <c r="G741" s="9"/>
      <c r="H741" s="9"/>
    </row>
    <row r="742" ht="15.75" customHeight="1">
      <c r="C742" s="9"/>
      <c r="D742" s="9"/>
      <c r="E742" s="9"/>
      <c r="F742" s="9"/>
      <c r="G742" s="9"/>
      <c r="H742" s="9"/>
    </row>
    <row r="743" ht="15.75" customHeight="1">
      <c r="C743" s="9"/>
      <c r="D743" s="9"/>
      <c r="E743" s="9"/>
      <c r="F743" s="9"/>
      <c r="G743" s="9"/>
      <c r="H743" s="9"/>
    </row>
    <row r="744" ht="15.75" customHeight="1">
      <c r="C744" s="9"/>
      <c r="D744" s="9"/>
      <c r="E744" s="9"/>
      <c r="F744" s="9"/>
      <c r="G744" s="9"/>
      <c r="H744" s="9"/>
    </row>
    <row r="745" ht="15.75" customHeight="1">
      <c r="C745" s="9"/>
      <c r="D745" s="9"/>
      <c r="E745" s="9"/>
      <c r="F745" s="9"/>
      <c r="G745" s="9"/>
      <c r="H745" s="9"/>
    </row>
    <row r="746" ht="15.75" customHeight="1">
      <c r="C746" s="9"/>
      <c r="D746" s="9"/>
      <c r="E746" s="9"/>
      <c r="F746" s="9"/>
      <c r="G746" s="9"/>
      <c r="H746" s="9"/>
    </row>
    <row r="747" ht="15.75" customHeight="1">
      <c r="C747" s="9"/>
      <c r="D747" s="9"/>
      <c r="E747" s="9"/>
      <c r="F747" s="9"/>
      <c r="G747" s="9"/>
      <c r="H747" s="9"/>
    </row>
    <row r="748" ht="15.75" customHeight="1">
      <c r="C748" s="9"/>
      <c r="D748" s="9"/>
      <c r="E748" s="9"/>
      <c r="F748" s="9"/>
      <c r="G748" s="9"/>
      <c r="H748" s="9"/>
    </row>
    <row r="749" ht="15.75" customHeight="1">
      <c r="C749" s="9"/>
      <c r="D749" s="9"/>
      <c r="E749" s="9"/>
      <c r="F749" s="9"/>
      <c r="G749" s="9"/>
      <c r="H749" s="9"/>
    </row>
    <row r="750" ht="15.75" customHeight="1">
      <c r="C750" s="9"/>
      <c r="D750" s="9"/>
      <c r="E750" s="9"/>
      <c r="F750" s="9"/>
      <c r="G750" s="9"/>
      <c r="H750" s="9"/>
    </row>
    <row r="751" ht="15.75" customHeight="1">
      <c r="C751" s="9"/>
      <c r="D751" s="9"/>
      <c r="E751" s="9"/>
      <c r="F751" s="9"/>
      <c r="G751" s="9"/>
      <c r="H751" s="9"/>
    </row>
    <row r="752" ht="15.75" customHeight="1">
      <c r="C752" s="9"/>
      <c r="D752" s="9"/>
      <c r="E752" s="9"/>
      <c r="F752" s="9"/>
      <c r="G752" s="9"/>
      <c r="H752" s="9"/>
    </row>
    <row r="753" ht="15.75" customHeight="1">
      <c r="C753" s="9"/>
      <c r="D753" s="9"/>
      <c r="E753" s="9"/>
      <c r="F753" s="9"/>
      <c r="G753" s="9"/>
      <c r="H753" s="9"/>
    </row>
    <row r="754" ht="15.75" customHeight="1">
      <c r="C754" s="9"/>
      <c r="D754" s="9"/>
      <c r="E754" s="9"/>
      <c r="F754" s="9"/>
      <c r="G754" s="9"/>
      <c r="H754" s="9"/>
    </row>
    <row r="755" ht="15.75" customHeight="1">
      <c r="C755" s="9"/>
      <c r="D755" s="9"/>
      <c r="E755" s="9"/>
      <c r="F755" s="9"/>
      <c r="G755" s="9"/>
      <c r="H755" s="9"/>
    </row>
    <row r="756" ht="15.75" customHeight="1">
      <c r="C756" s="9"/>
      <c r="D756" s="9"/>
      <c r="E756" s="9"/>
      <c r="F756" s="9"/>
      <c r="G756" s="9"/>
      <c r="H756" s="9"/>
    </row>
    <row r="757" ht="15.75" customHeight="1">
      <c r="C757" s="9"/>
      <c r="D757" s="9"/>
      <c r="E757" s="9"/>
      <c r="F757" s="9"/>
      <c r="G757" s="9"/>
      <c r="H757" s="9"/>
    </row>
    <row r="758" ht="15.75" customHeight="1">
      <c r="C758" s="9"/>
      <c r="D758" s="9"/>
      <c r="E758" s="9"/>
      <c r="F758" s="9"/>
      <c r="G758" s="9"/>
      <c r="H758" s="9"/>
    </row>
    <row r="759" ht="15.75" customHeight="1">
      <c r="C759" s="9"/>
      <c r="D759" s="9"/>
      <c r="E759" s="9"/>
      <c r="F759" s="9"/>
      <c r="G759" s="9"/>
      <c r="H759" s="9"/>
    </row>
    <row r="760" ht="15.75" customHeight="1">
      <c r="C760" s="9"/>
      <c r="D760" s="9"/>
      <c r="E760" s="9"/>
      <c r="F760" s="9"/>
      <c r="G760" s="9"/>
      <c r="H760" s="9"/>
    </row>
    <row r="761" ht="15.75" customHeight="1">
      <c r="C761" s="9"/>
      <c r="D761" s="9"/>
      <c r="E761" s="9"/>
      <c r="F761" s="9"/>
      <c r="G761" s="9"/>
      <c r="H761" s="9"/>
    </row>
    <row r="762" ht="15.75" customHeight="1">
      <c r="C762" s="9"/>
      <c r="D762" s="9"/>
      <c r="E762" s="9"/>
      <c r="F762" s="9"/>
      <c r="G762" s="9"/>
      <c r="H762" s="9"/>
    </row>
    <row r="763" ht="15.75" customHeight="1">
      <c r="C763" s="9"/>
      <c r="D763" s="9"/>
      <c r="E763" s="9"/>
      <c r="F763" s="9"/>
      <c r="G763" s="9"/>
      <c r="H763" s="9"/>
    </row>
    <row r="764" ht="15.75" customHeight="1">
      <c r="C764" s="9"/>
      <c r="D764" s="9"/>
      <c r="E764" s="9"/>
      <c r="F764" s="9"/>
      <c r="G764" s="9"/>
      <c r="H764" s="9"/>
    </row>
    <row r="765" ht="15.75" customHeight="1">
      <c r="C765" s="9"/>
      <c r="D765" s="9"/>
      <c r="E765" s="9"/>
      <c r="F765" s="9"/>
      <c r="G765" s="9"/>
      <c r="H765" s="9"/>
    </row>
    <row r="766" ht="15.75" customHeight="1">
      <c r="C766" s="9"/>
      <c r="D766" s="9"/>
      <c r="E766" s="9"/>
      <c r="F766" s="9"/>
      <c r="G766" s="9"/>
      <c r="H766" s="9"/>
    </row>
    <row r="767" ht="15.75" customHeight="1">
      <c r="C767" s="9"/>
      <c r="D767" s="9"/>
      <c r="E767" s="9"/>
      <c r="F767" s="9"/>
      <c r="G767" s="9"/>
      <c r="H767" s="9"/>
    </row>
    <row r="768" ht="15.75" customHeight="1">
      <c r="C768" s="9"/>
      <c r="D768" s="9"/>
      <c r="E768" s="9"/>
      <c r="F768" s="9"/>
      <c r="G768" s="9"/>
      <c r="H768" s="9"/>
    </row>
    <row r="769" ht="15.75" customHeight="1">
      <c r="C769" s="9"/>
      <c r="D769" s="9"/>
      <c r="E769" s="9"/>
      <c r="F769" s="9"/>
      <c r="G769" s="9"/>
      <c r="H769" s="9"/>
    </row>
    <row r="770" ht="15.75" customHeight="1">
      <c r="C770" s="9"/>
      <c r="D770" s="9"/>
      <c r="E770" s="9"/>
      <c r="F770" s="9"/>
      <c r="G770" s="9"/>
      <c r="H770" s="9"/>
    </row>
    <row r="771" ht="15.75" customHeight="1">
      <c r="C771" s="9"/>
      <c r="D771" s="9"/>
      <c r="E771" s="9"/>
      <c r="F771" s="9"/>
      <c r="G771" s="9"/>
      <c r="H771" s="9"/>
    </row>
    <row r="772" ht="15.75" customHeight="1">
      <c r="C772" s="9"/>
      <c r="D772" s="9"/>
      <c r="E772" s="9"/>
      <c r="F772" s="9"/>
      <c r="G772" s="9"/>
      <c r="H772" s="9"/>
    </row>
    <row r="773" ht="15.75" customHeight="1">
      <c r="C773" s="9"/>
      <c r="D773" s="9"/>
      <c r="E773" s="9"/>
      <c r="F773" s="9"/>
      <c r="G773" s="9"/>
      <c r="H773" s="9"/>
    </row>
    <row r="774" ht="15.75" customHeight="1">
      <c r="C774" s="9"/>
      <c r="D774" s="9"/>
      <c r="E774" s="9"/>
      <c r="F774" s="9"/>
      <c r="G774" s="9"/>
      <c r="H774" s="9"/>
    </row>
    <row r="775" ht="15.75" customHeight="1">
      <c r="C775" s="9"/>
      <c r="D775" s="9"/>
      <c r="E775" s="9"/>
      <c r="F775" s="9"/>
      <c r="G775" s="9"/>
      <c r="H775" s="9"/>
    </row>
    <row r="776" ht="15.75" customHeight="1">
      <c r="C776" s="9"/>
      <c r="D776" s="9"/>
      <c r="E776" s="9"/>
      <c r="F776" s="9"/>
      <c r="G776" s="9"/>
      <c r="H776" s="9"/>
    </row>
    <row r="777" ht="15.75" customHeight="1">
      <c r="C777" s="9"/>
      <c r="D777" s="9"/>
      <c r="E777" s="9"/>
      <c r="F777" s="9"/>
      <c r="G777" s="9"/>
      <c r="H777" s="9"/>
    </row>
    <row r="778" ht="15.75" customHeight="1">
      <c r="C778" s="9"/>
      <c r="D778" s="9"/>
      <c r="E778" s="9"/>
      <c r="F778" s="9"/>
      <c r="G778" s="9"/>
      <c r="H778" s="9"/>
    </row>
    <row r="779" ht="15.75" customHeight="1">
      <c r="C779" s="9"/>
      <c r="D779" s="9"/>
      <c r="E779" s="9"/>
      <c r="F779" s="9"/>
      <c r="G779" s="9"/>
      <c r="H779" s="9"/>
    </row>
    <row r="780" ht="15.75" customHeight="1">
      <c r="C780" s="9"/>
      <c r="D780" s="9"/>
      <c r="E780" s="9"/>
      <c r="F780" s="9"/>
      <c r="G780" s="9"/>
      <c r="H780" s="9"/>
    </row>
    <row r="781" ht="15.75" customHeight="1">
      <c r="C781" s="9"/>
      <c r="D781" s="9"/>
      <c r="E781" s="9"/>
      <c r="F781" s="9"/>
      <c r="G781" s="9"/>
      <c r="H781" s="9"/>
    </row>
    <row r="782" ht="15.75" customHeight="1">
      <c r="C782" s="9"/>
      <c r="D782" s="9"/>
      <c r="E782" s="9"/>
      <c r="F782" s="9"/>
      <c r="G782" s="9"/>
      <c r="H782" s="9"/>
    </row>
    <row r="783" ht="15.75" customHeight="1">
      <c r="C783" s="9"/>
      <c r="D783" s="9"/>
      <c r="E783" s="9"/>
      <c r="F783" s="9"/>
      <c r="G783" s="9"/>
      <c r="H783" s="9"/>
    </row>
    <row r="784" ht="15.75" customHeight="1">
      <c r="C784" s="9"/>
      <c r="D784" s="9"/>
      <c r="E784" s="9"/>
      <c r="F784" s="9"/>
      <c r="G784" s="9"/>
      <c r="H784" s="9"/>
    </row>
    <row r="785" ht="15.75" customHeight="1">
      <c r="C785" s="9"/>
      <c r="D785" s="9"/>
      <c r="E785" s="9"/>
      <c r="F785" s="9"/>
      <c r="G785" s="9"/>
      <c r="H785" s="9"/>
    </row>
    <row r="786" ht="15.75" customHeight="1">
      <c r="C786" s="9"/>
      <c r="D786" s="9"/>
      <c r="E786" s="9"/>
      <c r="F786" s="9"/>
      <c r="G786" s="9"/>
      <c r="H786" s="9"/>
    </row>
    <row r="787" ht="15.75" customHeight="1">
      <c r="C787" s="9"/>
      <c r="D787" s="9"/>
      <c r="E787" s="9"/>
      <c r="F787" s="9"/>
      <c r="G787" s="9"/>
      <c r="H787" s="9"/>
    </row>
    <row r="788" ht="15.75" customHeight="1">
      <c r="C788" s="9"/>
      <c r="D788" s="9"/>
      <c r="E788" s="9"/>
      <c r="F788" s="9"/>
      <c r="G788" s="9"/>
      <c r="H788" s="9"/>
    </row>
    <row r="789" ht="15.75" customHeight="1">
      <c r="C789" s="9"/>
      <c r="D789" s="9"/>
      <c r="E789" s="9"/>
      <c r="F789" s="9"/>
      <c r="G789" s="9"/>
      <c r="H789" s="9"/>
    </row>
    <row r="790" ht="15.75" customHeight="1">
      <c r="C790" s="9"/>
      <c r="D790" s="9"/>
      <c r="E790" s="9"/>
      <c r="F790" s="9"/>
      <c r="G790" s="9"/>
      <c r="H790" s="9"/>
    </row>
    <row r="791" ht="15.75" customHeight="1">
      <c r="C791" s="9"/>
      <c r="D791" s="9"/>
      <c r="E791" s="9"/>
      <c r="F791" s="9"/>
      <c r="G791" s="9"/>
      <c r="H791" s="9"/>
    </row>
    <row r="792" ht="15.75" customHeight="1">
      <c r="C792" s="9"/>
      <c r="D792" s="9"/>
      <c r="E792" s="9"/>
      <c r="F792" s="9"/>
      <c r="G792" s="9"/>
      <c r="H792" s="9"/>
    </row>
    <row r="793" ht="15.75" customHeight="1">
      <c r="C793" s="9"/>
      <c r="D793" s="9"/>
      <c r="E793" s="9"/>
      <c r="F793" s="9"/>
      <c r="G793" s="9"/>
      <c r="H793" s="9"/>
    </row>
    <row r="794" ht="15.75" customHeight="1">
      <c r="C794" s="9"/>
      <c r="D794" s="9"/>
      <c r="E794" s="9"/>
      <c r="F794" s="9"/>
      <c r="G794" s="9"/>
      <c r="H794" s="9"/>
    </row>
    <row r="795" ht="15.75" customHeight="1">
      <c r="C795" s="9"/>
      <c r="D795" s="9"/>
      <c r="E795" s="9"/>
      <c r="F795" s="9"/>
      <c r="G795" s="9"/>
      <c r="H795" s="9"/>
    </row>
    <row r="796" ht="15.75" customHeight="1">
      <c r="C796" s="9"/>
      <c r="D796" s="9"/>
      <c r="E796" s="9"/>
      <c r="F796" s="9"/>
      <c r="G796" s="9"/>
      <c r="H796" s="9"/>
    </row>
    <row r="797" ht="15.75" customHeight="1">
      <c r="C797" s="9"/>
      <c r="D797" s="9"/>
      <c r="E797" s="9"/>
      <c r="F797" s="9"/>
      <c r="G797" s="9"/>
      <c r="H797" s="9"/>
    </row>
    <row r="798" ht="15.75" customHeight="1">
      <c r="C798" s="9"/>
      <c r="D798" s="9"/>
      <c r="E798" s="9"/>
      <c r="F798" s="9"/>
      <c r="G798" s="9"/>
      <c r="H798" s="9"/>
    </row>
    <row r="799" ht="15.75" customHeight="1">
      <c r="C799" s="9"/>
      <c r="D799" s="9"/>
      <c r="E799" s="9"/>
      <c r="F799" s="9"/>
      <c r="G799" s="9"/>
      <c r="H799" s="9"/>
    </row>
    <row r="800" ht="15.75" customHeight="1">
      <c r="C800" s="9"/>
      <c r="D800" s="9"/>
      <c r="E800" s="9"/>
      <c r="F800" s="9"/>
      <c r="G800" s="9"/>
      <c r="H800" s="9"/>
    </row>
    <row r="801" ht="15.75" customHeight="1">
      <c r="C801" s="9"/>
      <c r="D801" s="9"/>
      <c r="E801" s="9"/>
      <c r="F801" s="9"/>
      <c r="G801" s="9"/>
      <c r="H801" s="9"/>
    </row>
    <row r="802" ht="15.75" customHeight="1">
      <c r="C802" s="9"/>
      <c r="D802" s="9"/>
      <c r="E802" s="9"/>
      <c r="F802" s="9"/>
      <c r="G802" s="9"/>
      <c r="H802" s="9"/>
    </row>
    <row r="803" ht="15.75" customHeight="1">
      <c r="C803" s="9"/>
      <c r="D803" s="9"/>
      <c r="E803" s="9"/>
      <c r="F803" s="9"/>
      <c r="G803" s="9"/>
      <c r="H803" s="9"/>
    </row>
    <row r="804" ht="15.75" customHeight="1">
      <c r="C804" s="9"/>
      <c r="D804" s="9"/>
      <c r="E804" s="9"/>
      <c r="F804" s="9"/>
      <c r="G804" s="9"/>
      <c r="H804" s="9"/>
    </row>
    <row r="805" ht="15.75" customHeight="1">
      <c r="C805" s="9"/>
      <c r="D805" s="9"/>
      <c r="E805" s="9"/>
      <c r="F805" s="9"/>
      <c r="G805" s="9"/>
      <c r="H805" s="9"/>
    </row>
    <row r="806" ht="15.75" customHeight="1">
      <c r="C806" s="9"/>
      <c r="D806" s="9"/>
      <c r="E806" s="9"/>
      <c r="F806" s="9"/>
      <c r="G806" s="9"/>
      <c r="H806" s="9"/>
    </row>
    <row r="807" ht="15.75" customHeight="1">
      <c r="C807" s="9"/>
      <c r="D807" s="9"/>
      <c r="E807" s="9"/>
      <c r="F807" s="9"/>
      <c r="G807" s="9"/>
      <c r="H807" s="9"/>
    </row>
    <row r="808" ht="15.75" customHeight="1">
      <c r="C808" s="9"/>
      <c r="D808" s="9"/>
      <c r="E808" s="9"/>
      <c r="F808" s="9"/>
      <c r="G808" s="9"/>
      <c r="H808" s="9"/>
    </row>
    <row r="809" ht="15.75" customHeight="1">
      <c r="C809" s="9"/>
      <c r="D809" s="9"/>
      <c r="E809" s="9"/>
      <c r="F809" s="9"/>
      <c r="G809" s="9"/>
      <c r="H809" s="9"/>
    </row>
    <row r="810" ht="15.75" customHeight="1">
      <c r="C810" s="9"/>
      <c r="D810" s="9"/>
      <c r="E810" s="9"/>
      <c r="F810" s="9"/>
      <c r="G810" s="9"/>
      <c r="H810" s="9"/>
    </row>
    <row r="811" ht="15.75" customHeight="1">
      <c r="C811" s="9"/>
      <c r="D811" s="9"/>
      <c r="E811" s="9"/>
      <c r="F811" s="9"/>
      <c r="G811" s="9"/>
      <c r="H811" s="9"/>
    </row>
    <row r="812" ht="15.75" customHeight="1">
      <c r="C812" s="9"/>
      <c r="D812" s="9"/>
      <c r="E812" s="9"/>
      <c r="F812" s="9"/>
      <c r="G812" s="9"/>
      <c r="H812" s="9"/>
    </row>
    <row r="813" ht="15.75" customHeight="1">
      <c r="C813" s="9"/>
      <c r="D813" s="9"/>
      <c r="E813" s="9"/>
      <c r="F813" s="9"/>
      <c r="G813" s="9"/>
      <c r="H813" s="9"/>
    </row>
    <row r="814" ht="15.75" customHeight="1">
      <c r="C814" s="9"/>
      <c r="D814" s="9"/>
      <c r="E814" s="9"/>
      <c r="F814" s="9"/>
      <c r="G814" s="9"/>
      <c r="H814" s="9"/>
    </row>
    <row r="815" ht="15.75" customHeight="1">
      <c r="C815" s="9"/>
      <c r="D815" s="9"/>
      <c r="E815" s="9"/>
      <c r="F815" s="9"/>
      <c r="G815" s="9"/>
      <c r="H815" s="9"/>
    </row>
    <row r="816" ht="15.75" customHeight="1">
      <c r="C816" s="9"/>
      <c r="D816" s="9"/>
      <c r="E816" s="9"/>
      <c r="F816" s="9"/>
      <c r="G816" s="9"/>
      <c r="H816" s="9"/>
    </row>
    <row r="817" ht="15.75" customHeight="1">
      <c r="C817" s="9"/>
      <c r="D817" s="9"/>
      <c r="E817" s="9"/>
      <c r="F817" s="9"/>
      <c r="G817" s="9"/>
      <c r="H817" s="9"/>
    </row>
    <row r="818" ht="15.75" customHeight="1">
      <c r="C818" s="9"/>
      <c r="D818" s="9"/>
      <c r="E818" s="9"/>
      <c r="F818" s="9"/>
      <c r="G818" s="9"/>
      <c r="H818" s="9"/>
    </row>
    <row r="819" ht="15.75" customHeight="1">
      <c r="C819" s="9"/>
      <c r="D819" s="9"/>
      <c r="E819" s="9"/>
      <c r="F819" s="9"/>
      <c r="G819" s="9"/>
      <c r="H819" s="9"/>
    </row>
    <row r="820" ht="15.75" customHeight="1">
      <c r="C820" s="9"/>
      <c r="D820" s="9"/>
      <c r="E820" s="9"/>
      <c r="F820" s="9"/>
      <c r="G820" s="9"/>
      <c r="H820" s="9"/>
    </row>
    <row r="821" ht="15.75" customHeight="1">
      <c r="C821" s="9"/>
      <c r="D821" s="9"/>
      <c r="E821" s="9"/>
      <c r="F821" s="9"/>
      <c r="G821" s="9"/>
      <c r="H821" s="9"/>
    </row>
    <row r="822" ht="15.75" customHeight="1">
      <c r="C822" s="9"/>
      <c r="D822" s="9"/>
      <c r="E822" s="9"/>
      <c r="F822" s="9"/>
      <c r="G822" s="9"/>
      <c r="H822" s="9"/>
    </row>
    <row r="823" ht="15.75" customHeight="1">
      <c r="C823" s="9"/>
      <c r="D823" s="9"/>
      <c r="E823" s="9"/>
      <c r="F823" s="9"/>
      <c r="G823" s="9"/>
      <c r="H823" s="9"/>
    </row>
    <row r="824" ht="15.75" customHeight="1">
      <c r="C824" s="9"/>
      <c r="D824" s="9"/>
      <c r="E824" s="9"/>
      <c r="F824" s="9"/>
      <c r="G824" s="9"/>
      <c r="H824" s="9"/>
    </row>
    <row r="825" ht="15.75" customHeight="1">
      <c r="C825" s="9"/>
      <c r="D825" s="9"/>
      <c r="E825" s="9"/>
      <c r="F825" s="9"/>
      <c r="G825" s="9"/>
      <c r="H825" s="9"/>
    </row>
    <row r="826" ht="15.75" customHeight="1">
      <c r="C826" s="9"/>
      <c r="D826" s="9"/>
      <c r="E826" s="9"/>
      <c r="F826" s="9"/>
      <c r="G826" s="9"/>
      <c r="H826" s="9"/>
    </row>
    <row r="827" ht="15.75" customHeight="1">
      <c r="C827" s="9"/>
      <c r="D827" s="9"/>
      <c r="E827" s="9"/>
      <c r="F827" s="9"/>
      <c r="G827" s="9"/>
      <c r="H827" s="9"/>
    </row>
    <row r="828" ht="15.75" customHeight="1">
      <c r="C828" s="9"/>
      <c r="D828" s="9"/>
      <c r="E828" s="9"/>
      <c r="F828" s="9"/>
      <c r="G828" s="9"/>
      <c r="H828" s="9"/>
    </row>
    <row r="829" ht="15.75" customHeight="1">
      <c r="C829" s="9"/>
      <c r="D829" s="9"/>
      <c r="E829" s="9"/>
      <c r="F829" s="9"/>
      <c r="G829" s="9"/>
      <c r="H829" s="9"/>
    </row>
    <row r="830" ht="15.75" customHeight="1">
      <c r="C830" s="9"/>
      <c r="D830" s="9"/>
      <c r="E830" s="9"/>
      <c r="F830" s="9"/>
      <c r="G830" s="9"/>
      <c r="H830" s="9"/>
    </row>
    <row r="831" ht="15.75" customHeight="1">
      <c r="C831" s="9"/>
      <c r="D831" s="9"/>
      <c r="E831" s="9"/>
      <c r="F831" s="9"/>
      <c r="G831" s="9"/>
      <c r="H831" s="9"/>
    </row>
    <row r="832" ht="15.75" customHeight="1">
      <c r="C832" s="9"/>
      <c r="D832" s="9"/>
      <c r="E832" s="9"/>
      <c r="F832" s="9"/>
      <c r="G832" s="9"/>
      <c r="H832" s="9"/>
    </row>
    <row r="833" ht="15.75" customHeight="1">
      <c r="C833" s="9"/>
      <c r="D833" s="9"/>
      <c r="E833" s="9"/>
      <c r="F833" s="9"/>
      <c r="G833" s="9"/>
      <c r="H833" s="9"/>
    </row>
    <row r="834" ht="15.75" customHeight="1">
      <c r="C834" s="9"/>
      <c r="D834" s="9"/>
      <c r="E834" s="9"/>
      <c r="F834" s="9"/>
      <c r="G834" s="9"/>
      <c r="H834" s="9"/>
    </row>
    <row r="835" ht="15.75" customHeight="1">
      <c r="C835" s="9"/>
      <c r="D835" s="9"/>
      <c r="E835" s="9"/>
      <c r="F835" s="9"/>
      <c r="G835" s="9"/>
      <c r="H835" s="9"/>
    </row>
    <row r="836" ht="15.75" customHeight="1">
      <c r="C836" s="9"/>
      <c r="D836" s="9"/>
      <c r="E836" s="9"/>
      <c r="F836" s="9"/>
      <c r="G836" s="9"/>
      <c r="H836" s="9"/>
    </row>
    <row r="837" ht="15.75" customHeight="1">
      <c r="C837" s="9"/>
      <c r="D837" s="9"/>
      <c r="E837" s="9"/>
      <c r="F837" s="9"/>
      <c r="G837" s="9"/>
      <c r="H837" s="9"/>
    </row>
    <row r="838" ht="15.75" customHeight="1">
      <c r="C838" s="9"/>
      <c r="D838" s="9"/>
      <c r="E838" s="9"/>
      <c r="F838" s="9"/>
      <c r="G838" s="9"/>
      <c r="H838" s="9"/>
    </row>
    <row r="839" ht="15.75" customHeight="1">
      <c r="C839" s="9"/>
      <c r="D839" s="9"/>
      <c r="E839" s="9"/>
      <c r="F839" s="9"/>
      <c r="G839" s="9"/>
      <c r="H839" s="9"/>
    </row>
    <row r="840" ht="15.75" customHeight="1">
      <c r="C840" s="9"/>
      <c r="D840" s="9"/>
      <c r="E840" s="9"/>
      <c r="F840" s="9"/>
      <c r="G840" s="9"/>
      <c r="H840" s="9"/>
    </row>
    <row r="841" ht="15.75" customHeight="1">
      <c r="C841" s="9"/>
      <c r="D841" s="9"/>
      <c r="E841" s="9"/>
      <c r="F841" s="9"/>
      <c r="G841" s="9"/>
      <c r="H841" s="9"/>
    </row>
    <row r="842" ht="15.75" customHeight="1">
      <c r="C842" s="9"/>
      <c r="D842" s="9"/>
      <c r="E842" s="9"/>
      <c r="F842" s="9"/>
      <c r="G842" s="9"/>
      <c r="H842" s="9"/>
    </row>
    <row r="843" ht="15.75" customHeight="1">
      <c r="C843" s="9"/>
      <c r="D843" s="9"/>
      <c r="E843" s="9"/>
      <c r="F843" s="9"/>
      <c r="G843" s="9"/>
      <c r="H843" s="9"/>
    </row>
    <row r="844" ht="15.75" customHeight="1">
      <c r="C844" s="9"/>
      <c r="D844" s="9"/>
      <c r="E844" s="9"/>
      <c r="F844" s="9"/>
      <c r="G844" s="9"/>
      <c r="H844" s="9"/>
    </row>
    <row r="845" ht="15.75" customHeight="1">
      <c r="C845" s="9"/>
      <c r="D845" s="9"/>
      <c r="E845" s="9"/>
      <c r="F845" s="9"/>
      <c r="G845" s="9"/>
      <c r="H845" s="9"/>
    </row>
    <row r="846" ht="15.75" customHeight="1">
      <c r="C846" s="9"/>
      <c r="D846" s="9"/>
      <c r="E846" s="9"/>
      <c r="F846" s="9"/>
      <c r="G846" s="9"/>
      <c r="H846" s="9"/>
    </row>
    <row r="847" ht="15.75" customHeight="1">
      <c r="C847" s="9"/>
      <c r="D847" s="9"/>
      <c r="E847" s="9"/>
      <c r="F847" s="9"/>
      <c r="G847" s="9"/>
      <c r="H847" s="9"/>
    </row>
    <row r="848" ht="15.75" customHeight="1">
      <c r="C848" s="9"/>
      <c r="D848" s="9"/>
      <c r="E848" s="9"/>
      <c r="F848" s="9"/>
      <c r="G848" s="9"/>
      <c r="H848" s="9"/>
    </row>
    <row r="849" ht="15.75" customHeight="1">
      <c r="C849" s="9"/>
      <c r="D849" s="9"/>
      <c r="E849" s="9"/>
      <c r="F849" s="9"/>
      <c r="G849" s="9"/>
      <c r="H849" s="9"/>
    </row>
    <row r="850" ht="15.75" customHeight="1">
      <c r="C850" s="9"/>
      <c r="D850" s="9"/>
      <c r="E850" s="9"/>
      <c r="F850" s="9"/>
      <c r="G850" s="9"/>
      <c r="H850" s="9"/>
    </row>
    <row r="851" ht="15.75" customHeight="1">
      <c r="C851" s="9"/>
      <c r="D851" s="9"/>
      <c r="E851" s="9"/>
      <c r="F851" s="9"/>
      <c r="G851" s="9"/>
      <c r="H851" s="9"/>
    </row>
    <row r="852" ht="15.75" customHeight="1">
      <c r="C852" s="9"/>
      <c r="D852" s="9"/>
      <c r="E852" s="9"/>
      <c r="F852" s="9"/>
      <c r="G852" s="9"/>
      <c r="H852" s="9"/>
    </row>
    <row r="853" ht="15.75" customHeight="1">
      <c r="C853" s="9"/>
      <c r="D853" s="9"/>
      <c r="E853" s="9"/>
      <c r="F853" s="9"/>
      <c r="G853" s="9"/>
      <c r="H853" s="9"/>
    </row>
    <row r="854" ht="15.75" customHeight="1">
      <c r="C854" s="9"/>
      <c r="D854" s="9"/>
      <c r="E854" s="9"/>
      <c r="F854" s="9"/>
      <c r="G854" s="9"/>
      <c r="H854" s="9"/>
    </row>
    <row r="855" ht="15.75" customHeight="1">
      <c r="C855" s="9"/>
      <c r="D855" s="9"/>
      <c r="E855" s="9"/>
      <c r="F855" s="9"/>
      <c r="G855" s="9"/>
      <c r="H855" s="9"/>
    </row>
    <row r="856" ht="15.75" customHeight="1">
      <c r="C856" s="9"/>
      <c r="D856" s="9"/>
      <c r="E856" s="9"/>
      <c r="F856" s="9"/>
      <c r="G856" s="9"/>
      <c r="H856" s="9"/>
    </row>
    <row r="857" ht="15.75" customHeight="1">
      <c r="C857" s="9"/>
      <c r="D857" s="9"/>
      <c r="E857" s="9"/>
      <c r="F857" s="9"/>
      <c r="G857" s="9"/>
      <c r="H857" s="9"/>
    </row>
    <row r="858" ht="15.75" customHeight="1">
      <c r="C858" s="9"/>
      <c r="D858" s="9"/>
      <c r="E858" s="9"/>
      <c r="F858" s="9"/>
      <c r="G858" s="9"/>
      <c r="H858" s="9"/>
    </row>
    <row r="859" ht="15.75" customHeight="1">
      <c r="C859" s="9"/>
      <c r="D859" s="9"/>
      <c r="E859" s="9"/>
      <c r="F859" s="9"/>
      <c r="G859" s="9"/>
      <c r="H859" s="9"/>
    </row>
    <row r="860" ht="15.75" customHeight="1">
      <c r="C860" s="9"/>
      <c r="D860" s="9"/>
      <c r="E860" s="9"/>
      <c r="F860" s="9"/>
      <c r="G860" s="9"/>
      <c r="H860" s="9"/>
    </row>
    <row r="861" ht="15.75" customHeight="1">
      <c r="C861" s="9"/>
      <c r="D861" s="9"/>
      <c r="E861" s="9"/>
      <c r="F861" s="9"/>
      <c r="G861" s="9"/>
      <c r="H861" s="9"/>
    </row>
    <row r="862" ht="15.75" customHeight="1">
      <c r="C862" s="9"/>
      <c r="D862" s="9"/>
      <c r="E862" s="9"/>
      <c r="F862" s="9"/>
      <c r="G862" s="9"/>
      <c r="H862" s="9"/>
    </row>
    <row r="863" ht="15.75" customHeight="1">
      <c r="C863" s="9"/>
      <c r="D863" s="9"/>
      <c r="E863" s="9"/>
      <c r="F863" s="9"/>
      <c r="G863" s="9"/>
      <c r="H863" s="9"/>
    </row>
    <row r="864" ht="15.75" customHeight="1">
      <c r="C864" s="9"/>
      <c r="D864" s="9"/>
      <c r="E864" s="9"/>
      <c r="F864" s="9"/>
      <c r="G864" s="9"/>
      <c r="H864" s="9"/>
    </row>
    <row r="865" ht="15.75" customHeight="1">
      <c r="C865" s="9"/>
      <c r="D865" s="9"/>
      <c r="E865" s="9"/>
      <c r="F865" s="9"/>
      <c r="G865" s="9"/>
      <c r="H865" s="9"/>
    </row>
    <row r="866" ht="15.75" customHeight="1">
      <c r="C866" s="9"/>
      <c r="D866" s="9"/>
      <c r="E866" s="9"/>
      <c r="F866" s="9"/>
      <c r="G866" s="9"/>
      <c r="H866" s="9"/>
    </row>
    <row r="867" ht="15.75" customHeight="1">
      <c r="C867" s="9"/>
      <c r="D867" s="9"/>
      <c r="E867" s="9"/>
      <c r="F867" s="9"/>
      <c r="G867" s="9"/>
      <c r="H867" s="9"/>
    </row>
    <row r="868" ht="15.75" customHeight="1">
      <c r="C868" s="9"/>
      <c r="D868" s="9"/>
      <c r="E868" s="9"/>
      <c r="F868" s="9"/>
      <c r="G868" s="9"/>
      <c r="H868" s="9"/>
    </row>
    <row r="869" ht="15.75" customHeight="1">
      <c r="C869" s="9"/>
      <c r="D869" s="9"/>
      <c r="E869" s="9"/>
      <c r="F869" s="9"/>
      <c r="G869" s="9"/>
      <c r="H869" s="9"/>
    </row>
    <row r="870" ht="15.75" customHeight="1">
      <c r="C870" s="9"/>
      <c r="D870" s="9"/>
      <c r="E870" s="9"/>
      <c r="F870" s="9"/>
      <c r="G870" s="9"/>
      <c r="H870" s="9"/>
    </row>
    <row r="871" ht="15.75" customHeight="1">
      <c r="C871" s="9"/>
      <c r="D871" s="9"/>
      <c r="E871" s="9"/>
      <c r="F871" s="9"/>
      <c r="G871" s="9"/>
      <c r="H871" s="9"/>
    </row>
    <row r="872" ht="15.75" customHeight="1">
      <c r="C872" s="9"/>
      <c r="D872" s="9"/>
      <c r="E872" s="9"/>
      <c r="F872" s="9"/>
      <c r="G872" s="9"/>
      <c r="H872" s="9"/>
    </row>
    <row r="873" ht="15.75" customHeight="1">
      <c r="C873" s="9"/>
      <c r="D873" s="9"/>
      <c r="E873" s="9"/>
      <c r="F873" s="9"/>
      <c r="G873" s="9"/>
      <c r="H873" s="9"/>
    </row>
    <row r="874" ht="15.75" customHeight="1">
      <c r="C874" s="9"/>
      <c r="D874" s="9"/>
      <c r="E874" s="9"/>
      <c r="F874" s="9"/>
      <c r="G874" s="9"/>
      <c r="H874" s="9"/>
    </row>
    <row r="875" ht="15.75" customHeight="1">
      <c r="C875" s="9"/>
      <c r="D875" s="9"/>
      <c r="E875" s="9"/>
      <c r="F875" s="9"/>
      <c r="G875" s="9"/>
      <c r="H875" s="9"/>
    </row>
    <row r="876" ht="15.75" customHeight="1">
      <c r="C876" s="9"/>
      <c r="D876" s="9"/>
      <c r="E876" s="9"/>
      <c r="F876" s="9"/>
      <c r="G876" s="9"/>
      <c r="H876" s="9"/>
    </row>
    <row r="877" ht="15.75" customHeight="1">
      <c r="C877" s="9"/>
      <c r="D877" s="9"/>
      <c r="E877" s="9"/>
      <c r="F877" s="9"/>
      <c r="G877" s="9"/>
      <c r="H877" s="9"/>
    </row>
    <row r="878" ht="15.75" customHeight="1">
      <c r="C878" s="9"/>
      <c r="D878" s="9"/>
      <c r="E878" s="9"/>
      <c r="F878" s="9"/>
      <c r="G878" s="9"/>
      <c r="H878" s="9"/>
    </row>
    <row r="879" ht="15.75" customHeight="1">
      <c r="C879" s="9"/>
      <c r="D879" s="9"/>
      <c r="E879" s="9"/>
      <c r="F879" s="9"/>
      <c r="G879" s="9"/>
      <c r="H879" s="9"/>
    </row>
    <row r="880" ht="15.75" customHeight="1">
      <c r="C880" s="9"/>
      <c r="D880" s="9"/>
      <c r="E880" s="9"/>
      <c r="F880" s="9"/>
      <c r="G880" s="9"/>
      <c r="H880" s="9"/>
    </row>
    <row r="881" ht="15.75" customHeight="1">
      <c r="C881" s="9"/>
      <c r="D881" s="9"/>
      <c r="E881" s="9"/>
      <c r="F881" s="9"/>
      <c r="G881" s="9"/>
      <c r="H881" s="9"/>
    </row>
    <row r="882" ht="15.75" customHeight="1">
      <c r="C882" s="9"/>
      <c r="D882" s="9"/>
      <c r="E882" s="9"/>
      <c r="F882" s="9"/>
      <c r="G882" s="9"/>
      <c r="H882" s="9"/>
    </row>
    <row r="883" ht="15.75" customHeight="1">
      <c r="C883" s="9"/>
      <c r="D883" s="9"/>
      <c r="E883" s="9"/>
      <c r="F883" s="9"/>
      <c r="G883" s="9"/>
      <c r="H883" s="9"/>
    </row>
    <row r="884" ht="15.75" customHeight="1">
      <c r="C884" s="9"/>
      <c r="D884" s="9"/>
      <c r="E884" s="9"/>
      <c r="F884" s="9"/>
      <c r="G884" s="9"/>
      <c r="H884" s="9"/>
    </row>
    <row r="885" ht="15.75" customHeight="1">
      <c r="C885" s="9"/>
      <c r="D885" s="9"/>
      <c r="E885" s="9"/>
      <c r="F885" s="9"/>
      <c r="G885" s="9"/>
      <c r="H885" s="9"/>
    </row>
    <row r="886" ht="15.75" customHeight="1">
      <c r="C886" s="9"/>
      <c r="D886" s="9"/>
      <c r="E886" s="9"/>
      <c r="F886" s="9"/>
      <c r="G886" s="9"/>
      <c r="H886" s="9"/>
    </row>
    <row r="887" ht="15.75" customHeight="1">
      <c r="C887" s="9"/>
      <c r="D887" s="9"/>
      <c r="E887" s="9"/>
      <c r="F887" s="9"/>
      <c r="G887" s="9"/>
      <c r="H887" s="9"/>
    </row>
    <row r="888" ht="15.75" customHeight="1">
      <c r="C888" s="9"/>
      <c r="D888" s="9"/>
      <c r="E888" s="9"/>
      <c r="F888" s="9"/>
      <c r="G888" s="9"/>
      <c r="H888" s="9"/>
    </row>
    <row r="889" ht="15.75" customHeight="1">
      <c r="C889" s="9"/>
      <c r="D889" s="9"/>
      <c r="E889" s="9"/>
      <c r="F889" s="9"/>
      <c r="G889" s="9"/>
      <c r="H889" s="9"/>
    </row>
    <row r="890" ht="15.75" customHeight="1">
      <c r="C890" s="9"/>
      <c r="D890" s="9"/>
      <c r="E890" s="9"/>
      <c r="F890" s="9"/>
      <c r="G890" s="9"/>
      <c r="H890" s="9"/>
    </row>
    <row r="891" ht="15.75" customHeight="1">
      <c r="C891" s="9"/>
      <c r="D891" s="9"/>
      <c r="E891" s="9"/>
      <c r="F891" s="9"/>
      <c r="G891" s="9"/>
      <c r="H891" s="9"/>
    </row>
    <row r="892" ht="15.75" customHeight="1">
      <c r="C892" s="9"/>
      <c r="D892" s="9"/>
      <c r="E892" s="9"/>
      <c r="F892" s="9"/>
      <c r="G892" s="9"/>
      <c r="H892" s="9"/>
    </row>
    <row r="893" ht="15.75" customHeight="1">
      <c r="C893" s="9"/>
      <c r="D893" s="9"/>
      <c r="E893" s="9"/>
      <c r="F893" s="9"/>
      <c r="G893" s="9"/>
      <c r="H893" s="9"/>
    </row>
    <row r="894" ht="15.75" customHeight="1">
      <c r="C894" s="9"/>
      <c r="D894" s="9"/>
      <c r="E894" s="9"/>
      <c r="F894" s="9"/>
      <c r="G894" s="9"/>
      <c r="H894" s="9"/>
    </row>
    <row r="895" ht="15.75" customHeight="1">
      <c r="C895" s="9"/>
      <c r="D895" s="9"/>
      <c r="E895" s="9"/>
      <c r="F895" s="9"/>
      <c r="G895" s="9"/>
      <c r="H895" s="9"/>
    </row>
    <row r="896" ht="15.75" customHeight="1">
      <c r="C896" s="9"/>
      <c r="D896" s="9"/>
      <c r="E896" s="9"/>
      <c r="F896" s="9"/>
      <c r="G896" s="9"/>
      <c r="H896" s="9"/>
    </row>
    <row r="897" ht="15.75" customHeight="1">
      <c r="C897" s="9"/>
      <c r="D897" s="9"/>
      <c r="E897" s="9"/>
      <c r="F897" s="9"/>
      <c r="G897" s="9"/>
      <c r="H897" s="9"/>
    </row>
    <row r="898" ht="15.75" customHeight="1">
      <c r="C898" s="9"/>
      <c r="D898" s="9"/>
      <c r="E898" s="9"/>
      <c r="F898" s="9"/>
      <c r="G898" s="9"/>
      <c r="H898" s="9"/>
    </row>
    <row r="899" ht="15.75" customHeight="1">
      <c r="C899" s="9"/>
      <c r="D899" s="9"/>
      <c r="E899" s="9"/>
      <c r="F899" s="9"/>
      <c r="G899" s="9"/>
      <c r="H899" s="9"/>
    </row>
    <row r="900" ht="15.75" customHeight="1">
      <c r="C900" s="9"/>
      <c r="D900" s="9"/>
      <c r="E900" s="9"/>
      <c r="F900" s="9"/>
      <c r="G900" s="9"/>
      <c r="H900" s="9"/>
    </row>
    <row r="901" ht="15.75" customHeight="1">
      <c r="C901" s="9"/>
      <c r="D901" s="9"/>
      <c r="E901" s="9"/>
      <c r="F901" s="9"/>
      <c r="G901" s="9"/>
      <c r="H901" s="9"/>
    </row>
    <row r="902" ht="15.75" customHeight="1">
      <c r="C902" s="9"/>
      <c r="D902" s="9"/>
      <c r="E902" s="9"/>
      <c r="F902" s="9"/>
      <c r="G902" s="9"/>
      <c r="H902" s="9"/>
    </row>
    <row r="903" ht="15.75" customHeight="1">
      <c r="C903" s="9"/>
      <c r="D903" s="9"/>
      <c r="E903" s="9"/>
      <c r="F903" s="9"/>
      <c r="G903" s="9"/>
      <c r="H903" s="9"/>
    </row>
    <row r="904" ht="15.75" customHeight="1">
      <c r="C904" s="9"/>
      <c r="D904" s="9"/>
      <c r="E904" s="9"/>
      <c r="F904" s="9"/>
      <c r="G904" s="9"/>
      <c r="H904" s="9"/>
    </row>
    <row r="905" ht="15.75" customHeight="1">
      <c r="C905" s="9"/>
      <c r="D905" s="9"/>
      <c r="E905" s="9"/>
      <c r="F905" s="9"/>
      <c r="G905" s="9"/>
      <c r="H905" s="9"/>
    </row>
    <row r="906" ht="15.75" customHeight="1">
      <c r="C906" s="9"/>
      <c r="D906" s="9"/>
      <c r="E906" s="9"/>
      <c r="F906" s="9"/>
      <c r="G906" s="9"/>
      <c r="H906" s="9"/>
    </row>
    <row r="907" ht="15.75" customHeight="1">
      <c r="C907" s="9"/>
      <c r="D907" s="9"/>
      <c r="E907" s="9"/>
      <c r="F907" s="9"/>
      <c r="G907" s="9"/>
      <c r="H907" s="9"/>
    </row>
    <row r="908" ht="15.75" customHeight="1">
      <c r="C908" s="9"/>
      <c r="D908" s="9"/>
      <c r="E908" s="9"/>
      <c r="F908" s="9"/>
      <c r="G908" s="9"/>
      <c r="H908" s="9"/>
    </row>
    <row r="909" ht="15.75" customHeight="1">
      <c r="C909" s="9"/>
      <c r="D909" s="9"/>
      <c r="E909" s="9"/>
      <c r="F909" s="9"/>
      <c r="G909" s="9"/>
      <c r="H909" s="9"/>
    </row>
    <row r="910" ht="15.75" customHeight="1">
      <c r="C910" s="9"/>
      <c r="D910" s="9"/>
      <c r="E910" s="9"/>
      <c r="F910" s="9"/>
      <c r="G910" s="9"/>
      <c r="H910" s="9"/>
    </row>
    <row r="911" ht="15.75" customHeight="1">
      <c r="C911" s="9"/>
      <c r="D911" s="9"/>
      <c r="E911" s="9"/>
      <c r="F911" s="9"/>
      <c r="G911" s="9"/>
      <c r="H911" s="9"/>
    </row>
    <row r="912" ht="15.75" customHeight="1">
      <c r="C912" s="9"/>
      <c r="D912" s="9"/>
      <c r="E912" s="9"/>
      <c r="F912" s="9"/>
      <c r="G912" s="9"/>
      <c r="H912" s="9"/>
    </row>
    <row r="913" ht="15.75" customHeight="1">
      <c r="C913" s="9"/>
      <c r="D913" s="9"/>
      <c r="E913" s="9"/>
      <c r="F913" s="9"/>
      <c r="G913" s="9"/>
      <c r="H913" s="9"/>
    </row>
    <row r="914" ht="15.75" customHeight="1">
      <c r="C914" s="9"/>
      <c r="D914" s="9"/>
      <c r="E914" s="9"/>
      <c r="F914" s="9"/>
      <c r="G914" s="9"/>
      <c r="H914" s="9"/>
    </row>
    <row r="915" ht="15.75" customHeight="1">
      <c r="C915" s="9"/>
      <c r="D915" s="9"/>
      <c r="E915" s="9"/>
      <c r="F915" s="9"/>
      <c r="G915" s="9"/>
      <c r="H915" s="9"/>
    </row>
    <row r="916" ht="15.75" customHeight="1">
      <c r="C916" s="9"/>
      <c r="D916" s="9"/>
      <c r="E916" s="9"/>
      <c r="F916" s="9"/>
      <c r="G916" s="9"/>
      <c r="H916" s="9"/>
    </row>
    <row r="917" ht="15.75" customHeight="1">
      <c r="C917" s="9"/>
      <c r="D917" s="9"/>
      <c r="E917" s="9"/>
      <c r="F917" s="9"/>
      <c r="G917" s="9"/>
      <c r="H917" s="9"/>
    </row>
    <row r="918" ht="15.75" customHeight="1">
      <c r="C918" s="9"/>
      <c r="D918" s="9"/>
      <c r="E918" s="9"/>
      <c r="F918" s="9"/>
      <c r="G918" s="9"/>
      <c r="H918" s="9"/>
    </row>
    <row r="919" ht="15.75" customHeight="1">
      <c r="C919" s="9"/>
      <c r="D919" s="9"/>
      <c r="E919" s="9"/>
      <c r="F919" s="9"/>
      <c r="G919" s="9"/>
      <c r="H919" s="9"/>
    </row>
    <row r="920" ht="15.75" customHeight="1">
      <c r="C920" s="9"/>
      <c r="D920" s="9"/>
      <c r="E920" s="9"/>
      <c r="F920" s="9"/>
      <c r="G920" s="9"/>
      <c r="H920" s="9"/>
    </row>
    <row r="921" ht="15.75" customHeight="1">
      <c r="C921" s="9"/>
      <c r="D921" s="9"/>
      <c r="E921" s="9"/>
      <c r="F921" s="9"/>
      <c r="G921" s="9"/>
      <c r="H921" s="9"/>
    </row>
    <row r="922" ht="15.75" customHeight="1">
      <c r="C922" s="9"/>
      <c r="D922" s="9"/>
      <c r="E922" s="9"/>
      <c r="F922" s="9"/>
      <c r="G922" s="9"/>
      <c r="H922" s="9"/>
    </row>
    <row r="923" ht="15.75" customHeight="1">
      <c r="C923" s="9"/>
      <c r="D923" s="9"/>
      <c r="E923" s="9"/>
      <c r="F923" s="9"/>
      <c r="G923" s="9"/>
      <c r="H923" s="9"/>
    </row>
    <row r="924" ht="15.75" customHeight="1">
      <c r="C924" s="9"/>
      <c r="D924" s="9"/>
      <c r="E924" s="9"/>
      <c r="F924" s="9"/>
      <c r="G924" s="9"/>
      <c r="H924" s="9"/>
    </row>
    <row r="925" ht="15.75" customHeight="1">
      <c r="C925" s="9"/>
      <c r="D925" s="9"/>
      <c r="E925" s="9"/>
      <c r="F925" s="9"/>
      <c r="G925" s="9"/>
      <c r="H925" s="9"/>
    </row>
    <row r="926" ht="15.75" customHeight="1">
      <c r="C926" s="9"/>
      <c r="D926" s="9"/>
      <c r="E926" s="9"/>
      <c r="F926" s="9"/>
      <c r="G926" s="9"/>
      <c r="H926" s="9"/>
    </row>
    <row r="927" ht="15.75" customHeight="1">
      <c r="C927" s="9"/>
      <c r="D927" s="9"/>
      <c r="E927" s="9"/>
      <c r="F927" s="9"/>
      <c r="G927" s="9"/>
      <c r="H927" s="9"/>
    </row>
    <row r="928" ht="15.75" customHeight="1">
      <c r="C928" s="9"/>
      <c r="D928" s="9"/>
      <c r="E928" s="9"/>
      <c r="F928" s="9"/>
      <c r="G928" s="9"/>
      <c r="H928" s="9"/>
    </row>
    <row r="929" ht="15.75" customHeight="1">
      <c r="C929" s="9"/>
      <c r="D929" s="9"/>
      <c r="E929" s="9"/>
      <c r="F929" s="9"/>
      <c r="G929" s="9"/>
      <c r="H929" s="9"/>
    </row>
    <row r="930" ht="15.75" customHeight="1">
      <c r="C930" s="9"/>
      <c r="D930" s="9"/>
      <c r="E930" s="9"/>
      <c r="F930" s="9"/>
      <c r="G930" s="9"/>
      <c r="H930" s="9"/>
    </row>
    <row r="931" ht="15.75" customHeight="1">
      <c r="C931" s="9"/>
      <c r="D931" s="9"/>
      <c r="E931" s="9"/>
      <c r="F931" s="9"/>
      <c r="G931" s="9"/>
      <c r="H931" s="9"/>
    </row>
    <row r="932" ht="15.75" customHeight="1">
      <c r="C932" s="9"/>
      <c r="D932" s="9"/>
      <c r="E932" s="9"/>
      <c r="F932" s="9"/>
      <c r="G932" s="9"/>
      <c r="H932" s="9"/>
    </row>
    <row r="933" ht="15.75" customHeight="1">
      <c r="C933" s="9"/>
      <c r="D933" s="9"/>
      <c r="E933" s="9"/>
      <c r="F933" s="9"/>
      <c r="G933" s="9"/>
      <c r="H933" s="9"/>
    </row>
    <row r="934" ht="15.75" customHeight="1">
      <c r="C934" s="9"/>
      <c r="D934" s="9"/>
      <c r="E934" s="9"/>
      <c r="F934" s="9"/>
      <c r="G934" s="9"/>
      <c r="H934" s="9"/>
    </row>
    <row r="935" ht="15.75" customHeight="1">
      <c r="C935" s="9"/>
      <c r="D935" s="9"/>
      <c r="E935" s="9"/>
      <c r="F935" s="9"/>
      <c r="G935" s="9"/>
      <c r="H935" s="9"/>
    </row>
    <row r="936" ht="15.75" customHeight="1">
      <c r="C936" s="9"/>
      <c r="D936" s="9"/>
      <c r="E936" s="9"/>
      <c r="F936" s="9"/>
      <c r="G936" s="9"/>
      <c r="H936" s="9"/>
    </row>
    <row r="937" ht="15.75" customHeight="1">
      <c r="C937" s="9"/>
      <c r="D937" s="9"/>
      <c r="E937" s="9"/>
      <c r="F937" s="9"/>
      <c r="G937" s="9"/>
      <c r="H937" s="9"/>
    </row>
    <row r="938" ht="15.75" customHeight="1">
      <c r="C938" s="9"/>
      <c r="D938" s="9"/>
      <c r="E938" s="9"/>
      <c r="F938" s="9"/>
      <c r="G938" s="9"/>
      <c r="H938" s="9"/>
    </row>
    <row r="939" ht="15.75" customHeight="1">
      <c r="C939" s="9"/>
      <c r="D939" s="9"/>
      <c r="E939" s="9"/>
      <c r="F939" s="9"/>
      <c r="G939" s="9"/>
      <c r="H939" s="9"/>
    </row>
    <row r="940" ht="15.75" customHeight="1">
      <c r="C940" s="9"/>
      <c r="D940" s="9"/>
      <c r="E940" s="9"/>
      <c r="F940" s="9"/>
      <c r="G940" s="9"/>
      <c r="H940" s="9"/>
    </row>
    <row r="941" ht="15.75" customHeight="1">
      <c r="C941" s="9"/>
      <c r="D941" s="9"/>
      <c r="E941" s="9"/>
      <c r="F941" s="9"/>
      <c r="G941" s="9"/>
      <c r="H941" s="9"/>
    </row>
    <row r="942" ht="15.75" customHeight="1">
      <c r="C942" s="9"/>
      <c r="D942" s="9"/>
      <c r="E942" s="9"/>
      <c r="F942" s="9"/>
      <c r="G942" s="9"/>
      <c r="H942" s="9"/>
    </row>
    <row r="943" ht="15.75" customHeight="1">
      <c r="C943" s="9"/>
      <c r="D943" s="9"/>
      <c r="E943" s="9"/>
      <c r="F943" s="9"/>
      <c r="G943" s="9"/>
      <c r="H943" s="9"/>
    </row>
    <row r="944" ht="15.75" customHeight="1">
      <c r="C944" s="9"/>
      <c r="D944" s="9"/>
      <c r="E944" s="9"/>
      <c r="F944" s="9"/>
      <c r="G944" s="9"/>
      <c r="H944" s="9"/>
    </row>
    <row r="945" ht="15.75" customHeight="1">
      <c r="C945" s="9"/>
      <c r="D945" s="9"/>
      <c r="E945" s="9"/>
      <c r="F945" s="9"/>
      <c r="G945" s="9"/>
      <c r="H945" s="9"/>
    </row>
    <row r="946" ht="15.75" customHeight="1">
      <c r="C946" s="9"/>
      <c r="D946" s="9"/>
      <c r="E946" s="9"/>
      <c r="F946" s="9"/>
      <c r="G946" s="9"/>
      <c r="H946" s="9"/>
    </row>
    <row r="947" ht="15.75" customHeight="1">
      <c r="C947" s="9"/>
      <c r="D947" s="9"/>
      <c r="E947" s="9"/>
      <c r="F947" s="9"/>
      <c r="G947" s="9"/>
      <c r="H947" s="9"/>
    </row>
    <row r="948" ht="15.75" customHeight="1">
      <c r="C948" s="9"/>
      <c r="D948" s="9"/>
      <c r="E948" s="9"/>
      <c r="F948" s="9"/>
      <c r="G948" s="9"/>
      <c r="H948" s="9"/>
    </row>
    <row r="949" ht="15.75" customHeight="1">
      <c r="C949" s="9"/>
      <c r="D949" s="9"/>
      <c r="E949" s="9"/>
      <c r="F949" s="9"/>
      <c r="G949" s="9"/>
      <c r="H949" s="9"/>
    </row>
    <row r="950" ht="15.75" customHeight="1">
      <c r="C950" s="9"/>
      <c r="D950" s="9"/>
      <c r="E950" s="9"/>
      <c r="F950" s="9"/>
      <c r="G950" s="9"/>
      <c r="H950" s="9"/>
    </row>
    <row r="951" ht="15.75" customHeight="1">
      <c r="C951" s="9"/>
      <c r="D951" s="9"/>
      <c r="E951" s="9"/>
      <c r="F951" s="9"/>
      <c r="G951" s="9"/>
      <c r="H951" s="9"/>
    </row>
    <row r="952" ht="15.75" customHeight="1">
      <c r="C952" s="9"/>
      <c r="D952" s="9"/>
      <c r="E952" s="9"/>
      <c r="F952" s="9"/>
      <c r="G952" s="9"/>
      <c r="H952" s="9"/>
    </row>
    <row r="953" ht="15.75" customHeight="1">
      <c r="C953" s="9"/>
      <c r="D953" s="9"/>
      <c r="E953" s="9"/>
      <c r="F953" s="9"/>
      <c r="G953" s="9"/>
      <c r="H953" s="9"/>
    </row>
    <row r="954" ht="15.75" customHeight="1">
      <c r="C954" s="9"/>
      <c r="D954" s="9"/>
      <c r="E954" s="9"/>
      <c r="F954" s="9"/>
      <c r="G954" s="9"/>
      <c r="H954" s="9"/>
    </row>
    <row r="955" ht="15.75" customHeight="1">
      <c r="C955" s="9"/>
      <c r="D955" s="9"/>
      <c r="E955" s="9"/>
      <c r="F955" s="9"/>
      <c r="G955" s="9"/>
      <c r="H955" s="9"/>
    </row>
    <row r="956" ht="15.75" customHeight="1">
      <c r="C956" s="9"/>
      <c r="D956" s="9"/>
      <c r="E956" s="9"/>
      <c r="F956" s="9"/>
      <c r="G956" s="9"/>
      <c r="H956" s="9"/>
    </row>
    <row r="957" ht="15.75" customHeight="1">
      <c r="C957" s="9"/>
      <c r="D957" s="9"/>
      <c r="E957" s="9"/>
      <c r="F957" s="9"/>
      <c r="G957" s="9"/>
      <c r="H957" s="9"/>
    </row>
    <row r="958" ht="15.75" customHeight="1">
      <c r="C958" s="9"/>
      <c r="D958" s="9"/>
      <c r="E958" s="9"/>
      <c r="F958" s="9"/>
      <c r="G958" s="9"/>
      <c r="H958" s="9"/>
    </row>
    <row r="959" ht="15.75" customHeight="1">
      <c r="C959" s="9"/>
      <c r="D959" s="9"/>
      <c r="E959" s="9"/>
      <c r="F959" s="9"/>
      <c r="G959" s="9"/>
      <c r="H959" s="9"/>
    </row>
    <row r="960" ht="15.75" customHeight="1">
      <c r="C960" s="9"/>
      <c r="D960" s="9"/>
      <c r="E960" s="9"/>
      <c r="F960" s="9"/>
      <c r="G960" s="9"/>
      <c r="H960" s="9"/>
    </row>
    <row r="961" ht="15.75" customHeight="1">
      <c r="C961" s="9"/>
      <c r="D961" s="9"/>
      <c r="E961" s="9"/>
      <c r="F961" s="9"/>
      <c r="G961" s="9"/>
      <c r="H961" s="9"/>
    </row>
    <row r="962" ht="15.75" customHeight="1">
      <c r="C962" s="9"/>
      <c r="D962" s="9"/>
      <c r="E962" s="9"/>
      <c r="F962" s="9"/>
      <c r="G962" s="9"/>
      <c r="H962" s="9"/>
    </row>
    <row r="963" ht="15.75" customHeight="1">
      <c r="C963" s="9"/>
      <c r="D963" s="9"/>
      <c r="E963" s="9"/>
      <c r="F963" s="9"/>
      <c r="G963" s="9"/>
      <c r="H963" s="9"/>
    </row>
    <row r="964" ht="15.75" customHeight="1">
      <c r="C964" s="9"/>
      <c r="D964" s="9"/>
      <c r="E964" s="9"/>
      <c r="F964" s="9"/>
      <c r="G964" s="9"/>
      <c r="H964" s="9"/>
    </row>
    <row r="965" ht="15.75" customHeight="1">
      <c r="C965" s="9"/>
      <c r="D965" s="9"/>
      <c r="E965" s="9"/>
      <c r="F965" s="9"/>
      <c r="G965" s="9"/>
      <c r="H965" s="9"/>
    </row>
    <row r="966" ht="15.75" customHeight="1">
      <c r="C966" s="9"/>
      <c r="D966" s="9"/>
      <c r="E966" s="9"/>
      <c r="F966" s="9"/>
      <c r="G966" s="9"/>
      <c r="H966" s="9"/>
    </row>
    <row r="967" ht="15.75" customHeight="1">
      <c r="C967" s="9"/>
      <c r="D967" s="9"/>
      <c r="E967" s="9"/>
      <c r="F967" s="9"/>
      <c r="G967" s="9"/>
      <c r="H967" s="9"/>
    </row>
    <row r="968" ht="15.75" customHeight="1">
      <c r="C968" s="9"/>
      <c r="D968" s="9"/>
      <c r="E968" s="9"/>
      <c r="F968" s="9"/>
      <c r="G968" s="9"/>
      <c r="H968" s="9"/>
    </row>
    <row r="969" ht="15.75" customHeight="1">
      <c r="C969" s="9"/>
      <c r="D969" s="9"/>
      <c r="E969" s="9"/>
      <c r="F969" s="9"/>
      <c r="G969" s="9"/>
      <c r="H969" s="9"/>
    </row>
    <row r="970" ht="15.75" customHeight="1">
      <c r="C970" s="9"/>
      <c r="D970" s="9"/>
      <c r="E970" s="9"/>
      <c r="F970" s="9"/>
      <c r="G970" s="9"/>
      <c r="H970" s="9"/>
    </row>
    <row r="971" ht="15.75" customHeight="1">
      <c r="C971" s="9"/>
      <c r="D971" s="9"/>
      <c r="E971" s="9"/>
      <c r="F971" s="9"/>
      <c r="G971" s="9"/>
      <c r="H971" s="9"/>
    </row>
    <row r="972" ht="15.75" customHeight="1">
      <c r="C972" s="9"/>
      <c r="D972" s="9"/>
      <c r="E972" s="9"/>
      <c r="F972" s="9"/>
      <c r="G972" s="9"/>
      <c r="H972" s="9"/>
    </row>
    <row r="973" ht="15.75" customHeight="1">
      <c r="C973" s="9"/>
      <c r="D973" s="9"/>
      <c r="E973" s="9"/>
      <c r="F973" s="9"/>
      <c r="G973" s="9"/>
      <c r="H973" s="9"/>
    </row>
    <row r="974" ht="15.75" customHeight="1">
      <c r="C974" s="9"/>
      <c r="D974" s="9"/>
      <c r="E974" s="9"/>
      <c r="F974" s="9"/>
      <c r="G974" s="9"/>
      <c r="H974" s="9"/>
    </row>
    <row r="975" ht="15.75" customHeight="1">
      <c r="C975" s="9"/>
      <c r="D975" s="9"/>
      <c r="E975" s="9"/>
      <c r="F975" s="9"/>
      <c r="G975" s="9"/>
      <c r="H975" s="9"/>
    </row>
    <row r="976" ht="15.75" customHeight="1">
      <c r="C976" s="9"/>
      <c r="D976" s="9"/>
      <c r="E976" s="9"/>
      <c r="F976" s="9"/>
      <c r="G976" s="9"/>
      <c r="H976" s="9"/>
    </row>
    <row r="977" ht="15.75" customHeight="1">
      <c r="C977" s="9"/>
      <c r="D977" s="9"/>
      <c r="E977" s="9"/>
      <c r="F977" s="9"/>
      <c r="G977" s="9"/>
      <c r="H977" s="9"/>
    </row>
    <row r="978" ht="15.75" customHeight="1">
      <c r="C978" s="9"/>
      <c r="D978" s="9"/>
      <c r="E978" s="9"/>
      <c r="F978" s="9"/>
      <c r="G978" s="9"/>
      <c r="H978" s="9"/>
    </row>
    <row r="979" ht="15.75" customHeight="1">
      <c r="C979" s="9"/>
      <c r="D979" s="9"/>
      <c r="E979" s="9"/>
      <c r="F979" s="9"/>
      <c r="G979" s="9"/>
      <c r="H979" s="9"/>
    </row>
    <row r="980" ht="15.75" customHeight="1">
      <c r="C980" s="9"/>
      <c r="D980" s="9"/>
      <c r="E980" s="9"/>
      <c r="F980" s="9"/>
      <c r="G980" s="9"/>
      <c r="H980" s="9"/>
    </row>
    <row r="981" ht="15.75" customHeight="1">
      <c r="C981" s="9"/>
      <c r="D981" s="9"/>
      <c r="E981" s="9"/>
      <c r="F981" s="9"/>
      <c r="G981" s="9"/>
      <c r="H981" s="9"/>
    </row>
    <row r="982" ht="15.75" customHeight="1">
      <c r="C982" s="9"/>
      <c r="D982" s="9"/>
      <c r="E982" s="9"/>
      <c r="F982" s="9"/>
      <c r="G982" s="9"/>
      <c r="H982" s="9"/>
    </row>
    <row r="983" ht="15.75" customHeight="1">
      <c r="C983" s="9"/>
      <c r="D983" s="9"/>
      <c r="E983" s="9"/>
      <c r="F983" s="9"/>
      <c r="G983" s="9"/>
      <c r="H983" s="9"/>
    </row>
    <row r="984" ht="15.75" customHeight="1">
      <c r="C984" s="9"/>
      <c r="D984" s="9"/>
      <c r="E984" s="9"/>
      <c r="F984" s="9"/>
      <c r="G984" s="9"/>
      <c r="H984" s="9"/>
    </row>
    <row r="985" ht="15.75" customHeight="1">
      <c r="C985" s="9"/>
      <c r="D985" s="9"/>
      <c r="E985" s="9"/>
      <c r="F985" s="9"/>
      <c r="G985" s="9"/>
      <c r="H985" s="9"/>
    </row>
    <row r="986" ht="15.75" customHeight="1">
      <c r="C986" s="9"/>
      <c r="D986" s="9"/>
      <c r="E986" s="9"/>
      <c r="F986" s="9"/>
      <c r="G986" s="9"/>
      <c r="H986" s="9"/>
    </row>
    <row r="987" ht="15.75" customHeight="1">
      <c r="C987" s="9"/>
      <c r="D987" s="9"/>
      <c r="E987" s="9"/>
      <c r="F987" s="9"/>
      <c r="G987" s="9"/>
      <c r="H987" s="9"/>
    </row>
    <row r="988" ht="15.75" customHeight="1">
      <c r="C988" s="9"/>
      <c r="D988" s="9"/>
      <c r="E988" s="9"/>
      <c r="F988" s="9"/>
      <c r="G988" s="9"/>
      <c r="H988" s="9"/>
    </row>
    <row r="989" ht="15.75" customHeight="1">
      <c r="C989" s="9"/>
      <c r="D989" s="9"/>
      <c r="E989" s="9"/>
      <c r="F989" s="9"/>
      <c r="G989" s="9"/>
      <c r="H989" s="9"/>
    </row>
    <row r="990" ht="15.75" customHeight="1">
      <c r="C990" s="9"/>
      <c r="D990" s="9"/>
      <c r="E990" s="9"/>
      <c r="F990" s="9"/>
      <c r="G990" s="9"/>
      <c r="H990" s="9"/>
    </row>
    <row r="991" ht="15.75" customHeight="1">
      <c r="C991" s="9"/>
      <c r="D991" s="9"/>
      <c r="E991" s="9"/>
      <c r="F991" s="9"/>
      <c r="G991" s="9"/>
      <c r="H991" s="9"/>
    </row>
    <row r="992" ht="15.75" customHeight="1">
      <c r="C992" s="9"/>
      <c r="D992" s="9"/>
      <c r="E992" s="9"/>
      <c r="F992" s="9"/>
      <c r="G992" s="9"/>
      <c r="H992" s="9"/>
    </row>
    <row r="993" ht="15.75" customHeight="1">
      <c r="C993" s="9"/>
      <c r="D993" s="9"/>
      <c r="E993" s="9"/>
      <c r="F993" s="9"/>
      <c r="G993" s="9"/>
      <c r="H993" s="9"/>
    </row>
    <row r="994" ht="15.75" customHeight="1">
      <c r="C994" s="9"/>
      <c r="D994" s="9"/>
      <c r="E994" s="9"/>
      <c r="F994" s="9"/>
      <c r="G994" s="9"/>
      <c r="H994" s="9"/>
    </row>
    <row r="995" ht="15.75" customHeight="1">
      <c r="C995" s="9"/>
      <c r="D995" s="9"/>
      <c r="E995" s="9"/>
      <c r="F995" s="9"/>
      <c r="G995" s="9"/>
      <c r="H995" s="9"/>
    </row>
    <row r="996" ht="15.75" customHeight="1">
      <c r="C996" s="9"/>
      <c r="D996" s="9"/>
      <c r="E996" s="9"/>
      <c r="F996" s="9"/>
      <c r="G996" s="9"/>
      <c r="H996" s="9"/>
    </row>
    <row r="997" ht="15.75" customHeight="1">
      <c r="C997" s="9"/>
      <c r="D997" s="9"/>
      <c r="E997" s="9"/>
      <c r="F997" s="9"/>
      <c r="G997" s="9"/>
      <c r="H997" s="9"/>
    </row>
    <row r="998" ht="15.75" customHeight="1">
      <c r="C998" s="9"/>
      <c r="D998" s="9"/>
      <c r="E998" s="9"/>
      <c r="F998" s="9"/>
      <c r="G998" s="9"/>
      <c r="H998" s="9"/>
    </row>
    <row r="999" ht="15.75" customHeight="1">
      <c r="C999" s="9"/>
      <c r="D999" s="9"/>
      <c r="E999" s="9"/>
      <c r="F999" s="9"/>
      <c r="G999" s="9"/>
      <c r="H999" s="9"/>
    </row>
    <row r="1000" ht="15.75" customHeight="1">
      <c r="C1000" s="9"/>
      <c r="D1000" s="9"/>
      <c r="E1000" s="9"/>
      <c r="F1000" s="9"/>
      <c r="G1000" s="9"/>
      <c r="H1000" s="9"/>
    </row>
  </sheetData>
  <mergeCells count="4">
    <mergeCell ref="A1:A2"/>
    <mergeCell ref="B1:C1"/>
    <mergeCell ref="D1:E1"/>
    <mergeCell ref="F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57"/>
    <col customWidth="1" min="2" max="2" width="7.71"/>
    <col customWidth="1" min="3" max="3" width="118.86"/>
    <col customWidth="1" min="4" max="4" width="7.71"/>
    <col customWidth="1" min="5" max="5" width="122.86"/>
    <col customWidth="1" min="6" max="6" width="14.43"/>
  </cols>
  <sheetData>
    <row r="1">
      <c r="A1" s="5" t="s">
        <v>13</v>
      </c>
      <c r="B1" s="6" t="s">
        <v>25</v>
      </c>
      <c r="C1" s="7"/>
      <c r="D1" s="6" t="s">
        <v>30</v>
      </c>
      <c r="E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</row>
    <row r="3">
      <c r="A3" s="13" t="s">
        <v>33</v>
      </c>
      <c r="B3" s="13" t="str">
        <f>'Detailed Reasoning'!B16</f>
        <v/>
      </c>
      <c r="C3" s="13" t="str">
        <f>'Detailed Reasoning'!C16</f>
        <v/>
      </c>
      <c r="D3" s="13" t="str">
        <f>'Detailed Reasoning'!D16</f>
        <v/>
      </c>
      <c r="E3" s="13" t="str">
        <f>'Detailed Reasoning'!E16</f>
        <v/>
      </c>
    </row>
    <row r="4">
      <c r="A4" s="16" t="s">
        <v>34</v>
      </c>
      <c r="B4" s="17" t="str">
        <f>'AI#1_GPT'!B$16</f>
        <v>--</v>
      </c>
      <c r="C4" s="19" t="str">
        <f>'AI#1_GPT'!C16</f>
        <v>공유 저장소가 장애 나면 여러 구성요소가 동시에 영향을 받는 단일 장애점이 되기 쉽다.</v>
      </c>
      <c r="D4" s="17" t="str">
        <f>'AI#1_GPT'!D$16</f>
        <v>-</v>
      </c>
      <c r="E4" s="19" t="str">
        <f>'AI#1_GPT'!E16</f>
        <v>중앙 블랙보드가 중단되면 지식 소스 간 협업 자체가 멈추기 쉬워 핵심 장애점이 된다.</v>
      </c>
    </row>
    <row r="5">
      <c r="A5" s="16" t="s">
        <v>35</v>
      </c>
      <c r="B5" s="17" t="str">
        <f>'AI#2_Gemini'!B$16</f>
        <v>-</v>
      </c>
      <c r="C5" s="21" t="str">
        <f>'AI#2_Gemini'!C$16</f>
        <v>중앙 저장소(DB 등)가 단일 장애점(SPOF)이 되므로, 저장소가 다운되면 시스템 전체가 마비됨.</v>
      </c>
      <c r="D5" s="17" t="str">
        <f>'AI#2_Gemini'!D$16</f>
        <v>-</v>
      </c>
      <c r="E5" s="21" t="str">
        <f>'AI#2_Gemini'!E$16</f>
        <v>중앙 블랙보드(메모리/저장소)와 제어 컴포넌트가 다운되면 모든 Knowledge Source(KS)가 동작을 멈춤.</v>
      </c>
    </row>
    <row r="6">
      <c r="A6" s="16" t="s">
        <v>39</v>
      </c>
      <c r="B6" s="17" t="str">
        <f>Human!B$16</f>
        <v>--</v>
      </c>
      <c r="C6" s="21" t="str">
        <f>Human!C$16</f>
        <v>공유 저장소 장애 시 의존하는 모든 Client에 영향</v>
      </c>
      <c r="D6" s="23" t="s">
        <v>42</v>
      </c>
      <c r="E6" s="26" t="s">
        <v>44</v>
      </c>
    </row>
    <row r="7">
      <c r="A7" s="19"/>
      <c r="B7" s="29"/>
      <c r="C7" s="19"/>
      <c r="D7" s="29"/>
      <c r="E7" s="19"/>
    </row>
    <row r="8" ht="15.0" customHeight="1">
      <c r="A8" s="13" t="s">
        <v>46</v>
      </c>
      <c r="B8" s="13" t="str">
        <f>'Detailed Reasoning'!B17</f>
        <v/>
      </c>
      <c r="C8" s="13" t="str">
        <f>'Detailed Reasoning'!C17</f>
        <v/>
      </c>
      <c r="D8" s="13" t="str">
        <f>'Detailed Reasoning'!D17</f>
        <v/>
      </c>
      <c r="E8" s="13" t="str">
        <f>'Detailed Reasoning'!E17</f>
        <v/>
      </c>
    </row>
    <row r="9">
      <c r="A9" s="16" t="s">
        <v>34</v>
      </c>
      <c r="B9" s="17" t="str">
        <f>'AI#1_GPT'!B$17</f>
        <v>-</v>
      </c>
      <c r="C9" s="19" t="str">
        <f>'AI#1_GPT'!C17</f>
        <v>여러 구성요소가 공통 스키마와 저장소 버전에 의존해 독립 배포가 제한될 수 있다.</v>
      </c>
      <c r="D9" s="17" t="str">
        <f>'AI#1_GPT'!D$17</f>
        <v>0</v>
      </c>
      <c r="E9" s="19" t="str">
        <f>'AI#1_GPT'!E17</f>
        <v>지식 소스는 추가하기 쉽지만 공통 블랙보드 표현과 제어 규칙에 대한 호환성이 필요하다.</v>
      </c>
    </row>
    <row r="10">
      <c r="A10" s="16" t="s">
        <v>35</v>
      </c>
      <c r="B10" s="17" t="str">
        <f>'AI#2_Gemini'!B$17</f>
        <v>0</v>
      </c>
      <c r="C10" s="21" t="str">
        <f>'AI#2_Gemini'!C$17</f>
        <v>데이터베이스와 클라이언트를 분리해서 배포할 수 있으나, 스키마 변경 시 동시 배포가 필요할 수 있음.</v>
      </c>
      <c r="D10" s="17" t="str">
        <f>'AI#2_Gemini'!D$17</f>
        <v>0</v>
      </c>
      <c r="E10" s="21" t="str">
        <f>'AI#2_Gemini'!E$17</f>
        <v>KS들은 독립적 배포가 가능하나, 중앙 제어기와 데이터 구조가 맞물려 있어 제한적임.</v>
      </c>
    </row>
    <row r="11">
      <c r="A11" s="16" t="s">
        <v>39</v>
      </c>
      <c r="B11" s="17" t="str">
        <f>Human!B$17</f>
        <v>-</v>
      </c>
      <c r="C11" s="21" t="str">
        <f>Human!C$17</f>
        <v>스키마 변경 시 관련 Client의 배포 조율 필요</v>
      </c>
      <c r="D11" s="23" t="s">
        <v>42</v>
      </c>
      <c r="E11" s="24" t="s">
        <v>54</v>
      </c>
    </row>
    <row r="12">
      <c r="A12" s="19"/>
      <c r="B12" s="29"/>
      <c r="C12" s="19"/>
      <c r="D12" s="29"/>
      <c r="E12" s="19"/>
    </row>
    <row r="13" ht="15.0" customHeight="1">
      <c r="A13" s="13" t="s">
        <v>52</v>
      </c>
      <c r="B13" s="13" t="str">
        <f>'Detailed Reasoning'!B18</f>
        <v/>
      </c>
      <c r="C13" s="13" t="str">
        <f>'Detailed Reasoning'!C18</f>
        <v/>
      </c>
      <c r="D13" s="13" t="str">
        <f>'Detailed Reasoning'!D18</f>
        <v/>
      </c>
      <c r="E13" s="13" t="str">
        <f>'Detailed Reasoning'!E18</f>
        <v/>
      </c>
    </row>
    <row r="14">
      <c r="A14" s="16" t="s">
        <v>34</v>
      </c>
      <c r="B14" s="17" t="str">
        <f>'AI#1_GPT'!B$18</f>
        <v>++</v>
      </c>
      <c r="C14" s="19" t="str">
        <f>'AI#1_GPT'!C18</f>
        <v>모든 구성요소가 공통 데이터 저장소와 모델을 사용하므로 데이터 공유와 연계가 매우 쉽다.</v>
      </c>
      <c r="D14" s="17" t="str">
        <f>'AI#1_GPT'!D$18</f>
        <v>+</v>
      </c>
      <c r="E14" s="19" t="str">
        <f>'AI#1_GPT'!E18</f>
        <v>서로 다른 알고리즘·전문 모듈이 공통 블랙보드에 결과를 기록하는 방식으로 협업할 수 있다.</v>
      </c>
    </row>
    <row r="15">
      <c r="A15" s="16" t="s">
        <v>35</v>
      </c>
      <c r="B15" s="17" t="str">
        <f>'AI#2_Gemini'!B$18</f>
        <v>+</v>
      </c>
      <c r="C15" s="21" t="str">
        <f>'AI#2_Gemini'!C$18</f>
        <v>클라이언트 시스템 간에 직접적인 인터페이스를 맞출 필요 없이, 중앙 DB 스키마만 알면 데이터를 공유/통합할 수 있음.</v>
      </c>
      <c r="D15" s="17" t="str">
        <f>'AI#2_Gemini'!D$18</f>
        <v>++</v>
      </c>
      <c r="E15" s="21" t="str">
        <f>'AI#2_Gemini'!E$18</f>
        <v>서로 다른 형태와 알고리즘을 가진 KS들이 중앙 블랙보드의 데이터만 바라보므로 이질적인 시스템을 통합하기 매우 좋음.</v>
      </c>
    </row>
    <row r="16">
      <c r="A16" s="16" t="s">
        <v>39</v>
      </c>
      <c r="B16" s="17" t="str">
        <f>Human!B$18</f>
        <v>+</v>
      </c>
      <c r="C16" s="21" t="str">
        <f>Human!C$18</f>
        <v>공통 스키마를 따르는 Client를 저장소에 연결하여 통합 가능</v>
      </c>
      <c r="D16" s="25" t="s">
        <v>48</v>
      </c>
      <c r="E16" s="24" t="s">
        <v>59</v>
      </c>
    </row>
    <row r="17">
      <c r="A17" s="19"/>
      <c r="B17" s="29"/>
      <c r="C17" s="19"/>
      <c r="D17" s="29"/>
      <c r="E17" s="19"/>
    </row>
    <row r="18">
      <c r="A18" s="13" t="s">
        <v>58</v>
      </c>
      <c r="B18" s="13" t="str">
        <f>'Detailed Reasoning'!B$19</f>
        <v/>
      </c>
      <c r="C18" s="13" t="str">
        <f>'Detailed Reasoning'!C$19</f>
        <v/>
      </c>
      <c r="D18" s="13" t="str">
        <f>'Detailed Reasoning'!D$19</f>
        <v/>
      </c>
      <c r="E18" s="13" t="str">
        <f>'Detailed Reasoning'!E$19</f>
        <v/>
      </c>
    </row>
    <row r="19">
      <c r="A19" s="19" t="s">
        <v>34</v>
      </c>
      <c r="B19" s="17" t="str">
        <f>'AI#1_GPT'!B$19</f>
        <v>+</v>
      </c>
      <c r="C19" s="19" t="str">
        <f>'AI#1_GPT'!C19</f>
        <v>중복 데이터 복제와 여러 저장소 운영을 줄여 자원 사용을 집중시킬 수 있다.</v>
      </c>
      <c r="D19" s="17" t="str">
        <f>'AI#1_GPT'!D$19</f>
        <v>-</v>
      </c>
      <c r="E19" s="19" t="str">
        <f>'AI#1_GPT'!E19</f>
        <v>여러 지식 소스가 상태를 반복 관찰·추론하고 후보 해를 갱신하므로 계산 자원 소비가 커질 수 있다.</v>
      </c>
    </row>
    <row r="20">
      <c r="A20" s="19" t="s">
        <v>35</v>
      </c>
      <c r="B20" s="17" t="str">
        <f>'AI#2_Gemini'!B$19</f>
        <v>0</v>
      </c>
      <c r="C20" s="21" t="str">
        <f>'AI#2_Gemini'!C$19</f>
        <v>중앙 집중적 데이터 저장이 에너지 소비에 미치는 영향은 인프라 구성에 따라 다름.</v>
      </c>
      <c r="D20" s="17" t="str">
        <f>'AI#2_Gemini'!D$19</f>
        <v>-</v>
      </c>
      <c r="E20" s="21" t="str">
        <f>'AI#2_Gemini'!E$19</f>
        <v>제어 컴포넌트가 지속적으로 블랙보드의 상태 변화를 모니터링하고 KS를 평가해야 하므로 연산 오버헤드(에너지 낭비)가 큼.</v>
      </c>
    </row>
    <row r="21" ht="15.75" customHeight="1">
      <c r="A21" s="19" t="s">
        <v>39</v>
      </c>
      <c r="B21" s="17" t="str">
        <f>Human!B$19</f>
        <v>-</v>
      </c>
      <c r="C21" s="21" t="str">
        <f>Human!C$19</f>
        <v>중복 데이터 복제와 여러 저장소 운영을 줄여 자원 사용을 집중-&gt; data쪽과의 동시성을 가지고 볼 경우 -로 볼 수 있음</v>
      </c>
      <c r="D21" s="23" t="s">
        <v>40</v>
      </c>
      <c r="E21" s="24" t="s">
        <v>62</v>
      </c>
    </row>
    <row r="22" ht="15.75" customHeight="1">
      <c r="A22" s="19"/>
      <c r="B22" s="29"/>
      <c r="C22" s="19"/>
      <c r="D22" s="29"/>
      <c r="E22" s="19"/>
    </row>
    <row r="23" ht="15.75" customHeight="1">
      <c r="A23" s="13" t="s">
        <v>61</v>
      </c>
      <c r="B23" s="13" t="str">
        <f>'Detailed Reasoning'!B$20</f>
        <v/>
      </c>
      <c r="C23" s="13" t="str">
        <f>'Detailed Reasoning'!C$20</f>
        <v/>
      </c>
      <c r="D23" s="13" t="str">
        <f>'Detailed Reasoning'!D$20</f>
        <v/>
      </c>
      <c r="E23" s="13" t="str">
        <f>'Detailed Reasoning'!E$20</f>
        <v/>
      </c>
    </row>
    <row r="24" ht="15.75" customHeight="1">
      <c r="A24" s="16" t="s">
        <v>34</v>
      </c>
      <c r="B24" s="31" t="str">
        <f>'AI#1_GPT'!B$20</f>
        <v>-</v>
      </c>
      <c r="C24" s="32" t="str">
        <f>'AI#1_GPT'!C20</f>
        <v>공유 스키마 변경이 많은 소비자에게 동시에 영향을 주어 변경 파급 범위가 커질 수 있다.</v>
      </c>
      <c r="D24" s="17" t="str">
        <f>'AI#1_GPT'!D$20</f>
        <v>+</v>
      </c>
      <c r="E24" s="19" t="str">
        <f>'AI#1_GPT'!E20</f>
        <v>새 지식 소스를 추가하거나 기존 추론 모듈을 교체하기 비교적 쉽다.</v>
      </c>
    </row>
    <row r="25" ht="15.75" customHeight="1">
      <c r="A25" s="16" t="s">
        <v>35</v>
      </c>
      <c r="B25" s="31" t="str">
        <f>'AI#2_Gemini'!B$20</f>
        <v>+</v>
      </c>
      <c r="C25" s="33" t="str">
        <f>'AI#2_Gemini'!C$20</f>
        <v>기존 클라이언트를 수정하지 않고도 새로운 클라이언트(기능)를 중앙 저장소에 연결하여 확장하기 쉬움.</v>
      </c>
      <c r="D25" s="17" t="str">
        <f>'AI#2_Gemini'!D$20</f>
        <v>++</v>
      </c>
      <c r="E25" s="21" t="str">
        <f>'AI#2_Gemini'!E$20</f>
        <v>문제 해결 로직(KS)을 새롭게 추가하거나 제거하더라도 다른 KS나 시스템 전체의 구조를 변경할 필요가 없음.</v>
      </c>
    </row>
    <row r="26" ht="15.75" customHeight="1">
      <c r="A26" s="16" t="s">
        <v>39</v>
      </c>
      <c r="B26" s="17" t="str">
        <f>Human!B$20</f>
        <v>-</v>
      </c>
      <c r="C26" s="21" t="str">
        <f>Human!C$20</f>
        <v>클라이언트, KS간 변경의 영향은 최소화 되지만 데이의 스키마 변경등은 모든 클라이언트에게 영향을 주는 점을 고려해보아야 합니다</v>
      </c>
      <c r="D26" s="25" t="s">
        <v>48</v>
      </c>
      <c r="E26" s="24" t="s">
        <v>66</v>
      </c>
    </row>
    <row r="27" ht="15.75" customHeight="1">
      <c r="A27" s="19"/>
      <c r="B27" s="29"/>
      <c r="C27" s="19"/>
      <c r="D27" s="29"/>
      <c r="E27" s="19"/>
    </row>
    <row r="28" ht="15.75" customHeight="1">
      <c r="A28" s="13" t="s">
        <v>65</v>
      </c>
      <c r="B28" s="13" t="str">
        <f>'Detailed Reasoning'!B$21</f>
        <v/>
      </c>
      <c r="C28" s="13" t="str">
        <f>'Detailed Reasoning'!C$21</f>
        <v/>
      </c>
      <c r="D28" s="13" t="str">
        <f>'Detailed Reasoning'!D$21</f>
        <v/>
      </c>
      <c r="E28" s="13" t="str">
        <f>'Detailed Reasoning'!E$21</f>
        <v/>
      </c>
    </row>
    <row r="29" ht="15.75" customHeight="1">
      <c r="A29" s="16" t="s">
        <v>34</v>
      </c>
      <c r="B29" s="17" t="str">
        <f>'AI#1_GPT'!B$21</f>
        <v>0</v>
      </c>
      <c r="C29" s="19" t="str">
        <f>'AI#1_GPT'!C21</f>
        <v>중앙 최적화·캐시의 이점이 있지만 동시 접근이 몰리면 저장소가 병목이 될 수 있다.</v>
      </c>
      <c r="D29" s="17" t="str">
        <f>'AI#1_GPT'!D$21</f>
        <v>-</v>
      </c>
      <c r="E29" s="19" t="str">
        <f>'AI#1_GPT'!E21</f>
        <v>공유 상태 접근, 후보 평가, 스케줄링 등 협업 오버헤드 때문에 단순 직접 호출보다 느릴 수 있다.</v>
      </c>
    </row>
    <row r="30" ht="15.75" customHeight="1">
      <c r="A30" s="16" t="s">
        <v>35</v>
      </c>
      <c r="B30" s="17" t="str">
        <f>'AI#2_Gemini'!B$21</f>
        <v>-</v>
      </c>
      <c r="C30" s="21" t="str">
        <f>'AI#2_Gemini'!C$21</f>
        <v>클라이언트 수가 많아지거나 동시 데이터 접근이 발생하면 중앙 저장소에 병목(Bottleneck) 현상이 발생하여 성능이 저하됨.</v>
      </c>
      <c r="D30" s="17" t="str">
        <f>'AI#2_Gemini'!D$21</f>
        <v>--</v>
      </c>
      <c r="E30" s="21" t="str">
        <f>'AI#2_Gemini'!E$21</f>
        <v>휴리스틱 기반의 문제 해결 방식으로, 제어 컴포넌트의 빈번한 상태 평가와 동기화 문제로 인해 예측 가능한 성능을 기대하기 힘듦.</v>
      </c>
    </row>
    <row r="31" ht="15.75" customHeight="1">
      <c r="A31" s="16" t="s">
        <v>39</v>
      </c>
      <c r="B31" s="17" t="str">
        <f>Human!B$21</f>
        <v>-</v>
      </c>
      <c r="C31" s="21" t="str">
        <f>Human!C$21</f>
        <v>공유 저장소에 동시 접근이 집중되면 병목 발생 가능</v>
      </c>
      <c r="D31" s="23" t="s">
        <v>40</v>
      </c>
      <c r="E31" s="24" t="s">
        <v>67</v>
      </c>
    </row>
    <row r="32" ht="15.75" customHeight="1">
      <c r="A32" s="19"/>
      <c r="B32" s="29"/>
      <c r="C32" s="19"/>
      <c r="D32" s="29"/>
      <c r="E32" s="19"/>
    </row>
    <row r="33" ht="15.75" customHeight="1">
      <c r="A33" s="13" t="s">
        <v>68</v>
      </c>
      <c r="B33" s="13" t="str">
        <f>'Detailed Reasoning'!B$22</f>
        <v/>
      </c>
      <c r="C33" s="13" t="str">
        <f>'Detailed Reasoning'!C$22</f>
        <v/>
      </c>
      <c r="D33" s="13" t="str">
        <f>'Detailed Reasoning'!D$22</f>
        <v/>
      </c>
      <c r="E33" s="13" t="str">
        <f>'Detailed Reasoning'!E$22</f>
        <v/>
      </c>
    </row>
    <row r="34" ht="15.75" customHeight="1">
      <c r="A34" s="16" t="s">
        <v>34</v>
      </c>
      <c r="B34" s="17" t="str">
        <f>'AI#1_GPT'!B$22</f>
        <v>+</v>
      </c>
      <c r="C34" s="19" t="str">
        <f>'AI#1_GPT'!C22</f>
        <v>단일 기준 데이터(source of truth)를 유지하기 쉬워 불일치 상태를 줄이는 데 유리하다.</v>
      </c>
      <c r="D34" s="17" t="str">
        <f>'AI#1_GPT'!D$22</f>
        <v>0</v>
      </c>
      <c r="E34" s="19" t="str">
        <f>'AI#1_GPT'!E22</f>
        <v>여러 지식 소스의 상호 검증은 도움이 되지만 비결정적 추론·우선순위 충돌은 안전 검증을 어렵게 한다.</v>
      </c>
    </row>
    <row r="35" ht="15.75" customHeight="1">
      <c r="A35" s="16" t="s">
        <v>35</v>
      </c>
      <c r="B35" s="17" t="str">
        <f>'AI#2_Gemini'!B$22</f>
        <v>0</v>
      </c>
      <c r="C35" s="37" t="s">
        <v>70</v>
      </c>
      <c r="D35" s="23" t="s">
        <v>40</v>
      </c>
      <c r="E35" s="37" t="s">
        <v>71</v>
      </c>
    </row>
    <row r="36" ht="15.75" customHeight="1">
      <c r="A36" s="16" t="s">
        <v>39</v>
      </c>
      <c r="B36" s="17" t="str">
        <f>Human!B$22</f>
        <v>-</v>
      </c>
      <c r="C36" s="21" t="str">
        <f>Human!C$22</f>
        <v>중앙 저장소가 단일 장애 지점은 보안성에서도 문제지만 안정성에서 문제가 됨</v>
      </c>
      <c r="D36" s="17" t="str">
        <f>'AI#1_GPT'!D$22</f>
        <v>0</v>
      </c>
      <c r="E36" s="38" t="s">
        <v>73</v>
      </c>
    </row>
    <row r="37" ht="15.75" customHeight="1">
      <c r="A37" s="19"/>
      <c r="B37" s="29"/>
      <c r="C37" s="19"/>
      <c r="D37" s="29"/>
      <c r="E37" s="19"/>
    </row>
    <row r="38" ht="15.75" customHeight="1">
      <c r="A38" s="13" t="s">
        <v>74</v>
      </c>
      <c r="B38" s="13" t="str">
        <f>'Detailed Reasoning'!B$23</f>
        <v/>
      </c>
      <c r="C38" s="13" t="str">
        <f>'Detailed Reasoning'!C$23</f>
        <v/>
      </c>
      <c r="D38" s="13" t="str">
        <f>'Detailed Reasoning'!D$23</f>
        <v/>
      </c>
      <c r="E38" s="13" t="str">
        <f>'Detailed Reasoning'!E$23</f>
        <v/>
      </c>
    </row>
    <row r="39" ht="15.75" customHeight="1">
      <c r="A39" s="16" t="s">
        <v>34</v>
      </c>
      <c r="B39" s="31" t="str">
        <f>'AI#1_GPT'!B$23</f>
        <v>0</v>
      </c>
      <c r="C39" s="32" t="str">
        <f>'AI#1_GPT'!C23</f>
        <v>접근통제를 중앙화하기 쉽지만 침해 시 영향 범위도 커서 장점과 위험이 함께 존재한다.</v>
      </c>
      <c r="D39" s="17" t="str">
        <f>'AI#1_GPT'!D$23</f>
        <v>-</v>
      </c>
      <c r="E39" s="19" t="str">
        <f>'AI#1_GPT'!E23</f>
        <v>많은 모듈이 공용 블랙보드를 읽고 쓰므로 권한 통제와 데이터 오염 방지가 복잡해진다.</v>
      </c>
    </row>
    <row r="40" ht="15.75" customHeight="1">
      <c r="A40" s="16" t="s">
        <v>35</v>
      </c>
      <c r="B40" s="31" t="str">
        <f>'AI#2_Gemini'!B$23</f>
        <v>++</v>
      </c>
      <c r="C40" s="33" t="str">
        <f>'AI#2_Gemini'!C$23</f>
        <v>데이터가 한 곳에 모여 있으므로, 데이터 접근 권한(Authorization) 및 인증(Authentication) 관리를 중앙에서 강력하게 통제할 수 있음.</v>
      </c>
      <c r="D40" s="17" t="str">
        <f>'AI#2_Gemini'!D$23</f>
        <v>0</v>
      </c>
      <c r="E40" s="21" t="str">
        <f>'AI#2_Gemini'!E$23</f>
        <v>보안 관점보다는 미해결 문제에 대한 협력적 연산에 집중되어 있어 보안 통제가 기본으로 내장되어 있지 않음.</v>
      </c>
    </row>
    <row r="41" ht="15.75" customHeight="1">
      <c r="A41" s="16" t="s">
        <v>39</v>
      </c>
      <c r="B41" s="17" t="str">
        <f>Human!B$23</f>
        <v>-</v>
      </c>
      <c r="C41" s="21" t="str">
        <f>Human!C$23</f>
        <v>Data Store, Black Bd의 데이터가 모든 Data client, KS에 공개되어 있으므로, 보안에 취약</v>
      </c>
      <c r="D41" s="23" t="s">
        <v>42</v>
      </c>
      <c r="E41" s="24" t="s">
        <v>76</v>
      </c>
    </row>
    <row r="42" ht="15.75" customHeight="1">
      <c r="A42" s="19"/>
      <c r="B42" s="29"/>
      <c r="C42" s="19"/>
      <c r="D42" s="29"/>
      <c r="E42" s="19"/>
    </row>
    <row r="43" ht="15.75" customHeight="1">
      <c r="A43" s="13" t="s">
        <v>75</v>
      </c>
      <c r="B43" s="13" t="str">
        <f>'Detailed Reasoning'!B$24</f>
        <v/>
      </c>
      <c r="C43" s="13" t="str">
        <f>'Detailed Reasoning'!C$24</f>
        <v/>
      </c>
      <c r="D43" s="13" t="str">
        <f>'Detailed Reasoning'!D$24</f>
        <v/>
      </c>
      <c r="E43" s="13" t="str">
        <f>'Detailed Reasoning'!E$24</f>
        <v/>
      </c>
    </row>
    <row r="44" ht="15.75" customHeight="1">
      <c r="A44" s="16" t="s">
        <v>34</v>
      </c>
      <c r="B44" s="17" t="str">
        <f>'AI#1_GPT'!B$24</f>
        <v>0</v>
      </c>
      <c r="C44" s="19" t="str">
        <f>'AI#1_GPT'!C24</f>
        <v>테스트 데이터 준비는 쉽지만 여러 컴포넌트가 공유 상태를 사용하면 테스트 격리가 어려울 수 있다.</v>
      </c>
      <c r="D44" s="17" t="str">
        <f>'AI#1_GPT'!D$24</f>
        <v>-</v>
      </c>
      <c r="E44" s="19" t="str">
        <f>'AI#1_GPT'!E24</f>
        <v>여러 지식 소스의 실행 순서와 공유 상태에 따라 결과가 달라질 수 있어 재현 테스트가 어렵다.</v>
      </c>
    </row>
    <row r="45" ht="15.75" customHeight="1">
      <c r="A45" s="16" t="s">
        <v>35</v>
      </c>
      <c r="B45" s="17" t="str">
        <f>'AI#2_Gemini'!B$24</f>
        <v>-</v>
      </c>
      <c r="C45" s="21" t="str">
        <f>'AI#2_Gemini'!C$24</f>
        <v>클라이언트를 테스트하기 위해 항상 실제 또는 모의 중앙 데이터베이스 환경(테스트 데이터 세팅 및 롤백)을 구축해야 하는 번거로움이 있음.</v>
      </c>
      <c r="D45" s="17" t="str">
        <f>'AI#2_Gemini'!D$24</f>
        <v>--</v>
      </c>
      <c r="E45" s="21" t="str">
        <f>'AI#2_Gemini'!E$24</f>
        <v>비결정론적(Non-deterministic) 실행 흐름을 가짐. 어떤 KS가 언제 실행될지 예측하기 어려워 재현 가능한 테스트 시나리오를 작성하기 매우 힘듦.</v>
      </c>
    </row>
    <row r="46" ht="15.75" customHeight="1">
      <c r="A46" s="16" t="s">
        <v>39</v>
      </c>
      <c r="B46" s="17" t="str">
        <f>Human!B$24</f>
        <v>-</v>
      </c>
      <c r="C46" s="21" t="str">
        <f>Human!C$24</f>
        <v>공유 상태로 인해 Client 시험 간 간섭 발생 가능</v>
      </c>
      <c r="D46" s="23" t="s">
        <v>77</v>
      </c>
      <c r="E46" s="38" t="s">
        <v>78</v>
      </c>
    </row>
    <row r="47" ht="15.0" customHeight="1">
      <c r="A47" s="19"/>
      <c r="B47" s="29"/>
      <c r="C47" s="19"/>
      <c r="D47" s="29"/>
      <c r="E47" s="19"/>
    </row>
    <row r="48" ht="15.75" customHeight="1">
      <c r="A48" s="13" t="s">
        <v>79</v>
      </c>
      <c r="B48" s="13" t="str">
        <f>'Detailed Reasoning'!B$25</f>
        <v/>
      </c>
      <c r="C48" s="13" t="str">
        <f>'Detailed Reasoning'!C$25</f>
        <v/>
      </c>
      <c r="D48" s="13" t="str">
        <f>'Detailed Reasoning'!D$25</f>
        <v/>
      </c>
      <c r="E48" s="13" t="str">
        <f>'Detailed Reasoning'!E$25</f>
        <v/>
      </c>
    </row>
    <row r="49" ht="15.75" customHeight="1">
      <c r="A49" s="16" t="s">
        <v>34</v>
      </c>
      <c r="B49" s="17" t="str">
        <f>'AI#1_GPT'!B$25</f>
        <v>0</v>
      </c>
      <c r="C49" s="19" t="str">
        <f>'AI#1_GPT'!C25</f>
        <v>데이터 중심 내부 구조이므로 사용자 인터페이스 품질에 직접 주는 영향은 제한적이다.</v>
      </c>
      <c r="D49" s="17" t="str">
        <f>'AI#1_GPT'!D$25</f>
        <v>0</v>
      </c>
      <c r="E49" s="19" t="str">
        <f>'AI#1_GPT'!E25</f>
        <v>문제 해결 방식의 내부 구조라 최종 사용자 경험에 직접적인 영향은 크지 않다.</v>
      </c>
    </row>
    <row r="50" ht="15.75" customHeight="1">
      <c r="A50" s="16" t="s">
        <v>35</v>
      </c>
      <c r="B50" s="17" t="str">
        <f>'AI#2_Gemini'!B$25</f>
        <v>0</v>
      </c>
      <c r="C50" s="21" t="str">
        <f>'AI#2_Gemini'!C$25</f>
        <v>데이터 저장 및 관리 아키텍처이므로 사용자 인터페이스(UI) 편의성 측면과는 관련이 없음.</v>
      </c>
      <c r="D50" s="17" t="str">
        <f>'AI#2_Gemini'!D$25</f>
        <v>0</v>
      </c>
      <c r="E50" s="21" t="str">
        <f>'AI#2_Gemini'!E$25</f>
        <v>문제 해결 알고리즘을 위한 내부 구조이므로 일반적인 시스템 사용성에 영향을 주지 않음.</v>
      </c>
    </row>
    <row r="51" ht="15.75" customHeight="1">
      <c r="A51" s="16" t="s">
        <v>39</v>
      </c>
      <c r="B51" s="17" t="str">
        <f>Human!B$25</f>
        <v>0</v>
      </c>
      <c r="C51" s="21" t="str">
        <f>Human!C$25</f>
        <v>데이터 공유 구조 자체는 사용자 조작 편의성을 결정하지 않음</v>
      </c>
      <c r="D51" s="23" t="s">
        <v>42</v>
      </c>
      <c r="E51" s="24" t="s">
        <v>82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14"/>
    <col customWidth="1" min="2" max="2" width="7.71"/>
    <col customWidth="1" min="3" max="3" width="125.29"/>
    <col customWidth="1" min="4" max="4" width="7.71"/>
    <col customWidth="1" min="5" max="5" width="147.29"/>
    <col customWidth="1" min="6" max="6" width="14.43"/>
  </cols>
  <sheetData>
    <row r="1">
      <c r="A1" s="5" t="s">
        <v>14</v>
      </c>
      <c r="B1" s="6" t="s">
        <v>26</v>
      </c>
      <c r="C1" s="7"/>
      <c r="D1" s="6" t="s">
        <v>31</v>
      </c>
      <c r="E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</row>
    <row r="3" ht="15.0" customHeight="1">
      <c r="A3" s="13" t="s">
        <v>33</v>
      </c>
      <c r="B3" s="13" t="str">
        <f>'Detailed Reasoning'!B$29</f>
        <v/>
      </c>
      <c r="C3" s="13" t="str">
        <f>'Detailed Reasoning'!C$29</f>
        <v/>
      </c>
      <c r="D3" s="13" t="str">
        <f>'Detailed Reasoning'!D$29</f>
        <v/>
      </c>
      <c r="E3" s="13" t="str">
        <f>'Detailed Reasoning'!E$29</f>
        <v/>
      </c>
    </row>
    <row r="4">
      <c r="A4" s="16" t="s">
        <v>34</v>
      </c>
      <c r="B4" s="17" t="str">
        <f>'AI#1_GPT'!B$29</f>
        <v>-</v>
      </c>
      <c r="C4" s="19" t="str">
        <f>'AI#1_GPT'!C29</f>
        <v>구독자가 잠시 중단된 동안 발생한 이벤트가 보존되지 않으면 정보 손실과 기능 누락이 생길 수 있다.</v>
      </c>
      <c r="D4" s="17" t="str">
        <f>'AI#1_GPT'!D$29</f>
        <v>++</v>
      </c>
      <c r="E4" s="19" t="str">
        <f>'AI#1_GPT'!E29</f>
        <v>메시지를 큐에 보존해 소비자가 일시 중단되어도 복구 후 처리를 계속할 수 있다.</v>
      </c>
    </row>
    <row r="5">
      <c r="A5" s="16" t="s">
        <v>35</v>
      </c>
      <c r="B5" s="17" t="str">
        <f>'AI#2_Gemini'!B$29</f>
        <v>0</v>
      </c>
      <c r="C5" s="21" t="str">
        <f>'AI#2_Gemini'!C$29</f>
        <v>컴포넌트는 독립적이지만, 이벤트 발송 중 수신측이 다운되어 있거나 블로킹되면 시스템 흐름에 영향을 줄 수 있음.</v>
      </c>
      <c r="D5" s="17" t="str">
        <f>'AI#2_Gemini'!D$29</f>
        <v>++</v>
      </c>
      <c r="E5" s="21" t="str">
        <f>'AI#2_Gemini'!E$29</f>
        <v>메시지 큐(브로커)가 메시지를 버퍼링하므로, 수신자가 다운되거나 일시적인 장애가 발생해도 데이터가 유실되지 않아 가용성이 매우 높음.</v>
      </c>
    </row>
    <row r="6">
      <c r="A6" s="16" t="s">
        <v>39</v>
      </c>
      <c r="B6" s="23" t="s">
        <v>40</v>
      </c>
      <c r="C6" s="24" t="s">
        <v>41</v>
      </c>
      <c r="D6" s="25" t="s">
        <v>43</v>
      </c>
      <c r="E6" s="24" t="s">
        <v>45</v>
      </c>
      <c r="F6" s="27"/>
    </row>
    <row r="7">
      <c r="A7" s="19"/>
      <c r="B7" s="29"/>
      <c r="C7" s="19"/>
      <c r="D7" s="29"/>
      <c r="E7" s="19"/>
    </row>
    <row r="8" ht="15.0" customHeight="1">
      <c r="A8" s="13" t="s">
        <v>46</v>
      </c>
      <c r="B8" s="13" t="str">
        <f>'Detailed Reasoning'!B$30</f>
        <v/>
      </c>
      <c r="C8" s="13" t="str">
        <f>'Detailed Reasoning'!C$30</f>
        <v/>
      </c>
      <c r="D8" s="13" t="str">
        <f>'Detailed Reasoning'!D$30</f>
        <v/>
      </c>
      <c r="E8" s="13" t="str">
        <f>'Detailed Reasoning'!E$30</f>
        <v/>
      </c>
    </row>
    <row r="9">
      <c r="A9" s="16" t="s">
        <v>34</v>
      </c>
      <c r="B9" s="17" t="str">
        <f>'AI#1_GPT'!B$30</f>
        <v>+</v>
      </c>
      <c r="C9" s="19" t="str">
        <f>'AI#1_GPT'!C30</f>
        <v>발행자와 구독자가 서로의 구현을 직접 알 필요가 없어 컴포넌트를 비교적 독립적으로 배포할 수 있다.</v>
      </c>
      <c r="D9" s="17" t="str">
        <f>'AI#1_GPT'!D$30</f>
        <v>++</v>
      </c>
      <c r="E9" s="19" t="str">
        <f>'AI#1_GPT'!E30</f>
        <v>생산자와 소비자가 시간적으로 분리되어 한쪽을 중단·교체해도 다른 쪽의 배포를 계속할 수 있다.</v>
      </c>
    </row>
    <row r="10">
      <c r="A10" s="16" t="s">
        <v>35</v>
      </c>
      <c r="B10" s="17" t="str">
        <f>'AI#2_Gemini'!B$30</f>
        <v>+</v>
      </c>
      <c r="C10" s="21" t="str">
        <f>'AI#2_Gemini'!C$30</f>
        <v>이벤트 발행자(Publisher)와 구독자(Subscriber)가 독립적이므로 개별 마이크로서비스나 모듈 단위 배포가 용이함.</v>
      </c>
      <c r="D10" s="17" t="str">
        <f>'AI#2_Gemini'!D$30</f>
        <v>++</v>
      </c>
      <c r="E10" s="21" t="str">
        <f>'AI#2_Gemini'!E$30</f>
        <v>발행자와 구독자가 물리적으로도 완전히 분리(비동기)되므로 브로커를 매개로 한 독립적 배포가 극대화됨.</v>
      </c>
    </row>
    <row r="11">
      <c r="A11" s="16" t="s">
        <v>39</v>
      </c>
      <c r="B11" s="25" t="s">
        <v>48</v>
      </c>
      <c r="C11" s="24" t="s">
        <v>49</v>
      </c>
      <c r="D11" s="25" t="s">
        <v>43</v>
      </c>
      <c r="E11" s="24" t="s">
        <v>51</v>
      </c>
    </row>
    <row r="12">
      <c r="A12" s="19"/>
      <c r="B12" s="29"/>
      <c r="C12" s="19"/>
      <c r="D12" s="29"/>
      <c r="E12" s="19"/>
    </row>
    <row r="13" ht="15.0" customHeight="1">
      <c r="A13" s="13" t="s">
        <v>52</v>
      </c>
      <c r="B13" s="13" t="str">
        <f>'Detailed Reasoning'!B$31</f>
        <v/>
      </c>
      <c r="C13" s="13" t="str">
        <f>'Detailed Reasoning'!C$31</f>
        <v/>
      </c>
      <c r="D13" s="13" t="str">
        <f>'Detailed Reasoning'!D$31</f>
        <v/>
      </c>
      <c r="E13" s="13" t="str">
        <f>'Detailed Reasoning'!E$31</f>
        <v/>
      </c>
    </row>
    <row r="14">
      <c r="A14" s="16" t="s">
        <v>34</v>
      </c>
      <c r="B14" s="17" t="str">
        <f>'AI#1_GPT'!B$31</f>
        <v>++</v>
      </c>
      <c r="C14" s="19" t="str">
        <f>'AI#1_GPT'!C31</f>
        <v>이벤트 계약만 맞으면 새로운 구독자를 기존 발행자 수정 없이 쉽게 연결할 수 있다.</v>
      </c>
      <c r="D14" s="17" t="str">
        <f>'AI#1_GPT'!D$31</f>
        <v>++</v>
      </c>
      <c r="E14" s="19" t="str">
        <f>'AI#1_GPT'!E31</f>
        <v>표준 메시지 계약을 통해 서로 다른 기술·언어의 시스템을 느슨하게 연결하기 좋다.</v>
      </c>
    </row>
    <row r="15">
      <c r="A15" s="16" t="s">
        <v>35</v>
      </c>
      <c r="B15" s="17" t="str">
        <f>'AI#2_Gemini'!B$31</f>
        <v>+</v>
      </c>
      <c r="C15" s="21" t="str">
        <f>'AI#2_Gemini'!C$31</f>
        <v>이벤트를 발행하는 컴포넌트를 수정하지 않고도 새로운 리스너(구독자)를 등록하여 기능을 통합하기 쉬움.</v>
      </c>
      <c r="D15" s="17" t="str">
        <f>'AI#2_Gemini'!D$31</f>
        <v>++</v>
      </c>
      <c r="E15" s="21" t="str">
        <f>'AI#2_Gemini'!E$31</f>
        <v>다양한 플랫폼과 언어로 작성된 이질적인 시스템이라도 메시지 브로커의 프로토콜(AMQP, MQTT 등)만 맞추면 완벽히 통합 가능함.</v>
      </c>
    </row>
    <row r="16">
      <c r="A16" s="16" t="s">
        <v>39</v>
      </c>
      <c r="B16" s="25" t="s">
        <v>43</v>
      </c>
      <c r="C16" s="24" t="s">
        <v>56</v>
      </c>
      <c r="D16" s="25" t="s">
        <v>43</v>
      </c>
      <c r="E16" s="24" t="s">
        <v>57</v>
      </c>
    </row>
    <row r="17">
      <c r="A17" s="19"/>
      <c r="B17" s="29"/>
      <c r="C17" s="19"/>
      <c r="D17" s="29"/>
      <c r="E17" s="19"/>
    </row>
    <row r="18">
      <c r="A18" s="13" t="s">
        <v>58</v>
      </c>
      <c r="B18" s="13" t="str">
        <f>'Detailed Reasoning'!B$32</f>
        <v/>
      </c>
      <c r="C18" s="13" t="str">
        <f>'Detailed Reasoning'!C$32</f>
        <v/>
      </c>
      <c r="D18" s="13" t="str">
        <f>'Detailed Reasoning'!D$32</f>
        <v/>
      </c>
      <c r="E18" s="13" t="str">
        <f>'Detailed Reasoning'!E$32</f>
        <v/>
      </c>
    </row>
    <row r="19">
      <c r="A19" s="19" t="s">
        <v>34</v>
      </c>
      <c r="B19" s="17" t="str">
        <f>'AI#1_GPT'!B$32</f>
        <v>+</v>
      </c>
      <c r="C19" s="19" t="str">
        <f>'AI#1_GPT'!C32</f>
        <v>메시지 저장·영속화 과정이 없어 버퍼드 방식보다 저장장치와 브로커 자원 오버헤드가 작다.</v>
      </c>
      <c r="D19" s="31" t="str">
        <f>'AI#1_GPT'!D$32</f>
        <v>-</v>
      </c>
      <c r="E19" s="32" t="str">
        <f>'AI#1_GPT'!E32</f>
        <v>브로커, 메시지 영속화, 복제, 직렬화가 추가되어 직접 호출보다 자원 사용이 늘어난다.</v>
      </c>
    </row>
    <row r="20">
      <c r="A20" s="19" t="s">
        <v>35</v>
      </c>
      <c r="B20" s="17" t="str">
        <f>'AI#2_Gemini'!B$32</f>
        <v>0</v>
      </c>
      <c r="C20" s="21" t="str">
        <f>'AI#2_Gemini'!C$32</f>
        <v>시스템간 호출 방식 변경이 전체적인 전력 사용 최적화로 직결되지는 않음.</v>
      </c>
      <c r="D20" s="31" t="str">
        <f>'AI#2_Gemini'!D$32</f>
        <v>+</v>
      </c>
      <c r="E20" s="33" t="str">
        <f>'AI#2_Gemini'!E$32</f>
        <v>비동기 처리 덕분에 컴포넌트들이 항상 활성화되어 대기할 필요 없이, 메시지가 큐에 쌓였을 때만 일괄 처리(Wake-up)하여 유휴 자원/에너지를 아낄 수 있음.</v>
      </c>
    </row>
    <row r="21" ht="15.75" customHeight="1">
      <c r="A21" s="19" t="s">
        <v>39</v>
      </c>
      <c r="B21" s="17" t="str">
        <f>Human!B$32</f>
        <v>-</v>
      </c>
      <c r="C21" s="24" t="s">
        <v>60</v>
      </c>
      <c r="D21" s="17" t="str">
        <f>Human!D$32</f>
        <v>+</v>
      </c>
      <c r="E21" s="21" t="str">
        <f>Human!E$32</f>
        <v>비동기 처리로 component가 항시 대기 필요없고, 메시지 queue도 일괄 처리 가능</v>
      </c>
    </row>
    <row r="22" ht="15.75" customHeight="1">
      <c r="A22" s="19"/>
      <c r="B22" s="29"/>
      <c r="C22" s="19"/>
      <c r="D22" s="29"/>
      <c r="E22" s="19"/>
    </row>
    <row r="23" ht="15.75" customHeight="1">
      <c r="A23" s="13" t="s">
        <v>61</v>
      </c>
      <c r="B23" s="13" t="str">
        <f>'Detailed Reasoning'!B$33</f>
        <v/>
      </c>
      <c r="C23" s="13" t="str">
        <f>'Detailed Reasoning'!C$33</f>
        <v/>
      </c>
      <c r="D23" s="13" t="str">
        <f>'Detailed Reasoning'!D$33</f>
        <v/>
      </c>
      <c r="E23" s="13" t="str">
        <f>'Detailed Reasoning'!E$33</f>
        <v/>
      </c>
    </row>
    <row r="24" ht="15.75" customHeight="1">
      <c r="A24" s="16" t="s">
        <v>34</v>
      </c>
      <c r="B24" s="17" t="str">
        <f>'AI#1_GPT'!B$33</f>
        <v>++</v>
      </c>
      <c r="C24" s="19" t="str">
        <f>'AI#1_GPT'!C33</f>
        <v>새 이벤트 소비자를 추가하거나 기존 소비자를 교체해도 발행자 변경이 거의 필요 없다.</v>
      </c>
      <c r="D24" s="17" t="str">
        <f>'AI#1_GPT'!D$33</f>
        <v>++</v>
      </c>
      <c r="E24" s="19" t="str">
        <f>'AI#1_GPT'!E33</f>
        <v>새 소비자를 추가하거나 처리 로직을 변경해도 생산자와 강하게 결합되지 않는다.</v>
      </c>
    </row>
    <row r="25" ht="15.75" customHeight="1">
      <c r="A25" s="16" t="s">
        <v>35</v>
      </c>
      <c r="B25" s="17" t="str">
        <f>'AI#2_Gemini'!B$33</f>
        <v>++</v>
      </c>
      <c r="C25" s="21" t="str">
        <f>'AI#2_Gemini'!C$33</f>
        <v>시스템 구성 요소 간의 결합도가 매우 낮아, 이벤트 처리 로직을 수정하거나 새로운 이벤트 핸들러를 추가하는 작업이 기존 코드에 영향을 주지 않음.</v>
      </c>
      <c r="D25" s="17" t="str">
        <f>'AI#2_Gemini'!D$33</f>
        <v>++</v>
      </c>
      <c r="E25" s="21" t="str">
        <f>'AI#2_Gemini'!E$33</f>
        <v>송신자와 수신자가 서로의 존재조차 알 필요가 없는 극단적인 느슨한 결합(Loose Coupling)으로 유연한 수정 및 시스템 확장이 가능함.</v>
      </c>
    </row>
    <row r="26" ht="15.75" customHeight="1">
      <c r="A26" s="16" t="s">
        <v>39</v>
      </c>
      <c r="B26" s="17" t="str">
        <f>Human!B$33</f>
        <v>-</v>
      </c>
      <c r="C26" s="24" t="s">
        <v>63</v>
      </c>
      <c r="D26" s="25" t="s">
        <v>43</v>
      </c>
      <c r="E26" s="24" t="s">
        <v>64</v>
      </c>
    </row>
    <row r="27" ht="15.75" customHeight="1">
      <c r="A27" s="19"/>
      <c r="B27" s="29"/>
      <c r="C27" s="19"/>
      <c r="D27" s="29"/>
      <c r="E27" s="19"/>
    </row>
    <row r="28" ht="15.75" customHeight="1">
      <c r="A28" s="13" t="s">
        <v>65</v>
      </c>
      <c r="B28" s="13" t="str">
        <f>'Detailed Reasoning'!B$34</f>
        <v/>
      </c>
      <c r="C28" s="13" t="str">
        <f>'Detailed Reasoning'!C$34</f>
        <v/>
      </c>
      <c r="D28" s="13" t="str">
        <f>'Detailed Reasoning'!D$34</f>
        <v/>
      </c>
      <c r="E28" s="13" t="str">
        <f>'Detailed Reasoning'!E$34</f>
        <v/>
      </c>
    </row>
    <row r="29" ht="15.75" customHeight="1">
      <c r="A29" s="16" t="s">
        <v>34</v>
      </c>
      <c r="B29" s="17" t="str">
        <f>'AI#1_GPT'!B$34</f>
        <v>++</v>
      </c>
      <c r="C29" s="19" t="str">
        <f>'AI#1_GPT'!C34</f>
        <v>영속 큐를 거치지 않고 이벤트를 바로 전달할 수 있어 낮은 지연시간에 유리하다.</v>
      </c>
      <c r="D29" s="17" t="str">
        <f>'AI#1_GPT'!D$34</f>
        <v>+</v>
      </c>
      <c r="E29" s="19" t="str">
        <f>'AI#1_GPT'!E34</f>
        <v>버스트를 큐로 흡수하고 비동기 병렬 처리가 가능하지만 큐잉·영속화 지연은 추가된다.</v>
      </c>
    </row>
    <row r="30" ht="15.75" customHeight="1">
      <c r="A30" s="16" t="s">
        <v>35</v>
      </c>
      <c r="B30" s="17" t="str">
        <f>'AI#2_Gemini'!B$34</f>
        <v>+</v>
      </c>
      <c r="C30" s="21" t="str">
        <f>'AI#2_Gemini'!C$34</f>
        <v>중간에 브로커를 거치지 않아 이벤트 전달 지연(Latency)이 짧음. 단, 수신자가 많을 경우 발행자의 스레드가 차단될 수 있는 위험은 존재함.</v>
      </c>
      <c r="D30" s="17" t="str">
        <f>'AI#2_Gemini'!D$34</f>
        <v>0</v>
      </c>
      <c r="E30" s="21" t="str">
        <f>'AI#2_Gemini'!E$34</f>
        <v>비동기 처리를 통해 시스템 전체의 Throughput(처리량)은 획기적으로 늘지만, 메시지가 큐를 거쳐가는 오버헤드로 인해 실시간성(Latency)은 다소 떨어짐.</v>
      </c>
    </row>
    <row r="31" ht="15.75" customHeight="1">
      <c r="A31" s="16" t="s">
        <v>39</v>
      </c>
      <c r="B31" s="17" t="str">
        <f>Human!B$34</f>
        <v>++</v>
      </c>
      <c r="C31" s="21" t="str">
        <f>Human!C$34</f>
        <v>이벤트를 직접 전달 가능하여 전달 지연이 짧음</v>
      </c>
      <c r="D31" s="17" t="str">
        <f>Human!D$34</f>
        <v>+</v>
      </c>
      <c r="E31" s="21" t="str">
        <f>Human!E$34</f>
        <v>버퍼링과 Consumer 병렬화를 통해 부하를 평준화하고 높은 처리량을 확보할 수 있어 전체적인 Performance +</v>
      </c>
    </row>
    <row r="32" ht="15.75" customHeight="1">
      <c r="A32" s="19"/>
      <c r="B32" s="29"/>
      <c r="C32" s="19"/>
      <c r="D32" s="29"/>
      <c r="E32" s="19"/>
    </row>
    <row r="33" ht="15.75" customHeight="1">
      <c r="A33" s="13" t="s">
        <v>68</v>
      </c>
      <c r="B33" s="13" t="str">
        <f>'Detailed Reasoning'!B$35</f>
        <v/>
      </c>
      <c r="C33" s="13" t="str">
        <f>'Detailed Reasoning'!C$35</f>
        <v/>
      </c>
      <c r="D33" s="13" t="str">
        <f>'Detailed Reasoning'!D$35</f>
        <v/>
      </c>
      <c r="E33" s="13" t="str">
        <f>'Detailed Reasoning'!E$35</f>
        <v/>
      </c>
    </row>
    <row r="34" ht="15.75" customHeight="1">
      <c r="A34" s="16" t="s">
        <v>34</v>
      </c>
      <c r="B34" s="17" t="str">
        <f>'AI#1_GPT'!B$35</f>
        <v>-</v>
      </c>
      <c r="C34" s="19" t="str">
        <f>'AI#1_GPT'!C35</f>
        <v>이벤트 유실·순서 변화·중복 처리에 대한 보장이 약하면 중요 상태 전이가 누락될 위험이 있다.</v>
      </c>
      <c r="D34" s="17" t="str">
        <f>'AI#1_GPT'!D$35</f>
        <v>+</v>
      </c>
      <c r="E34" s="19" t="str">
        <f>'AI#1_GPT'!E35</f>
        <v>내구성 있는 메시지와 재시도·재처리를 통해 중요 이벤트 손실을 줄일 수 있다.</v>
      </c>
    </row>
    <row r="35" ht="15.75" customHeight="1">
      <c r="A35" s="16" t="s">
        <v>35</v>
      </c>
      <c r="B35" s="23" t="s">
        <v>40</v>
      </c>
      <c r="C35" s="21" t="str">
        <f>Human!C$35</f>
        <v>중요 이벤트가 유실시 알수없음</v>
      </c>
      <c r="D35" s="23" t="s">
        <v>40</v>
      </c>
      <c r="E35" s="36" t="s">
        <v>69</v>
      </c>
    </row>
    <row r="36" ht="15.75" customHeight="1">
      <c r="A36" s="16" t="s">
        <v>39</v>
      </c>
      <c r="B36" s="17" t="str">
        <f>Human!B$35</f>
        <v>-</v>
      </c>
      <c r="C36" s="27" t="s">
        <v>72</v>
      </c>
      <c r="D36" s="17" t="str">
        <f>Human!D$35</f>
        <v>-</v>
      </c>
      <c r="E36" s="21" t="str">
        <f>Human!E$35</f>
        <v>중요 이벤트의 손실 방지와 재처리를 통해 안전성에 간접적으로 기여할 수 있지만, 시스템의 물리적 위험을 직접 제어하거나 Safety를 보장하는 구조는 아니므로 일반적인 영향은 중립적이다.
buffer가 처리하는 지연 발생시, 실시간성에 부정적</v>
      </c>
    </row>
    <row r="37" ht="15.75" customHeight="1">
      <c r="A37" s="19"/>
      <c r="B37" s="29"/>
      <c r="C37" s="19"/>
      <c r="D37" s="29"/>
      <c r="E37" s="19"/>
    </row>
    <row r="38" ht="15.75" customHeight="1">
      <c r="A38" s="13" t="s">
        <v>74</v>
      </c>
      <c r="B38" s="13" t="str">
        <f>'Detailed Reasoning'!B$36</f>
        <v/>
      </c>
      <c r="C38" s="13" t="str">
        <f>'Detailed Reasoning'!C$36</f>
        <v/>
      </c>
      <c r="D38" s="13" t="str">
        <f>'Detailed Reasoning'!D$36</f>
        <v/>
      </c>
      <c r="E38" s="13" t="str">
        <f>'Detailed Reasoning'!E$36</f>
        <v/>
      </c>
    </row>
    <row r="39" ht="15.75" customHeight="1">
      <c r="A39" s="16" t="s">
        <v>34</v>
      </c>
      <c r="B39" s="17" t="str">
        <f>'AI#1_GPT'!B$36</f>
        <v>-</v>
      </c>
      <c r="C39" s="19" t="str">
        <f>'AI#1_GPT'!C36</f>
        <v>여러 이벤트 발행·구독 지점이 생기므로 인증·권한·이벤트 위변조 통제를 일관되게 적용해야 한다.</v>
      </c>
      <c r="D39" s="17" t="str">
        <f>'AI#1_GPT'!D$36</f>
        <v>0</v>
      </c>
      <c r="E39" s="19" t="str">
        <f>'AI#1_GPT'!E36</f>
        <v>브로커에서 인증·권한을 집중할 수 있지만 메시지 저장소와 브로커 자체가 추가 공격면이 된다.</v>
      </c>
    </row>
    <row r="40" ht="15.75" customHeight="1">
      <c r="A40" s="16" t="s">
        <v>35</v>
      </c>
      <c r="B40" s="17" t="str">
        <f>'AI#2_Gemini'!B$36</f>
        <v>-</v>
      </c>
      <c r="C40" s="21" t="str">
        <f>'AI#2_Gemini'!C$36</f>
        <v>버퍼나 브로커가 없으므로 악의적인 컴포넌트가 이벤트를 엿듣거나 가짜 이벤트를 발생시키는 것을 중앙에서 통제하기 어려움.</v>
      </c>
      <c r="D40" s="17" t="str">
        <f>'AI#2_Gemini'!D$36</f>
        <v>+</v>
      </c>
      <c r="E40" s="21" t="str">
        <f>'AI#2_Gemini'!E$36</f>
        <v>메시지 브로커 단에서 토픽(Topic) 또는 큐(Queue) 단위의 엄격한 접근 제어 및 인증, 메시지 암호화를 적용하여 보안을 강화할 수 있음.</v>
      </c>
    </row>
    <row r="41" ht="15.75" customHeight="1">
      <c r="A41" s="16" t="s">
        <v>39</v>
      </c>
      <c r="B41" s="17" t="str">
        <f>Human!B$36</f>
        <v>+</v>
      </c>
      <c r="C41" s="21" t="str">
        <f>Human!C$36</f>
        <v>Non-Buff의 간한 결합(동기)은 정보의 유출 가능성을 줄여 준다</v>
      </c>
      <c r="D41" s="17" t="str">
        <f>Human!D$36</f>
        <v>-</v>
      </c>
      <c r="E41" s="21" t="str">
        <f>Human!E$36</f>
        <v>중앙 Broker를 통해 인증·인가와 보안 정책을 일관되게 적용할 수 있다는 장점이 있지만, Broker 및 저장된 메시지가 추가적인 공격면과 중요한 보안 자산이 되므로 전체적인 영향은 구성에 따라 달라진다.
다양한 listener가 붙을수 있기에 security측면에서 불리하다. 메시지를 중간에 가로채는 사례가 있음</v>
      </c>
    </row>
    <row r="42" ht="15.75" customHeight="1">
      <c r="A42" s="19"/>
      <c r="B42" s="29"/>
      <c r="C42" s="19"/>
      <c r="D42" s="29"/>
      <c r="E42" s="19"/>
    </row>
    <row r="43" ht="15.75" customHeight="1">
      <c r="A43" s="13" t="s">
        <v>75</v>
      </c>
      <c r="B43" s="13" t="str">
        <f>'Detailed Reasoning'!B$37</f>
        <v/>
      </c>
      <c r="C43" s="13" t="str">
        <f>'Detailed Reasoning'!C$37</f>
        <v/>
      </c>
      <c r="D43" s="13" t="str">
        <f>'Detailed Reasoning'!D$37</f>
        <v/>
      </c>
      <c r="E43" s="13" t="str">
        <f>'Detailed Reasoning'!E$37</f>
        <v/>
      </c>
    </row>
    <row r="44" ht="15.75" customHeight="1">
      <c r="A44" s="16" t="s">
        <v>34</v>
      </c>
      <c r="B44" s="17" t="str">
        <f>'AI#1_GPT'!B$37</f>
        <v>-</v>
      </c>
      <c r="C44" s="19" t="str">
        <f>'AI#1_GPT'!C37</f>
        <v>비동기 타이밍과 이벤트 순서가 결과에 영향을 줘 재현 가능한 테스트 작성이 어려워질 수 있다.</v>
      </c>
      <c r="D44" s="17" t="str">
        <f>'AI#1_GPT'!D$37</f>
        <v>+</v>
      </c>
      <c r="E44" s="19" t="str">
        <f>'AI#1_GPT'!E37</f>
        <v>메시지를 기록·재생해 시나리오를 반복할 수 있어 비동기 시스템 중에서는 테스트가 비교적 용이하다.</v>
      </c>
    </row>
    <row r="45" ht="15.75" customHeight="1">
      <c r="A45" s="16" t="s">
        <v>35</v>
      </c>
      <c r="B45" s="17" t="str">
        <f>'AI#2_Gemini'!B$37</f>
        <v>-</v>
      </c>
      <c r="C45" s="21" t="str">
        <f>'AI#2_Gemini'!C$37</f>
        <v>컴포넌트 간 호출이 암시적이고 흐름이 분산되어 있어, 디버깅 및 전체적인 이벤트 실행 추적(Traceability)이 까다로움.</v>
      </c>
      <c r="D45" s="17" t="str">
        <f>'AI#2_Gemini'!D$37</f>
        <v>0</v>
      </c>
      <c r="E45" s="21" t="str">
        <f>'AI#2_Gemini'!E$37</f>
        <v>비동기 통신으로 전체 흐름 추적(Distributed Tracing)은 여전히 어렵지만, 메시지 큐에 테스트용 메시지를 주입(Inject)하여 개별 컴포넌트를 분리 테스트하기는 비교적 수월함.</v>
      </c>
    </row>
    <row r="46" ht="15.75" customHeight="1">
      <c r="A46" s="16" t="s">
        <v>39</v>
      </c>
      <c r="B46" s="17" t="str">
        <f>Human!B$37</f>
        <v>+</v>
      </c>
      <c r="C46" s="21" t="str">
        <f>Human!C$37</f>
        <v>동기 결합으로 test에 좋음</v>
      </c>
      <c r="D46" s="17" t="str">
        <f>Human!D$37</f>
        <v>-</v>
      </c>
      <c r="E46" s="21" t="str">
        <f>Human!E$37</f>
        <v>전체 비동기 흐름의 추적은 별도 Tracing이 필요.
통합 test환경 구축에 어려움</v>
      </c>
    </row>
    <row r="47" ht="15.0" customHeight="1">
      <c r="A47" s="19"/>
      <c r="B47" s="29"/>
      <c r="C47" s="19"/>
      <c r="D47" s="29"/>
      <c r="E47" s="19"/>
    </row>
    <row r="48" ht="15.75" customHeight="1">
      <c r="A48" s="13" t="s">
        <v>79</v>
      </c>
      <c r="B48" s="13" t="str">
        <f>'Detailed Reasoning'!B$38</f>
        <v/>
      </c>
      <c r="C48" s="13" t="str">
        <f>'Detailed Reasoning'!C$38</f>
        <v/>
      </c>
      <c r="D48" s="13" t="str">
        <f>'Detailed Reasoning'!D$38</f>
        <v/>
      </c>
      <c r="E48" s="13" t="str">
        <f>'Detailed Reasoning'!E$38</f>
        <v/>
      </c>
    </row>
    <row r="49" ht="15.75" customHeight="1">
      <c r="A49" s="16" t="s">
        <v>34</v>
      </c>
      <c r="B49" s="17" t="str">
        <f>'AI#1_GPT'!B$38</f>
        <v>+</v>
      </c>
      <c r="C49" s="19" t="str">
        <f>'AI#1_GPT'!C38</f>
        <v>사용자 입력이나 상태 변화에 즉시 반응하는 UI·알림 구현에 잘 맞는다.</v>
      </c>
      <c r="D49" s="17" t="str">
        <f>'AI#1_GPT'!D$38</f>
        <v>+</v>
      </c>
      <c r="E49" s="19" t="str">
        <f>'AI#1_GPT'!E38</f>
        <v>긴 처리를 비동기로 넘겨 화면 응답성을 유지하고 완료 알림을 제공하기 좋다.</v>
      </c>
    </row>
    <row r="50" ht="15.75" customHeight="1">
      <c r="A50" s="16" t="s">
        <v>35</v>
      </c>
      <c r="B50" s="17" t="str">
        <f>'AI#2_Gemini'!B$38</f>
        <v>0</v>
      </c>
      <c r="C50" s="21" t="str">
        <f>'AI#2_Gemini'!C$38</f>
        <v>백엔드 시스템 및 컴포넌트 간의 통신/호출 방식이므로 사용자 관점의 사용성(UI/UX)에는 직접적인 영향이 없음.</v>
      </c>
      <c r="D50" s="17" t="str">
        <f>'AI#2_Gemini'!D$38</f>
        <v>0</v>
      </c>
      <c r="E50" s="21" t="str">
        <f>'AI#2_Gemini'!E$38</f>
        <v>백엔드 메시징 방식이므로 사용자 인터페이스나 조작성과는 관계가 없음.</v>
      </c>
    </row>
    <row r="51" ht="15.75" customHeight="1">
      <c r="A51" s="16" t="s">
        <v>39</v>
      </c>
      <c r="B51" s="17" t="str">
        <f>Human!B$38</f>
        <v>+</v>
      </c>
      <c r="C51" s="21" t="str">
        <f>Human!C$38</f>
        <v>이벤트, 메시지에 대한 즉각적 반응은 UX 개선에 도움이 된다</v>
      </c>
      <c r="D51" s="17" t="str">
        <f>Human!D$38</f>
        <v>-</v>
      </c>
      <c r="E51" s="21" t="str">
        <f>Human!E$38</f>
        <v> Non-Buff의 경우 메시지 유실이 발생할 수 있는점 다소 부정적인 측면이다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43"/>
    <col customWidth="1" min="2" max="2" width="7.71"/>
    <col customWidth="1" min="3" max="3" width="29.29"/>
    <col customWidth="1" min="4" max="4" width="7.71"/>
    <col customWidth="1" min="5" max="5" width="28.57"/>
    <col customWidth="1" min="6" max="6" width="14.43"/>
  </cols>
  <sheetData>
    <row r="1">
      <c r="A1" s="5" t="s">
        <v>36</v>
      </c>
      <c r="B1" s="6" t="s">
        <v>37</v>
      </c>
      <c r="C1" s="7"/>
      <c r="D1" s="6" t="s">
        <v>38</v>
      </c>
      <c r="E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</row>
    <row r="3" ht="15.0" customHeight="1">
      <c r="A3" s="13" t="s">
        <v>33</v>
      </c>
      <c r="B3" s="13" t="str">
        <f>'Detailed Reasoning'!B$42</f>
        <v/>
      </c>
      <c r="C3" s="13" t="str">
        <f>'Detailed Reasoning'!C$42</f>
        <v/>
      </c>
      <c r="D3" s="13" t="str">
        <f>'Detailed Reasoning'!D$42</f>
        <v/>
      </c>
      <c r="E3" s="13" t="str">
        <f>'Detailed Reasoning'!E$42</f>
        <v/>
      </c>
    </row>
    <row r="4">
      <c r="A4" s="16" t="s">
        <v>34</v>
      </c>
      <c r="B4" s="17" t="str">
        <f>'AI#1_GPT'!B$42</f>
        <v>0</v>
      </c>
      <c r="C4" s="19" t="str">
        <f>'AI#1_GPT'!C42</f>
        <v>Model·View·Controller 분리는 장애 복구 자체를 제공하지 않아 가용성에 직접적인 영향은 작다.</v>
      </c>
      <c r="D4" s="17" t="str">
        <f>'AI#1_GPT'!D$42</f>
        <v>+</v>
      </c>
      <c r="E4" s="19" t="str">
        <f>'AI#1_GPT'!E42</f>
        <v>에이전트가 계층적으로 분리되어 일부 에이전트 문제를 국소화할 수 있지만 상위 조정자 장애 영향은 남는다.</v>
      </c>
      <c r="M4" s="27" t="s">
        <v>47</v>
      </c>
    </row>
    <row r="5">
      <c r="A5" s="16" t="s">
        <v>35</v>
      </c>
      <c r="B5" s="17" t="str">
        <f>'AI#2_Gemini'!B$42</f>
        <v>0</v>
      </c>
      <c r="C5" s="21" t="str">
        <f>'AI#2_Gemini'!C$42</f>
        <v>Model, View, Controller 간 결합도가 높아 특정 레이어의 장애가 전체 서비스 중단으로 이어질 수 있음</v>
      </c>
      <c r="D5" s="17" t="str">
        <f>'AI#2_Gemini'!D$42</f>
        <v>+</v>
      </c>
      <c r="E5" s="21" t="str">
        <f>'AI#2_Gemini'!E$42</f>
        <v>에이전트(Agent) 단위로 격리(Fault Isolation)되어 있어 특정 에이전트에 장애가 발생해도 타 에이전트가 정상 작동하여 전체 시스템 가용성 유지.</v>
      </c>
      <c r="M5" s="27" t="s">
        <v>50</v>
      </c>
    </row>
    <row r="6">
      <c r="A6" s="16" t="s">
        <v>39</v>
      </c>
      <c r="B6" s="17" t="str">
        <f>Human!B$42</f>
        <v/>
      </c>
      <c r="C6" s="21" t="str">
        <f>Human!C$42</f>
        <v>Human - MVC - Availability</v>
      </c>
      <c r="D6" s="17" t="str">
        <f>Human!D$42</f>
        <v/>
      </c>
      <c r="E6" s="21" t="str">
        <f>Human!E$42</f>
        <v>Human - PAC - Availability</v>
      </c>
      <c r="M6" s="27" t="s">
        <v>53</v>
      </c>
    </row>
    <row r="7">
      <c r="A7" s="19"/>
      <c r="B7" s="29"/>
      <c r="C7" s="19"/>
      <c r="D7" s="29"/>
      <c r="E7" s="19"/>
      <c r="M7" s="27" t="s">
        <v>55</v>
      </c>
    </row>
    <row r="8" ht="15.0" customHeight="1">
      <c r="A8" s="13" t="s">
        <v>46</v>
      </c>
      <c r="B8" s="13" t="str">
        <f>'Detailed Reasoning'!B$43</f>
        <v/>
      </c>
      <c r="C8" s="13" t="str">
        <f>'Detailed Reasoning'!C$43</f>
        <v/>
      </c>
      <c r="D8" s="13" t="str">
        <f>'Detailed Reasoning'!D$43</f>
        <v/>
      </c>
      <c r="E8" s="13" t="str">
        <f>'Detailed Reasoning'!E$43</f>
        <v/>
      </c>
    </row>
    <row r="9">
      <c r="A9" s="16" t="s">
        <v>34</v>
      </c>
      <c r="B9" s="17" t="str">
        <f>'AI#1_GPT'!B$43</f>
        <v>0</v>
      </c>
      <c r="C9" s="19" t="str">
        <f>'AI#1_GPT'!C43</f>
        <v>관심사 분리는 도움이 되지만 일반적으로 하나의 애플리케이션 단위로 함께 배포되는 경우가 많다.</v>
      </c>
      <c r="D9" s="17" t="str">
        <f>'AI#1_GPT'!D$43</f>
        <v>+</v>
      </c>
      <c r="E9" s="19" t="str">
        <f>'AI#1_GPT'!E43</f>
        <v>Presentation·Abstraction·Control을 가진 에이전트 단위로 기능을 비교적 독립적으로 확장할 수 있다.</v>
      </c>
    </row>
    <row r="10">
      <c r="A10" s="16" t="s">
        <v>35</v>
      </c>
      <c r="B10" s="17" t="str">
        <f>'AI#2_Gemini'!B$43</f>
        <v>-</v>
      </c>
      <c r="C10" s="21" t="str">
        <f>'AI#2_Gemini'!C$43</f>
        <v>모듈 간 세로형/계층적 결합으로 인해 일부 로직 수정 시 전체 애플리케이션을 재배포해야 하는 경우가 많음.</v>
      </c>
      <c r="D10" s="17" t="str">
        <f>'AI#2_Gemini'!D$43</f>
        <v>+</v>
      </c>
      <c r="E10" s="21" t="str">
        <f>'AI#2_Gemini'!E$43</f>
        <v>기능 단위의 독립적인 PAC 에이전트로 구성되어 있어 개별 모듈 단위의 핫 스왑(Hot-swap) 및 독립 배포가 쉬움.</v>
      </c>
    </row>
    <row r="11">
      <c r="A11" s="16" t="s">
        <v>39</v>
      </c>
      <c r="B11" s="17" t="str">
        <f>Human!B$43</f>
        <v/>
      </c>
      <c r="C11" s="21" t="str">
        <f>Human!C$43</f>
        <v>Human - MVC - Deployability</v>
      </c>
      <c r="D11" s="17" t="str">
        <f>Human!D$43</f>
        <v/>
      </c>
      <c r="E11" s="21" t="str">
        <f>Human!E$43</f>
        <v>Human - PAC - Deployability</v>
      </c>
    </row>
    <row r="12">
      <c r="A12" s="19"/>
      <c r="B12" s="29"/>
      <c r="C12" s="19"/>
      <c r="D12" s="29"/>
      <c r="E12" s="19"/>
    </row>
    <row r="13" ht="15.0" customHeight="1">
      <c r="A13" s="13" t="s">
        <v>52</v>
      </c>
      <c r="B13" s="13" t="str">
        <f>'Detailed Reasoning'!B$44</f>
        <v/>
      </c>
      <c r="C13" s="13" t="str">
        <f>'Detailed Reasoning'!C$44</f>
        <v/>
      </c>
      <c r="D13" s="13" t="str">
        <f>'Detailed Reasoning'!D$44</f>
        <v/>
      </c>
      <c r="E13" s="13" t="str">
        <f>'Detailed Reasoning'!E$44</f>
        <v/>
      </c>
    </row>
    <row r="14">
      <c r="A14" s="16" t="s">
        <v>34</v>
      </c>
      <c r="B14" s="17" t="str">
        <f>'AI#1_GPT'!B$44</f>
        <v>+</v>
      </c>
      <c r="C14" s="19" t="str">
        <f>'AI#1_GPT'!C44</f>
        <v>Controller와 Model의 책임이 명확해 외부 입력·서비스 연계를 특정 지점에 모으기 쉽다.</v>
      </c>
      <c r="D14" s="31" t="str">
        <f>'AI#1_GPT'!D$44</f>
        <v>+</v>
      </c>
      <c r="E14" s="32" t="str">
        <f>'AI#1_GPT'!E44</f>
        <v>에이전트 간 Control을 통한 명확한 상호작용으로 복잡한 UI 구성요소를 결합하기 좋다.</v>
      </c>
    </row>
    <row r="15">
      <c r="A15" s="16" t="s">
        <v>35</v>
      </c>
      <c r="B15" s="17" t="str">
        <f>'AI#2_Gemini'!B$44</f>
        <v>+</v>
      </c>
      <c r="C15" s="21" t="str">
        <f>'AI#2_Gemini'!C$44</f>
        <v>중앙 집중식 Model과 명확히 구분된 단일 Controller 구조 덕분에 외부 API/DB 연동 인터페이스 적용이 단순함.</v>
      </c>
      <c r="D15" s="31" t="str">
        <f>'AI#2_Gemini'!D$44</f>
        <v>--</v>
      </c>
      <c r="E15" s="33" t="str">
        <f>'AI#2_Gemini'!E$44</f>
        <v>에이전트 간 계층적 통신 프로토콜 및 컨트롤러 메시지 라우팅이 복잡하여 외부 서비스 및 데이터베이스와의 통합 난이도가 매우 높음.</v>
      </c>
    </row>
    <row r="16">
      <c r="A16" s="16" t="s">
        <v>39</v>
      </c>
      <c r="B16" s="17" t="str">
        <f>Human!B$44</f>
        <v/>
      </c>
      <c r="C16" s="21" t="str">
        <f>Human!C$44</f>
        <v>Human - MVC - Integrability</v>
      </c>
      <c r="D16" s="17" t="str">
        <f>Human!D$44</f>
        <v/>
      </c>
      <c r="E16" s="21" t="str">
        <f>Human!E$44</f>
        <v>Human - PAC - Integrability</v>
      </c>
    </row>
    <row r="17">
      <c r="A17" s="19"/>
      <c r="B17" s="29"/>
      <c r="C17" s="19"/>
      <c r="D17" s="29"/>
      <c r="E17" s="19"/>
    </row>
    <row r="18">
      <c r="A18" s="13" t="s">
        <v>58</v>
      </c>
      <c r="B18" s="13" t="str">
        <f>'Detailed Reasoning'!B$45</f>
        <v/>
      </c>
      <c r="C18" s="13" t="str">
        <f>'Detailed Reasoning'!C$45</f>
        <v/>
      </c>
      <c r="D18" s="13" t="str">
        <f>'Detailed Reasoning'!D$45</f>
        <v/>
      </c>
      <c r="E18" s="13" t="str">
        <f>'Detailed Reasoning'!E$45</f>
        <v/>
      </c>
    </row>
    <row r="19">
      <c r="A19" s="19" t="s">
        <v>34</v>
      </c>
      <c r="B19" s="17" t="str">
        <f>'AI#1_GPT'!B$45</f>
        <v>0</v>
      </c>
      <c r="C19" s="19" t="str">
        <f>'AI#1_GPT'!C45</f>
        <v>추가 계층의 호출 비용은 작고 에너지 효율을 좌우할 정도의 구조적 효과는 보통 크지 않다.</v>
      </c>
      <c r="D19" s="17" t="str">
        <f>'AI#1_GPT'!D$45</f>
        <v>-</v>
      </c>
      <c r="E19" s="19" t="str">
        <f>'AI#1_GPT'!E45</f>
        <v>다수 에이전트와 Control 간 조정 메시지가 늘어 단순 UI 구조보다 런타임 오버헤드가 크다.</v>
      </c>
    </row>
    <row r="20">
      <c r="A20" s="19" t="s">
        <v>35</v>
      </c>
      <c r="B20" s="17" t="str">
        <f>'AI#2_Gemini'!B$45</f>
        <v>+</v>
      </c>
      <c r="C20" s="21" t="str">
        <f>'AI#2_Gemini'!C$45</f>
        <v>단일 흐름 형태의 가벼운 내부 메서드 호출로 CPU/메모리 오버헤드가 적음.</v>
      </c>
      <c r="D20" s="17" t="str">
        <f>'AI#2_Gemini'!D$45</f>
        <v>-</v>
      </c>
      <c r="E20" s="21" t="str">
        <f>'AI#2_Gemini'!E$45</f>
        <v>트리 구조를 따르는 에이전트 간 상하 메시지 전달 및 이벤트 처리 비용으로 인해 리소스 및 에너지 소모가 큼.</v>
      </c>
    </row>
    <row r="21" ht="15.75" customHeight="1">
      <c r="A21" s="19" t="s">
        <v>39</v>
      </c>
      <c r="B21" s="17" t="str">
        <f>Human!B$45</f>
        <v/>
      </c>
      <c r="C21" s="21" t="str">
        <f>Human!C$45</f>
        <v>Human - MVC - Energy Efficiency</v>
      </c>
      <c r="D21" s="17" t="str">
        <f>Human!D$45</f>
        <v/>
      </c>
      <c r="E21" s="21" t="str">
        <f>Human!E$45</f>
        <v>Human - PAC - Energy Efficiency</v>
      </c>
    </row>
    <row r="22" ht="15.75" customHeight="1">
      <c r="A22" s="19"/>
      <c r="B22" s="29"/>
      <c r="C22" s="19"/>
      <c r="D22" s="29"/>
      <c r="E22" s="19"/>
    </row>
    <row r="23" ht="15.75" customHeight="1">
      <c r="A23" s="13" t="s">
        <v>61</v>
      </c>
      <c r="B23" s="13" t="str">
        <f>'Detailed Reasoning'!B$46</f>
        <v/>
      </c>
      <c r="C23" s="13" t="str">
        <f>'Detailed Reasoning'!C$46</f>
        <v/>
      </c>
      <c r="D23" s="13" t="str">
        <f>'Detailed Reasoning'!D$46</f>
        <v/>
      </c>
      <c r="E23" s="13" t="str">
        <f>'Detailed Reasoning'!E$46</f>
        <v/>
      </c>
    </row>
    <row r="24" ht="15.75" customHeight="1">
      <c r="A24" s="16" t="s">
        <v>34</v>
      </c>
      <c r="B24" s="17" t="str">
        <f>'AI#1_GPT'!B$46</f>
        <v>++</v>
      </c>
      <c r="C24" s="19" t="str">
        <f>'AI#1_GPT'!C46</f>
        <v>화면, 입력 처리, 도메인 상태를 분리해 한 영역의 변경이 다른 영역에 미치는 영향을 줄인다.</v>
      </c>
      <c r="D24" s="17" t="str">
        <f>'AI#1_GPT'!D$46</f>
        <v>++</v>
      </c>
      <c r="E24" s="19" t="str">
        <f>'AI#1_GPT'!E46</f>
        <v>기능별 에이전트 내부에 표현·상태·제어를 캡슐화해 국소 변경에 유리하다.</v>
      </c>
    </row>
    <row r="25" ht="15.75" customHeight="1">
      <c r="A25" s="16" t="s">
        <v>35</v>
      </c>
      <c r="B25" s="17" t="str">
        <f>'AI#2_Gemini'!B$46</f>
        <v>+</v>
      </c>
      <c r="C25" s="21" t="str">
        <f>'AI#2_Gemini'!C$46</f>
        <v>UI(View) 변경이나 데이터 구조(Model) 변경은 쉽지만, 새로운 대화형 기능 추가 시 컨트롤러가 거대해져 파급 효과가 큼</v>
      </c>
      <c r="D25" s="17" t="str">
        <f>'AI#2_Gemini'!D$46</f>
        <v>++</v>
      </c>
      <c r="E25" s="21" t="str">
        <f>'AI#2_Gemini'!E$46</f>
        <v>에이전트 단위로 완전히 독립되어 있어 기존 코드에 영향을 주지 않고 새로운 에이전트를 추가/수정하기가 훨씬 용이함.</v>
      </c>
    </row>
    <row r="26" ht="15.75" customHeight="1">
      <c r="A26" s="16" t="s">
        <v>39</v>
      </c>
      <c r="B26" s="17" t="str">
        <f>Human!B$46</f>
        <v/>
      </c>
      <c r="C26" s="21" t="str">
        <f>Human!C$46</f>
        <v>Human - MVC - Modifiability</v>
      </c>
      <c r="D26" s="17" t="str">
        <f>Human!D$46</f>
        <v/>
      </c>
      <c r="E26" s="21" t="str">
        <f>Human!E$46</f>
        <v>Human - PAC - Modifiability</v>
      </c>
    </row>
    <row r="27" ht="15.75" customHeight="1">
      <c r="A27" s="19"/>
      <c r="B27" s="29"/>
      <c r="C27" s="19"/>
      <c r="D27" s="29"/>
      <c r="E27" s="19"/>
    </row>
    <row r="28" ht="15.75" customHeight="1">
      <c r="A28" s="13" t="s">
        <v>65</v>
      </c>
      <c r="B28" s="13" t="str">
        <f>'Detailed Reasoning'!B$47</f>
        <v/>
      </c>
      <c r="C28" s="13" t="str">
        <f>'Detailed Reasoning'!C$47</f>
        <v/>
      </c>
      <c r="D28" s="13" t="str">
        <f>'Detailed Reasoning'!D$47</f>
        <v/>
      </c>
      <c r="E28" s="13" t="str">
        <f>'Detailed Reasoning'!E$47</f>
        <v/>
      </c>
    </row>
    <row r="29" ht="15.75" customHeight="1">
      <c r="A29" s="16" t="s">
        <v>34</v>
      </c>
      <c r="B29" s="17" t="str">
        <f>'AI#1_GPT'!B$47</f>
        <v>0</v>
      </c>
      <c r="C29" s="19" t="str">
        <f>'AI#1_GPT'!C47</f>
        <v>약간의 간접 호출은 생기지만 일반적인 애플리케이션에서 성능 영향은 제한적이다.</v>
      </c>
      <c r="D29" s="17" t="str">
        <f>'AI#1_GPT'!D$47</f>
        <v>-</v>
      </c>
      <c r="E29" s="19" t="str">
        <f>'AI#1_GPT'!E47</f>
        <v>계층적인 에이전트 협력과 Control 간 통신으로 직접 연결보다 응답 경로가 길어진다.</v>
      </c>
    </row>
    <row r="30" ht="15.75" customHeight="1">
      <c r="A30" s="16" t="s">
        <v>35</v>
      </c>
      <c r="B30" s="17" t="str">
        <f>'AI#2_Gemini'!B$47</f>
        <v>+</v>
      </c>
      <c r="C30" s="21" t="str">
        <f>#REF!</f>
        <v>#REF!</v>
      </c>
      <c r="D30" s="17" t="str">
        <f>'AI#2_Gemini'!D$47</f>
        <v>-</v>
      </c>
      <c r="E30" s="21" t="str">
        <f>'AI#2_Gemini'!E$47</f>
        <v>계층적 트리 구조에서 최상위-중간-하위 컨트롤러를 거치는 메시지 라우팅 오버헤드 때문에 응답 지연이 발생할 수 있음</v>
      </c>
    </row>
    <row r="31" ht="15.75" customHeight="1">
      <c r="A31" s="16" t="s">
        <v>39</v>
      </c>
      <c r="B31" s="17" t="str">
        <f>Human!B$47</f>
        <v/>
      </c>
      <c r="C31" s="21" t="str">
        <f>Human!C$47</f>
        <v>Human - MVC - Performance</v>
      </c>
      <c r="D31" s="17" t="str">
        <f>Human!D$47</f>
        <v/>
      </c>
      <c r="E31" s="21" t="str">
        <f>Human!E$47</f>
        <v>Human - PAC - Performance</v>
      </c>
    </row>
    <row r="32" ht="15.75" customHeight="1">
      <c r="A32" s="19"/>
      <c r="B32" s="29"/>
      <c r="C32" s="19"/>
      <c r="D32" s="29"/>
      <c r="E32" s="19"/>
    </row>
    <row r="33" ht="15.75" customHeight="1">
      <c r="A33" s="13" t="s">
        <v>68</v>
      </c>
      <c r="B33" s="13" t="str">
        <f>'Detailed Reasoning'!B$48</f>
        <v/>
      </c>
      <c r="C33" s="13" t="str">
        <f>'Detailed Reasoning'!C$48</f>
        <v/>
      </c>
      <c r="D33" s="13" t="str">
        <f>'Detailed Reasoning'!D$48</f>
        <v/>
      </c>
      <c r="E33" s="13" t="str">
        <f>'Detailed Reasoning'!E$48</f>
        <v/>
      </c>
    </row>
    <row r="34" ht="15.75" customHeight="1">
      <c r="A34" s="16" t="s">
        <v>34</v>
      </c>
      <c r="B34" s="17" t="str">
        <f>'AI#1_GPT'!B$48</f>
        <v>+</v>
      </c>
      <c r="C34" s="19" t="str">
        <f>'AI#1_GPT'!C48</f>
        <v>입력 검증·상태 변경 책임을 분리해 잘못된 UI 입력이 직접 도메인 상태를 훼손하는 것을 줄이기 쉽다.</v>
      </c>
      <c r="D34" s="17" t="str">
        <f>'AI#1_GPT'!D$48</f>
        <v>+</v>
      </c>
      <c r="E34" s="19" t="str">
        <f>'AI#1_GPT'!E48</f>
        <v>기능별 상태와 제어가 캡슐화되어 한 UI 기능의 오류가 다른 기능으로 퍼지는 것을 제한하기 쉽다.</v>
      </c>
    </row>
    <row r="35" ht="15.75" customHeight="1">
      <c r="A35" s="16" t="s">
        <v>35</v>
      </c>
      <c r="B35" s="17" t="str">
        <f>'AI#2_Gemini'!B$48</f>
        <v>0</v>
      </c>
      <c r="C35" s="21" t="str">
        <f>'AI#2_Gemini'!C$47</f>
        <v>직접적인 메서드 호출 및 단순한 레이어 통과 구조로 처리 속도와 응답성이 뛰어남.</v>
      </c>
      <c r="D35" s="17" t="str">
        <f>'AI#2_Gemini'!D$48</f>
        <v>+</v>
      </c>
      <c r="E35" s="21" t="str">
        <f>'AI#2_Gemini'!E$48</f>
        <v>에이전트 캡슐화를 통해 결함의 영향 범위를 한정 짓고 안전하게 예외 처리를 수행할 수 있음.</v>
      </c>
    </row>
    <row r="36" ht="15.75" customHeight="1">
      <c r="A36" s="16" t="s">
        <v>39</v>
      </c>
      <c r="B36" s="17" t="str">
        <f>Human!B$48</f>
        <v/>
      </c>
      <c r="C36" s="21" t="str">
        <f>Human!C$48</f>
        <v>Human - MVC - Safety</v>
      </c>
      <c r="D36" s="17" t="str">
        <f>Human!D$48</f>
        <v/>
      </c>
      <c r="E36" s="21" t="str">
        <f>Human!E$48</f>
        <v>Human - PAC - Safety</v>
      </c>
    </row>
    <row r="37" ht="15.75" customHeight="1">
      <c r="A37" s="19"/>
      <c r="B37" s="29"/>
      <c r="C37" s="19"/>
      <c r="D37" s="29"/>
      <c r="E37" s="19"/>
    </row>
    <row r="38" ht="15.75" customHeight="1">
      <c r="A38" s="13" t="s">
        <v>74</v>
      </c>
      <c r="B38" s="13" t="str">
        <f>'Detailed Reasoning'!B$49</f>
        <v/>
      </c>
      <c r="C38" s="13" t="str">
        <f>'Detailed Reasoning'!C$49</f>
        <v/>
      </c>
      <c r="D38" s="13" t="str">
        <f>'Detailed Reasoning'!D$49</f>
        <v/>
      </c>
      <c r="E38" s="13" t="str">
        <f>'Detailed Reasoning'!E$49</f>
        <v/>
      </c>
    </row>
    <row r="39" ht="15.75" customHeight="1">
      <c r="A39" s="16" t="s">
        <v>34</v>
      </c>
      <c r="B39" s="17" t="str">
        <f>'AI#1_GPT'!B$49</f>
        <v>+</v>
      </c>
      <c r="C39" s="19" t="str">
        <f>'AI#1_GPT'!C49</f>
        <v>Controller 같은 명확한 진입점에 인증·입력 검증·권한 검사를 집중하기 좋다.</v>
      </c>
      <c r="D39" s="17" t="str">
        <f>'AI#1_GPT'!D$49</f>
        <v>0</v>
      </c>
      <c r="E39" s="19" t="str">
        <f>'AI#1_GPT'!E49</f>
        <v>에이전트 경계에 권한을 둘 수 있지만 구성요소와 통신 경로가 많아져 보안 복잡성도 증가한다.</v>
      </c>
    </row>
    <row r="40" ht="15.75" customHeight="1">
      <c r="A40" s="16" t="s">
        <v>35</v>
      </c>
      <c r="B40" s="17" t="str">
        <f>'AI#2_Gemini'!B$49</f>
        <v>+</v>
      </c>
      <c r="C40" s="21" t="str">
        <f>'AI#2_Gemini'!C$49</f>
        <v>데이터 접근(Model) 및 요청 제어(Controller) 경로가 일원화되어 있어 보안 정책(인증/인가/검증) 적용이 용이함.</v>
      </c>
      <c r="D40" s="17" t="str">
        <f>'AI#2_Gemini'!D$49</f>
        <v>-</v>
      </c>
      <c r="E40" s="21" t="str">
        <f>'AI#2_Gemini'!E$49</f>
        <v>수많은 에이전트 간 독립적인 통신 채널이 생성되므로 데이터 유출 위험이 커지고 공격 접점(Attack Surface)이 확대됨.</v>
      </c>
    </row>
    <row r="41" ht="15.75" customHeight="1">
      <c r="A41" s="16" t="s">
        <v>39</v>
      </c>
      <c r="B41" s="17" t="str">
        <f>Human!B$49</f>
        <v/>
      </c>
      <c r="C41" s="21" t="str">
        <f>Human!C$49</f>
        <v>Human - MVC - Security</v>
      </c>
      <c r="D41" s="17" t="str">
        <f>Human!D$49</f>
        <v/>
      </c>
      <c r="E41" s="21" t="str">
        <f>Human!E$49</f>
        <v>Human - PAC - Security</v>
      </c>
    </row>
    <row r="42" ht="15.75" customHeight="1">
      <c r="A42" s="19"/>
      <c r="B42" s="29"/>
      <c r="C42" s="19"/>
      <c r="D42" s="29"/>
      <c r="E42" s="19"/>
    </row>
    <row r="43" ht="15.75" customHeight="1">
      <c r="A43" s="13" t="s">
        <v>75</v>
      </c>
      <c r="B43" s="13" t="str">
        <f>'Detailed Reasoning'!B$50</f>
        <v/>
      </c>
      <c r="C43" s="13" t="str">
        <f>'Detailed Reasoning'!C$50</f>
        <v/>
      </c>
      <c r="D43" s="13" t="str">
        <f>'Detailed Reasoning'!D$50</f>
        <v/>
      </c>
      <c r="E43" s="13" t="str">
        <f>'Detailed Reasoning'!E$50</f>
        <v/>
      </c>
    </row>
    <row r="44" ht="15.75" customHeight="1">
      <c r="A44" s="16" t="s">
        <v>34</v>
      </c>
      <c r="B44" s="17" t="str">
        <f>'AI#1_GPT'!B$50</f>
        <v>++</v>
      </c>
      <c r="C44" s="19" t="str">
        <f>'AI#1_GPT'!C50</f>
        <v>Model과 Controller를 View와 분리해 단위 테스트와 Mock 기반 테스트가 쉽다.</v>
      </c>
      <c r="D44" s="31" t="str">
        <f>'AI#1_GPT'!D$50</f>
        <v>+</v>
      </c>
      <c r="E44" s="32" t="str">
        <f>'AI#1_GPT'!E50</f>
        <v>에이전트 단위 테스트는 쉽지만 상·하위 Control의 상호작용 테스트는 추가로 필요하다.</v>
      </c>
    </row>
    <row r="45" ht="15.75" customHeight="1">
      <c r="A45" s="16" t="s">
        <v>35</v>
      </c>
      <c r="B45" s="17" t="str">
        <f>'AI#2_Gemini'!B$50</f>
        <v>+</v>
      </c>
      <c r="C45" s="21" t="str">
        <f>'AI#2_Gemini'!C$50</f>
        <v>UI 없이 Model과 Controller를 독립적으로 단위 테스트(Unit Test)하기 매우 용이함.</v>
      </c>
      <c r="D45" s="31" t="str">
        <f>'AI#2_Gemini'!D$50</f>
        <v>-</v>
      </c>
      <c r="E45" s="33" t="str">
        <f>'AI#2_Gemini'!E$50</f>
        <v>에이전트 간 비동기 메시지 교환 및 트리 구조의 상호작용 흐름을 추적하고 모킹(Mocking)하여 테스트하기 어려움.</v>
      </c>
    </row>
    <row r="46" ht="15.75" customHeight="1">
      <c r="A46" s="16" t="s">
        <v>39</v>
      </c>
      <c r="B46" s="17" t="str">
        <f>Human!B$50</f>
        <v/>
      </c>
      <c r="C46" s="21" t="str">
        <f>Human!C$50</f>
        <v>Human - MVC - Testability</v>
      </c>
      <c r="D46" s="17" t="str">
        <f>Human!D$50</f>
        <v/>
      </c>
      <c r="E46" s="21" t="str">
        <f>Human!E$50</f>
        <v>Human - PAC - Testability</v>
      </c>
    </row>
    <row r="47" ht="15.0" customHeight="1">
      <c r="A47" s="19"/>
      <c r="B47" s="29"/>
      <c r="C47" s="19"/>
      <c r="D47" s="29"/>
      <c r="E47" s="19"/>
    </row>
    <row r="48" ht="15.75" customHeight="1">
      <c r="A48" s="13" t="s">
        <v>79</v>
      </c>
      <c r="B48" s="13" t="str">
        <f>'Detailed Reasoning'!B$51</f>
        <v/>
      </c>
      <c r="C48" s="13" t="str">
        <f>'Detailed Reasoning'!C$51</f>
        <v/>
      </c>
      <c r="D48" s="13" t="str">
        <f>'Detailed Reasoning'!D$51</f>
        <v/>
      </c>
      <c r="E48" s="13" t="str">
        <f>'Detailed Reasoning'!E$51</f>
        <v/>
      </c>
    </row>
    <row r="49" ht="15.75" customHeight="1">
      <c r="A49" s="16" t="s">
        <v>34</v>
      </c>
      <c r="B49" s="17" t="str">
        <f>'AI#1_GPT'!B$51</f>
        <v>++</v>
      </c>
      <c r="C49" s="19" t="str">
        <f>'AI#1_GPT'!C51</f>
        <v>View를 도메인 로직과 독립적으로 변경할 수 있어 UI 개선과 다양한 표현 방식 지원에 매우 유리하다.</v>
      </c>
      <c r="D49" s="17" t="str">
        <f>'AI#1_GPT'!D$51</f>
        <v>++</v>
      </c>
      <c r="E49" s="19" t="str">
        <f>'AI#1_GPT'!E51</f>
        <v>복잡하고 여러 대화 흐름을 가진 인터랙티브 시스템을 기능별로 구조화하는 데 매우 유리하다.</v>
      </c>
    </row>
    <row r="50" ht="15.75" customHeight="1">
      <c r="A50" s="16" t="s">
        <v>35</v>
      </c>
      <c r="B50" s="17" t="str">
        <f>'AI#2_Gemini'!B$51</f>
        <v>+</v>
      </c>
      <c r="C50" s="21" t="str">
        <f>'AI#2_Gemini'!C$51</f>
        <v>단일 화면/표준적인 웹 UI를 처리하기에는 적합하나 multi-window 대화형 UI 지원에는 한계가 있음</v>
      </c>
      <c r="D50" s="17" t="str">
        <f>'AI#2_Gemini'!D$51</f>
        <v>++</v>
      </c>
      <c r="E50" s="21" t="str">
        <f>'AI#2_Gemini'!E$51</f>
        <v>각 에이전트가 자체 Presentation과 Controller를 가져 화면 단위별 독립적 상태 관리가 가능하며 복잡한 대화형 UI/UX 구현에 최적화됨.</v>
      </c>
    </row>
    <row r="51" ht="15.75" customHeight="1">
      <c r="A51" s="16" t="s">
        <v>39</v>
      </c>
      <c r="B51" s="17" t="str">
        <f>Human!B$51</f>
        <v/>
      </c>
      <c r="C51" s="21" t="str">
        <f>Human!C$51</f>
        <v>Human - MVC - Usability</v>
      </c>
      <c r="D51" s="17" t="str">
        <f>Human!D$51</f>
        <v/>
      </c>
      <c r="E51" s="21" t="str">
        <f>Human!E$51</f>
        <v>Human - PAC - Usability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57"/>
    <col customWidth="1" min="2" max="2" width="7.71"/>
    <col customWidth="1" min="3" max="3" width="95.14"/>
    <col customWidth="1" min="4" max="4" width="7.71"/>
    <col customWidth="1" min="5" max="5" width="134.86"/>
    <col customWidth="1" min="6" max="6" width="14.43"/>
  </cols>
  <sheetData>
    <row r="1">
      <c r="A1" s="5" t="s">
        <v>84</v>
      </c>
      <c r="B1" s="6" t="s">
        <v>85</v>
      </c>
      <c r="C1" s="7"/>
      <c r="D1" s="6" t="s">
        <v>87</v>
      </c>
      <c r="E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</row>
    <row r="3" ht="15.0" customHeight="1">
      <c r="A3" s="13" t="s">
        <v>33</v>
      </c>
      <c r="B3" s="13" t="str">
        <f>'Detailed Reasoning'!B$55</f>
        <v/>
      </c>
      <c r="C3" s="13" t="str">
        <f>'Detailed Reasoning'!C$55</f>
        <v/>
      </c>
      <c r="D3" s="13" t="str">
        <f>'Detailed Reasoning'!D$55</f>
        <v/>
      </c>
      <c r="E3" s="13" t="str">
        <f>'Detailed Reasoning'!E$55</f>
        <v/>
      </c>
    </row>
    <row r="4">
      <c r="A4" s="16" t="s">
        <v>34</v>
      </c>
      <c r="B4" s="17" t="str">
        <f>'AI#1_GPT'!B$55</f>
        <v>-</v>
      </c>
      <c r="C4" s="19" t="str">
        <f>'AI#1_GPT'!C55</f>
        <v>중앙 main과 직접 호출 체인에 의존하므로 핵심 함수 장애가 전체 프로그램 중단으로 이어지기 쉽다.</v>
      </c>
      <c r="D4" s="17" t="str">
        <f>'AI#1_GPT'!D$55</f>
        <v>+</v>
      </c>
      <c r="E4" s="19" t="str">
        <f>'AI#1_GPT'!E55</f>
        <v>일부 worker(slave)가 실패해도 다른 worker로 작업을 재분배할 수 있지만 master 장애점은 남는다.</v>
      </c>
    </row>
    <row r="5">
      <c r="A5" s="16" t="s">
        <v>35</v>
      </c>
      <c r="B5" s="17" t="str">
        <f>'AI#2_Gemini'!B$55</f>
        <v>--</v>
      </c>
      <c r="C5" s="21" t="str">
        <f>'AI#2_Gemini'!C$55</f>
        <v>단일 프로세스/스레드로 동작하므로 서브루틴 하나에서 에러 발생 시 전체 시스템이 중단됨</v>
      </c>
      <c r="D5" s="17" t="str">
        <f>'AI#2_Gemini'!D$55</f>
        <v>+</v>
      </c>
      <c r="E5" s="21" t="str">
        <f>'AI#2_Gemini'!E$55</f>
        <v>특정 Slave에 장애가 발생해도 타 Slave가 대신 처리하거나 Master가 해당 Slave만 재시작할 수 있어 가용성이 높음. (단, Master 단일 장애점(SPOF) 관리는 필요)</v>
      </c>
    </row>
    <row r="6">
      <c r="A6" s="16" t="s">
        <v>39</v>
      </c>
      <c r="B6" s="17" t="str">
        <f>Human!B$55</f>
        <v>-</v>
      </c>
      <c r="C6" s="21" t="str">
        <f>Human!C$55</f>
        <v>중앙 main과 Subroutine간의 강한 coupling으로 인해 main의 장애가 전체 프로그램의 중단으로 이어질 수 있다.</v>
      </c>
      <c r="D6" s="17" t="str">
        <f>Human!D$55</f>
        <v>+</v>
      </c>
      <c r="E6" s="21" t="str">
        <f>Human!E$55</f>
        <v>일부 Slave에 장애가 발생해도 다른 Slave가 대신 처리하거나 Master가 해당 Slave만 재시작할 수 있어 가용성이 높음</v>
      </c>
    </row>
    <row r="7">
      <c r="A7" s="19"/>
      <c r="B7" s="29"/>
      <c r="C7" s="19"/>
      <c r="D7" s="29"/>
      <c r="E7" s="19"/>
    </row>
    <row r="8" ht="15.0" customHeight="1">
      <c r="A8" s="13" t="s">
        <v>46</v>
      </c>
      <c r="B8" s="13" t="str">
        <f>'Detailed Reasoning'!B$56</f>
        <v/>
      </c>
      <c r="C8" s="13" t="str">
        <f>'Detailed Reasoning'!C$56</f>
        <v/>
      </c>
      <c r="D8" s="13" t="str">
        <f>'Detailed Reasoning'!D$56</f>
        <v/>
      </c>
      <c r="E8" s="13" t="str">
        <f>'Detailed Reasoning'!E$56</f>
        <v/>
      </c>
    </row>
    <row r="9">
      <c r="A9" s="16" t="s">
        <v>34</v>
      </c>
      <c r="B9" s="17" t="str">
        <f>'AI#1_GPT'!B$56</f>
        <v>--</v>
      </c>
      <c r="C9" s="19" t="str">
        <f>'AI#1_GPT'!C56</f>
        <v>보통 하나의 실행 단위로 강하게 결합되어 작은 변경도 전체 프로그램 재배포가 필요한 경우가 많다.</v>
      </c>
      <c r="D9" s="17" t="str">
        <f>'AI#1_GPT'!D$56</f>
        <v>+</v>
      </c>
      <c r="E9" s="19" t="str">
        <f>'AI#1_GPT'!E56</f>
        <v>worker를 개별 추가·교체·확장할 수 있어 계산 노드의 점진적 배포가 가능하다.</v>
      </c>
    </row>
    <row r="10">
      <c r="A10" s="16" t="s">
        <v>35</v>
      </c>
      <c r="B10" s="17" t="str">
        <f>'AI#2_Gemini'!B$56</f>
        <v>-</v>
      </c>
      <c r="C10" s="21" t="str">
        <f>'AI#2_Gemini'!C$56</f>
        <v>전체 코드가 단일 바이너리/프로세스로 강하게 결합되어 일부 수정 시 전체 재배포가 필요함.</v>
      </c>
      <c r="D10" s="17" t="str">
        <f>'AI#2_Gemini'!D$56</f>
        <v>+</v>
      </c>
      <c r="E10" s="21" t="str">
        <f>'AI#2_Gemini'!E$56</f>
        <v>노드/프로세스를 독립적으로 배포하거나 동적으로 노드를 추가/제거(Scale-out)할 수 있음.</v>
      </c>
    </row>
    <row r="11">
      <c r="A11" s="16" t="s">
        <v>39</v>
      </c>
      <c r="B11" s="17" t="str">
        <f>Human!B$56</f>
        <v>-</v>
      </c>
      <c r="C11" s="21" t="str">
        <f>Human!C$56</f>
        <v>Procedure끼리의 tight coupling으로 인하여 작은 변경도 재배포가 필요한 경우가 생긴다.</v>
      </c>
      <c r="D11" s="17" t="str">
        <f>Human!D$56</f>
        <v>+</v>
      </c>
      <c r="E11" s="21" t="str">
        <f>Human!E$56</f>
        <v>노드/프로세스를 독립적으로 배포하거나 동적으로 노드를  추가/제거할 수 있다</v>
      </c>
    </row>
    <row r="12">
      <c r="A12" s="19"/>
      <c r="B12" s="29"/>
      <c r="C12" s="19"/>
      <c r="D12" s="29"/>
      <c r="E12" s="19"/>
    </row>
    <row r="13" ht="15.0" customHeight="1">
      <c r="A13" s="13" t="s">
        <v>52</v>
      </c>
      <c r="B13" s="13" t="str">
        <f>'Detailed Reasoning'!B$57</f>
        <v/>
      </c>
      <c r="C13" s="13" t="str">
        <f>'Detailed Reasoning'!C$57</f>
        <v/>
      </c>
      <c r="D13" s="13" t="str">
        <f>'Detailed Reasoning'!D$57</f>
        <v/>
      </c>
      <c r="E13" s="13" t="str">
        <f>'Detailed Reasoning'!E$57</f>
        <v/>
      </c>
    </row>
    <row r="14">
      <c r="A14" s="16" t="s">
        <v>34</v>
      </c>
      <c r="B14" s="31" t="str">
        <f>'AI#1_GPT'!B$57</f>
        <v>-</v>
      </c>
      <c r="C14" s="32" t="str">
        <f>'AI#1_GPT'!C57</f>
        <v>직접 함수 호출과 공유 자료구조에 의존하기 쉬워 외부 시스템을 느슨하게 연결하기 어렵다.</v>
      </c>
      <c r="D14" s="17" t="str">
        <f>'AI#1_GPT'!D$57</f>
        <v>0</v>
      </c>
      <c r="E14" s="19" t="str">
        <f>'AI#1_GPT'!E57</f>
        <v>master-worker 프로토콜은 명확하지만 일반 외부 시스템 통합을 특별히 쉽게 하지는 않는다.</v>
      </c>
    </row>
    <row r="15">
      <c r="A15" s="16" t="s">
        <v>35</v>
      </c>
      <c r="B15" s="31" t="str">
        <f>'AI#2_Gemini'!B$57</f>
        <v>+</v>
      </c>
      <c r="C15" s="33" t="str">
        <f>'AI#2_Gemini'!C$57</f>
        <v>함수 호출 규격(API)이 명확하여 라이브러리 형태의 모듈 통합이 매우 쉬움.</v>
      </c>
      <c r="D15" s="17" t="str">
        <f>'AI#2_Gemini'!D$57</f>
        <v>-</v>
      </c>
      <c r="E15" s="21" t="str">
        <f>'AI#2_Gemini'!E$57</f>
        <v>Master와 Slave 간 메시지 프로토콜, 데이터 분할/합성 로직 정의가 필요하여 외부 통합 난이도가 존재함.</v>
      </c>
    </row>
    <row r="16">
      <c r="A16" s="16" t="s">
        <v>39</v>
      </c>
      <c r="B16" s="17" t="str">
        <f>Human!B$57</f>
        <v>-</v>
      </c>
      <c r="C16" s="21" t="str">
        <f>Human!C$57</f>
        <v>강한 결합 기반으로 외부 시스템을 통합 할 때의 flexibility가 떨어진다.</v>
      </c>
      <c r="D16" s="17" t="str">
        <f>Human!D$57</f>
        <v>-</v>
      </c>
      <c r="E16" s="21" t="str">
        <f>Human!E$57</f>
        <v>Slave가 Master의 작업·결과 규약에 맞아야 함</v>
      </c>
    </row>
    <row r="17">
      <c r="A17" s="19"/>
      <c r="B17" s="29"/>
      <c r="C17" s="19"/>
      <c r="D17" s="29"/>
      <c r="E17" s="19"/>
    </row>
    <row r="18">
      <c r="A18" s="13" t="s">
        <v>58</v>
      </c>
      <c r="B18" s="13" t="str">
        <f>'Detailed Reasoning'!B$58</f>
        <v/>
      </c>
      <c r="C18" s="13" t="str">
        <f>'Detailed Reasoning'!C$58</f>
        <v/>
      </c>
      <c r="D18" s="13" t="str">
        <f>'Detailed Reasoning'!D$58</f>
        <v/>
      </c>
      <c r="E18" s="13" t="str">
        <f>'Detailed Reasoning'!E$58</f>
        <v/>
      </c>
    </row>
    <row r="19">
      <c r="A19" s="19" t="s">
        <v>34</v>
      </c>
      <c r="B19" s="17" t="str">
        <f>'AI#1_GPT'!B$58</f>
        <v>++</v>
      </c>
      <c r="C19" s="19" t="str">
        <f>'AI#1_GPT'!C58</f>
        <v>직접 호출 중심이라 메시징·직렬화·네트워크 같은 추가 런타임 오버헤드가 매우 작다.</v>
      </c>
      <c r="D19" s="17" t="str">
        <f>'AI#1_GPT'!D$58</f>
        <v>-</v>
      </c>
      <c r="E19" s="19" t="str">
        <f>'AI#1_GPT'!E58</f>
        <v>여러 worker를 유지하고 작업 분배·동기화해야 하므로 유휴 자원과 통신 비용이 생길 수 있다.</v>
      </c>
    </row>
    <row r="20">
      <c r="A20" s="19" t="s">
        <v>35</v>
      </c>
      <c r="B20" s="17" t="str">
        <f>'AI#2_Gemini'!B$58</f>
        <v>+</v>
      </c>
      <c r="C20" s="21" t="str">
        <f>'AI#2_Gemini'!C$58</f>
        <v>프로세스 간 통신(IPC)이나 오버헤드 없이 메모리 스택 직접 접근만 수행하므로 CPU/메모리 자원 효율이 최상임.</v>
      </c>
      <c r="D20" s="17" t="str">
        <f>'AI#2_Gemini'!D$58</f>
        <v>-</v>
      </c>
      <c r="E20" s="21" t="str">
        <f>'AI#2_Gemini'!E$58</f>
        <v>네트워크 통신, 데이터 분할 및 집계, 프로세스 동기화 오버헤드로 인해 소비 자원량이 큼.</v>
      </c>
    </row>
    <row r="21" ht="15.75" customHeight="1">
      <c r="A21" s="19" t="s">
        <v>39</v>
      </c>
      <c r="B21" s="17" t="str">
        <f>Human!B$58</f>
        <v>++</v>
      </c>
      <c r="C21" s="21" t="str">
        <f>Human!C$58</f>
        <v>직접 호출되는 방식으로 procedure간 메시지 전송 등 추가 런타임 오버헤드가 매우 작다.</v>
      </c>
      <c r="D21" s="17" t="str">
        <f>Human!D$58</f>
        <v>-</v>
      </c>
      <c r="E21" s="21" t="str">
        <f>Human!E$58</f>
        <v>작업 분배·결과 수집의 통신과 조정에 추가 에너지 소비</v>
      </c>
    </row>
    <row r="22" ht="15.75" customHeight="1">
      <c r="A22" s="19"/>
      <c r="B22" s="29"/>
      <c r="C22" s="19"/>
      <c r="D22" s="29"/>
      <c r="E22" s="19"/>
    </row>
    <row r="23" ht="15.75" customHeight="1">
      <c r="A23" s="13" t="s">
        <v>61</v>
      </c>
      <c r="B23" s="13" t="str">
        <f>'Detailed Reasoning'!B$59</f>
        <v/>
      </c>
      <c r="C23" s="13" t="str">
        <f>'Detailed Reasoning'!C$59</f>
        <v/>
      </c>
      <c r="D23" s="13" t="str">
        <f>'Detailed Reasoning'!D$59</f>
        <v/>
      </c>
      <c r="E23" s="13" t="str">
        <f>'Detailed Reasoning'!E$59</f>
        <v/>
      </c>
    </row>
    <row r="24" ht="15.75" customHeight="1">
      <c r="A24" s="16" t="s">
        <v>34</v>
      </c>
      <c r="B24" s="17" t="str">
        <f>'AI#1_GPT'!B$59</f>
        <v>-</v>
      </c>
      <c r="C24" s="19" t="str">
        <f>'AI#1_GPT'!C59</f>
        <v>상위 호출 구조와 하위 함수 간 의존성이 커지면 변경이 호출 계층 전체로 전파되기 쉽다.</v>
      </c>
      <c r="D24" s="17" t="str">
        <f>'AI#1_GPT'!D$59</f>
        <v>+</v>
      </c>
      <c r="E24" s="19" t="str">
        <f>'AI#1_GPT'!E59</f>
        <v>동일 계약을 지키면 worker 구현이나 개수를 바꾸기 쉬운 편이다.</v>
      </c>
    </row>
    <row r="25" ht="15.75" customHeight="1">
      <c r="A25" s="16" t="s">
        <v>35</v>
      </c>
      <c r="B25" s="17" t="str">
        <f>'AI#2_Gemini'!B$59</f>
        <v>0</v>
      </c>
      <c r="C25" s="21" t="str">
        <f>'AI#2_Gemini'!C$59</f>
        <v>모듈화는 잘 되어 있으나, 하위 서브루틴의 파라미터 변경이 상위호출부에 연쇄 영향(Ripple Effect)을 줌.</v>
      </c>
      <c r="D25" s="17" t="str">
        <f>'AI#2_Gemini'!D$59</f>
        <v>+</v>
      </c>
      <c r="E25" s="21" t="str">
        <f>'AI#2_Gemini'!E$59</f>
        <v>처리 로직이나 알고리즘을 독립적으로 개편하기 용이하며, 병렬 처리 노드 확장이 자유로움.</v>
      </c>
    </row>
    <row r="26" ht="15.75" customHeight="1">
      <c r="A26" s="16" t="s">
        <v>39</v>
      </c>
      <c r="B26" s="17" t="str">
        <f>Human!B$59</f>
        <v>-</v>
      </c>
      <c r="C26" s="21" t="str">
        <f>Human!C$59</f>
        <v>강한 결합으로 특정 procedure의 변경에 대한 연쇄 변경 side effect가 일어날 수 있다.</v>
      </c>
      <c r="D26" s="17" t="str">
        <f>Human!D$59</f>
        <v>+</v>
      </c>
      <c r="E26" s="21" t="str">
        <f>Human!E$59</f>
        <v>작업·결과 계약 유지 시 Slave 내부 처리 방식 변경 용이</v>
      </c>
    </row>
    <row r="27" ht="15.75" customHeight="1">
      <c r="A27" s="19"/>
      <c r="B27" s="29"/>
      <c r="C27" s="19"/>
      <c r="D27" s="29"/>
      <c r="E27" s="19"/>
    </row>
    <row r="28" ht="15.75" customHeight="1">
      <c r="A28" s="13" t="s">
        <v>65</v>
      </c>
      <c r="B28" s="13" t="str">
        <f>'Detailed Reasoning'!B$60</f>
        <v/>
      </c>
      <c r="C28" s="13" t="str">
        <f>'Detailed Reasoning'!C$60</f>
        <v/>
      </c>
      <c r="D28" s="13" t="str">
        <f>'Detailed Reasoning'!D$60</f>
        <v/>
      </c>
      <c r="E28" s="13" t="str">
        <f>'Detailed Reasoning'!E$60</f>
        <v/>
      </c>
    </row>
    <row r="29" ht="15.75" customHeight="1">
      <c r="A29" s="16" t="s">
        <v>34</v>
      </c>
      <c r="B29" s="31" t="str">
        <f>'AI#1_GPT'!B$60</f>
        <v>++</v>
      </c>
      <c r="C29" s="32" t="str">
        <f>'AI#1_GPT'!C60</f>
        <v>프로세스 내부 직접 함수 호출로 실행 경로가 짧고 통신 오버헤드가 거의 없다.</v>
      </c>
      <c r="D29" s="17" t="str">
        <f>'AI#1_GPT'!D$60</f>
        <v>++</v>
      </c>
      <c r="E29" s="19" t="str">
        <f>'AI#1_GPT'!E60</f>
        <v>독립 작업을 여러 worker에 병렬 분산하여 처리량과 계산 성능을 크게 높일 수 있다.</v>
      </c>
    </row>
    <row r="30" ht="15.75" customHeight="1">
      <c r="A30" s="16" t="s">
        <v>35</v>
      </c>
      <c r="B30" s="31" t="str">
        <f>'AI#2_Gemini'!B$60</f>
        <v>-</v>
      </c>
      <c r="C30" s="33" t="str">
        <f>'AI#2_Gemini'!C$60</f>
        <v>단일 스레드/순차적 실행 구조이므로 대용량 데이터 처리나 멀티코어 활용에 한계가 있음.</v>
      </c>
      <c r="D30" s="17" t="str">
        <f>'AI#2_Gemini'!D$60</f>
        <v>++</v>
      </c>
      <c r="E30" s="21" t="str">
        <f>'AI#2_Gemini'!E$60</f>
        <v>데이터를 병렬(Parallelism)로 동시에 처리하여 전체적인 작업 처리량(Throughput) 및 execution 시간을 획기적으로 단축함.</v>
      </c>
    </row>
    <row r="31" ht="15.75" customHeight="1">
      <c r="A31" s="16" t="s">
        <v>39</v>
      </c>
      <c r="B31" s="23"/>
      <c r="C31" s="21" t="str">
        <f>Human!C$60</f>
        <v>여러 서브루틴이 동일한 전역 데이터에 접근할 경우 데이터 동기화 및 경쟁 조건 처리 과정에서 처리 속도가 저하될 수 있습니다.</v>
      </c>
      <c r="D31" s="25" t="s">
        <v>43</v>
      </c>
      <c r="E31" s="24" t="s">
        <v>93</v>
      </c>
    </row>
    <row r="32" ht="15.75" customHeight="1">
      <c r="A32" s="19"/>
      <c r="B32" s="29"/>
      <c r="C32" s="19"/>
      <c r="D32" s="29"/>
      <c r="E32" s="19"/>
    </row>
    <row r="33" ht="15.75" customHeight="1">
      <c r="A33" s="13" t="s">
        <v>68</v>
      </c>
      <c r="B33" s="13" t="str">
        <f>'Detailed Reasoning'!B$61</f>
        <v/>
      </c>
      <c r="C33" s="13" t="str">
        <f>'Detailed Reasoning'!C$61</f>
        <v/>
      </c>
      <c r="D33" s="13" t="str">
        <f>'Detailed Reasoning'!D$61</f>
        <v/>
      </c>
      <c r="E33" s="13" t="str">
        <f>'Detailed Reasoning'!E$61</f>
        <v/>
      </c>
    </row>
    <row r="34" ht="15.75" customHeight="1">
      <c r="A34" s="16" t="s">
        <v>34</v>
      </c>
      <c r="B34" s="31" t="str">
        <f>'AI#1_GPT'!B$61</f>
        <v>+</v>
      </c>
      <c r="C34" s="32" t="str">
        <f>'AI#1_GPT'!C61</f>
        <v>제어 흐름이 명시적이고 비교적 결정적이어서 실행 경로 분석과 검증이 쉽다.</v>
      </c>
      <c r="D34" s="17" t="str">
        <f>'AI#1_GPT'!D$61</f>
        <v>+</v>
      </c>
      <c r="E34" s="19" t="str">
        <f>'AI#1_GPT'!E61</f>
        <v>master가 작업 할당과 결과 취합·검증을 중앙에서 통제해 잘못된 worker 결과를 감지하기 쉽다.</v>
      </c>
    </row>
    <row r="35" ht="15.75" customHeight="1">
      <c r="A35" s="16" t="s">
        <v>35</v>
      </c>
      <c r="B35" s="31" t="str">
        <f>'AI#2_Gemini'!B$61</f>
        <v>+</v>
      </c>
      <c r="C35" s="33" t="str">
        <f>'AI#2_Gemini'!C$61</f>
        <v>제어 흐름이 명시적이여서 실행 경로 분석과 검증이 쉽다.</v>
      </c>
      <c r="D35" s="17" t="str">
        <f>'AI#2_Gemini'!D$61</f>
        <v>+</v>
      </c>
      <c r="E35" s="21" t="str">
        <f>'AI#2_Gemini'!E$61</f>
        <v>Slave들이 서로 격리된 프로세스/노드 환경에서 실행되므로 결함의 확산이 차단됨.</v>
      </c>
    </row>
    <row r="36" ht="15.75" customHeight="1">
      <c r="A36" s="16" t="s">
        <v>39</v>
      </c>
      <c r="B36" s="17" t="str">
        <f>Human!B$61</f>
        <v>+</v>
      </c>
      <c r="C36" s="21" t="str">
        <f>Human!C$61</f>
        <v>제어 흐름이 명시적이여서 실행 경로 분석과 검증이 쉽다.</v>
      </c>
      <c r="D36" s="23" t="s">
        <v>40</v>
      </c>
      <c r="E36" s="24" t="s">
        <v>94</v>
      </c>
    </row>
    <row r="37" ht="15.75" customHeight="1">
      <c r="A37" s="19"/>
      <c r="B37" s="29"/>
      <c r="C37" s="19"/>
      <c r="D37" s="29"/>
      <c r="E37" s="19"/>
    </row>
    <row r="38" ht="15.75" customHeight="1">
      <c r="A38" s="13" t="s">
        <v>74</v>
      </c>
      <c r="B38" s="13" t="str">
        <f>'Detailed Reasoning'!B$62</f>
        <v/>
      </c>
      <c r="C38" s="13" t="str">
        <f>'Detailed Reasoning'!C$62</f>
        <v/>
      </c>
      <c r="D38" s="13" t="str">
        <f>'Detailed Reasoning'!D$62</f>
        <v/>
      </c>
      <c r="E38" s="13" t="str">
        <f>'Detailed Reasoning'!E$62</f>
        <v/>
      </c>
    </row>
    <row r="39" ht="15.75" customHeight="1">
      <c r="A39" s="16" t="s">
        <v>34</v>
      </c>
      <c r="B39" s="17" t="str">
        <f>'AI#1_GPT'!B$62</f>
        <v>0</v>
      </c>
      <c r="C39" s="19" t="str">
        <f>'AI#1_GPT'!C62</f>
        <v>외부 경계가 적다는 장점은 있지만 내부 함수 간 권한 분리는 약해 구조 자체 효과는 중립적이다.</v>
      </c>
      <c r="D39" s="17" t="str">
        <f>'AI#1_GPT'!D$62</f>
        <v>-</v>
      </c>
      <c r="E39" s="19" t="str">
        <f>'AI#1_GPT'!E62</f>
        <v>분산 worker와 master 사이의 통신·노드 인증이 추가되어 공격면과 키 관리 복잡성이 증가한다.</v>
      </c>
    </row>
    <row r="40" ht="15.75" customHeight="1">
      <c r="A40" s="16" t="s">
        <v>35</v>
      </c>
      <c r="B40" s="17" t="str">
        <f>'AI#2_Gemini'!B$62</f>
        <v>+</v>
      </c>
      <c r="C40" s="21" t="str">
        <f>'AI#2_Gemini'!C$62</f>
        <v>메모리 공간이 단순하고 통신 채널 노출이 없어 공격 접점이 적음.</v>
      </c>
      <c r="D40" s="17" t="str">
        <f>'AI#2_Gemini'!D$62</f>
        <v>-</v>
      </c>
      <c r="E40" s="21" t="str">
        <f>'AI#2_Gemini'!E$62</f>
        <v>Master와 Slave 간 네트워크 메시지 교환 시 데이터 탈취/위변조 위험 및 접근 제어 복잡성이 증가함.</v>
      </c>
    </row>
    <row r="41" ht="15.75" customHeight="1">
      <c r="A41" s="16" t="s">
        <v>39</v>
      </c>
      <c r="B41" s="17" t="str">
        <f>Human!B$62</f>
        <v>+</v>
      </c>
      <c r="C41" s="21" t="str">
        <f>Human!C$62</f>
        <v>컴포넌트간 직접 호출로 공격 접점이 적음.</v>
      </c>
      <c r="D41" s="23" t="s">
        <v>40</v>
      </c>
      <c r="E41" s="24" t="s">
        <v>95</v>
      </c>
    </row>
    <row r="42" ht="15.75" customHeight="1">
      <c r="A42" s="19"/>
      <c r="B42" s="29"/>
      <c r="C42" s="19"/>
      <c r="D42" s="29"/>
      <c r="E42" s="19"/>
    </row>
    <row r="43" ht="15.75" customHeight="1">
      <c r="A43" s="13" t="s">
        <v>75</v>
      </c>
      <c r="B43" s="13" t="str">
        <f>'Detailed Reasoning'!B$63</f>
        <v/>
      </c>
      <c r="C43" s="13" t="str">
        <f>'Detailed Reasoning'!C$63</f>
        <v/>
      </c>
      <c r="D43" s="13" t="str">
        <f>'Detailed Reasoning'!D$63</f>
        <v/>
      </c>
      <c r="E43" s="13" t="str">
        <f>'Detailed Reasoning'!E$63</f>
        <v/>
      </c>
    </row>
    <row r="44" ht="15.75" customHeight="1">
      <c r="A44" s="16" t="s">
        <v>34</v>
      </c>
      <c r="B44" s="17" t="str">
        <f>'AI#1_GPT'!B$63</f>
        <v>+</v>
      </c>
      <c r="C44" s="19" t="str">
        <f>'AI#1_GPT'!C63</f>
        <v>잘 분리된 서브루틴은 독립 테스트가 쉽지만 전역 상태가 많아지면 장점이 줄어든다.</v>
      </c>
      <c r="D44" s="31" t="str">
        <f>'AI#1_GPT'!D$63</f>
        <v>+</v>
      </c>
      <c r="E44" s="32" t="str">
        <f>'AI#1_GPT'!E63</f>
        <v>worker 로직은 독립 테스트하기 쉽지만 분산 스케줄링·장애 시나리오 검증은 추가로 필요하다.</v>
      </c>
    </row>
    <row r="45" ht="15.75" customHeight="1">
      <c r="A45" s="16" t="s">
        <v>35</v>
      </c>
      <c r="B45" s="17" t="str">
        <f>'AI#2_Gemini'!B$63</f>
        <v>++</v>
      </c>
      <c r="C45" s="21" t="str">
        <f>'AI#2_Gemini'!C$63</f>
        <v>입출력이 명확한 동기식 호출 구조이므로 단위 테스트(Unit Test) 및 스텁(Stub) 작성이 매우 용이함.</v>
      </c>
      <c r="D45" s="31" t="str">
        <f>'AI#2_Gemini'!D$63</f>
        <v>-</v>
      </c>
      <c r="E45" s="33" t="str">
        <f>'AI#2_Gemini'!E$63</f>
        <v>비동기/병렬 실행, 타이밍 이슈(Race Condition), 분산 환경에서의 상태 추적이 어려워 테스트 난이도가 높음.</v>
      </c>
    </row>
    <row r="46" ht="15.75" customHeight="1">
      <c r="A46" s="16" t="s">
        <v>39</v>
      </c>
      <c r="B46" s="17" t="str">
        <f>Human!B$63</f>
        <v>++</v>
      </c>
      <c r="C46" s="21" t="str">
        <f>Human!C$63</f>
        <v>입출력이 명확하여 단위 테스트가 용이하다.</v>
      </c>
      <c r="D46" s="17" t="str">
        <f>Human!D$63</f>
        <v>-</v>
      </c>
      <c r="E46" s="21" t="str">
        <f>Human!E$63</f>
        <v>여러 Slave가 병렬로 실행되므로 타이밍 문제, 레이스 조건(Race Condition), 데드락(Deadlock) 등 실행 시점마다 달라지는 비동기적 결함을 테스트하고 재현하기 어려움</v>
      </c>
    </row>
    <row r="47" ht="15.0" customHeight="1">
      <c r="A47" s="19"/>
      <c r="B47" s="29"/>
      <c r="C47" s="19"/>
      <c r="D47" s="29"/>
      <c r="E47" s="19"/>
    </row>
    <row r="48" ht="15.75" customHeight="1">
      <c r="A48" s="13" t="s">
        <v>79</v>
      </c>
      <c r="B48" s="13" t="str">
        <f>'Detailed Reasoning'!B$64</f>
        <v/>
      </c>
      <c r="C48" s="13" t="str">
        <f>'Detailed Reasoning'!C$64</f>
        <v/>
      </c>
      <c r="D48" s="13" t="str">
        <f>'Detailed Reasoning'!D$64</f>
        <v/>
      </c>
      <c r="E48" s="13" t="str">
        <f>'Detailed Reasoning'!E$64</f>
        <v/>
      </c>
    </row>
    <row r="49" ht="15.75" customHeight="1">
      <c r="A49" s="16" t="s">
        <v>34</v>
      </c>
      <c r="B49" s="17" t="str">
        <f>'AI#1_GPT'!B$64</f>
        <v>0</v>
      </c>
      <c r="C49" s="19" t="str">
        <f>'AI#1_GPT'!C64</f>
        <v>프로그램 내부 제어 구조이므로 사용자 인터페이스 품질에 직접적인 영향은 거의 없다.</v>
      </c>
      <c r="D49" s="17" t="str">
        <f>'AI#1_GPT'!D$64</f>
        <v>0</v>
      </c>
      <c r="E49" s="19" t="str">
        <f>'AI#1_GPT'!E64</f>
        <v>주로 계산 분산 구조이므로 사용자 경험에 직접적인 영향은 제한적이다.</v>
      </c>
    </row>
    <row r="50" ht="15.75" customHeight="1">
      <c r="A50" s="16" t="s">
        <v>35</v>
      </c>
      <c r="B50" s="17" t="str">
        <f>'AI#2_Gemini'!B$64</f>
        <v>0</v>
      </c>
      <c r="C50" s="21" t="str">
        <f>'AI#2_Gemini'!C$64</f>
        <v>백엔드/알고리즘 처리 및 제어 구조 패턴이므로 최종 사용자의 UI/UX 사용성에는 직접적인 영향을 미치지 않음.</v>
      </c>
      <c r="D50" s="17" t="str">
        <f>'AI#2_Gemini'!D$64</f>
        <v>0</v>
      </c>
      <c r="E50" s="21" t="str">
        <f>'AI#2_Gemini'!E$64</f>
        <v>백엔드/알고리즘 처리 및 제어 구조 패턴이므로 최종 사용자의 UI/UX 사용성에는 직접적인 영향을 미치지 않음.</v>
      </c>
    </row>
    <row r="51" ht="15.75" customHeight="1">
      <c r="A51" s="16" t="s">
        <v>39</v>
      </c>
      <c r="B51" s="17" t="str">
        <f>Human!B$64</f>
        <v>0</v>
      </c>
      <c r="C51" s="21" t="str">
        <f>Human!C$64</f>
        <v>프로그램 내부 제어 구조이므로 직접적인 영향은 거의 없다.</v>
      </c>
      <c r="D51" s="23" t="s">
        <v>42</v>
      </c>
      <c r="E51" s="24" t="s">
        <v>82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57"/>
    <col customWidth="1" min="2" max="2" width="7.71"/>
    <col customWidth="1" min="3" max="3" width="83.86"/>
    <col customWidth="1" min="4" max="4" width="7.71"/>
    <col customWidth="1" min="5" max="5" width="88.43"/>
    <col customWidth="1" min="6" max="6" width="7.71"/>
    <col customWidth="1" min="7" max="7" width="84.0"/>
  </cols>
  <sheetData>
    <row r="1">
      <c r="A1" s="5" t="s">
        <v>84</v>
      </c>
      <c r="B1" s="6" t="s">
        <v>86</v>
      </c>
      <c r="C1" s="7"/>
      <c r="D1" s="6" t="s">
        <v>88</v>
      </c>
      <c r="E1" s="7"/>
      <c r="F1" s="6" t="s">
        <v>89</v>
      </c>
      <c r="G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  <c r="F2" s="11" t="s">
        <v>29</v>
      </c>
      <c r="G2" s="11" t="s">
        <v>32</v>
      </c>
    </row>
    <row r="3" ht="15.0" customHeight="1">
      <c r="A3" s="13" t="s">
        <v>33</v>
      </c>
      <c r="B3" s="13" t="str">
        <f>'Detailed Reasoning'!B$68</f>
        <v/>
      </c>
      <c r="C3" s="13" t="str">
        <f>'Detailed Reasoning'!C$68</f>
        <v/>
      </c>
      <c r="D3" s="13" t="str">
        <f>'Detailed Reasoning'!D$68</f>
        <v/>
      </c>
      <c r="E3" s="13" t="str">
        <f>'Detailed Reasoning'!E$68</f>
        <v/>
      </c>
      <c r="F3" s="39" t="str">
        <f>'Detailed Reasoning'!F$68</f>
        <v/>
      </c>
      <c r="G3" s="39" t="str">
        <f>'Detailed Reasoning'!G$68</f>
        <v/>
      </c>
    </row>
    <row r="4">
      <c r="A4" s="40" t="s">
        <v>34</v>
      </c>
      <c r="B4" s="41" t="str">
        <f>'AI#1_GPT'!B$68</f>
        <v>0</v>
      </c>
      <c r="C4" s="42" t="str">
        <f>'AI#1_GPT'!C68</f>
        <v>계층 분리는 장애 위치를 구분하는 데 도움을 주지만 하위 계층 장애가 상위 계층에 전파될 수 있다.</v>
      </c>
      <c r="D4" s="41" t="str">
        <f>'AI#1_GPT'!D$68</f>
        <v>+</v>
      </c>
      <c r="E4" s="42" t="str">
        <f>'AI#1_GPT'!E68</f>
        <v>게스트별 격리와 스냅샷·재시작은 복구에 유리하지만 호스트/하이퍼바이저 장애 영향은 남는다.</v>
      </c>
      <c r="F4" s="41" t="str">
        <f>'AI#1_GPT'!F$68</f>
        <v>++</v>
      </c>
      <c r="G4" s="42" t="str">
        <f>'AI#1_GPT'!G68</f>
        <v>핵심 기능만 커널에 두고 나머지 서비스를 분리해 개별 서비스 장애를 재시작·격리하기 쉽다.</v>
      </c>
    </row>
    <row r="5">
      <c r="A5" s="40" t="s">
        <v>35</v>
      </c>
      <c r="B5" s="41" t="str">
        <f>'AI#2_Gemini'!B$68</f>
        <v>0</v>
      </c>
      <c r="C5" s="41" t="str">
        <f>'AI#2_Gemini'!C$68</f>
        <v>상위 계층이 하위 계층에 의존하므로 특정 계층 장애 시 전체 서비스 영향 가능.</v>
      </c>
      <c r="D5" s="41" t="str">
        <f>'AI#2_Gemini'!D$68</f>
        <v>+</v>
      </c>
      <c r="E5" s="41" t="str">
        <f>'AI#2_Gemini'!E$68</f>
        <v>재해 상황 및 동작 모델 시뮬레이션을 지원하여 장애 대비 능력 향상.</v>
      </c>
      <c r="F5" s="41" t="str">
        <f>'AI#2_Gemini'!F$68</f>
        <v>++</v>
      </c>
      <c r="G5" s="41" t="str">
        <f>'AI#2_Gemini'!G$68</f>
        <v>분산 구조에서 동일 Server를 여러 Machine에 실행하여 고가용성(HA) 확보 가능.</v>
      </c>
    </row>
    <row r="6">
      <c r="A6" s="40" t="s">
        <v>39</v>
      </c>
      <c r="B6" s="41" t="str">
        <f>Human!B$68</f>
        <v>-</v>
      </c>
      <c r="C6" s="41" t="str">
        <f>Human!C$68</f>
        <v>특정 계층 장애가 전체 서비스에 부정적인 영향을 미칠 수 있다. </v>
      </c>
      <c r="D6" s="41" t="str">
        <f>Human!D$68</f>
        <v/>
      </c>
      <c r="E6" s="41" t="str">
        <f>Human!E$68</f>
        <v>Human - Virtual Machine - Availability</v>
      </c>
      <c r="F6" s="41" t="str">
        <f>Human!F$68</f>
        <v/>
      </c>
      <c r="G6" s="41" t="str">
        <f>Human!G$68</f>
        <v>Human - Microkernel - Availability</v>
      </c>
    </row>
    <row r="7">
      <c r="A7" s="42"/>
      <c r="B7" s="42"/>
      <c r="C7" s="42"/>
      <c r="D7" s="42"/>
      <c r="E7" s="42"/>
      <c r="F7" s="42"/>
      <c r="G7" s="42"/>
    </row>
    <row r="8" ht="15.0" customHeight="1">
      <c r="A8" s="13" t="s">
        <v>46</v>
      </c>
      <c r="B8" s="13" t="str">
        <f>'Detailed Reasoning'!B$69</f>
        <v/>
      </c>
      <c r="C8" s="13" t="str">
        <f>'Detailed Reasoning'!C$69</f>
        <v/>
      </c>
      <c r="D8" s="13" t="str">
        <f>'Detailed Reasoning'!D$69</f>
        <v/>
      </c>
      <c r="E8" s="13" t="str">
        <f>'Detailed Reasoning'!E$69</f>
        <v/>
      </c>
      <c r="F8" s="39" t="str">
        <f>'Detailed Reasoning'!F$69</f>
        <v/>
      </c>
      <c r="G8" s="39" t="str">
        <f>'Detailed Reasoning'!G$69</f>
        <v/>
      </c>
    </row>
    <row r="9">
      <c r="A9" s="40" t="s">
        <v>34</v>
      </c>
      <c r="B9" s="41" t="str">
        <f>'AI#1_GPT'!B$69</f>
        <v>+</v>
      </c>
      <c r="C9" s="42" t="str">
        <f>'AI#1_GPT'!C69</f>
        <v>계층 경계와 인터페이스가 안정적이면 특정 계층을 독립적으로 교체·업데이트하기 쉬워진다.</v>
      </c>
      <c r="D9" s="41" t="str">
        <f>'AI#1_GPT'!D$69</f>
        <v>++</v>
      </c>
      <c r="E9" s="42" t="str">
        <f>'AI#1_GPT'!E69</f>
        <v>애플리케이션과 실행 환경을 VM 이미지로 함께 패키징해 환경 차이를 줄이고 이동·배포하기 쉽다.</v>
      </c>
      <c r="F9" s="41" t="str">
        <f>'AI#1_GPT'!F$69</f>
        <v>++</v>
      </c>
      <c r="G9" s="42" t="str">
        <f>'AI#1_GPT'!G69</f>
        <v>서버 기능을 독립 프로세스로 추가·교체할 수 있어 핵심을 건드리지 않고 확장하기 좋다.</v>
      </c>
    </row>
    <row r="10">
      <c r="A10" s="40" t="s">
        <v>35</v>
      </c>
      <c r="B10" s="41" t="str">
        <f>'AI#2_Gemini'!B$69</f>
        <v>+</v>
      </c>
      <c r="C10" s="41" t="str">
        <f>'AI#2_Gemini'!C$69</f>
        <v>각 Component를 서로 다른 일정으로 독립적으로 배포 및 갱신 가능.</v>
      </c>
      <c r="D10" s="41" t="str">
        <f>'AI#2_Gemini'!D$69</f>
        <v>+</v>
      </c>
      <c r="E10" s="41" t="str">
        <f>'AI#2_Gemini'!E$69</f>
        <v>가상화 환경 덕분에 Platform 독립적인 이식·배포 용이.</v>
      </c>
      <c r="F10" s="41" t="str">
        <f>'AI#2_Gemini'!F$69</f>
        <v>++</v>
      </c>
      <c r="G10" s="41" t="str">
        <f>'AI#2_Gemini'!G$69</f>
        <v>핵심 Kernel 변경 없이 External Server 단위의 독립적인 확장 및 배포 용이.</v>
      </c>
    </row>
    <row r="11">
      <c r="A11" s="40" t="s">
        <v>39</v>
      </c>
      <c r="B11" s="41" t="str">
        <f>Human!B$69</f>
        <v>+</v>
      </c>
      <c r="C11" s="41" t="str">
        <f>Human!C$69</f>
        <v>계층이 분리되어있으므로 특정 계층 독립적으로 배포 가능하다.</v>
      </c>
      <c r="D11" s="41" t="str">
        <f>Human!D$69</f>
        <v/>
      </c>
      <c r="E11" s="41" t="str">
        <f>Human!E$69</f>
        <v>Human - Virtual Machine - Deployability</v>
      </c>
      <c r="F11" s="41" t="str">
        <f>Human!F$69</f>
        <v/>
      </c>
      <c r="G11" s="41" t="str">
        <f>Human!G$69</f>
        <v>Human - Microkernel - Deployability</v>
      </c>
    </row>
    <row r="12">
      <c r="A12" s="42"/>
      <c r="B12" s="42"/>
      <c r="C12" s="42"/>
      <c r="D12" s="42"/>
      <c r="E12" s="42"/>
      <c r="F12" s="42"/>
      <c r="G12" s="42"/>
    </row>
    <row r="13" ht="15.0" customHeight="1">
      <c r="A13" s="13" t="s">
        <v>52</v>
      </c>
      <c r="B13" s="13" t="str">
        <f>'Detailed Reasoning'!B$70</f>
        <v/>
      </c>
      <c r="C13" s="13" t="str">
        <f>'Detailed Reasoning'!C$70</f>
        <v/>
      </c>
      <c r="D13" s="13" t="str">
        <f>'Detailed Reasoning'!D$70</f>
        <v/>
      </c>
      <c r="E13" s="13" t="str">
        <f>'Detailed Reasoning'!E$70</f>
        <v/>
      </c>
      <c r="F13" s="39" t="str">
        <f>'Detailed Reasoning'!F$70</f>
        <v/>
      </c>
      <c r="G13" s="39" t="str">
        <f>'Detailed Reasoning'!G$70</f>
        <v/>
      </c>
    </row>
    <row r="14">
      <c r="A14" s="40" t="s">
        <v>34</v>
      </c>
      <c r="B14" s="41" t="str">
        <f>'AI#1_GPT'!B$70</f>
        <v>+</v>
      </c>
      <c r="C14" s="42" t="str">
        <f>'AI#1_GPT'!C70</f>
        <v>명확한 계층 인터페이스를 통해 외부 기능을 특정 계층에 연결하고 의존 방향을 제한할 수 있다.</v>
      </c>
      <c r="D14" s="41" t="str">
        <f>'AI#1_GPT'!D$70</f>
        <v>+</v>
      </c>
      <c r="E14" s="42" t="str">
        <f>'AI#1_GPT'!E70</f>
        <v>표준화된 가상 하드웨어와 네트워크 환경이 서로 다른 플랫폼 간 실행 환경 통합을 돕는다.</v>
      </c>
      <c r="F14" s="41" t="str">
        <f>'AI#1_GPT'!F$70</f>
        <v>+</v>
      </c>
      <c r="G14" s="42" t="str">
        <f>'AI#1_GPT'!G70</f>
        <v>명확한 IPC 계약을 통해 새로운 서비스나 드라이버를 연결하기 쉬운 편이다.</v>
      </c>
    </row>
    <row r="15">
      <c r="A15" s="40" t="s">
        <v>35</v>
      </c>
      <c r="B15" s="41" t="str">
        <f>'AI#2_Gemini'!B$70</f>
        <v>+</v>
      </c>
      <c r="C15" s="41" t="str">
        <f>'AI#2_Gemini'!C$70</f>
        <v>하위 계층 인터페이스가 명확하여 외부 모듈/라이브러리 연동이 수월함.</v>
      </c>
      <c r="D15" s="41" t="str">
        <f>'AI#2_Gemini'!D$70</f>
        <v>0</v>
      </c>
      <c r="E15" s="41" t="str">
        <f>'AI#2_Gemini'!E$70</f>
        <v>가상 플랫폼 규격에 맞춰 외부 요소 통합 가능.</v>
      </c>
      <c r="F15" s="41" t="str">
        <f>'AI#2_Gemini'!F$70</f>
        <v>--</v>
      </c>
      <c r="G15" s="41" t="str">
        <f>'AI#2_Gemini'!G$70</f>
        <v>서버 간 통신 프로토콜 및 커널 인터페이스 구성으로 인해 외부 시스템 연동 난이도가 높음.</v>
      </c>
    </row>
    <row r="16">
      <c r="A16" s="40" t="s">
        <v>39</v>
      </c>
      <c r="B16" s="41" t="str">
        <f>Human!B$70</f>
        <v>+</v>
      </c>
      <c r="C16" s="41" t="str">
        <f>Human!C$70</f>
        <v>명확한 계층 인터페이스로 인하여 외부 모듈의 연동이 수월하다.</v>
      </c>
      <c r="D16" s="41" t="str">
        <f>Human!D$70</f>
        <v/>
      </c>
      <c r="E16" s="41" t="str">
        <f>Human!E$70</f>
        <v>Human - Virtual Machine - Integrability</v>
      </c>
      <c r="F16" s="41" t="str">
        <f>Human!F$70</f>
        <v/>
      </c>
      <c r="G16" s="41" t="str">
        <f>Human!G$70</f>
        <v>Human - Microkernel - Integrability</v>
      </c>
    </row>
    <row r="17">
      <c r="A17" s="42"/>
      <c r="B17" s="42"/>
      <c r="C17" s="42"/>
      <c r="D17" s="42"/>
      <c r="E17" s="42"/>
      <c r="F17" s="42"/>
      <c r="G17" s="42"/>
    </row>
    <row r="18">
      <c r="A18" s="13" t="s">
        <v>58</v>
      </c>
      <c r="B18" s="13" t="str">
        <f>'Detailed Reasoning'!B$71</f>
        <v/>
      </c>
      <c r="C18" s="13" t="str">
        <f>'Detailed Reasoning'!C$71</f>
        <v/>
      </c>
      <c r="D18" s="13" t="str">
        <f>'Detailed Reasoning'!D$71</f>
        <v/>
      </c>
      <c r="E18" s="13" t="str">
        <f>'Detailed Reasoning'!E$71</f>
        <v/>
      </c>
      <c r="F18" s="39" t="str">
        <f>'Detailed Reasoning'!F$71</f>
        <v/>
      </c>
      <c r="G18" s="39" t="str">
        <f>'Detailed Reasoning'!G$71</f>
        <v/>
      </c>
    </row>
    <row r="19">
      <c r="A19" s="42" t="s">
        <v>34</v>
      </c>
      <c r="B19" s="41" t="str">
        <f>'AI#1_GPT'!B$71</f>
        <v>-</v>
      </c>
      <c r="C19" s="42" t="str">
        <f>'AI#1_GPT'!C71</f>
        <v>여러 계층을 통과하는 호출·데이터 변환이 추가되어 직접 구현보다 오버헤드가 증가한다.</v>
      </c>
      <c r="D19" s="41" t="str">
        <f>'AI#1_GPT'!D$71</f>
        <v>--</v>
      </c>
      <c r="E19" s="42" t="str">
        <f>'AI#1_GPT'!E71</f>
        <v>게스트 OS가 중복되고 가상화 계층이 추가되어 컨테이너나 네이티브보다 메모리·CPU 자원 소비가 크다.</v>
      </c>
      <c r="F19" s="41" t="str">
        <f>'AI#1_GPT'!F$71</f>
        <v>-</v>
      </c>
      <c r="G19" s="42" t="str">
        <f>'AI#1_GPT'!G71</f>
        <v>서비스 간 IPC와 컨텍스트 스위칭이 빈번해 단일 커널 구조보다 추가 자원 비용이 발생한다.</v>
      </c>
    </row>
    <row r="20">
      <c r="A20" s="42" t="s">
        <v>35</v>
      </c>
      <c r="B20" s="41" t="str">
        <f>'AI#2_Gemini'!B$71</f>
        <v>-</v>
      </c>
      <c r="C20" s="41" t="str">
        <f>'AI#2_Gemini'!C$71</f>
        <v>층 통과 시 발생하는 함수 호출 오버헤드로 에너지 소모 존재.</v>
      </c>
      <c r="D20" s="41" t="str">
        <f>'AI#2_Gemini'!D$71</f>
        <v>--</v>
      </c>
      <c r="E20" s="41" t="str">
        <f>'AI#2_Gemini'!E$71</f>
        <v>인터프리터 방식 및 추가 계층 레이어로 인해 CPU/메모리 자원 및 에너지 소모가 가장 큼.</v>
      </c>
      <c r="F20" s="41" t="str">
        <f>'AI#2_Gemini'!F$71</f>
        <v>-</v>
      </c>
      <c r="G20" s="41" t="str">
        <f>'AI#2_Gemini'!G$71</f>
        <v>버 간 IPC(프로세스 간 통신) 오버헤드로 인해 에너지 효율이 낮음.</v>
      </c>
    </row>
    <row r="21" ht="15.75" customHeight="1">
      <c r="A21" s="42" t="s">
        <v>39</v>
      </c>
      <c r="B21" s="41" t="str">
        <f>Human!B$71</f>
        <v>-</v>
      </c>
      <c r="C21" s="41" t="str">
        <f>Human!C$71</f>
        <v>여러 계층을 통과하는 과정에서 호출 및 데이터 변환에 의한 오버헤드가 발생한다.</v>
      </c>
      <c r="D21" s="41" t="str">
        <f>Human!D$71</f>
        <v/>
      </c>
      <c r="E21" s="41" t="str">
        <f>Human!E$71</f>
        <v>Human - Virtual Machine - Energy Efficiency</v>
      </c>
      <c r="F21" s="41" t="str">
        <f>Human!F$71</f>
        <v/>
      </c>
      <c r="G21" s="41" t="str">
        <f>Human!G$71</f>
        <v>Human - Microkernel - Energy Efficiency</v>
      </c>
    </row>
    <row r="22" ht="15.75" customHeight="1">
      <c r="A22" s="42"/>
      <c r="B22" s="42"/>
      <c r="C22" s="42"/>
      <c r="D22" s="42"/>
      <c r="E22" s="42"/>
      <c r="F22" s="42"/>
      <c r="G22" s="42"/>
    </row>
    <row r="23" ht="15.75" customHeight="1">
      <c r="A23" s="13" t="s">
        <v>61</v>
      </c>
      <c r="B23" s="13" t="str">
        <f>'Detailed Reasoning'!B$72</f>
        <v/>
      </c>
      <c r="C23" s="13" t="str">
        <f>'Detailed Reasoning'!C$72</f>
        <v/>
      </c>
      <c r="D23" s="13" t="str">
        <f>'Detailed Reasoning'!D$72</f>
        <v/>
      </c>
      <c r="E23" s="13" t="str">
        <f>'Detailed Reasoning'!E$72</f>
        <v/>
      </c>
      <c r="F23" s="39" t="str">
        <f>'Detailed Reasoning'!F$72</f>
        <v/>
      </c>
      <c r="G23" s="13" t="str">
        <f>'Detailed Reasoning'!G$72</f>
        <v/>
      </c>
    </row>
    <row r="24" ht="15.75" customHeight="1">
      <c r="A24" s="40" t="s">
        <v>34</v>
      </c>
      <c r="B24" s="41" t="str">
        <f>'AI#1_GPT'!B$72</f>
        <v>++</v>
      </c>
      <c r="C24" s="42" t="str">
        <f>'AI#1_GPT'!C72</f>
        <v>변경을 해당 책임 계층에 국소화할 수 있어 다른 부분에 대한 파급을 크게 줄인다.</v>
      </c>
      <c r="D24" s="41" t="str">
        <f>'AI#1_GPT'!D$72</f>
        <v>+</v>
      </c>
      <c r="E24" s="42" t="str">
        <f>'AI#1_GPT'!E72</f>
        <v>OS·미들웨어 의존성을 VM 내부에 캡슐화해 호스트 환경 변경의 영향을 줄일 수 있다.</v>
      </c>
      <c r="F24" s="41" t="str">
        <f>'AI#1_GPT'!F$72</f>
        <v>++</v>
      </c>
      <c r="G24" s="42" t="str">
        <f>'AI#1_GPT'!G72</f>
        <v>최소 커널을 유지하면서 주변 서비스만 변경할 수 있어 변경 파급 범위가 매우 작다.</v>
      </c>
    </row>
    <row r="25" ht="15.75" customHeight="1">
      <c r="A25" s="40" t="s">
        <v>35</v>
      </c>
      <c r="B25" s="41" t="str">
        <f>'AI#2_Gemini'!B$72</f>
        <v>+</v>
      </c>
      <c r="C25" s="41" t="str">
        <f>'AI#2_Gemini'!C$72</f>
        <v>높은 응집도와 하위 계층에만 결합된 구조로 Layer 교체/대체가 쉬움</v>
      </c>
      <c r="D25" s="41" t="str">
        <f>'AI#2_Gemini'!D$72</f>
        <v>+</v>
      </c>
      <c r="E25" s="41" t="str">
        <f>'AI#2_Gemini'!E$72</f>
        <v>하드웨어 변경에 영향받지 않는 소프트웨어 개발 및 수정 단순화.</v>
      </c>
      <c r="F25" s="41" t="str">
        <f>'AI#2_Gemini'!F$72</f>
        <v>++</v>
      </c>
      <c r="G25" s="41" t="str">
        <f>'AI#2_Gemini'!G$72</f>
        <v>새로운 View 필요 시 External Server, 기능 추가 시 Internal Server만 추가/확장하면 되어 가장 우수</v>
      </c>
    </row>
    <row r="26" ht="15.75" customHeight="1">
      <c r="A26" s="40" t="s">
        <v>39</v>
      </c>
      <c r="B26" s="41" t="str">
        <f>Human!B$72</f>
        <v>+</v>
      </c>
      <c r="C26" s="41" t="str">
        <f>Human!C$72</f>
        <v>특정 계층에 변경을 국소화할 수 있으므로 상위 계층에 대한 파급이 적을 수 있다.</v>
      </c>
      <c r="D26" s="41" t="str">
        <f>Human!D$72</f>
        <v/>
      </c>
      <c r="E26" s="41" t="str">
        <f>Human!E$72</f>
        <v>Human - Virtual Machine - Modifiability</v>
      </c>
      <c r="F26" s="41" t="str">
        <f>Human!F$72</f>
        <v/>
      </c>
      <c r="G26" s="41" t="str">
        <f>Human!G$72</f>
        <v>Human - Microkernel - Modifiability</v>
      </c>
    </row>
    <row r="27" ht="15.75" customHeight="1">
      <c r="A27" s="42"/>
      <c r="B27" s="42"/>
      <c r="C27" s="42"/>
      <c r="D27" s="42"/>
      <c r="E27" s="42"/>
      <c r="F27" s="42"/>
      <c r="G27" s="42"/>
    </row>
    <row r="28" ht="15.75" customHeight="1">
      <c r="A28" s="13" t="s">
        <v>65</v>
      </c>
      <c r="B28" s="13" t="str">
        <f>'Detailed Reasoning'!B$73</f>
        <v/>
      </c>
      <c r="C28" s="13" t="str">
        <f>'Detailed Reasoning'!C$73</f>
        <v/>
      </c>
      <c r="D28" s="13" t="str">
        <f>'Detailed Reasoning'!D$73</f>
        <v/>
      </c>
      <c r="E28" s="13" t="str">
        <f>'Detailed Reasoning'!E$73</f>
        <v/>
      </c>
      <c r="F28" s="13" t="str">
        <f>'Detailed Reasoning'!F$73</f>
        <v/>
      </c>
      <c r="G28" s="13" t="str">
        <f>'Detailed Reasoning'!G$73</f>
        <v/>
      </c>
    </row>
    <row r="29" ht="15.75" customHeight="1">
      <c r="A29" s="40" t="s">
        <v>34</v>
      </c>
      <c r="B29" s="41" t="str">
        <f>'AI#1_GPT'!B$73</f>
        <v>-</v>
      </c>
      <c r="C29" s="42" t="str">
        <f>'AI#1_GPT'!C73</f>
        <v>요청이 여러 계층을 거치며 간접 호출·변환이 누적되어 지연이 늘어날 수 있다.</v>
      </c>
      <c r="D29" s="41" t="str">
        <f>'AI#1_GPT'!D$73</f>
        <v>-</v>
      </c>
      <c r="E29" s="42" t="str">
        <f>'AI#1_GPT'!E73</f>
        <v>하드웨어 가상화 오버헤드와 추가 I/O 경로로 네이티브보다 성능 손실이 발생할 수 있다.</v>
      </c>
      <c r="F29" s="41" t="str">
        <f>'AI#1_GPT'!F$73</f>
        <v>--</v>
      </c>
      <c r="G29" s="42" t="str">
        <f>'AI#1_GPT'!G73</f>
        <v>시스템 호출이 여러 IPC·컨텍스트 전환을 거칠 수 있어 모놀리식 구조보다 지연이 커지기 쉽다.</v>
      </c>
    </row>
    <row r="30" ht="15.75" customHeight="1">
      <c r="A30" s="40" t="s">
        <v>35</v>
      </c>
      <c r="B30" s="41" t="str">
        <f>'AI#2_Gemini'!B$73</f>
        <v>-</v>
      </c>
      <c r="C30" s="41" t="str">
        <f>'AI#2_Gemini'!C$73</f>
        <v>Layer가 너무 많아지면 요청 전달 시 호출 Overhead 발생</v>
      </c>
      <c r="D30" s="41" t="str">
        <f>'AI#2_Gemini'!D$73</f>
        <v>--</v>
      </c>
      <c r="E30" s="41" t="str">
        <f>'AI#2_Gemini'!E$73</f>
        <v>인터프리터 방식 특성 및 새 계층 추가에 따른 Overhead로 실행 속도가 가장 느림.</v>
      </c>
      <c r="F30" s="41" t="str">
        <f>'AI#2_Gemini'!F$73</f>
        <v>-</v>
      </c>
      <c r="G30" s="41" t="str">
        <f>'AI#2_Gemini'!G$73</f>
        <v>모놀리식 시스템(Monolithic) 대비 서버 간 IPC(통신) Overhead로 인해 성능 감소.</v>
      </c>
    </row>
    <row r="31" ht="15.75" customHeight="1">
      <c r="A31" s="40" t="s">
        <v>39</v>
      </c>
      <c r="B31" s="41" t="str">
        <f>Human!B$73</f>
        <v>-</v>
      </c>
      <c r="C31" s="41" t="str">
        <f>Human!C$73</f>
        <v>계층 누적에 따른 오버헤드 발생</v>
      </c>
      <c r="D31" s="41" t="str">
        <f>Human!D$73</f>
        <v/>
      </c>
      <c r="E31" s="41" t="str">
        <f>Human!E$73</f>
        <v>Human - Virtual Machine - Performance</v>
      </c>
      <c r="F31" s="41" t="str">
        <f>Human!F$73</f>
        <v/>
      </c>
      <c r="G31" s="41" t="str">
        <f>Human!G$73</f>
        <v>Human - Microkernel - Performance</v>
      </c>
    </row>
    <row r="32" ht="15.75" customHeight="1">
      <c r="A32" s="42"/>
      <c r="B32" s="42"/>
      <c r="C32" s="42"/>
      <c r="D32" s="42"/>
      <c r="E32" s="42"/>
      <c r="F32" s="42"/>
      <c r="G32" s="42"/>
    </row>
    <row r="33" ht="15.75" customHeight="1">
      <c r="A33" s="13" t="s">
        <v>68</v>
      </c>
      <c r="B33" s="13" t="str">
        <f>'Detailed Reasoning'!B$74</f>
        <v/>
      </c>
      <c r="C33" s="13" t="str">
        <f>'Detailed Reasoning'!C$74</f>
        <v/>
      </c>
      <c r="D33" s="13" t="str">
        <f>'Detailed Reasoning'!D$74</f>
        <v/>
      </c>
      <c r="E33" s="13" t="str">
        <f>'Detailed Reasoning'!E$74</f>
        <v/>
      </c>
      <c r="F33" s="13" t="str">
        <f>'Detailed Reasoning'!F$74</f>
        <v/>
      </c>
      <c r="G33" s="13" t="str">
        <f>'Detailed Reasoning'!G$74</f>
        <v/>
      </c>
    </row>
    <row r="34" ht="15.75" customHeight="1">
      <c r="A34" s="40" t="s">
        <v>34</v>
      </c>
      <c r="B34" s="41" t="str">
        <f>'AI#1_GPT'!B$74</f>
        <v>+</v>
      </c>
      <c r="C34" s="42" t="str">
        <f>'AI#1_GPT'!C74</f>
        <v>입력 검증, 업무 규칙, 데이터 접근을 계층별로 분리해 잘못된 접근 경로를 통제하기 좋다.</v>
      </c>
      <c r="D34" s="41" t="str">
        <f>'AI#1_GPT'!D$74</f>
        <v>++</v>
      </c>
      <c r="E34" s="42" t="str">
        <f>'AI#1_GPT'!E74</f>
        <v>게스트 간 강한 격리를 통해 한 실행환경의 오류가 다른 환경으로 전파되는 것을 제한한다.</v>
      </c>
      <c r="F34" s="41" t="str">
        <f>'AI#1_GPT'!F$74</f>
        <v>++</v>
      </c>
      <c r="G34" s="42" t="str">
        <f>'AI#1_GPT'!G74</f>
        <v>서비스를 사용자 공간에 격리해 드라이버·서비스 오류가 시스템 전체를 손상시키는 위험을 줄인다.</v>
      </c>
    </row>
    <row r="35" ht="15.75" customHeight="1">
      <c r="A35" s="40" t="s">
        <v>35</v>
      </c>
      <c r="B35" s="41" t="str">
        <f>'AI#2_Gemini'!B$74</f>
        <v>0</v>
      </c>
      <c r="C35" s="41" t="str">
        <f>'AI#2_Gemini'!C$74</f>
        <v>계층별 하부 구조 의존으로 오류 파급 제어는 제한적임.</v>
      </c>
      <c r="D35" s="41" t="str">
        <f>'AI#2_Gemini'!D$74</f>
        <v>+</v>
      </c>
      <c r="E35" s="41" t="str">
        <f>'AI#2_Gemini'!E$74</f>
        <v>호스트 시스템과의 가상 격리를 통해 하드웨어/시스템 안전성 확보.</v>
      </c>
      <c r="F35" s="41" t="str">
        <f>'AI#2_Gemini'!F$74</f>
        <v>+</v>
      </c>
      <c r="G35" s="41" t="str">
        <f>'AI#2_Gemini'!G$74</f>
        <v>핵심 커널과 서버 기능의 분리로 특정 서버의 결함이 전체 커널 시스템으로 전이되지 않음.</v>
      </c>
    </row>
    <row r="36" ht="15.75" customHeight="1">
      <c r="A36" s="40" t="s">
        <v>39</v>
      </c>
      <c r="B36" s="41" t="str">
        <f>Human!B$74</f>
        <v>0</v>
      </c>
      <c r="C36" s="41" t="str">
        <f>Human!C$74</f>
        <v>하위 계층에만 결합되어 있어 변경/장애의 확산을 일부 제한할 수 있으나, 최하위 핵심 계층(예: DB/Infra Layer)에 오류가 발생하면 상위 계층 전체에 영향을 줄 수 있어 제어 범위가 제한적임.</v>
      </c>
      <c r="D36" s="41" t="str">
        <f>Human!D$74</f>
        <v/>
      </c>
      <c r="E36" s="41" t="str">
        <f>Human!E$74</f>
        <v>Human - Virtual Machine - Safety</v>
      </c>
      <c r="F36" s="41" t="str">
        <f>Human!F$74</f>
        <v/>
      </c>
      <c r="G36" s="41" t="str">
        <f>Human!G$74</f>
        <v>Human - Microkernel - Safety</v>
      </c>
    </row>
    <row r="37" ht="15.75" customHeight="1">
      <c r="A37" s="42"/>
      <c r="B37" s="42"/>
      <c r="C37" s="42"/>
      <c r="D37" s="42"/>
      <c r="E37" s="42"/>
      <c r="F37" s="42"/>
      <c r="G37" s="42"/>
    </row>
    <row r="38" ht="15.75" customHeight="1">
      <c r="A38" s="13" t="s">
        <v>74</v>
      </c>
      <c r="B38" s="13" t="str">
        <f>'Detailed Reasoning'!B$75</f>
        <v/>
      </c>
      <c r="C38" s="13" t="str">
        <f>'Detailed Reasoning'!C$75</f>
        <v/>
      </c>
      <c r="D38" s="13" t="str">
        <f>'Detailed Reasoning'!D$75</f>
        <v/>
      </c>
      <c r="E38" s="13" t="str">
        <f>'Detailed Reasoning'!E$75</f>
        <v/>
      </c>
      <c r="F38" s="39" t="str">
        <f>'Detailed Reasoning'!F$75</f>
        <v/>
      </c>
      <c r="G38" s="39" t="str">
        <f>'Detailed Reasoning'!G$75</f>
        <v/>
      </c>
    </row>
    <row r="39" ht="15.75" customHeight="1">
      <c r="A39" s="40" t="s">
        <v>34</v>
      </c>
      <c r="B39" s="41" t="str">
        <f>'AI#1_GPT'!B$75</f>
        <v>++</v>
      </c>
      <c r="C39" s="42" t="str">
        <f>'AI#1_GPT'!C75</f>
        <v>계층별 검증·인가를 겹쳐 적용하는 defense-in-depth 구조를 만들기 좋다.</v>
      </c>
      <c r="D39" s="41" t="str">
        <f>'AI#1_GPT'!D$75</f>
        <v>+</v>
      </c>
      <c r="E39" s="42" t="str">
        <f>'AI#1_GPT'!E75</f>
        <v>VM 경계가 강한 격리를 제공하지만 하이퍼바이저 취약점은 공통 위험이 된다.</v>
      </c>
      <c r="F39" s="41" t="str">
        <f>'AI#1_GPT'!F$75</f>
        <v>++</v>
      </c>
      <c r="G39" s="42" t="str">
        <f>'AI#1_GPT'!G75</f>
        <v>작은 trusted computing base와 최소 권한의 서비스 분리가 공격 표면과 침해 범위를 줄인다.</v>
      </c>
    </row>
    <row r="40" ht="15.75" customHeight="1">
      <c r="A40" s="40" t="s">
        <v>35</v>
      </c>
      <c r="B40" s="41" t="str">
        <f>'AI#2_Gemini'!B$75</f>
        <v>+</v>
      </c>
      <c r="C40" s="41" t="str">
        <f>'AI#2_Gemini'!C$75</f>
        <v>계층 간 내부 정보 은닉(Information Hiding)을 통해 상위/하위 보안 유지.</v>
      </c>
      <c r="D40" s="41" t="str">
        <f>'AI#2_Gemini'!D$75</f>
        <v>+</v>
      </c>
      <c r="E40" s="41" t="str">
        <f>'AI#2_Gemini'!E$75</f>
        <v>격리된 샌드박스 환경을 제공하여 외부 공격 및 이상 동작 차단.</v>
      </c>
      <c r="F40" s="41" t="str">
        <f>'AI#2_Gemini'!F$75</f>
        <v>+</v>
      </c>
      <c r="G40" s="41" t="str">
        <f>'AI#2_Gemini'!G$75</f>
        <v>최소 권한의 커널 구동 및 서브시스템 격리로 보안 침범 범위 최소화.</v>
      </c>
    </row>
    <row r="41" ht="15.75" customHeight="1">
      <c r="A41" s="40" t="s">
        <v>39</v>
      </c>
      <c r="B41" s="41" t="str">
        <f>Human!B$75</f>
        <v>+</v>
      </c>
      <c r="C41" s="41" t="str">
        <f>Human!C$75</f>
        <v>layer별 private정보를 다른 layer에서 확인 어렵기 때문에 security 좋음</v>
      </c>
      <c r="D41" s="41" t="str">
        <f>Human!D$75</f>
        <v/>
      </c>
      <c r="E41" s="41" t="str">
        <f>Human!E$75</f>
        <v>Human - Virtual Machine - Security</v>
      </c>
      <c r="F41" s="41" t="str">
        <f>Human!F$75</f>
        <v/>
      </c>
      <c r="G41" s="41" t="str">
        <f>Human!G$75</f>
        <v>Human - Microkernel - Security</v>
      </c>
    </row>
    <row r="42" ht="15.75" customHeight="1">
      <c r="A42" s="42"/>
      <c r="B42" s="42"/>
      <c r="C42" s="42"/>
      <c r="D42" s="42"/>
      <c r="E42" s="42"/>
      <c r="F42" s="42"/>
      <c r="G42" s="42"/>
    </row>
    <row r="43" ht="15.75" customHeight="1">
      <c r="A43" s="13" t="s">
        <v>75</v>
      </c>
      <c r="B43" s="13" t="str">
        <f>'Detailed Reasoning'!B$76</f>
        <v/>
      </c>
      <c r="C43" s="13" t="str">
        <f>'Detailed Reasoning'!C$76</f>
        <v/>
      </c>
      <c r="D43" s="13" t="str">
        <f>'Detailed Reasoning'!D$76</f>
        <v/>
      </c>
      <c r="E43" s="13" t="str">
        <f>'Detailed Reasoning'!E$76</f>
        <v/>
      </c>
      <c r="F43" s="13" t="str">
        <f>'Detailed Reasoning'!F$76</f>
        <v/>
      </c>
      <c r="G43" s="39" t="str">
        <f>'Detailed Reasoning'!G$76</f>
        <v/>
      </c>
    </row>
    <row r="44" ht="15.75" customHeight="1">
      <c r="A44" s="40" t="s">
        <v>34</v>
      </c>
      <c r="B44" s="41" t="str">
        <f>'AI#1_GPT'!B$76</f>
        <v>++</v>
      </c>
      <c r="C44" s="42" t="str">
        <f>'AI#1_GPT'!C76</f>
        <v>각 계층을 Mock으로 격리해 단위 테스트하고 계층 간 계약을 별도로 검증하기 쉽다.</v>
      </c>
      <c r="D44" s="41" t="str">
        <f>'AI#1_GPT'!D$76</f>
        <v>++</v>
      </c>
      <c r="E44" s="42" t="str">
        <f>'AI#1_GPT'!E76</f>
        <v>동일한 VM 이미지를 반복 생성해 재현 가능한 테스트 환경과 스냅샷 기반 복구를 제공하기 쉽다.</v>
      </c>
      <c r="F44" s="41" t="str">
        <f>'AI#1_GPT'!F$76</f>
        <v>+</v>
      </c>
      <c r="G44" s="42" t="str">
        <f>'AI#1_GPT'!G76</f>
        <v>개별 서비스는 격리 테스트하기 쉽지만 IPC와 전체 시스템 통합 테스트는 여전히 필요하다.</v>
      </c>
    </row>
    <row r="45" ht="15.75" customHeight="1">
      <c r="A45" s="40" t="s">
        <v>35</v>
      </c>
      <c r="B45" s="41" t="str">
        <f>'AI#2_Gemini'!B$76</f>
        <v>+</v>
      </c>
      <c r="C45" s="41" t="str">
        <f>'AI#2_Gemini'!C$76</f>
        <v>각 계층 및 컴포넌트를 독립적으로 분리하여 테스트(Mocking)하기 쉬움.</v>
      </c>
      <c r="D45" s="41" t="str">
        <f>'AI#2_Gemini'!D$76</f>
        <v>+</v>
      </c>
      <c r="E45" s="41" t="str">
        <f>'AI#2_Gemini'!E$76</f>
        <v>테스트 환경 시뮬레이션 및 가상 상태 캡처/복원이 용이함.</v>
      </c>
      <c r="F45" s="41" t="str">
        <f>'AI#2_Gemini'!F$76</f>
        <v>0</v>
      </c>
      <c r="G45" s="41" t="str">
        <f>'AI#2_Gemini'!G$76</f>
        <v>서버 간 비동기 메시지 교환 및 복잡한 상호작용으로 인해 종합 테스트 난이도가 존재함.</v>
      </c>
    </row>
    <row r="46" ht="15.75" customHeight="1">
      <c r="A46" s="40" t="s">
        <v>39</v>
      </c>
      <c r="B46" s="41" t="str">
        <f>Human!B$76</f>
        <v>+</v>
      </c>
      <c r="C46" s="41" t="str">
        <f>Human!C$76</f>
        <v>독립된 layer별 test에 용이</v>
      </c>
      <c r="D46" s="41" t="str">
        <f>Human!D$76</f>
        <v/>
      </c>
      <c r="E46" s="41" t="str">
        <f>Human!E$76</f>
        <v>Human - Virtual Machine - Testability</v>
      </c>
      <c r="F46" s="41" t="str">
        <f>Human!F$76</f>
        <v/>
      </c>
      <c r="G46" s="41" t="str">
        <f>Human!G$76</f>
        <v>Human - Microkernel - Testability</v>
      </c>
    </row>
    <row r="47" ht="15.0" customHeight="1">
      <c r="A47" s="42"/>
      <c r="B47" s="42"/>
      <c r="C47" s="42"/>
      <c r="D47" s="42"/>
      <c r="E47" s="42"/>
      <c r="F47" s="42"/>
      <c r="G47" s="42"/>
    </row>
    <row r="48" ht="15.75" customHeight="1">
      <c r="A48" s="13" t="s">
        <v>79</v>
      </c>
      <c r="B48" s="13" t="str">
        <f>'Detailed Reasoning'!B$77</f>
        <v/>
      </c>
      <c r="C48" s="13" t="str">
        <f>'Detailed Reasoning'!C$77</f>
        <v/>
      </c>
      <c r="D48" s="13" t="str">
        <f>'Detailed Reasoning'!D$77</f>
        <v/>
      </c>
      <c r="E48" s="13" t="str">
        <f>'Detailed Reasoning'!E$77</f>
        <v/>
      </c>
      <c r="F48" s="13" t="str">
        <f>'Detailed Reasoning'!F$77</f>
        <v/>
      </c>
      <c r="G48" s="39" t="str">
        <f>'Detailed Reasoning'!G$77</f>
        <v/>
      </c>
    </row>
    <row r="49" ht="15.75" customHeight="1">
      <c r="A49" s="40" t="s">
        <v>34</v>
      </c>
      <c r="B49" s="41" t="str">
        <f>'AI#1_GPT'!B$77</f>
        <v>+</v>
      </c>
      <c r="C49" s="42" t="str">
        <f>'AI#1_GPT'!C77</f>
        <v>Presentation 계층을 업무 로직과 분리하면 UI 변경과 다양한 클라이언트 지원이 쉬워진다.</v>
      </c>
      <c r="D49" s="41" t="str">
        <f>'AI#1_GPT'!D$77</f>
        <v>0</v>
      </c>
      <c r="E49" s="42" t="str">
        <f>'AI#1_GPT'!E77</f>
        <v>실행환경 일관성은 운영자에게 유용하지만 최종 사용자 UX에는 직접 영향이 크지 않다.</v>
      </c>
      <c r="F49" s="41" t="str">
        <f>'AI#1_GPT'!F$77</f>
        <v>0</v>
      </c>
      <c r="G49" s="42" t="str">
        <f>'AI#1_GPT'!G77</f>
        <v>OS 내부 구조의 장점이 주로 운영·안정성에 나타나며 최종 사용자 인터페이스에는 간접적이다.</v>
      </c>
    </row>
    <row r="50" ht="15.75" customHeight="1">
      <c r="A50" s="40" t="s">
        <v>35</v>
      </c>
      <c r="B50" s="41" t="str">
        <f>'AI#2_Gemini'!B$77</f>
        <v>0</v>
      </c>
      <c r="C50" s="41" t="str">
        <f>'AI#2_Gemini'!C$77</f>
        <v>아키텍처 구조가 사용자 인터페이스/경험(UI/UX)에 직접 미치는 영향은 적음.</v>
      </c>
      <c r="D50" s="41" t="str">
        <f>'AI#2_Gemini'!D$77</f>
        <v>0</v>
      </c>
      <c r="E50" s="41" t="str">
        <f>'AI#2_Gemini'!E$77</f>
        <v>아키텍처 구조가 사용자 인터페이스/경험(UI/UX)에 직접 미치는 영향은 적음.</v>
      </c>
      <c r="F50" s="41" t="str">
        <f>'AI#2_Gemini'!F$77</f>
        <v>+</v>
      </c>
      <c r="G50" s="41" t="str">
        <f>'AI#2_Gemini'!G$77</f>
        <v>External Server 추가를 통해 다양한 사용자 View/인터페이스를 유연하게 제공 가능.</v>
      </c>
    </row>
    <row r="51" ht="15.75" customHeight="1">
      <c r="A51" s="40" t="s">
        <v>39</v>
      </c>
      <c r="B51" s="41" t="str">
        <f>Human!B$77</f>
        <v>0</v>
      </c>
      <c r="C51" s="41" t="str">
        <f>Human!C$77</f>
        <v>Layered 패턴은 시스템의 내부 책임 분리와 소프트웨어 구조화에 초점을 맞추므로, 엔드 유저의 UI/UX 반응성이나 사용성에 직접적인 긍정/부정적 영향을 미치지 않음</v>
      </c>
      <c r="D51" s="41" t="str">
        <f>Human!D$77</f>
        <v/>
      </c>
      <c r="E51" s="41" t="str">
        <f>Human!E$77</f>
        <v>Human - Virtual Machine - Usability</v>
      </c>
      <c r="F51" s="41" t="str">
        <f>Human!F$77</f>
        <v/>
      </c>
      <c r="G51" s="41" t="str">
        <f>Human!G$77</f>
        <v>Human - Microkernel - Usability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C1"/>
    <mergeCell ref="D1:E1"/>
    <mergeCell ref="F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.71"/>
    <col customWidth="1" min="3" max="3" width="121.29"/>
    <col customWidth="1" min="4" max="4" width="7.71"/>
    <col customWidth="1" min="5" max="5" width="90.57"/>
    <col customWidth="1" min="6" max="6" width="14.43"/>
  </cols>
  <sheetData>
    <row r="1">
      <c r="A1" s="5" t="s">
        <v>90</v>
      </c>
      <c r="B1" s="6" t="s">
        <v>91</v>
      </c>
      <c r="C1" s="7"/>
      <c r="D1" s="6" t="s">
        <v>92</v>
      </c>
      <c r="E1" s="7"/>
    </row>
    <row r="2">
      <c r="A2" s="10"/>
      <c r="B2" s="11" t="s">
        <v>29</v>
      </c>
      <c r="C2" s="11" t="s">
        <v>32</v>
      </c>
      <c r="D2" s="11" t="s">
        <v>29</v>
      </c>
      <c r="E2" s="11" t="s">
        <v>32</v>
      </c>
    </row>
    <row r="3" ht="15.0" customHeight="1">
      <c r="A3" s="13" t="s">
        <v>33</v>
      </c>
      <c r="B3" s="13">
        <v>0.0</v>
      </c>
      <c r="C3" s="13">
        <v>0.0</v>
      </c>
      <c r="D3" s="13">
        <v>0.0</v>
      </c>
      <c r="E3" s="13">
        <v>0.0</v>
      </c>
    </row>
    <row r="4">
      <c r="A4" s="42" t="s">
        <v>34</v>
      </c>
      <c r="B4" s="41" t="str">
        <f>'AI#1_GPT'!B$81</f>
        <v>+</v>
      </c>
      <c r="C4" s="42" t="str">
        <f>'AI#1_GPT'!C81</f>
        <v>각 tier를 복제·스케일아웃해 장애를 우회할 수 있지만 tier 간 의존성 때문에 완전한 격리는 어렵다.</v>
      </c>
      <c r="D4" s="41" t="str">
        <f>'AI#1_GPT'!D$81</f>
        <v>-</v>
      </c>
      <c r="E4" s="42" t="str">
        <f>'AI#1_GPT'!E81</f>
        <v>중앙 서버가 중단되면 많은 클라이언트가 동시에 서비스를 잃는 장애점이 되기 쉽다.</v>
      </c>
    </row>
    <row r="5">
      <c r="A5" s="42" t="s">
        <v>35</v>
      </c>
      <c r="B5" s="41" t="str">
        <f>'AI#2_Gemini'!B$81</f>
        <v>0</v>
      </c>
      <c r="C5" s="42" t="str">
        <f>'AI#2_Gemini'!C81</f>
        <v>계층 증가로 관리 요소는 늘어나지만, Middle tier의 분산 및 이중화 구성을 통해 가용성 위험을 보완 가능함.</v>
      </c>
      <c r="D5" s="41" t="str">
        <f>'AI#2_Gemini'!D$81</f>
        <v>-</v>
      </c>
      <c r="E5" s="42" t="str">
        <f>'AI#2_Gemini'!E81</f>
        <v>서버가 단일 실패점(Single Point of Failure, SPOF)이 될 수 있어 서버 장애 시 전체 시스템 중단 위험이 큼.</v>
      </c>
    </row>
    <row r="6">
      <c r="A6" s="42" t="s">
        <v>39</v>
      </c>
      <c r="B6" s="41" t="str">
        <f>Human!B$81</f>
        <v>-</v>
      </c>
      <c r="C6" s="42" t="str">
        <f>Human!C81</f>
        <v>Tier가 증가할 수록 위험성이 증가하여 관리 요소가 늘어날 수 있음.</v>
      </c>
      <c r="D6" s="41" t="str">
        <f>Human!D$81</f>
        <v>-</v>
      </c>
      <c r="E6" s="42" t="str">
        <f>Human!E81</f>
        <v>서버가 단일 실패점이 될 수 있어 서버 장애 시 전체 시스템 중단될 수 있다.</v>
      </c>
    </row>
    <row r="7">
      <c r="A7" s="42"/>
      <c r="B7" s="42"/>
      <c r="C7" s="42"/>
      <c r="D7" s="42"/>
      <c r="E7" s="42"/>
    </row>
    <row r="8" ht="15.0" customHeight="1">
      <c r="A8" s="13" t="s">
        <v>46</v>
      </c>
      <c r="B8" s="13">
        <v>0.0</v>
      </c>
      <c r="C8" s="13">
        <v>0.0</v>
      </c>
      <c r="D8" s="13">
        <v>0.0</v>
      </c>
      <c r="E8" s="13">
        <v>0.0</v>
      </c>
    </row>
    <row r="9">
      <c r="A9" s="42" t="s">
        <v>34</v>
      </c>
      <c r="B9" s="41" t="str">
        <f>'AI#1_GPT'!B$82</f>
        <v>+</v>
      </c>
      <c r="C9" s="42" t="str">
        <f>'AI#1_GPT'!C82</f>
        <v>Presentation·Business·Data tier를 별도 배포할 수 있으나 버전 호환과 순서 조정이 필요할 수 있다.</v>
      </c>
      <c r="D9" s="41" t="str">
        <f>'AI#1_GPT'!D$82</f>
        <v>0</v>
      </c>
      <c r="E9" s="42" t="str">
        <f>'AI#1_GPT'!E82</f>
        <v>클라이언트와 서버를 따로 배포할 수 있지만 API 호환성과 클라이언트 버전 관리가 필요하다.</v>
      </c>
    </row>
    <row r="10">
      <c r="A10" s="42" t="s">
        <v>35</v>
      </c>
      <c r="B10" s="41" t="str">
        <f>'AI#2_Gemini'!B$82</f>
        <v>+</v>
      </c>
      <c r="C10" s="42" t="str">
        <f>'AI#2_Gemini'!C82</f>
        <v>Business Logic이 포함된 Middle tier 중심으로 독립적 배포 및 스케일링이 수월함.</v>
      </c>
      <c r="D10" s="41" t="str">
        <f>'AI#2_Gemini'!D$82</f>
        <v>+</v>
      </c>
      <c r="E10" s="42" t="str">
        <f>'AI#2_Gemini'!E82</f>
        <v>UI 표현과 Business Logic 처리가 분리되어 클라이언트와 서버를 각각 독립적으로 배포 가능함.</v>
      </c>
    </row>
    <row r="11">
      <c r="A11" s="42" t="s">
        <v>39</v>
      </c>
      <c r="B11" s="41" t="str">
        <f>Human!B$82</f>
        <v>+</v>
      </c>
      <c r="C11" s="42" t="str">
        <f>Human!C82</f>
        <v>각 Tier별 기능이 나누어져 있으므로 Tier에 해당하는 시스템의 단독 배포가 용이하다.</v>
      </c>
      <c r="D11" s="41" t="str">
        <f>Human!D$82</f>
        <v>+</v>
      </c>
      <c r="E11" s="42" t="str">
        <f>Human!E82</f>
        <v>클라이언트와 서버를 각각 독립적으로 배포가 가능하다.</v>
      </c>
    </row>
    <row r="12">
      <c r="A12" s="42"/>
      <c r="B12" s="42"/>
      <c r="C12" s="42"/>
      <c r="D12" s="42"/>
      <c r="E12" s="42"/>
    </row>
    <row r="13" ht="15.0" customHeight="1">
      <c r="A13" s="13" t="s">
        <v>52</v>
      </c>
      <c r="B13" s="13">
        <v>0.0</v>
      </c>
      <c r="C13" s="13">
        <v>0.0</v>
      </c>
      <c r="D13" s="13">
        <v>0.0</v>
      </c>
      <c r="E13" s="13">
        <v>0.0</v>
      </c>
    </row>
    <row r="14">
      <c r="A14" s="42" t="s">
        <v>34</v>
      </c>
      <c r="B14" s="41" t="str">
        <f>'AI#1_GPT'!B$83</f>
        <v>+</v>
      </c>
      <c r="C14" s="42" t="str">
        <f>'AI#1_GPT'!C83</f>
        <v>tier 간 명확한 네트워크 인터페이스를 통해 외부 시스템 연결 지점을 분리하기 좋다.</v>
      </c>
      <c r="D14" s="41" t="str">
        <f>'AI#1_GPT'!D$83</f>
        <v>+</v>
      </c>
      <c r="E14" s="42" t="str">
        <f>'AI#1_GPT'!E83</f>
        <v>서버가 명확한 API를 제공하면 다양한 클라이언트와 외부 시스템을 동일 인터페이스로 연결하기 쉽다.</v>
      </c>
    </row>
    <row r="15">
      <c r="A15" s="42" t="s">
        <v>35</v>
      </c>
      <c r="B15" s="41" t="str">
        <f>'AI#2_Gemini'!B$83</f>
        <v>+</v>
      </c>
      <c r="C15" s="42" t="str">
        <f>'AI#2_Gemini'!C83</f>
        <v>Presentation, Application, Data 계층이 명확히 분리되어 외부 서비스 및 DB 통합이 매우 용이함.</v>
      </c>
      <c r="D15" s="41" t="str">
        <f>'AI#2_Gemini'!D$83</f>
        <v>+</v>
      </c>
      <c r="E15" s="42" t="str">
        <f>'AI#2_Gemini'!E83</f>
        <v>클라이언트와 서버 간의 역할 분담 및 표준화된 요청-응답 구조로 연동이 용이함.</v>
      </c>
    </row>
    <row r="16">
      <c r="A16" s="42" t="s">
        <v>39</v>
      </c>
      <c r="B16" s="41" t="str">
        <f>Human!B$83</f>
        <v>+</v>
      </c>
      <c r="C16" s="42" t="str">
        <f>Human!C83</f>
        <v>Tier마다 서로 다른 기능 및 책임을 부여하여 외부 서비스의 확장에 용이하다.</v>
      </c>
      <c r="D16" s="41" t="str">
        <f>Human!D$83</f>
        <v>+</v>
      </c>
      <c r="E16" s="42" t="str">
        <f>Human!E83</f>
        <v>서버가 API를 제공한다면 표준화된 요청-응답 구조로 클라이언트를 연결하기 쉽다.</v>
      </c>
    </row>
    <row r="17">
      <c r="A17" s="42"/>
      <c r="B17" s="42"/>
      <c r="C17" s="42"/>
      <c r="D17" s="42"/>
      <c r="E17" s="42"/>
    </row>
    <row r="18">
      <c r="A18" s="13" t="s">
        <v>58</v>
      </c>
      <c r="B18" s="13">
        <v>0.0</v>
      </c>
      <c r="C18" s="13">
        <v>0.0</v>
      </c>
      <c r="D18" s="13">
        <v>0.0</v>
      </c>
      <c r="E18" s="13">
        <v>0.0</v>
      </c>
    </row>
    <row r="19">
      <c r="A19" s="42" t="s">
        <v>34</v>
      </c>
      <c r="B19" s="41" t="str">
        <f>'AI#1_GPT'!B$84</f>
        <v>-</v>
      </c>
      <c r="C19" s="42" t="str">
        <f>'AI#1_GPT'!C84</f>
        <v>여러 서버 계층과 네트워크 홉을 유지하므로 단일 프로세스 구조보다 자원 소비가 증가한다.</v>
      </c>
      <c r="D19" s="41" t="str">
        <f>'AI#1_GPT'!D$84</f>
        <v>0</v>
      </c>
      <c r="E19" s="42" t="str">
        <f>'AI#1_GPT'!E84</f>
        <v>서버에 자원을 집중할 수 있지만 네트워크 통신과 상시 서버 운영 비용이 발생한다.</v>
      </c>
    </row>
    <row r="20">
      <c r="A20" s="42" t="s">
        <v>35</v>
      </c>
      <c r="B20" s="41" t="str">
        <f>'AI#2_Gemini'!B$84</f>
        <v>-</v>
      </c>
      <c r="C20" s="42" t="str">
        <f>'AI#2_Gemini'!C84</f>
        <v>tier 간 request/reply 통신으로 복잡성과 오버헤드가 발생한다.</v>
      </c>
      <c r="D20" s="41" t="str">
        <f>'AI#2_Gemini'!D$84</f>
        <v>0</v>
      </c>
      <c r="E20" s="42" t="str">
        <f>'AI#2_Gemini'!E84</f>
        <v>이 아키텍처 스타일이 해당 품질속성을 직접 좌우하지 않음.</v>
      </c>
    </row>
    <row r="21" ht="15.75" customHeight="1">
      <c r="A21" s="42" t="s">
        <v>39</v>
      </c>
      <c r="B21" s="41" t="str">
        <f>Human!B$84</f>
        <v>-</v>
      </c>
      <c r="C21" s="42" t="str">
        <f>Human!C84</f>
        <v>여러 서버 tier를 유지해야 하며, middle tier의 다중화가 적용된다면 Energy 소모량이 많아진다.</v>
      </c>
      <c r="D21" s="41" t="str">
        <f>Human!D$84</f>
        <v>+</v>
      </c>
      <c r="E21" s="42" t="str">
        <f>Human!E84</f>
        <v>많은 client가 고성능 server에 접근할 때 자원을 효과적으로 사용한다.</v>
      </c>
    </row>
    <row r="22" ht="15.75" customHeight="1">
      <c r="A22" s="42"/>
      <c r="B22" s="42"/>
      <c r="C22" s="42"/>
      <c r="D22" s="42"/>
      <c r="E22" s="42"/>
    </row>
    <row r="23" ht="15.75" customHeight="1">
      <c r="A23" s="13" t="s">
        <v>61</v>
      </c>
      <c r="B23" s="13">
        <v>0.0</v>
      </c>
      <c r="C23" s="13">
        <v>0.0</v>
      </c>
      <c r="D23" s="13">
        <v>0.0</v>
      </c>
      <c r="E23" s="13">
        <v>0.0</v>
      </c>
    </row>
    <row r="24" ht="15.75" customHeight="1">
      <c r="A24" s="42" t="s">
        <v>34</v>
      </c>
      <c r="B24" s="41" t="str">
        <f>'AI#1_GPT'!B$85</f>
        <v>+</v>
      </c>
      <c r="C24" s="42" t="str">
        <f>'AI#1_GPT'!C85</f>
        <v>책임을 tier별로 나눠 UI·업무·데이터 변경을 어느 정도 독립적으로 수행할 수 있다.</v>
      </c>
      <c r="D24" s="41" t="str">
        <f>'AI#1_GPT'!D$85</f>
        <v>+</v>
      </c>
      <c r="E24" s="42" t="str">
        <f>'AI#1_GPT'!E85</f>
        <v>서버 로직과 클라이언트 UI를 분리해 한쪽 변경을 독립적으로 수행할 여지가 있다.</v>
      </c>
    </row>
    <row r="25" ht="15.75" customHeight="1">
      <c r="A25" s="42" t="s">
        <v>35</v>
      </c>
      <c r="B25" s="41" t="str">
        <f>'AI#2_Gemini'!B$85</f>
        <v>+</v>
      </c>
      <c r="C25" s="42" t="str">
        <f>'AI#2_Gemini'!C85</f>
        <v>비즈니스 관련 변경은 중간 tier에만 적용되어 재사용성·수정 용이성이 높다(reusability and modifiability).</v>
      </c>
      <c r="D25" s="41" t="str">
        <f>'AI#2_Gemini'!D$85</f>
        <v>+</v>
      </c>
      <c r="E25" s="42" t="str">
        <f>'AI#2_Gemini'!E85</f>
        <v>책임이 분리되고(UI 표현 vs 비즈니스 로직) server 컴포넌트를 재사용할 수 있다.</v>
      </c>
    </row>
    <row r="26" ht="15.75" customHeight="1">
      <c r="A26" s="42" t="s">
        <v>39</v>
      </c>
      <c r="B26" s="41" t="str">
        <f>Human!B$85</f>
        <v>+</v>
      </c>
      <c r="C26" s="42" t="str">
        <f>Human!C85</f>
        <v>각 Tier간 책임이 분산되어 있으므로 재사용성이 높고 수정에 용이하다.</v>
      </c>
      <c r="D26" s="41" t="str">
        <f>Human!D$85</f>
        <v>+</v>
      </c>
      <c r="E26" s="42" t="str">
        <f>Human!E85</f>
        <v>UI표현과  business logic 처리 같은 책임이 분리되어 있고 서버 컴포넌트 재사용할 수 있다.</v>
      </c>
    </row>
    <row r="27" ht="15.75" customHeight="1">
      <c r="A27" s="42"/>
      <c r="B27" s="42"/>
      <c r="C27" s="42"/>
      <c r="D27" s="42"/>
      <c r="E27" s="42"/>
    </row>
    <row r="28" ht="15.75" customHeight="1">
      <c r="A28" s="13" t="s">
        <v>65</v>
      </c>
      <c r="B28" s="13">
        <v>0.0</v>
      </c>
      <c r="C28" s="13">
        <v>0.0</v>
      </c>
      <c r="D28" s="13">
        <v>0.0</v>
      </c>
      <c r="E28" s="13">
        <v>0.0</v>
      </c>
    </row>
    <row r="29" ht="15.75" customHeight="1">
      <c r="A29" s="42" t="s">
        <v>34</v>
      </c>
      <c r="B29" s="41" t="str">
        <f>'AI#1_GPT'!B$86</f>
        <v>0</v>
      </c>
      <c r="C29" s="42" t="str">
        <f>'AI#1_GPT'!C86</f>
        <v>네트워크 지연은 늘지만 각 tier를 독립 확장해 병목을 완화할 수 있어 효과가 상쇄된다.</v>
      </c>
      <c r="D29" s="41" t="str">
        <f>'AI#1_GPT'!D$86</f>
        <v>0</v>
      </c>
      <c r="E29" s="42" t="str">
        <f>'AI#1_GPT'!E86</f>
        <v>중앙 서버 최적화의 장점이 있지만 네트워크 지연과 서버 병목이 동시에 존재한다.</v>
      </c>
    </row>
    <row r="30" ht="15.75" customHeight="1">
      <c r="A30" s="42" t="s">
        <v>35</v>
      </c>
      <c r="B30" s="41" t="str">
        <f>'AI#2_Gemini'!B$86</f>
        <v>0</v>
      </c>
      <c r="C30" s="42" t="str">
        <f>'AI#2_Gemini'!C86</f>
        <v>[+] 교안: 중간 tier가 확장성·성능을 위한 멀티스레딩을 지원한다.
 [-] 복잡성과 오버헤드가 있다.</v>
      </c>
      <c r="D30" s="41" t="str">
        <f>'AI#2_Gemini'!D$86</f>
        <v>0</v>
      </c>
      <c r="E30" s="42" t="str">
        <f>'AI#2_Gemini'!E86</f>
        <v>[+] 교안: 동시성·확장성의 잠재력이 있고 다수 client가 고성능 server에 접근할 때 자원을 효과적으로 쓴다.
 [-] server가 성능 병목이 될 수 있다.</v>
      </c>
    </row>
    <row r="31" ht="15.75" customHeight="1">
      <c r="A31" s="42" t="s">
        <v>39</v>
      </c>
      <c r="B31" s="41" t="str">
        <f>Human!B$86</f>
        <v>0</v>
      </c>
      <c r="C31" s="42" t="str">
        <f>Human!C86</f>
        <v>Multithread, 다중화를 시키는 것으로 Performance의 확장이 가능하나, tier간 통신에 의한 O/H, tier가 너무 많아지면 추가로 O/H가 증가할 위험성이 있다.</v>
      </c>
      <c r="D31" s="41" t="str">
        <f>Human!D$86</f>
        <v>0</v>
      </c>
      <c r="E31" s="42" t="str">
        <f>Human!E86</f>
        <v>동시성과 확정성의 가능성이 있으나 서버가 bottleneck이 될 수 있다.</v>
      </c>
    </row>
    <row r="32" ht="15.75" customHeight="1">
      <c r="A32" s="42"/>
      <c r="B32" s="42"/>
      <c r="C32" s="42"/>
      <c r="D32" s="42"/>
      <c r="E32" s="42"/>
    </row>
    <row r="33" ht="15.75" customHeight="1">
      <c r="A33" s="13" t="s">
        <v>68</v>
      </c>
      <c r="B33" s="13">
        <v>0.0</v>
      </c>
      <c r="C33" s="13">
        <v>0.0</v>
      </c>
      <c r="D33" s="13">
        <v>0.0</v>
      </c>
      <c r="E33" s="13">
        <v>0.0</v>
      </c>
    </row>
    <row r="34" ht="15.75" customHeight="1">
      <c r="A34" s="42" t="s">
        <v>34</v>
      </c>
      <c r="B34" s="41" t="str">
        <f>'AI#1_GPT'!B$87</f>
        <v>+</v>
      </c>
      <c r="C34" s="42" t="str">
        <f>'AI#1_GPT'!C87</f>
        <v>업무 규칙과 데이터 접근을 별도 tier로 통제해 잘못된 요청이 핵심 데이터에 직접 닿지 않게 할 수 있다.</v>
      </c>
      <c r="D34" s="41" t="str">
        <f>'AI#1_GPT'!D$87</f>
        <v>+</v>
      </c>
      <c r="E34" s="42" t="str">
        <f>'AI#1_GPT'!E87</f>
        <v>중요한 업무 규칙과 데이터 검증을 서버에서 일관되게 강제할 수 있다.</v>
      </c>
    </row>
    <row r="35" ht="15.75" customHeight="1">
      <c r="A35" s="42" t="s">
        <v>35</v>
      </c>
      <c r="B35" s="41" t="str">
        <f>'AI#2_Gemini'!B$87</f>
        <v>0</v>
      </c>
      <c r="C35" s="42" t="str">
        <f>'AI#2_Gemini'!C87</f>
        <v>이 아키텍처 스타일이 해당 품질속성을 직접 좌우하지 않음.</v>
      </c>
      <c r="D35" s="41" t="str">
        <f>'AI#2_Gemini'!D$87</f>
        <v>0</v>
      </c>
      <c r="E35" s="42" t="str">
        <f>'AI#2_Gemini'!E87</f>
        <v>이 아키텍처 스타일이 해당 품질속성을 직접 좌우하지 않음.</v>
      </c>
    </row>
    <row r="36" ht="15.75" customHeight="1">
      <c r="A36" s="42" t="s">
        <v>39</v>
      </c>
      <c r="B36" s="41" t="str">
        <f>Human!B$87</f>
        <v>0</v>
      </c>
      <c r="C36" s="42" t="str">
        <f>Human!C87</f>
        <v>Tier 분리를 통해 오류를 검증·격리할 수 있어 Safety에 긍정적이지만, Tier가 많아지거나 계층 간 장애 전파 가능성이 존재할 경우 상쇄된다.</v>
      </c>
      <c r="D36" s="41" t="str">
        <f>Human!D$87</f>
        <v>+</v>
      </c>
      <c r="E36" s="42" t="str">
        <f>Human!E87</f>
        <v>서버와 클라이언트가 분리되어 있어 장애의 직접적인 전파 및 영향 범위를 제한할 수 있다.</v>
      </c>
    </row>
    <row r="37" ht="15.75" customHeight="1">
      <c r="A37" s="42"/>
      <c r="B37" s="42"/>
      <c r="C37" s="42"/>
      <c r="D37" s="42"/>
      <c r="E37" s="42"/>
    </row>
    <row r="38" ht="15.75" customHeight="1">
      <c r="A38" s="13" t="s">
        <v>74</v>
      </c>
      <c r="B38" s="13">
        <v>0.0</v>
      </c>
      <c r="C38" s="13">
        <v>0.0</v>
      </c>
      <c r="D38" s="13">
        <v>0.0</v>
      </c>
      <c r="E38" s="13">
        <v>0.0</v>
      </c>
    </row>
    <row r="39" ht="15.75" customHeight="1">
      <c r="A39" s="42" t="s">
        <v>34</v>
      </c>
      <c r="B39" s="41" t="str">
        <f>'AI#1_GPT'!B$88</f>
        <v>++</v>
      </c>
      <c r="C39" s="42" t="str">
        <f>'AI#1_GPT'!C88</f>
        <v>DMZ·애플리케이션·DB 등 네트워크 구역을 나누고 tier별로 방어 정책을 적용하기 좋다.</v>
      </c>
      <c r="D39" s="43" t="str">
        <f>'AI#1_GPT'!D$88</f>
        <v>+</v>
      </c>
      <c r="E39" s="42" t="str">
        <f>'AI#1_GPT'!E88</f>
        <v>인증·인가를 서버에 중앙화하기 쉽지만 서버 자체가 중요한 공격 대상이 된다.</v>
      </c>
    </row>
    <row r="40" ht="15.75" customHeight="1">
      <c r="A40" s="42" t="s">
        <v>35</v>
      </c>
      <c r="B40" s="41" t="str">
        <f>'AI#2_Gemini'!B$88</f>
        <v>+</v>
      </c>
      <c r="C40" s="42" t="str">
        <f>'AI#2_Gemini'!C88</f>
        <v>presentation·application·data tier를 분리하여 민감한 비즈니스 로직·데이터를 최종 사용자의 직접 접근으로부터 보호한다(enhancement of security).</v>
      </c>
      <c r="D40" s="43" t="str">
        <f>'AI#2_Gemini'!D$88</f>
        <v>-</v>
      </c>
      <c r="E40" s="42" t="str">
        <f>'AI#2_Gemini'!E88</f>
        <v>보안 복잡성(security complications)이 약점으로 언급된다.</v>
      </c>
    </row>
    <row r="41" ht="15.75" customHeight="1">
      <c r="A41" s="42" t="s">
        <v>39</v>
      </c>
      <c r="B41" s="41" t="str">
        <f>Human!B$88</f>
        <v>+</v>
      </c>
      <c r="C41" s="42" t="str">
        <f>Human!C88</f>
        <v>Tier들 간 security 권한, data access를 따로 부여하는 것으로 보안 위험을 줄일 수 있다.</v>
      </c>
      <c r="D41" s="41" t="str">
        <f>Human!D$88</f>
        <v>-</v>
      </c>
      <c r="E41" s="42" t="str">
        <f>Human!E88</f>
        <v>Network를 통한 통신이 필요하기 때문에 보안 취약점이 존재한다.</v>
      </c>
    </row>
    <row r="42" ht="15.75" customHeight="1">
      <c r="A42" s="42"/>
      <c r="B42" s="42"/>
      <c r="C42" s="42"/>
      <c r="D42" s="42"/>
      <c r="E42" s="42"/>
    </row>
    <row r="43" ht="15.75" customHeight="1">
      <c r="A43" s="13" t="s">
        <v>75</v>
      </c>
      <c r="B43" s="13">
        <v>0.0</v>
      </c>
      <c r="C43" s="13">
        <v>0.0</v>
      </c>
      <c r="D43" s="13">
        <v>0.0</v>
      </c>
      <c r="E43" s="13">
        <v>0.0</v>
      </c>
    </row>
    <row r="44" ht="15.75" customHeight="1">
      <c r="A44" s="42" t="s">
        <v>34</v>
      </c>
      <c r="B44" s="43" t="str">
        <f>'AI#1_GPT'!B$89</f>
        <v>+</v>
      </c>
      <c r="C44" s="42" t="str">
        <f>'AI#1_GPT'!C89</f>
        <v>tier별 테스트와 Mock이 가능하지만 네트워크·데이터베이스를 포함한 통합 테스트가 필요하다.</v>
      </c>
      <c r="D44" s="43" t="str">
        <f>'AI#1_GPT'!D$89</f>
        <v>+</v>
      </c>
      <c r="E44" s="42" t="str">
        <f>'AI#1_GPT'!E89</f>
        <v>클라이언트와 서버를 Mock으로 분리 테스트하고 API 계약을 독립 검증하기 쉽다.</v>
      </c>
    </row>
    <row r="45" ht="15.75" customHeight="1">
      <c r="A45" s="42" t="s">
        <v>35</v>
      </c>
      <c r="B45" s="43" t="str">
        <f>'AI#2_Gemini'!B$89</f>
        <v>-</v>
      </c>
      <c r="C45" s="42" t="str">
        <f>'AI#2_Gemini'!C89</f>
        <v>테스트 도구의 일반적 부족으로 테스트 용이성이 떨어진다.</v>
      </c>
      <c r="D45" s="43" t="str">
        <f>'AI#2_Gemini'!D$89</f>
        <v>-</v>
      </c>
      <c r="E45" s="42" t="str">
        <f>'AI#2_Gemini'!E89</f>
        <v>제한된 테스트 용이성(limited testability)이 약점으로 언급된다.</v>
      </c>
    </row>
    <row r="46" ht="15.75" customHeight="1">
      <c r="A46" s="42" t="s">
        <v>39</v>
      </c>
      <c r="B46" s="41" t="str">
        <f>Human!B$89</f>
        <v>-</v>
      </c>
      <c r="C46" s="42" t="str">
        <f>Human!C89</f>
        <v>분산된 환경을 고려한 test도구가 필요하며, 각 물리적 tier의 특성을 고려해야 하기 때문에 통합 testability가 떨어짐</v>
      </c>
      <c r="D46" s="41" t="str">
        <f>Human!D$89</f>
        <v>-</v>
      </c>
      <c r="E46" s="42" t="str">
        <f>Human!E89</f>
        <v>서버의 설정을 모두 고려해야 하기 때문에 test용이성이 떨어짐</v>
      </c>
    </row>
    <row r="47" ht="15.0" customHeight="1">
      <c r="A47" s="42"/>
      <c r="B47" s="42"/>
      <c r="C47" s="42"/>
      <c r="D47" s="42"/>
      <c r="E47" s="42"/>
    </row>
    <row r="48" ht="15.75" customHeight="1">
      <c r="A48" s="13" t="s">
        <v>79</v>
      </c>
      <c r="B48" s="13">
        <v>0.0</v>
      </c>
      <c r="C48" s="13">
        <v>0.0</v>
      </c>
      <c r="D48" s="13">
        <v>0.0</v>
      </c>
      <c r="E48" s="13">
        <v>0.0</v>
      </c>
    </row>
    <row r="49" ht="15.75" customHeight="1">
      <c r="A49" s="42" t="s">
        <v>34</v>
      </c>
      <c r="B49" s="41" t="str">
        <f>'AI#1_GPT'!B$90</f>
        <v>+</v>
      </c>
      <c r="C49" s="42" t="str">
        <f>'AI#1_GPT'!C90</f>
        <v>Presentation tier를 별도로 발전시킬 수 있어 UI 개선과 다양한 클라이언트 지원에 유리하다.</v>
      </c>
      <c r="D49" s="41" t="str">
        <f>'AI#1_GPT'!D$90</f>
        <v>+</v>
      </c>
      <c r="E49" s="42" t="str">
        <f>'AI#1_GPT'!E90</f>
        <v>복잡한 로직을 서버에 두고 클라이언트를 단순화해 일관된 사용자 경험을 제공하기 쉽다.</v>
      </c>
    </row>
    <row r="50" ht="15.75" customHeight="1">
      <c r="A50" s="42" t="s">
        <v>35</v>
      </c>
      <c r="B50" s="41" t="str">
        <f>'AI#2_Gemini'!B$90</f>
        <v>0</v>
      </c>
      <c r="C50" s="42" t="str">
        <f>'AI#2_Gemini'!C90</f>
        <v>이 아키텍처 스타일이 해당 품질속성을 직접 좌우하지 않음.</v>
      </c>
      <c r="D50" s="41" t="str">
        <f>'AI#2_Gemini'!D$90</f>
        <v>0</v>
      </c>
      <c r="E50" s="42" t="str">
        <f>'AI#2_Gemini'!E90</f>
        <v>이 아키텍처 스타일이 해당 품질속성을 직접 좌우하지 않음.</v>
      </c>
    </row>
    <row r="51" ht="15.75" customHeight="1">
      <c r="A51" s="42" t="s">
        <v>39</v>
      </c>
      <c r="B51" s="41" t="str">
        <f>Human!B$90</f>
        <v>0</v>
      </c>
      <c r="C51" s="42" t="str">
        <f>Human!C90</f>
        <v>Presentation tier가 존재한다면, User experience 향상을 위한 다양한 지원 기능을 추가할 수 있다. 그러나 해당 tier가 없을 경우 아키텍쳐적인 이득은 없다.</v>
      </c>
      <c r="D51" s="41" t="str">
        <f>Human!D$90</f>
        <v>0</v>
      </c>
      <c r="E51" s="42" t="str">
        <f>Human!E90</f>
        <v>이 아키텍처 스타일이 해당 품질속성을 직접 좌우하지 않음.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.71"/>
    <col customWidth="1" min="3" max="3" width="126.29"/>
    <col customWidth="1" min="4" max="4" width="7.71"/>
    <col customWidth="1" min="5" max="5" width="127.57"/>
    <col customWidth="1" min="6" max="6" width="14.43"/>
  </cols>
  <sheetData>
    <row r="1">
      <c r="A1" s="44" t="s">
        <v>90</v>
      </c>
      <c r="B1" s="45" t="s">
        <v>96</v>
      </c>
      <c r="C1" s="46"/>
      <c r="D1" s="45" t="s">
        <v>97</v>
      </c>
      <c r="E1" s="46"/>
    </row>
    <row r="2">
      <c r="A2" s="47"/>
      <c r="B2" s="48" t="s">
        <v>29</v>
      </c>
      <c r="C2" s="48" t="s">
        <v>32</v>
      </c>
      <c r="D2" s="48" t="s">
        <v>29</v>
      </c>
      <c r="E2" s="48" t="s">
        <v>32</v>
      </c>
    </row>
    <row r="3" ht="15.0" customHeight="1">
      <c r="A3" s="49" t="s">
        <v>33</v>
      </c>
      <c r="B3" s="49">
        <v>0.0</v>
      </c>
      <c r="C3" s="49">
        <v>0.0</v>
      </c>
      <c r="D3" s="49">
        <v>0.0</v>
      </c>
      <c r="E3" s="49">
        <v>0.0</v>
      </c>
    </row>
    <row r="4">
      <c r="A4" s="50" t="s">
        <v>34</v>
      </c>
      <c r="B4" s="43" t="str">
        <f>'AI#1_GPT'!B$94</f>
        <v>+</v>
      </c>
      <c r="C4" s="50" t="str">
        <f>'AI#1_GPT'!C94</f>
        <v>서비스 위치가 바뀌거나 일부 제공자가 실패해도 broker가 다른 제공자로 연결할 수 있지만 broker 자체 장애 위험은 있다.</v>
      </c>
      <c r="D4" s="41" t="str">
        <f>'AI#1_GPT'!D$94</f>
        <v>+</v>
      </c>
      <c r="E4" s="50" t="str">
        <f>'AI#1_GPT'!E94</f>
        <v>요청을 여러 처리기로 재분배해 일부 handler 장애를 우회할 수 있지만 dispatcher 장애점은 남는다.</v>
      </c>
    </row>
    <row r="5">
      <c r="A5" s="50" t="s">
        <v>35</v>
      </c>
      <c r="B5" s="43" t="str">
        <f>'AI#2_Gemini'!B$94</f>
        <v>-</v>
      </c>
      <c r="C5" s="50" t="str">
        <f>'AI#2_Gemini'!C94</f>
        <v>Broker나 Server 장애 시 이에 의존하는 앱이 마비되어 Fault Tolerance가 낮음 (컴포넌트 복제 필요).</v>
      </c>
      <c r="D5" s="41" t="str">
        <f>'AI#2_Gemini'!D$94</f>
        <v>+</v>
      </c>
      <c r="E5" s="50" t="str">
        <f>'AI#2_Gemini'!E94</f>
        <v>장애 발생 시 다른 장비에서 새 Server를 동적으로 활성화할 수 있어 Fault Tolerance 및 가용성이 우수함.</v>
      </c>
    </row>
    <row r="6">
      <c r="A6" s="50" t="s">
        <v>39</v>
      </c>
      <c r="B6" s="41" t="str">
        <f>Human!B$94</f>
        <v>--</v>
      </c>
      <c r="C6" s="50" t="str">
        <f>Human!C94</f>
        <v>Server나 Broker에 장애가 발생하면 이에 의존하는 모든 application이 중단될 수 있다.</v>
      </c>
      <c r="D6" s="41" t="str">
        <f>Human!D$94</f>
        <v>+</v>
      </c>
      <c r="E6" s="50" t="str">
        <f>Human!E94</f>
        <v>네트워크나 서버 장애 시 다른 머신에서 새 서버를 활성화할 수 있다.</v>
      </c>
    </row>
    <row r="7">
      <c r="A7" s="50"/>
      <c r="B7" s="50"/>
      <c r="C7" s="50"/>
      <c r="D7" s="50"/>
      <c r="E7" s="50"/>
    </row>
    <row r="8" ht="15.0" customHeight="1">
      <c r="A8" s="49" t="s">
        <v>46</v>
      </c>
      <c r="B8" s="49">
        <v>0.0</v>
      </c>
      <c r="C8" s="49">
        <v>0.0</v>
      </c>
      <c r="D8" s="49">
        <v>0.0</v>
      </c>
      <c r="E8" s="49">
        <v>0.0</v>
      </c>
    </row>
    <row r="9">
      <c r="A9" s="50" t="s">
        <v>34</v>
      </c>
      <c r="B9" s="41" t="str">
        <f>'AI#1_GPT'!B$95</f>
        <v>++</v>
      </c>
      <c r="C9" s="50" t="str">
        <f>'AI#1_GPT'!C95</f>
        <v>서비스 소비자가 실제 제공자의 위치·구현을 몰라도 되어 제공자를 독립 배포·이동하기 쉽다.</v>
      </c>
      <c r="D9" s="41" t="str">
        <f>'AI#1_GPT'!D$95</f>
        <v>+</v>
      </c>
      <c r="E9" s="50" t="str">
        <f>'AI#1_GPT'!E95</f>
        <v>새 handler를 등록하거나 기존 handler를 교체할 수 있어 처리 기능을 점진적으로 배포하기 쉽다.</v>
      </c>
    </row>
    <row r="10">
      <c r="A10" s="50" t="s">
        <v>35</v>
      </c>
      <c r="B10" s="41" t="str">
        <f>'AI#2_Gemini'!B$95</f>
        <v>++</v>
      </c>
      <c r="C10" s="50" t="str">
        <f>'AI#2_Gemini'!C95</f>
        <v>Location transparency 덕분에 런타임 중 Server Component 추가/제거 및 배포가 매우 용이함.</v>
      </c>
      <c r="D10" s="41" t="str">
        <f>'AI#2_Gemini'!D$95</f>
        <v>+</v>
      </c>
      <c r="E10" s="50" t="str">
        <f>'AI#2_Gemini'!E95</f>
        <v>Dispatcher나 Client 변경 없이 Server를 자유롭게 추가·수정 및 재구성(Re-configuration) 가능함.</v>
      </c>
    </row>
    <row r="11">
      <c r="A11" s="50" t="s">
        <v>39</v>
      </c>
      <c r="B11" s="41" t="str">
        <f>Human!B$95</f>
        <v>++</v>
      </c>
      <c r="C11" s="50" t="str">
        <f>Human!C95</f>
        <v>간접 계층이 OS와 네트워크 세부 사항을 Client와 Server로부터 숨겨, 다른 운영 환경으로 시스템을 이식하고 배포하기 용이하다.</v>
      </c>
      <c r="D11" s="41" t="str">
        <f>Human!D$95</f>
        <v>+</v>
      </c>
      <c r="E11" s="50" t="str">
        <f>Human!E95</f>
        <v>어떤 서버를 어디에 둘지 시작 시점 또는 이후에 결정할 수 있고, 서버를 dispatcher·client 수정 없이 추가·변경할 수 있다.</v>
      </c>
    </row>
    <row r="12">
      <c r="A12" s="50"/>
      <c r="B12" s="50"/>
      <c r="C12" s="50"/>
      <c r="D12" s="50"/>
      <c r="E12" s="50"/>
    </row>
    <row r="13" ht="15.0" customHeight="1">
      <c r="A13" s="49" t="s">
        <v>52</v>
      </c>
      <c r="B13" s="49">
        <v>0.0</v>
      </c>
      <c r="C13" s="49">
        <v>0.0</v>
      </c>
      <c r="D13" s="49">
        <v>0.0</v>
      </c>
      <c r="E13" s="49">
        <v>0.0</v>
      </c>
    </row>
    <row r="14">
      <c r="A14" s="50" t="s">
        <v>34</v>
      </c>
      <c r="B14" s="41" t="str">
        <f>'AI#1_GPT'!B$96</f>
        <v>++</v>
      </c>
      <c r="C14" s="50" t="str">
        <f>'AI#1_GPT'!C96</f>
        <v>broker가 서비스 탐색·호출 형식을 중재해 이기종 시스템을 느슨하게 연결하는 데 매우 유리하다.</v>
      </c>
      <c r="D14" s="41" t="str">
        <f>'AI#1_GPT'!D$96</f>
        <v>+</v>
      </c>
      <c r="E14" s="50" t="str">
        <f>'AI#1_GPT'!E96</f>
        <v>공통 dispatch 계약을 통해 다양한 handler를 하나의 진입점 뒤에 연결할 수 있다.</v>
      </c>
    </row>
    <row r="15">
      <c r="A15" s="50" t="s">
        <v>35</v>
      </c>
      <c r="B15" s="41" t="str">
        <f>'AI#2_Gemini'!B$96</f>
        <v>++</v>
      </c>
      <c r="C15" s="50" t="str">
        <f>'AI#2_Gemini'!C96</f>
        <v>Broker bridge를 통해 서로 다른 이종 시스템 간 상호운용성(Interoperability) 및 기존 서비스 재사용성이 극대화됨.</v>
      </c>
      <c r="D15" s="41" t="str">
        <f>'AI#2_Gemini'!D$96</f>
        <v>+</v>
      </c>
      <c r="E15" s="50" t="str">
        <f>'AI#2_Gemini'!E96</f>
        <v>Client 변경 없이 Server 교체(Exchangeability) 및 위치 연동이 수월하나 Bridge 수준의 이종 통합 기능은 미비함.</v>
      </c>
    </row>
    <row r="16">
      <c r="A16" s="50" t="s">
        <v>39</v>
      </c>
      <c r="B16" s="41" t="str">
        <f>Human!B$96</f>
        <v>++</v>
      </c>
      <c r="C16" s="50" t="str">
        <f>Human!C96</f>
        <v>Broker가 위치·통신 세부사항을 중개하여 이기종 서비스 연결이 용이하다.</v>
      </c>
      <c r="D16" s="41" t="str">
        <f>Human!D$96</f>
        <v>+</v>
      </c>
      <c r="E16" s="50" t="str">
        <f>Human!E96</f>
        <v>서버 교환성(exchangeability of servers), 위치·이관 투명성(location and migration transparency)으로 서버를 다른 머신으로 동적 이주할 수 있다.</v>
      </c>
    </row>
    <row r="17">
      <c r="A17" s="50"/>
      <c r="B17" s="50"/>
      <c r="C17" s="50"/>
      <c r="D17" s="50"/>
      <c r="E17" s="50"/>
    </row>
    <row r="18">
      <c r="A18" s="49" t="s">
        <v>58</v>
      </c>
      <c r="B18" s="49">
        <v>0.0</v>
      </c>
      <c r="C18" s="49">
        <v>0.0</v>
      </c>
      <c r="D18" s="49">
        <v>0.0</v>
      </c>
      <c r="E18" s="49">
        <v>0.0</v>
      </c>
    </row>
    <row r="19">
      <c r="A19" s="50" t="s">
        <v>34</v>
      </c>
      <c r="B19" s="41" t="str">
        <f>'AI#1_GPT'!B$97</f>
        <v>-</v>
      </c>
      <c r="C19" s="50" t="str">
        <f>'AI#1_GPT'!C97</f>
        <v>모든 요청이 중개 계층과 직렬화 과정을 추가로 거치므로 직접 호출보다 자원 소비가 늘어난다.</v>
      </c>
      <c r="D19" s="41" t="str">
        <f>'AI#1_GPT'!D$97</f>
        <v>0</v>
      </c>
      <c r="E19" s="50" t="str">
        <f>'AI#1_GPT'!E97</f>
        <v>라우팅 오버헤드는 있지만 broker보다 단순한 경우가 많아 전체 에너지 영향은 대체로 작다.</v>
      </c>
    </row>
    <row r="20">
      <c r="A20" s="50" t="s">
        <v>35</v>
      </c>
      <c r="B20" s="41" t="str">
        <f>'AI#2_Gemini'!B$97</f>
        <v>--</v>
      </c>
      <c r="C20" s="50" t="str">
        <f>'AI#2_Gemini'!C97</f>
        <v>Proxy 및 Broker를 거치는 간접 호출(Indirection) 단계가 많아 네트워크/CPU 리소스 및 에너지 소모가 큼.</v>
      </c>
      <c r="D20" s="41" t="str">
        <f>'AI#2_Gemini'!D$97</f>
        <v>-</v>
      </c>
      <c r="E20" s="50" t="str">
        <f>'AI#2_Gemini'!E97</f>
        <v>Dispatcher 오버헤드가 존재하지만 Broker의 다단계 Proxy 구조보다는 간접 호출 비용이 작음.</v>
      </c>
    </row>
    <row r="21" ht="15.75" customHeight="1">
      <c r="A21" s="50" t="s">
        <v>39</v>
      </c>
      <c r="B21" s="41" t="str">
        <f>Human!B$97</f>
        <v>-</v>
      </c>
      <c r="C21" s="50" t="str">
        <f>Human!C97</f>
        <v>Proxy 및 Broker를 거치는 간접 호출 단계가 많아 자원 소모가 크다.</v>
      </c>
      <c r="D21" s="41" t="str">
        <f>Human!D$97</f>
        <v>-</v>
      </c>
      <c r="E21" s="50" t="str">
        <f>Human!E97</f>
        <v>dispatcher를 거치는 오버헤드(dispatcher overhead)가 있다.</v>
      </c>
    </row>
    <row r="22" ht="15.75" customHeight="1">
      <c r="A22" s="50"/>
      <c r="B22" s="50"/>
      <c r="C22" s="50"/>
      <c r="D22" s="50"/>
      <c r="E22" s="50"/>
    </row>
    <row r="23" ht="15.75" customHeight="1">
      <c r="A23" s="49" t="s">
        <v>61</v>
      </c>
      <c r="B23" s="49">
        <v>0.0</v>
      </c>
      <c r="C23" s="49">
        <v>0.0</v>
      </c>
      <c r="D23" s="49">
        <v>0.0</v>
      </c>
      <c r="E23" s="49">
        <v>0.0</v>
      </c>
    </row>
    <row r="24" ht="15.75" customHeight="1">
      <c r="A24" s="50" t="s">
        <v>34</v>
      </c>
      <c r="B24" s="41" t="str">
        <f>'AI#1_GPT'!B$98</f>
        <v>++</v>
      </c>
      <c r="C24" s="50" t="str">
        <f>'AI#1_GPT'!C98</f>
        <v>서비스 제공자나 위치를 변경해도 소비자 코드 변경을 최소화할 수 있다.</v>
      </c>
      <c r="D24" s="41" t="str">
        <f>'AI#1_GPT'!D$98</f>
        <v>+</v>
      </c>
      <c r="E24" s="50" t="str">
        <f>'AI#1_GPT'!E98</f>
        <v>라우팅 규칙과 handler 구현을 분리해 기능 추가·교체 시 핵심 호출자를 크게 바꾸지 않아도 된다.</v>
      </c>
    </row>
    <row r="25" ht="15.75" customHeight="1">
      <c r="A25" s="50" t="s">
        <v>35</v>
      </c>
      <c r="B25" s="41" t="str">
        <f>'AI#2_Gemini'!B$98</f>
        <v>++</v>
      </c>
      <c r="C25" s="50" t="str">
        <f>'AI#2_Gemini'!C98</f>
        <v>Component의 Changeability와 Extensibility가 뛰어나며 런타임 변경(Runtime changes)이 완벽히 지원됨.</v>
      </c>
      <c r="D25" s="41" t="str">
        <f>'AI#2_Gemini'!D$98</f>
        <v>+</v>
      </c>
      <c r="E25" s="50" t="str">
        <f>'AI#2_Gemini'!E98</f>
        <v>Server 교체 및 위치·이동 투명성이 우수하나, Dispatcher 자체의 Interface 변경에는 민감하다는 제약이 있음.</v>
      </c>
    </row>
    <row r="26" ht="15.75" customHeight="1">
      <c r="A26" s="50" t="s">
        <v>39</v>
      </c>
      <c r="B26" s="41" t="str">
        <f>Human!B$98</f>
        <v>++</v>
      </c>
      <c r="C26" s="50" t="str">
        <f>Human!C98</f>
        <v>Component를 교체하거나 기능을 추가할 때 다른 컴포넌트에 미치는 영향이 적어 runtime changes가 가능하다.</v>
      </c>
      <c r="D26" s="41" t="str">
        <f>Human!D$98</f>
        <v>+</v>
      </c>
      <c r="E26" s="50" t="str">
        <f>Human!E98</f>
        <v>서버를 dispatcher나 client 수정 없이 추가·변경할 수 있지만, Dispatcher interface 변경은 어렵다</v>
      </c>
    </row>
    <row r="27" ht="15.75" customHeight="1">
      <c r="A27" s="50"/>
      <c r="B27" s="50"/>
      <c r="C27" s="50"/>
      <c r="D27" s="50"/>
      <c r="E27" s="50"/>
    </row>
    <row r="28" ht="15.75" customHeight="1">
      <c r="A28" s="49" t="s">
        <v>65</v>
      </c>
      <c r="B28" s="49">
        <v>0.0</v>
      </c>
      <c r="C28" s="49">
        <v>0.0</v>
      </c>
      <c r="D28" s="49">
        <v>0.0</v>
      </c>
      <c r="E28" s="49">
        <v>0.0</v>
      </c>
    </row>
    <row r="29" ht="15.75" customHeight="1">
      <c r="A29" s="50" t="s">
        <v>34</v>
      </c>
      <c r="B29" s="41" t="str">
        <f>'AI#1_GPT'!B$99</f>
        <v>-</v>
      </c>
      <c r="C29" s="50" t="str">
        <f>'AI#1_GPT'!C99</f>
        <v>요청이 broker를 한 번 더 거치면서 네트워크 홉과 중개 처리 지연이 추가된다.</v>
      </c>
      <c r="D29" s="43" t="str">
        <f>'AI#1_GPT'!D$99</f>
        <v>+</v>
      </c>
      <c r="E29" s="50" t="str">
        <f>'AI#1_GPT'!E99</f>
        <v>요청을 여러 handler에 분산해 병렬 처리와 부하 분산이 가능하며 라우팅 비용은 비교적 작다.</v>
      </c>
    </row>
    <row r="30" ht="15.75" customHeight="1">
      <c r="A30" s="50" t="s">
        <v>35</v>
      </c>
      <c r="B30" s="41" t="str">
        <f>'AI#2_Gemini'!B$99</f>
        <v>--</v>
      </c>
      <c r="C30" s="50" t="str">
        <f>'AI#2_Gemini'!C99</f>
        <v>Client-Proxy-Broker-Server를 거치는 간접 호출 때문에 비효율성이 크고 응답 지연이 발생함.</v>
      </c>
      <c r="D30" s="43" t="str">
        <f>'AI#2_Gemini'!D$99</f>
        <v>-</v>
      </c>
      <c r="E30" s="50" t="str">
        <f>'AI#2_Gemini'!E99</f>
        <v>Dispatcher 라우팅/중계에 따른 Overhead가 발생하나 Broker에 비해 경로가 비교적 단순함.</v>
      </c>
    </row>
    <row r="31" ht="15.75" customHeight="1">
      <c r="A31" s="50" t="s">
        <v>39</v>
      </c>
      <c r="B31" s="41" t="str">
        <f>Human!B$99</f>
        <v>-</v>
      </c>
      <c r="C31" s="50" t="str">
        <f>Human!C99</f>
        <v>Proxy와 Broker를 거치는 간접 호출 때문에  비효율성이 크고 응답 지연이 발생한다.</v>
      </c>
      <c r="D31" s="43" t="str">
        <f>Human!D$99</f>
        <v>-</v>
      </c>
      <c r="E31" s="50" t="str">
        <f>Human!E99</f>
        <v>dispatcher 오버헤드가 있다.</v>
      </c>
    </row>
    <row r="32" ht="15.75" customHeight="1">
      <c r="A32" s="50"/>
      <c r="B32" s="50"/>
      <c r="C32" s="50"/>
      <c r="D32" s="50"/>
      <c r="E32" s="50"/>
    </row>
    <row r="33" ht="15.75" customHeight="1">
      <c r="A33" s="49" t="s">
        <v>68</v>
      </c>
      <c r="B33" s="49">
        <v>0.0</v>
      </c>
      <c r="C33" s="49">
        <v>0.0</v>
      </c>
      <c r="D33" s="49">
        <v>0.0</v>
      </c>
      <c r="E33" s="49">
        <v>0.0</v>
      </c>
    </row>
    <row r="34" ht="15.75" customHeight="1">
      <c r="A34" s="50" t="s">
        <v>34</v>
      </c>
      <c r="B34" s="43" t="str">
        <f>'AI#1_GPT'!B$100</f>
        <v>+</v>
      </c>
      <c r="C34" s="50" t="str">
        <f>'AI#1_GPT'!C100</f>
        <v>중개 지점에서 라우팅, 재시도, 정책 검증을 일관되게 적용해 오류 전파를 줄일 수 있다.</v>
      </c>
      <c r="D34" s="41" t="str">
        <f>'AI#1_GPT'!D$100</f>
        <v>+</v>
      </c>
      <c r="E34" s="50" t="str">
        <f>'AI#1_GPT'!E100</f>
        <v>중앙 dispatch 지점에서 요청 유효성·대상 선택을 통제해 잘못된 호출을 줄일 수 있다.</v>
      </c>
    </row>
    <row r="35" ht="15.75" customHeight="1">
      <c r="A35" s="50" t="s">
        <v>35</v>
      </c>
      <c r="B35" s="43" t="str">
        <f>'AI#2_Gemini'!B$100</f>
        <v>-</v>
      </c>
      <c r="C35" s="50" t="str">
        <f>'AI#2_Gemini'!C100</f>
        <v>분산 상호작용이 복잡하고 특정 Server/Broker 다운 시 연쇄 중단 위험이 존재함.</v>
      </c>
      <c r="D35" s="41" t="str">
        <f>'AI#2_Gemini'!D$100</f>
        <v>+</v>
      </c>
      <c r="E35" s="50" t="str">
        <f>'AI#2_Gemini'!E100</f>
        <v>장애 시 대체 Server 동적 활성화 및 이동 투명성을 통해 시스템 전체의 안전성을 유지하기 수월함.</v>
      </c>
    </row>
    <row r="36" ht="15.75" customHeight="1">
      <c r="A36" s="50" t="s">
        <v>39</v>
      </c>
      <c r="B36" s="43" t="str">
        <f>Human!B$100</f>
        <v>-</v>
      </c>
      <c r="C36" s="50" t="str">
        <f>Human!C100</f>
        <v>특정 Server나 Broker 의 장애가 연쇄 중단으로 이어질 위험이 존재한다.</v>
      </c>
      <c r="D36" s="41" t="str">
        <f>Human!D$100</f>
        <v>+</v>
      </c>
      <c r="E36" s="50" t="str">
        <f>Human!E100</f>
        <v>장애 시 대체 Server 동적 활성화 및 이동 투명성을 통해 시스템 전체의 안전성을 유지하기 수월함.</v>
      </c>
    </row>
    <row r="37" ht="15.75" customHeight="1">
      <c r="A37" s="50"/>
      <c r="B37" s="50"/>
      <c r="C37" s="50"/>
      <c r="D37" s="50"/>
      <c r="E37" s="50"/>
    </row>
    <row r="38" ht="15.75" customHeight="1">
      <c r="A38" s="49" t="s">
        <v>74</v>
      </c>
      <c r="B38" s="49">
        <v>0.0</v>
      </c>
      <c r="C38" s="49">
        <v>0.0</v>
      </c>
      <c r="D38" s="49">
        <v>0.0</v>
      </c>
      <c r="E38" s="49">
        <v>0.0</v>
      </c>
    </row>
    <row r="39" ht="15.75" customHeight="1">
      <c r="A39" s="50" t="s">
        <v>34</v>
      </c>
      <c r="B39" s="43" t="str">
        <f>'AI#1_GPT'!B$101</f>
        <v>+</v>
      </c>
      <c r="C39" s="50" t="str">
        <f>'AI#1_GPT'!C101</f>
        <v>broker에 인증·접근 정책을 집중할 수 있지만 해당 지점이 고가치 공격 대상이 되는 점은 남는다.</v>
      </c>
      <c r="D39" s="41" t="str">
        <f>'AI#1_GPT'!D$101</f>
        <v>+</v>
      </c>
      <c r="E39" s="50" t="str">
        <f>'AI#1_GPT'!E101</f>
        <v>단일 진입점에 인증·권한·라우팅 제한을 적용하기 쉬우나 dispatcher 보호가 중요해진다.</v>
      </c>
    </row>
    <row r="40" ht="15.75" customHeight="1">
      <c r="A40" s="50" t="s">
        <v>35</v>
      </c>
      <c r="B40" s="43" t="str">
        <f>'AI#2_Gemini'!B$101</f>
        <v>-</v>
      </c>
      <c r="C40" s="50" t="str">
        <f>'AI#2_Gemini'!C101</f>
        <v> 다중 컴포넌트 간 브릿지 및 분산 통신 경로로 인해 보안 검증 및 정책 적용이 복잡함.</v>
      </c>
      <c r="D40" s="41" t="str">
        <f>'AI#2_Gemini'!D$101</f>
        <v>0</v>
      </c>
      <c r="E40" s="50" t="str">
        <f>'AI#2_Gemini'!E101</f>
        <v>요청 라우팅 단일점 제어가 가능하나 Dispatcher 인터페이스 노출에 따른 관리 포인트가 존재함</v>
      </c>
    </row>
    <row r="41" ht="15.75" customHeight="1">
      <c r="A41" s="50" t="s">
        <v>39</v>
      </c>
      <c r="B41" s="43" t="str">
        <f>Human!B$101</f>
        <v>-</v>
      </c>
      <c r="C41" s="50" t="str">
        <f>Human!C101</f>
        <v>Bridge 및 분산 통신 경로로 인해 Component의 보안 검증과 정책 적용이 복잡하다.</v>
      </c>
      <c r="D41" s="41" t="str">
        <f>Human!D$101</f>
        <v>0</v>
      </c>
      <c r="E41" s="50" t="str">
        <f>Human!E101</f>
        <v>단일 진입점에 인증/권한/라우팅 제한을 적용하기 쉬우나 Dispatcher 인터페이스 단일점에 대한 관리 포인트가 존재</v>
      </c>
    </row>
    <row r="42" ht="15.75" customHeight="1">
      <c r="A42" s="50"/>
      <c r="B42" s="50"/>
      <c r="C42" s="50"/>
      <c r="D42" s="50"/>
      <c r="E42" s="52"/>
    </row>
    <row r="43" ht="15.75" customHeight="1">
      <c r="A43" s="49" t="s">
        <v>75</v>
      </c>
      <c r="B43" s="49">
        <v>0.0</v>
      </c>
      <c r="C43" s="49">
        <v>0.0</v>
      </c>
      <c r="D43" s="49">
        <v>0.0</v>
      </c>
      <c r="E43" s="49">
        <v>0.0</v>
      </c>
    </row>
    <row r="44" ht="15.75" customHeight="1">
      <c r="A44" s="50" t="s">
        <v>34</v>
      </c>
      <c r="B44" s="43" t="str">
        <f>'AI#1_GPT'!B$102</f>
        <v>+</v>
      </c>
      <c r="C44" s="50" t="str">
        <f>'AI#1_GPT'!C102</f>
        <v>서비스 제공자나 broker를 Mock으로 대체해 계약 테스트가 가능하지만 분산 상호작용 테스트는 필요하다.</v>
      </c>
      <c r="D44" s="43" t="str">
        <f>'AI#1_GPT'!D$102</f>
        <v>+</v>
      </c>
      <c r="E44" s="50" t="str">
        <f>'AI#1_GPT'!E102</f>
        <v>라우팅 규칙과 handler를 각각 독립 테스트하기 쉽고 가짜 handler로 시나리오를 구성할 수 있다.</v>
      </c>
    </row>
    <row r="45" ht="15.75" customHeight="1">
      <c r="A45" s="50" t="s">
        <v>35</v>
      </c>
      <c r="B45" s="43" t="str">
        <f>'AI#2_Gemini'!B$102</f>
        <v>--</v>
      </c>
      <c r="C45" s="50" t="str">
        <f>'AI#2_Gemini'!C102</f>
        <v>관여하는 Component 수가 많아 테스트와 디버깅이 매우 번거롭고 어려움.</v>
      </c>
      <c r="D45" s="43" t="str">
        <f>'AI#2_Gemini'!D$102</f>
        <v>-</v>
      </c>
      <c r="E45" s="50" t="str">
        <f>'AI#2_Gemini'!E102</f>
        <v>Dispatcher 의존성 및 서버 동적 이동에 따른 시나리오 테스트 난이도가 존재하나 Broker보다는 단순</v>
      </c>
    </row>
    <row r="46" ht="15.75" customHeight="1">
      <c r="A46" s="50" t="s">
        <v>39</v>
      </c>
      <c r="B46" s="43" t="str">
        <f>Human!B$102</f>
        <v>-</v>
      </c>
      <c r="C46" s="50" t="str">
        <f>Human!C102</f>
        <v>여러 Component 간 상호작용을 확인해야 하므로 결함 발견과 원인 추적이 어렵다.</v>
      </c>
      <c r="D46" s="41" t="str">
        <f>Human!D$102</f>
        <v>-</v>
      </c>
      <c r="E46" s="50" t="str">
        <f>Human!E102</f>
        <v>Dispatcher 의존성 및 서버 동적 이동에 따른 시나리오 테스트 난이도가 존재하나 Broker보다는 단순</v>
      </c>
    </row>
    <row r="47" ht="15.0" customHeight="1">
      <c r="A47" s="50"/>
      <c r="B47" s="50"/>
      <c r="C47" s="50"/>
      <c r="D47" s="50"/>
      <c r="E47" s="50"/>
    </row>
    <row r="48" ht="15.75" customHeight="1">
      <c r="A48" s="49" t="s">
        <v>79</v>
      </c>
      <c r="B48" s="49">
        <v>0.0</v>
      </c>
      <c r="C48" s="49">
        <v>0.0</v>
      </c>
      <c r="D48" s="49">
        <v>0.0</v>
      </c>
      <c r="E48" s="49">
        <v>0.0</v>
      </c>
    </row>
    <row r="49" ht="15.75" customHeight="1">
      <c r="A49" s="50" t="s">
        <v>34</v>
      </c>
      <c r="B49" s="41" t="str">
        <f>'AI#1_GPT'!B$103</f>
        <v>0</v>
      </c>
      <c r="C49" s="50" t="str">
        <f>'AI#1_GPT'!C103</f>
        <v>서비스 위치 투명성은 내부 복잡성을 줄이지만 최종 사용자 UI 품질에 직접 영향은 제한적이다.</v>
      </c>
      <c r="D49" s="41" t="str">
        <f>'AI#1_GPT'!D$103</f>
        <v>0</v>
      </c>
      <c r="E49" s="50" t="str">
        <f>'AI#1_GPT'!E103</f>
        <v>주로 내부 요청 분배 구조이므로 최종 사용자 경험에 미치는 직접 영향은 크지 않다.</v>
      </c>
    </row>
    <row r="50" ht="15.75" customHeight="1">
      <c r="A50" s="50" t="s">
        <v>35</v>
      </c>
      <c r="B50" s="41" t="str">
        <f>'AI#2_Gemini'!B$103</f>
        <v>0</v>
      </c>
      <c r="C50" s="50" t="str">
        <f>'AI#2_Gemini'!C103</f>
        <v>두 패턴 모두 백엔드 분산/라우팅 메커니즘을 다루므로 최종 사용자 UI/UX에 직접 미치는 영향은 적음.</v>
      </c>
      <c r="D50" s="41" t="str">
        <f>'AI#2_Gemini'!D$103</f>
        <v>0</v>
      </c>
      <c r="E50" s="50" t="str">
        <f>'AI#2_Gemini'!E103</f>
        <v>두 패턴 모두 백엔드 분산/라우팅 메커니즘을 다루므로 최종 사용자 UI/UX에 직접 미치는 영향은 적음.</v>
      </c>
    </row>
    <row r="51" ht="15.75" customHeight="1">
      <c r="A51" s="50" t="s">
        <v>39</v>
      </c>
      <c r="B51" s="41" t="str">
        <f>Human!B$103</f>
        <v>0</v>
      </c>
      <c r="C51" s="50" t="str">
        <f>Human!C103</f>
        <v>서비스 중개 구조 자체는 사용자 조작 편의성을 결정하지 않는다.</v>
      </c>
      <c r="D51" s="41" t="str">
        <f>Human!D$103</f>
        <v>0</v>
      </c>
      <c r="E51" s="50" t="str">
        <f>Human!E103</f>
        <v>이 아키텍처 스타일이 해당 품질속성을 직접 좌우하지 않음.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.71"/>
    <col customWidth="1" min="3" max="3" width="90.43"/>
    <col customWidth="1" min="4" max="4" width="7.71"/>
    <col customWidth="1" min="5" max="5" width="117.86"/>
    <col customWidth="1" min="6" max="26" width="8.71"/>
  </cols>
  <sheetData>
    <row r="1">
      <c r="A1" s="44" t="s">
        <v>90</v>
      </c>
      <c r="B1" s="45" t="s">
        <v>98</v>
      </c>
      <c r="C1" s="46"/>
      <c r="D1" s="45" t="s">
        <v>99</v>
      </c>
      <c r="E1" s="46"/>
    </row>
    <row r="2">
      <c r="A2" s="47"/>
      <c r="B2" s="48" t="s">
        <v>29</v>
      </c>
      <c r="C2" s="48" t="s">
        <v>32</v>
      </c>
      <c r="D2" s="48" t="s">
        <v>29</v>
      </c>
      <c r="E2" s="48" t="s">
        <v>32</v>
      </c>
    </row>
    <row r="3">
      <c r="A3" s="49" t="s">
        <v>33</v>
      </c>
      <c r="B3" s="49">
        <v>0.0</v>
      </c>
      <c r="C3" s="49">
        <v>0.0</v>
      </c>
      <c r="D3" s="49">
        <v>0.0</v>
      </c>
      <c r="E3" s="49">
        <v>0.0</v>
      </c>
    </row>
    <row r="4">
      <c r="A4" s="50" t="s">
        <v>34</v>
      </c>
      <c r="B4" s="41" t="str">
        <f>'AI#1_GPT'!B$107</f>
        <v>+</v>
      </c>
      <c r="C4" s="50" t="str">
        <f>'AI#1_GPT'!C107</f>
        <v>서비스를 분리·복제해 일부 장애를 격리할 수 있지만 원격 호출과 오케스트레이션 의존성은 추가된다.</v>
      </c>
      <c r="D4" s="41" t="str">
        <f>'AI#1_GPT'!D$107</f>
        <v>++</v>
      </c>
      <c r="E4" s="50" t="str">
        <f>'AI#1_GPT'!E107</f>
        <v>서비스별 장애 격리와 독립 복제·스케일링이 가능해 적절한 회복탄력성 설계 시 높은 가용성을 만들기 좋다.</v>
      </c>
    </row>
    <row r="5">
      <c r="A5" s="50" t="s">
        <v>35</v>
      </c>
      <c r="B5" s="41" t="str">
        <f>'AI#2_Gemini'!B$107</f>
        <v>+</v>
      </c>
      <c r="C5" s="50" t="str">
        <f>'AI#2_Gemini'!C107</f>
        <v>SOA는 서비스 격리로 가용성이 높으나 ESB 등 중앙 구성요소가 Single Point of Failure(SPOF)가 될 수 있음. </v>
      </c>
      <c r="D5" s="41" t="str">
        <f>'AI#2_Gemini'!D$107</f>
        <v>++</v>
      </c>
      <c r="E5" s="50" t="str">
        <f>'AI#2_Gemini'!E107</f>
        <v>Microservices는 완전 분산 및 격리로 한 서비스 장애가 전면 장애로 전이되지 않음.</v>
      </c>
    </row>
    <row r="6">
      <c r="A6" s="50" t="s">
        <v>39</v>
      </c>
      <c r="B6" s="41" t="str">
        <f>Human!B$107</f>
        <v>+</v>
      </c>
      <c r="C6" s="50" t="str">
        <f>Human!C107</f>
        <v>오케스트레이션 의존성은 추가되나 각 서비스를 격리하기 때문에 부하가 분산되어 availability가 높다. </v>
      </c>
      <c r="D6" s="41" t="str">
        <f>Human!D$107</f>
        <v>++</v>
      </c>
      <c r="E6" s="50" t="str">
        <f>Human!E107</f>
        <v>서비스가 독립적일 경우, 하나의 장애가 전체를 멈추지 않음</v>
      </c>
    </row>
    <row r="7">
      <c r="A7" s="50"/>
      <c r="B7" s="50"/>
      <c r="C7" s="50"/>
      <c r="D7" s="50"/>
      <c r="E7" s="50"/>
    </row>
    <row r="8">
      <c r="A8" s="49" t="s">
        <v>46</v>
      </c>
      <c r="B8" s="49">
        <v>0.0</v>
      </c>
      <c r="C8" s="49">
        <v>0.0</v>
      </c>
      <c r="D8" s="49">
        <v>0.0</v>
      </c>
      <c r="E8" s="49">
        <v>0.0</v>
      </c>
    </row>
    <row r="9">
      <c r="A9" s="50" t="s">
        <v>34</v>
      </c>
      <c r="B9" s="41" t="str">
        <f>'AI#1_GPT'!B$108</f>
        <v>+</v>
      </c>
      <c r="C9" s="50" t="str">
        <f>'AI#1_GPT'!C108</f>
        <v>서비스 단위 배포가 가능하지만 공유 계약·ESB·거버넌스 때문에 완전한 독립 배포는 제한될 수 있다.</v>
      </c>
      <c r="D9" s="41" t="str">
        <f>'AI#1_GPT'!D$108</f>
        <v>++</v>
      </c>
      <c r="E9" s="50" t="str">
        <f>'AI#1_GPT'!E108</f>
        <v>각 서비스를 독립 빌드·배포·롤백할 수 있어 작은 변경을 빠르게 배포하기 매우 유리하다.</v>
      </c>
    </row>
    <row r="10">
      <c r="A10" s="50" t="s">
        <v>35</v>
      </c>
      <c r="B10" s="41" t="str">
        <f>'AI#2_Gemini'!B$108</f>
        <v>0</v>
      </c>
      <c r="C10" s="50" t="str">
        <f>'AI#2_Gemini'!C108</f>
        <v>SOA는 모놀리식과 분산의 중간 단계로 배포 의존성이 남아있음.</v>
      </c>
      <c r="D10" s="41" t="str">
        <f>'AI#2_Gemini'!D$108</f>
        <v>++</v>
      </c>
      <c r="E10" s="50" t="str">
        <f>'AI#2_Gemini'!E108</f>
        <v> Microservices는 CI/CD 기반 독자 배포 단위(Independent Deployability)가 극대화됨.</v>
      </c>
    </row>
    <row r="11">
      <c r="A11" s="50" t="s">
        <v>39</v>
      </c>
      <c r="B11" s="41" t="str">
        <f>Human!B$108</f>
        <v>0</v>
      </c>
      <c r="C11" s="50" t="str">
        <f>Human!C108</f>
        <v>서비스 단위 배포는 가능하나 Intermediary에 관한 영향을 고려해야 한다.</v>
      </c>
      <c r="D11" s="41" t="str">
        <f>Human!D$108</f>
        <v>+</v>
      </c>
      <c r="E11" s="50" t="str">
        <f>Human!E108</f>
        <v>독립배포로 bugfix,release,roll back이 쉬움</v>
      </c>
    </row>
    <row r="12">
      <c r="A12" s="50"/>
      <c r="B12" s="50"/>
      <c r="C12" s="50"/>
      <c r="D12" s="50"/>
      <c r="E12" s="50"/>
    </row>
    <row r="13">
      <c r="A13" s="49" t="s">
        <v>52</v>
      </c>
      <c r="B13" s="49">
        <v>0.0</v>
      </c>
      <c r="C13" s="49">
        <v>0.0</v>
      </c>
      <c r="D13" s="49">
        <v>0.0</v>
      </c>
      <c r="E13" s="49">
        <v>0.0</v>
      </c>
    </row>
    <row r="14">
      <c r="A14" s="50" t="s">
        <v>34</v>
      </c>
      <c r="B14" s="41" t="str">
        <f>'AI#1_GPT'!B$109</f>
        <v>++</v>
      </c>
      <c r="C14" s="50" t="str">
        <f>'AI#1_GPT'!C109</f>
        <v>명시적인 서비스 계약과 표준 프로토콜을 통해 이기종·레거시 시스템 통합에 매우 유리하다.</v>
      </c>
      <c r="D14" s="41" t="str">
        <f>'AI#1_GPT'!D$109</f>
        <v>+</v>
      </c>
      <c r="E14" s="50" t="str">
        <f>'AI#1_GPT'!E109</f>
        <v>API·이벤트 계약으로 연계할 수 있지만 서비스 수가 많아지면 계약·버전 관리 복잡성도 커진다.</v>
      </c>
    </row>
    <row r="15">
      <c r="A15" s="50" t="s">
        <v>35</v>
      </c>
      <c r="B15" s="41" t="str">
        <f>'AI#2_Gemini'!B$109</f>
        <v>++</v>
      </c>
      <c r="C15" s="50" t="str">
        <f>'AI#2_Gemini'!C109</f>
        <v>SOA는 Enterprise Service Bus(ESB) 및 표준 프로토콜 기반으로 이종 시스템 간 통합에 매우 강함. </v>
      </c>
      <c r="D15" s="41" t="str">
        <f>'AI#2_Gemini'!D$109</f>
        <v>+</v>
      </c>
      <c r="E15" s="50" t="str">
        <f>'AI#2_Gemini'!E109</f>
        <v>Microservices는 경량 API(REST/gRPC) 위주라 개별 통합은 용이하나 오케스트레이션이 복잡함.</v>
      </c>
    </row>
    <row r="16">
      <c r="A16" s="50" t="s">
        <v>39</v>
      </c>
      <c r="B16" s="41" t="str">
        <f>Human!B$109</f>
        <v>++</v>
      </c>
      <c r="C16" s="50" t="str">
        <f>Human!C109</f>
        <v>기술적으로 어떤 client 나 서비스든 platform, 기술, vendor, 언어와 무관하게 다른 서비스에 접근할 수 있다</v>
      </c>
      <c r="D16" s="41" t="str">
        <f>Human!D$109</f>
        <v>+</v>
      </c>
      <c r="E16" s="50" t="str">
        <f>Human!E109</f>
        <v>코드, data store 비공유로 의존성 최소화</v>
      </c>
    </row>
    <row r="17">
      <c r="A17" s="50"/>
      <c r="B17" s="50"/>
      <c r="C17" s="50"/>
      <c r="D17" s="50"/>
      <c r="E17" s="50"/>
    </row>
    <row r="18">
      <c r="A18" s="49" t="s">
        <v>58</v>
      </c>
      <c r="B18" s="49">
        <v>0.0</v>
      </c>
      <c r="C18" s="49">
        <v>0.0</v>
      </c>
      <c r="D18" s="49">
        <v>0.0</v>
      </c>
      <c r="E18" s="49">
        <v>0.0</v>
      </c>
    </row>
    <row r="19">
      <c r="A19" s="50" t="s">
        <v>34</v>
      </c>
      <c r="B19" s="41" t="str">
        <f>'AI#1_GPT'!B$110</f>
        <v>-</v>
      </c>
      <c r="C19" s="50" t="str">
        <f>'AI#1_GPT'!C110</f>
        <v>원격 호출, XML/JSON 직렬화, 중개·오케스트레이션 계층이 추가 자원을 소비한다.</v>
      </c>
      <c r="D19" s="41" t="str">
        <f>'AI#1_GPT'!D$110</f>
        <v>--</v>
      </c>
      <c r="E19" s="50" t="str">
        <f>'AI#1_GPT'!E110</f>
        <v>많은 프로세스/컨테이너, 네트워크 통신, 서비스 디스커버리와 관측 도구가 추가 자원을 지속적으로 사용한다.</v>
      </c>
    </row>
    <row r="20">
      <c r="A20" s="50" t="s">
        <v>35</v>
      </c>
      <c r="B20" s="41" t="str">
        <f>'AI#2_Gemini'!B$110</f>
        <v>-</v>
      </c>
      <c r="C20" s="50" t="str">
        <f>'AI#2_Gemini'!C110</f>
        <v>분산 환경 특성상 네트워킹 및 중복 프로세스로 인해 단일 아키텍처 대비 에너지 소모가 큼. </v>
      </c>
      <c r="D20" s="41" t="str">
        <f>'AI#2_Gemini'!D$110</f>
        <v>--</v>
      </c>
      <c r="E20" s="50" t="str">
        <f>'AI#2_Gemini'!E110</f>
        <v>Microservices가 인스턴스 수가 훨씬 많아 네트워크 Overhead가 더 큼.</v>
      </c>
    </row>
    <row r="21" ht="15.75" customHeight="1">
      <c r="A21" s="50" t="s">
        <v>39</v>
      </c>
      <c r="B21" s="41" t="str">
        <f>Human!B$110</f>
        <v>-</v>
      </c>
      <c r="C21" s="50" t="str">
        <f>Human!C110</f>
        <v>중개 기능과 분산 환경으로 인해 에너지 소모가 크다. </v>
      </c>
      <c r="D21" s="41" t="str">
        <f>Human!D$110</f>
        <v>--</v>
      </c>
      <c r="E21" s="50" t="str">
        <f>Human!E110</f>
        <v>서비스 수에 비례하여 overhead커짐</v>
      </c>
    </row>
    <row r="22" ht="15.75" customHeight="1">
      <c r="A22" s="50"/>
      <c r="B22" s="50"/>
      <c r="C22" s="50"/>
      <c r="D22" s="50"/>
      <c r="E22" s="50"/>
    </row>
    <row r="23" ht="15.75" customHeight="1">
      <c r="A23" s="49" t="s">
        <v>61</v>
      </c>
      <c r="B23" s="49">
        <v>0.0</v>
      </c>
      <c r="C23" s="49">
        <v>0.0</v>
      </c>
      <c r="D23" s="49">
        <v>0.0</v>
      </c>
      <c r="E23" s="49">
        <v>0.0</v>
      </c>
    </row>
    <row r="24" ht="15.75" customHeight="1">
      <c r="A24" s="50" t="s">
        <v>34</v>
      </c>
      <c r="B24" s="41" t="str">
        <f>'AI#1_GPT'!B$111</f>
        <v>++</v>
      </c>
      <c r="C24" s="50" t="str">
        <f>'AI#1_GPT'!C111</f>
        <v>서비스 계약을 유지하면 내부 구현을 교체하거나 새 비즈니스 서비스를 조합하기 쉽다.</v>
      </c>
      <c r="D24" s="41" t="str">
        <f>'AI#1_GPT'!D$111</f>
        <v>++</v>
      </c>
      <c r="E24" s="50" t="str">
        <f>'AI#1_GPT'!E111</f>
        <v>기능 경계를 잘 나누면 특정 서비스만 변경할 수 있어 변경 영향 범위를 작게 유지할 수 있다.</v>
      </c>
    </row>
    <row r="25" ht="15.75" customHeight="1">
      <c r="A25" s="50" t="s">
        <v>35</v>
      </c>
      <c r="B25" s="41" t="str">
        <f>'AI#2_Gemini'!B$111</f>
        <v>+</v>
      </c>
      <c r="C25" s="50" t="str">
        <f>'AI#2_Gemini'!C111</f>
        <v>SOA는 서비스 단위 수정이 가능하지만 ESB/엔터프라이즈 데이터 모델 수정에 제약이 있음..</v>
      </c>
      <c r="D25" s="41" t="str">
        <f>'AI#2_Gemini'!D$111</f>
        <v>++</v>
      </c>
      <c r="E25" s="50" t="str">
        <f>'AI#2_Gemini'!E111</f>
        <v> Microservices는 캡슐화가 완벽하여 독립적 변경/확장이 최고 수준임</v>
      </c>
    </row>
    <row r="26" ht="15.75" customHeight="1">
      <c r="A26" s="50" t="s">
        <v>39</v>
      </c>
      <c r="B26" s="41" t="str">
        <f>Human!B$111</f>
        <v>++</v>
      </c>
      <c r="C26" s="50" t="str">
        <f>Human!C111</f>
        <v>각 서비스 component가 독립적이므로 공개된 interface만 바뀌지 않는다면 서비스 구현 변경이 application에 영향을 주지 않는다.</v>
      </c>
      <c r="D26" s="41" t="str">
        <f>Human!D$111</f>
        <v>+</v>
      </c>
      <c r="E26" s="50" t="str">
        <f>Human!E111</f>
        <v>서비스별 독립적이여서 수정에 용이함</v>
      </c>
    </row>
    <row r="27" ht="15.75" customHeight="1">
      <c r="A27" s="50"/>
      <c r="B27" s="50"/>
      <c r="C27" s="50"/>
      <c r="D27" s="50"/>
      <c r="E27" s="50"/>
    </row>
    <row r="28" ht="15.75" customHeight="1">
      <c r="A28" s="49" t="s">
        <v>65</v>
      </c>
      <c r="B28" s="49">
        <v>0.0</v>
      </c>
      <c r="C28" s="49">
        <v>0.0</v>
      </c>
      <c r="D28" s="49">
        <v>0.0</v>
      </c>
      <c r="E28" s="49">
        <v>0.0</v>
      </c>
    </row>
    <row r="29" ht="15.75" customHeight="1">
      <c r="A29" s="50" t="s">
        <v>34</v>
      </c>
      <c r="B29" s="41" t="str">
        <f>'AI#1_GPT'!B$112</f>
        <v>-</v>
      </c>
      <c r="C29" s="50" t="str">
        <f>'AI#1_GPT'!C112</f>
        <v>세분화된 원격 호출과 서비스 조합이 네트워크 지연·직렬화 비용을 누적시킬 수 있다.</v>
      </c>
      <c r="D29" s="41" t="str">
        <f>'AI#1_GPT'!D$112</f>
        <v>-</v>
      </c>
      <c r="E29" s="50" t="str">
        <f>'AI#1_GPT'!E112</f>
        <v>프로세스 내부 호출이 네트워크 호출로 바뀌고 직렬화·재시도 등이 추가되어 지연이 커질 수 있다.</v>
      </c>
    </row>
    <row r="30" ht="15.75" customHeight="1">
      <c r="A30" s="50" t="s">
        <v>35</v>
      </c>
      <c r="B30" s="41" t="str">
        <f>'AI#2_Gemini'!B$112</f>
        <v>-</v>
      </c>
      <c r="C30" s="50" t="str">
        <f>'AI#2_Gemini'!C112</f>
        <v>원격 호출(RPC/HTTP) 및 Serialization 비용 발생.</v>
      </c>
      <c r="D30" s="41" t="str">
        <f>'AI#2_Gemini'!D$112</f>
        <v>--</v>
      </c>
      <c r="E30" s="50" t="str">
        <f>'AI#2_Gemini'!E112</f>
        <v> Microservices는 서비스 간 잦은 Network Hop과 분산 트랜잭션 처리 문제로 Latency 영향이 더 큼.</v>
      </c>
    </row>
    <row r="31" ht="15.75" customHeight="1">
      <c r="A31" s="50" t="s">
        <v>39</v>
      </c>
      <c r="B31" s="41" t="str">
        <f>Human!B$112</f>
        <v>-</v>
      </c>
      <c r="C31" s="50" t="str">
        <f>Human!C112</f>
        <v>세분화된 원격 호출과 서비스 조합으로 인해 비용이 발생한다. </v>
      </c>
      <c r="D31" s="41" t="str">
        <f>Human!D$112</f>
        <v>--</v>
      </c>
      <c r="E31" s="50" t="str">
        <f>Human!E112</f>
        <v>서비스간 통신 증가로 latency증가</v>
      </c>
    </row>
    <row r="32" ht="15.75" customHeight="1">
      <c r="A32" s="50"/>
      <c r="B32" s="50"/>
      <c r="C32" s="50"/>
      <c r="D32" s="50"/>
      <c r="E32" s="50"/>
    </row>
    <row r="33" ht="15.75" customHeight="1">
      <c r="A33" s="49" t="s">
        <v>68</v>
      </c>
      <c r="B33" s="49">
        <v>0.0</v>
      </c>
      <c r="C33" s="49">
        <v>0.0</v>
      </c>
      <c r="D33" s="49">
        <v>0.0</v>
      </c>
      <c r="E33" s="49">
        <v>0.0</v>
      </c>
    </row>
    <row r="34" ht="15.75" customHeight="1">
      <c r="A34" s="50" t="s">
        <v>34</v>
      </c>
      <c r="B34" s="41" t="str">
        <f>'AI#1_GPT'!B$113</f>
        <v>+</v>
      </c>
      <c r="C34" s="50" t="str">
        <f>'AI#1_GPT'!C113</f>
        <v>업무 기능을 서비스 경계로 나누고 계약을 명시해 잘못된 상호작용을 통제하기 쉽다.</v>
      </c>
      <c r="D34" s="41" t="str">
        <f>'AI#1_GPT'!D$113</f>
        <v>+</v>
      </c>
      <c r="E34" s="50" t="str">
        <f>'AI#1_GPT'!E113</f>
        <v>장애 blast radius를 서비스 단위로 제한할 수 있으나 분산 트랜잭션과 최종 일관성은 별도 설계가 필요하다.</v>
      </c>
    </row>
    <row r="35" ht="15.75" customHeight="1">
      <c r="A35" s="50" t="s">
        <v>35</v>
      </c>
      <c r="B35" s="41" t="str">
        <f>'AI#2_Gemini'!B$113</f>
        <v>0</v>
      </c>
      <c r="C35" s="50" t="str">
        <f>'AI#2_Gemini'!C113</f>
        <v>아키텍처 스타일 자체보다는 도메인 및 하드웨어 연동/제어 로직에 국한됨.</v>
      </c>
      <c r="D35" s="41" t="str">
        <f>'AI#2_Gemini'!D$113</f>
        <v>0</v>
      </c>
      <c r="E35" s="50" t="str">
        <f>'AI#2_Gemini'!E113</f>
        <v>아키텍처 스타일 자체보다는 도메인 및 하드웨어 연동/제어 로직에 국한됨.</v>
      </c>
    </row>
    <row r="36" ht="15.75" customHeight="1">
      <c r="A36" s="50" t="s">
        <v>39</v>
      </c>
      <c r="B36" s="41" t="str">
        <f>Human!B$113</f>
        <v>+</v>
      </c>
      <c r="C36" s="50" t="str">
        <f>Human!C113</f>
        <v>서비스 경계로 나누어져 있어 잘못된 동작의 통제가 용이하다. </v>
      </c>
      <c r="D36" s="41" t="str">
        <f>Human!D$113</f>
        <v>+</v>
      </c>
      <c r="E36" s="50" t="str">
        <f>Human!E113</f>
        <v>독립적인 시스템으로 하나의 서비스에 문제가 되더라도 타 서비스에 영향이 적음</v>
      </c>
    </row>
    <row r="37" ht="15.75" customHeight="1">
      <c r="A37" s="50"/>
      <c r="B37" s="50"/>
      <c r="C37" s="50"/>
      <c r="D37" s="50"/>
      <c r="E37" s="50"/>
    </row>
    <row r="38" ht="15.75" customHeight="1">
      <c r="A38" s="49" t="s">
        <v>74</v>
      </c>
      <c r="B38" s="49">
        <v>0.0</v>
      </c>
      <c r="C38" s="49">
        <v>0.0</v>
      </c>
      <c r="D38" s="49">
        <v>0.0</v>
      </c>
      <c r="E38" s="49">
        <v>0.0</v>
      </c>
    </row>
    <row r="39" ht="15.75" customHeight="1">
      <c r="A39" s="50" t="s">
        <v>34</v>
      </c>
      <c r="B39" s="41" t="str">
        <f>'AI#1_GPT'!B$114</f>
        <v>+</v>
      </c>
      <c r="C39" s="50" t="str">
        <f>'AI#1_GPT'!C114</f>
        <v>서비스 게이트웨이·정책으로 보안을 표준화할 수 있지만 엔드포인트 수 증가에 대한 관리가 필요하다.</v>
      </c>
      <c r="D39" s="41" t="str">
        <f>'AI#1_GPT'!D$114</f>
        <v>-</v>
      </c>
      <c r="E39" s="50" t="str">
        <f>'AI#1_GPT'!E114</f>
        <v>서비스 간 인증, 비밀 관리, API 수 증가로 공격면과 보안 운영 복잡성이 커진다.</v>
      </c>
    </row>
    <row r="40" ht="15.75" customHeight="1">
      <c r="A40" s="50" t="s">
        <v>35</v>
      </c>
      <c r="B40" s="41" t="str">
        <f>'AI#2_Gemini'!B$114</f>
        <v>+</v>
      </c>
      <c r="C40" s="50" t="str">
        <f>'AI#2_Gemini'!C114</f>
        <v>SOA는 중앙(ESB/Gateway)에서 통제 및 보안 정책 적용이 용이함.</v>
      </c>
      <c r="D40" s="41" t="str">
        <f>'AI#2_Gemini'!D$114</f>
        <v>-</v>
      </c>
      <c r="E40" s="50" t="str">
        <f>'AI#2_Gemini'!E114</f>
        <v> Microservices는 공격 접점(Attack Surface)이 넓어지고 API Endpoints 관리 및 Zero-Trust 적용 난이도가 상승함.</v>
      </c>
    </row>
    <row r="41" ht="15.75" customHeight="1">
      <c r="A41" s="50" t="s">
        <v>39</v>
      </c>
      <c r="B41" s="41" t="str">
        <f>Human!B$114</f>
        <v>+</v>
      </c>
      <c r="C41" s="50" t="str">
        <f>Human!C114</f>
        <v>중앙에서 보안 정책 적용이 용이하나 gateway에 대한 보안 위험성이 존재한다. </v>
      </c>
      <c r="D41" s="41" t="str">
        <f>Human!D$114</f>
        <v>+</v>
      </c>
      <c r="E41" s="50" t="str">
        <f>Human!E114</f>
        <v>각 서비스마다 data가 isolation되어 있으므로 위험이 분산된다</v>
      </c>
    </row>
    <row r="42" ht="15.75" customHeight="1">
      <c r="A42" s="50"/>
      <c r="B42" s="50"/>
      <c r="C42" s="50"/>
      <c r="D42" s="50"/>
      <c r="E42" s="50"/>
    </row>
    <row r="43" ht="15.75" customHeight="1">
      <c r="A43" s="49" t="s">
        <v>75</v>
      </c>
      <c r="B43" s="49">
        <v>0.0</v>
      </c>
      <c r="C43" s="49">
        <v>0.0</v>
      </c>
      <c r="D43" s="49">
        <v>0.0</v>
      </c>
      <c r="E43" s="49">
        <v>0.0</v>
      </c>
    </row>
    <row r="44" ht="15.75" customHeight="1">
      <c r="A44" s="50" t="s">
        <v>34</v>
      </c>
      <c r="B44" s="43" t="str">
        <f>'AI#1_GPT'!B$115</f>
        <v>+</v>
      </c>
      <c r="C44" s="50" t="str">
        <f>'AI#1_GPT'!C115</f>
        <v>서비스 단위 계약 테스트가 가능하지만 여러 서비스가 참여하는 시나리오는 통합 테스트 비용이 크다.</v>
      </c>
      <c r="D44" s="43" t="str">
        <f>'AI#1_GPT'!D$115</f>
        <v>0</v>
      </c>
      <c r="E44" s="50" t="str">
        <f>'AI#1_GPT'!E115</f>
        <v>개별 서비스 단위 테스트는 쉽지만 전체 시나리오·계약·분산 장애 테스트가 어려워 장단점이 상쇄된다.</v>
      </c>
    </row>
    <row r="45" ht="15.75" customHeight="1">
      <c r="A45" s="50" t="s">
        <v>35</v>
      </c>
      <c r="B45" s="43" t="str">
        <f>'AI#2_Gemini'!B$115</f>
        <v>-</v>
      </c>
      <c r="C45" s="50" t="str">
        <f>'AI#2_Gemini'!C115</f>
        <v>분산 환경 테스트는 복잡함. </v>
      </c>
      <c r="D45" s="43" t="str">
        <f>'AI#2_Gemini'!D$115</f>
        <v>--</v>
      </c>
      <c r="E45" s="50" t="str">
        <f>'AI#2_Gemini'!E115</f>
        <v>Microservices는 서비스 수 증대, 서비스 간 비동기 통신, 분산 데이터베이스로 인해 End-to-End 및 통합 테스트 난이도가 매우 높음.</v>
      </c>
    </row>
    <row r="46" ht="15.75" customHeight="1">
      <c r="A46" s="50" t="s">
        <v>39</v>
      </c>
      <c r="B46" s="43" t="str">
        <f>Human!B$115</f>
        <v>-</v>
      </c>
      <c r="C46" s="50" t="str">
        <f>Human!C115</f>
        <v>분산 환경에 대한 통합 테스트 구성의 복잡도가 증가한다. </v>
      </c>
      <c r="D46" s="43" t="str">
        <f>Human!D$115</f>
        <v>-</v>
      </c>
      <c r="E46" s="50" t="str">
        <f>Human!E115</f>
        <v>서비스 의존성으로 테스트 어려움</v>
      </c>
    </row>
    <row r="47" ht="15.75" customHeight="1">
      <c r="A47" s="50"/>
      <c r="B47" s="50"/>
      <c r="C47" s="50"/>
      <c r="D47" s="50"/>
      <c r="E47" s="50"/>
    </row>
    <row r="48" ht="15.75" customHeight="1">
      <c r="A48" s="49" t="s">
        <v>79</v>
      </c>
      <c r="B48" s="49">
        <v>0.0</v>
      </c>
      <c r="C48" s="49">
        <v>0.0</v>
      </c>
      <c r="D48" s="49">
        <v>0.0</v>
      </c>
      <c r="E48" s="49">
        <v>0.0</v>
      </c>
    </row>
    <row r="49" ht="15.75" customHeight="1">
      <c r="A49" s="50" t="s">
        <v>34</v>
      </c>
      <c r="B49" s="41" t="str">
        <f>'AI#1_GPT'!B$116</f>
        <v>0</v>
      </c>
      <c r="C49" s="50" t="str">
        <f>'AI#1_GPT'!C116</f>
        <v>서비스 재사용은 기능 개발을 돕지만 사용자 인터페이스 품질을 직접 결정하는 구조는 아니다.</v>
      </c>
      <c r="D49" s="41" t="str">
        <f>'AI#1_GPT'!D$116</f>
        <v>0</v>
      </c>
      <c r="E49" s="50" t="str">
        <f>'AI#1_GPT'!E116</f>
        <v>빠른 기능 변경에는 도움이 되지만 최종 사용자 UX를 직접 향상시키는 아키텍처 스타일은 아니다.</v>
      </c>
    </row>
    <row r="50" ht="15.75" customHeight="1">
      <c r="A50" s="50" t="s">
        <v>35</v>
      </c>
      <c r="B50" s="41" t="str">
        <f>'AI#2_Gemini'!B$116</f>
        <v>0</v>
      </c>
      <c r="C50" s="50" t="str">
        <f>'AI#2_Gemini'!C116</f>
        <v>백엔드 구조적 스타일이므로 End-User Usability에는 직접적인 영향을 미치지 않음.</v>
      </c>
      <c r="D50" s="41" t="str">
        <f>'AI#2_Gemini'!D$116</f>
        <v>0</v>
      </c>
      <c r="E50" s="50" t="str">
        <f>'AI#2_Gemini'!E116</f>
        <v>백엔드 구조적 스타일이므로 End-User Usability에는 직접적인 영향을 미치지 않음.</v>
      </c>
    </row>
    <row r="51" ht="15.75" customHeight="1">
      <c r="A51" s="50" t="s">
        <v>39</v>
      </c>
      <c r="B51" s="41" t="str">
        <f>Human!B$116</f>
        <v>0</v>
      </c>
      <c r="C51" s="50" t="str">
        <f>Human!C116</f>
        <v>백엔드 구조 스타일로 End-User Usability에 대한 직접적 영향이 없다. </v>
      </c>
      <c r="D51" s="41" t="str">
        <f>Human!D$116</f>
        <v>+</v>
      </c>
      <c r="E51" s="50" t="str">
        <f>Human!E116</f>
        <v>사용자가  원하는 Microservier만을 사용하여 원하는 뷰를 구성하기에 용이하다.
(Microfrontend)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C1"/>
    <mergeCell ref="D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.71"/>
    <col customWidth="1" min="3" max="3" width="41.14"/>
    <col customWidth="1" min="4" max="4" width="7.71"/>
    <col customWidth="1" min="5" max="5" width="37.14"/>
    <col customWidth="1" min="6" max="6" width="7.71"/>
    <col customWidth="1" min="7" max="7" width="116.43"/>
  </cols>
  <sheetData>
    <row r="1">
      <c r="A1" s="44" t="s">
        <v>100</v>
      </c>
      <c r="B1" s="51" t="s">
        <v>101</v>
      </c>
      <c r="C1" s="46"/>
      <c r="D1" s="51" t="s">
        <v>102</v>
      </c>
      <c r="E1" s="46"/>
      <c r="F1" s="45" t="s">
        <v>103</v>
      </c>
      <c r="G1" s="46"/>
    </row>
    <row r="2">
      <c r="A2" s="47"/>
      <c r="B2" s="48" t="s">
        <v>29</v>
      </c>
      <c r="C2" s="48" t="s">
        <v>32</v>
      </c>
      <c r="D2" s="48" t="s">
        <v>29</v>
      </c>
      <c r="E2" s="48" t="s">
        <v>32</v>
      </c>
      <c r="F2" s="48" t="s">
        <v>29</v>
      </c>
      <c r="G2" s="48" t="s">
        <v>32</v>
      </c>
    </row>
    <row r="3" ht="15.0" customHeight="1">
      <c r="A3" s="49" t="s">
        <v>33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</row>
    <row r="4">
      <c r="A4" s="50" t="s">
        <v>34</v>
      </c>
      <c r="B4" s="41" t="str">
        <f>'AI#1_GPT'!B$120</f>
        <v>+</v>
      </c>
      <c r="C4" s="50" t="str">
        <f>'AI#1_GPT'!C120</f>
        <v>컨테이너 단위로 장애를 격리하고 재시작·복제할 수 있어 서비스 복구와 고가용성 구성이 용이함</v>
      </c>
      <c r="D4" s="41" t="str">
        <f>'AI#1_GPT'!D$120</f>
        <v>++</v>
      </c>
      <c r="E4" s="50" t="str">
        <f>'AI#1_GPT'!E120</f>
        <v>Multi-AZ/Region, Load Balancing, Auto Scaling 등을 이용해 장애 대응과 서비스 지속성을 높이기 쉬움</v>
      </c>
      <c r="F4" s="41" t="str">
        <f>'AI#1_GPT'!F$120</f>
        <v>+</v>
      </c>
      <c r="G4" s="50" t="str">
        <f>'AI#1_GPT'!G120</f>
        <v>네트워크가 끊겨도 Edge 장치에서 로컬 처리를 계속할 수 있어 중앙 시스템 장애의 영향을 줄일 수 있음</v>
      </c>
    </row>
    <row r="5">
      <c r="A5" s="50" t="s">
        <v>35</v>
      </c>
      <c r="B5" s="41" t="str">
        <f>'AI#2_Gemini'!B$120</f>
        <v>+</v>
      </c>
      <c r="C5" s="50" t="str">
        <f>'AI#2_Gemini'!C120</f>
        <v>Availability: 컨테이너 오케스트레이션(예: Kubernetes)을 통한 자동 재시작(Auto-restart) 및 헬스 체크로 빠른 복구 및 가용성 향상이 가능합니다.</v>
      </c>
      <c r="D5" s="41" t="str">
        <f>'AI#2_Gemini'!D$120</f>
        <v>++</v>
      </c>
      <c r="E5" s="50" t="str">
        <f>'AI#2_Gemini'!E120</f>
        <v>멀티 AZ(가용 영역) 및 글로벌 리전 기반의 자동 장애 조치(Failover)와 리던던시 구성으로 최고 수준의 가용성을 제공합니다.</v>
      </c>
      <c r="F5" s="41" t="str">
        <f>'AI#2_Gemini'!F$120</f>
        <v>+</v>
      </c>
      <c r="G5" s="50" t="str">
        <f>'AI#2_Gemini'!G120</f>
        <v>중앙 클라우드 네트워크가 끊겨도 로컬 디바이스 독립 처리를 통해 서비스 연속성을 유지합니다.</v>
      </c>
    </row>
    <row r="6">
      <c r="A6" s="50" t="s">
        <v>39</v>
      </c>
      <c r="B6" s="41" t="str">
        <f>Human!B$120</f>
        <v/>
      </c>
      <c r="C6" s="50" t="str">
        <f>Human!C120</f>
        <v>Human - Container-based - Availability</v>
      </c>
      <c r="D6" s="41" t="str">
        <f>Human!D$120</f>
        <v/>
      </c>
      <c r="E6" s="50" t="str">
        <f>Human!E120</f>
        <v>Human - Cloud-based - Availability</v>
      </c>
      <c r="F6" s="41" t="str">
        <f>Human!F$120</f>
        <v>+</v>
      </c>
      <c r="G6" s="50" t="str">
        <f>Human!G120</f>
        <v>중앙 site가 멈춰도 지역 site에서 독립운영하여 가용성을 높일 수 있음, edge node가 1개로 구성시 가용성이 낮아질 수 있음</v>
      </c>
    </row>
    <row r="7">
      <c r="A7" s="50"/>
      <c r="B7" s="50"/>
      <c r="C7" s="50"/>
      <c r="D7" s="50"/>
      <c r="E7" s="50"/>
      <c r="F7" s="50"/>
      <c r="G7" s="50"/>
    </row>
    <row r="8" ht="15.0" customHeight="1">
      <c r="A8" s="49" t="s">
        <v>46</v>
      </c>
      <c r="B8" s="49">
        <v>0.0</v>
      </c>
      <c r="C8" s="49">
        <v>0.0</v>
      </c>
      <c r="D8" s="49">
        <v>0.0</v>
      </c>
      <c r="E8" s="49">
        <v>0.0</v>
      </c>
      <c r="F8" s="49">
        <v>0.0</v>
      </c>
      <c r="G8" s="49">
        <v>0.0</v>
      </c>
    </row>
    <row r="9">
      <c r="A9" s="50" t="s">
        <v>34</v>
      </c>
      <c r="B9" s="41" t="str">
        <f>'AI#1_GPT'!B$121</f>
        <v>++</v>
      </c>
      <c r="C9" s="50" t="str">
        <f>'AI#1_GPT'!C121</f>
        <v>애플리케이션과 실행 환경을 이미지로 패키징하므로 환경 차이를 줄이고 빠르고 반복 가능한 배포가 가능함</v>
      </c>
      <c r="D9" s="41" t="str">
        <f>'AI#1_GPT'!D$121</f>
        <v>++</v>
      </c>
      <c r="E9" s="50" t="str">
        <f>'AI#1_GPT'!E121</f>
        <v>자동화된 인프라, CI/CD, 관리형 서비스를 활용하여 신속한 배포와 확장이 가능함</v>
      </c>
      <c r="F9" s="41" t="str">
        <f>'AI#1_GPT'!F$121</f>
        <v>-</v>
      </c>
      <c r="G9" s="50" t="str">
        <f>'AI#1_GPT'!G121</f>
        <v>다수의 분산된 Edge 장치에 소프트웨어를 배포·업데이트해야 하므로 버전 관리와 배포 관리가 복잡함</v>
      </c>
    </row>
    <row r="10">
      <c r="A10" s="50" t="s">
        <v>35</v>
      </c>
      <c r="B10" s="41" t="str">
        <f>'AI#2_Gemini'!B$121</f>
        <v>++</v>
      </c>
      <c r="C10" s="50" t="str">
        <f>'AI#2_Gemini'!C121</f>
        <v>애플리케이션과 실행 환경을 일관되게 패키징(Immutability)하여 개발, 테스트, 운영 환경 간의 배포 불일치를 제거하고 빠른 배포를 지원합니다.</v>
      </c>
      <c r="D10" s="41" t="str">
        <f>'AI#2_Gemini'!D$121</f>
        <v>++</v>
      </c>
      <c r="E10" s="50" t="str">
        <f>'AI#2_Gemini'!E121</f>
        <v>IaC(Code 기반 인프라) 및 Cloud-native CI/CD 파이프라인을 통해 인프라 프로비저닝과 소프트웨어 배포를 즉시 자동화할 수 있습니다</v>
      </c>
      <c r="F10" s="41" t="str">
        <f>'AI#2_Gemini'!F$121</f>
        <v>-</v>
      </c>
      <c r="G10" s="50" t="str">
        <f>'AI#2_Gemini'!G121</f>
        <v>지리적으로 분산된 수많은 이종 에지 디바이스로의 펌웨어/소프트웨어 원격 배포 및 롤백 관리가 매우 복잡합니다.</v>
      </c>
    </row>
    <row r="11">
      <c r="A11" s="50" t="s">
        <v>39</v>
      </c>
      <c r="B11" s="41" t="str">
        <f>Human!B$121</f>
        <v/>
      </c>
      <c r="C11" s="50" t="str">
        <f>Human!C121</f>
        <v>Human - Container-based - Deployability</v>
      </c>
      <c r="D11" s="41" t="str">
        <f>Human!D$121</f>
        <v/>
      </c>
      <c r="E11" s="50" t="str">
        <f>Human!E121</f>
        <v>Human - Cloud-based - Deployability</v>
      </c>
      <c r="F11" s="41" t="str">
        <f>Human!F$121</f>
        <v>-</v>
      </c>
      <c r="G11" s="50" t="str">
        <f>Human!G121</f>
        <v>지리적으로 분산된 edge별 환경 및 버전 차이로 런타임 시 배포에 어려울 수 있음</v>
      </c>
    </row>
    <row r="12">
      <c r="A12" s="50"/>
      <c r="B12" s="50"/>
      <c r="C12" s="50"/>
      <c r="D12" s="50"/>
      <c r="E12" s="50"/>
      <c r="F12" s="50"/>
      <c r="G12" s="50"/>
    </row>
    <row r="13" ht="15.0" customHeight="1">
      <c r="A13" s="49" t="s">
        <v>52</v>
      </c>
      <c r="B13" s="49">
        <v>0.0</v>
      </c>
      <c r="C13" s="49">
        <v>0.0</v>
      </c>
      <c r="D13" s="49">
        <v>0.0</v>
      </c>
      <c r="E13" s="49">
        <v>0.0</v>
      </c>
      <c r="F13" s="49">
        <v>0.0</v>
      </c>
      <c r="G13" s="49">
        <v>0.0</v>
      </c>
    </row>
    <row r="14">
      <c r="A14" s="50" t="s">
        <v>34</v>
      </c>
      <c r="B14" s="41" t="str">
        <f>'AI#1_GPT'!B$122</f>
        <v>+</v>
      </c>
      <c r="C14" s="50" t="str">
        <f>'AI#1_GPT'!C122</f>
        <v>표준화된 Container 환경과 API를 사용하여 서로 다른 서비스들을 비교적 쉽게 조합할 수 있음</v>
      </c>
      <c r="D14" s="41" t="str">
        <f>'AI#1_GPT'!D$122</f>
        <v>++</v>
      </c>
      <c r="E14" s="50" t="str">
        <f>'AI#1_GPT'!E122</f>
        <v>API Gateway, Message Queue, Managed Service 등 다양한 통합 서비스를 활용하여 외부 시스템 연계가 용이함</v>
      </c>
      <c r="F14" s="41" t="str">
        <f>'AI#1_GPT'!F$122</f>
        <v>0</v>
      </c>
      <c r="G14" s="50" t="str">
        <f>'AI#1_GPT'!G122</f>
        <v>Edge 장치마다 HW, OS, 프로토콜, 네트워크 환경이 다를 수 있어 시스템 간 통합이 복잡해질 수 있음</v>
      </c>
    </row>
    <row r="15">
      <c r="A15" s="50" t="s">
        <v>35</v>
      </c>
      <c r="B15" s="41" t="str">
        <f>'AI#2_Gemini'!B$122</f>
        <v>+</v>
      </c>
      <c r="C15" s="50" t="str">
        <f>'AI#2_Gemini'!C122</f>
        <v>표준화된 컨테이너 이미지를 활용하여 이종 애플리케이션 및 마이크로서비스 간의 표준 이식성 및 연결 편의성이 증가합니다.</v>
      </c>
      <c r="D15" s="41" t="str">
        <f>'AI#2_Gemini'!D$122</f>
        <v>++</v>
      </c>
      <c r="E15" s="50" t="str">
        <f>'AI#2_Gemini'!E122</f>
        <v>풍부한 매니지드 SaaS/PaaS API, 이벤트 버스, 사전 빌드된 커넥터를 활용해 외부 시스템과의 통합이 매우 용이합니다.</v>
      </c>
      <c r="F15" s="41" t="str">
        <f>'AI#2_Gemini'!F$122</f>
        <v>-</v>
      </c>
      <c r="G15" s="50" t="str">
        <f>'AI#2_Gemini'!G122</f>
        <v>다양한 레거시 파편화 프로토콜(IoT, 산업용 현장 버스 등) 및 제한된 하드웨어 스펙으로 인해 통합 난이도가 높습니다</v>
      </c>
    </row>
    <row r="16">
      <c r="A16" s="50" t="s">
        <v>39</v>
      </c>
      <c r="B16" s="41" t="str">
        <f>Human!B$122</f>
        <v/>
      </c>
      <c r="C16" s="50" t="str">
        <f>Human!C122</f>
        <v>Human - Container-based - Integrability</v>
      </c>
      <c r="D16" s="41" t="str">
        <f>Human!D$122</f>
        <v/>
      </c>
      <c r="E16" s="50" t="str">
        <f>Human!E122</f>
        <v>Human - Cloud-based - Integrability</v>
      </c>
      <c r="F16" s="41" t="str">
        <f>Human!F$122</f>
        <v>-</v>
      </c>
      <c r="G16" s="50" t="str">
        <f>Human!G122</f>
        <v>다양한 레거시 파편화 프로토콜(IoT, 산업용 현장 버스 등) 및 제한된 하드웨어 스펙으로 인해 통합 난이도가 높음</v>
      </c>
    </row>
    <row r="17">
      <c r="A17" s="50"/>
      <c r="B17" s="50"/>
      <c r="C17" s="50"/>
      <c r="D17" s="50"/>
      <c r="E17" s="50"/>
      <c r="F17" s="50"/>
      <c r="G17" s="50"/>
    </row>
    <row r="18">
      <c r="A18" s="49" t="s">
        <v>58</v>
      </c>
      <c r="B18" s="49">
        <v>0.0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</row>
    <row r="19">
      <c r="A19" s="50" t="s">
        <v>34</v>
      </c>
      <c r="B19" s="41" t="str">
        <f>'AI#1_GPT'!B$123</f>
        <v>+</v>
      </c>
      <c r="C19" s="50" t="str">
        <f>'AI#1_GPT'!C123</f>
        <v>VM보다 경량화된 실행 환경을 사용하여 동일 자원에서 많은 서비스를 실행할 수 있어 자원 활용 효율이 높음</v>
      </c>
      <c r="D19" s="43" t="str">
        <f>'AI#1_GPT'!D$123</f>
        <v>+</v>
      </c>
      <c r="E19" s="50" t="str">
        <f>'AI#1_GPT'!E123</f>
        <v>서버 자원을 공유하고 필요에 따라 Scale In/Out할 수 있어 전체 자원 활용도를 높일 수 있음</v>
      </c>
      <c r="F19" s="41" t="str">
        <f>'AI#1_GPT'!F$123</f>
        <v>+</v>
      </c>
      <c r="G19" s="50" t="str">
        <f>'AI#1_GPT'!G123</f>
        <v>데이터를 모두 Cloud로 전송하지 않고 로컬에서 처리하여 네트워크 전송량과 중앙 서버의 처리량을 줄일 수 있음</v>
      </c>
    </row>
    <row r="20">
      <c r="A20" s="50" t="s">
        <v>35</v>
      </c>
      <c r="B20" s="41" t="str">
        <f>'AI#2_Gemini'!B$123</f>
        <v>+</v>
      </c>
      <c r="C20" s="50" t="str">
        <f>'AI#2_Gemini'!C123</f>
        <v>기존 가상 머신(VM)과 달리 게스트 OS 오버헤드가 없어 동일 하드웨어 대비 서버 자원 및 전력 사용 효율이 극대화됩니다</v>
      </c>
      <c r="D20" s="43" t="str">
        <f>'AI#2_Gemini'!D$123</f>
        <v>-</v>
      </c>
      <c r="E20" s="50" t="str">
        <f>'AI#2_Gemini'!E123</f>
        <v>하이퍼스케일 데이터센터 자원의 상시 운용 및 원격 데이터 전송으로 인한 네트워크 오버헤드로 절대적 에너지 소모가 큽니다.</v>
      </c>
      <c r="F20" s="41" t="str">
        <f>'AI#2_Gemini'!F$123</f>
        <v>++</v>
      </c>
      <c r="G20" s="50" t="str">
        <f>'AI#2_Gemini'!G123</f>
        <v>현장에서 데이터를 초기에 처리·필터링하여 원격 데이터 전송 전력을 대폭 줄이고 초저전력 디바이스 활용이 가능합니다.</v>
      </c>
    </row>
    <row r="21" ht="15.75" customHeight="1">
      <c r="A21" s="50" t="s">
        <v>39</v>
      </c>
      <c r="B21" s="41" t="str">
        <f>Human!B$123</f>
        <v/>
      </c>
      <c r="C21" s="50" t="str">
        <f>Human!C123</f>
        <v>Human - Container-based - Energy Efficiency</v>
      </c>
      <c r="D21" s="43" t="str">
        <f>Human!D$123</f>
        <v/>
      </c>
      <c r="E21" s="50" t="str">
        <f>Human!E123</f>
        <v>Human - Cloud-based - Energy Efficiency</v>
      </c>
      <c r="F21" s="41" t="str">
        <f>Human!F$123</f>
        <v>0</v>
      </c>
      <c r="G21" s="50" t="str">
        <f>Human!G123</f>
        <v>현장에서 데이터 처리 후 필터링하여 전달하기에 효율 높으나, 별도의 조건 없이 항시 데이터 처리가 필요하여 효율 떨어질수 있어 0</v>
      </c>
    </row>
    <row r="22" ht="15.75" customHeight="1">
      <c r="A22" s="50"/>
      <c r="B22" s="50"/>
      <c r="C22" s="50"/>
      <c r="D22" s="50"/>
      <c r="E22" s="50"/>
      <c r="F22" s="50"/>
      <c r="G22" s="50"/>
    </row>
    <row r="23" ht="15.75" customHeight="1">
      <c r="A23" s="49" t="s">
        <v>61</v>
      </c>
      <c r="B23" s="49">
        <v>0.0</v>
      </c>
      <c r="C23" s="49">
        <v>0.0</v>
      </c>
      <c r="D23" s="49">
        <v>0.0</v>
      </c>
      <c r="E23" s="49">
        <v>0.0</v>
      </c>
      <c r="F23" s="49">
        <v>0.0</v>
      </c>
      <c r="G23" s="49">
        <v>0.0</v>
      </c>
    </row>
    <row r="24" ht="15.75" customHeight="1">
      <c r="A24" s="50" t="s">
        <v>34</v>
      </c>
      <c r="B24" s="41" t="str">
        <f>'AI#1_GPT'!B$124</f>
        <v>++</v>
      </c>
      <c r="C24" s="50" t="str">
        <f>'AI#1_GPT'!C124</f>
        <v>각 서비스를 독립적인 Container로 분리할 수 있어 특정 서비스만 변경·교체하기 쉬움</v>
      </c>
      <c r="D24" s="41" t="str">
        <f>'AI#1_GPT'!D$124</f>
        <v>++</v>
      </c>
      <c r="E24" s="50" t="str">
        <f>'AI#1_GPT'!E124</f>
        <v>서비스 분리, Managed Service, Infrastructure as Code 등을 통해 시스템 구성 변경 및 확장이 비교적 용이함</v>
      </c>
      <c r="F24" s="41" t="str">
        <f>'AI#1_GPT'!F$124</f>
        <v>0</v>
      </c>
      <c r="G24" s="50" t="str">
        <f>'AI#1_GPT'!G124</f>
        <v>기능을 Edge에 분산할 수 있지만 장치별 환경 차이와 배포된 버전의 다양성 때문에 전체 변경 관리가 어려울 수 있음</v>
      </c>
    </row>
    <row r="25" ht="15.75" customHeight="1">
      <c r="A25" s="50" t="s">
        <v>35</v>
      </c>
      <c r="B25" s="41" t="str">
        <f>'AI#2_Gemini'!B$124</f>
        <v>+</v>
      </c>
      <c r="C25" s="50" t="str">
        <f>'AI#2_Gemini'!C124</f>
        <v>각 서비스 및 라이브러리 의존성이 컨테이너 내부로 격리되어 있어, 외부 환경 변화에 따른 코드 수정 및 버전 업데이트가 용이합니다.</v>
      </c>
      <c r="D25" s="41" t="str">
        <f>'AI#2_Gemini'!D$124</f>
        <v>+</v>
      </c>
      <c r="E25" s="50" t="str">
        <f>'AI#2_Gemini'!E124</f>
        <v>온디맨드 인프라 확장성 및 매니지드 서비스를 통해 아키텍처 구조 변경 및 스케일 업/아웃을 유연하게 처리할 수 있습니다.</v>
      </c>
      <c r="F25" s="41" t="str">
        <f>'AI#2_Gemini'!F$124</f>
        <v>-</v>
      </c>
      <c r="G25" s="50" t="str">
        <f>'AI#2_Gemini'!G124</f>
        <v>하드웨어 스펙의 제약 및 펌웨어 밀집 연동 구조로 인해 소프트웨어 기능 변경 및 리팩토링에 제약이 큽니다.</v>
      </c>
    </row>
    <row r="26" ht="15.75" customHeight="1">
      <c r="A26" s="50" t="s">
        <v>39</v>
      </c>
      <c r="B26" s="41" t="str">
        <f>Human!B$124</f>
        <v/>
      </c>
      <c r="C26" s="50" t="str">
        <f>Human!C124</f>
        <v>Human - Container-based - Modifiability</v>
      </c>
      <c r="D26" s="41" t="str">
        <f>Human!D$124</f>
        <v/>
      </c>
      <c r="E26" s="50" t="str">
        <f>Human!E124</f>
        <v>Human - Cloud-based - Modifiability</v>
      </c>
      <c r="F26" s="41" t="str">
        <f>Human!F$124</f>
        <v>-</v>
      </c>
      <c r="G26" s="50" t="str">
        <f>Human!G124</f>
        <v>edge별 환경 및 버전 차이로 수정에 어려울 수 있음</v>
      </c>
    </row>
    <row r="27" ht="15.75" customHeight="1">
      <c r="A27" s="50"/>
      <c r="B27" s="50"/>
      <c r="C27" s="50"/>
      <c r="D27" s="50"/>
      <c r="E27" s="50"/>
      <c r="F27" s="50"/>
      <c r="G27" s="50"/>
    </row>
    <row r="28" ht="15.75" customHeight="1">
      <c r="A28" s="49" t="s">
        <v>65</v>
      </c>
      <c r="B28" s="49">
        <v>0.0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</row>
    <row r="29" ht="15.75" customHeight="1">
      <c r="A29" s="50" t="s">
        <v>34</v>
      </c>
      <c r="B29" s="41" t="str">
        <f>'AI#1_GPT'!B$125</f>
        <v>+</v>
      </c>
      <c r="C29" s="50" t="str">
        <f>'AI#1_GPT'!C125</f>
        <v>Container의 가상화 오버헤드가 비교적 작고 서비스를 필요한 위치에 빠르게 배치할 수 있음</v>
      </c>
      <c r="D29" s="41" t="str">
        <f>'AI#1_GPT'!D$125</f>
        <v>+</v>
      </c>
      <c r="E29" s="50" t="str">
        <f>'AI#1_GPT'!E125</f>
        <v>대규모 자원과 Auto Scaling으로 높은 처리량을 제공할 수 있지만 네트워크 지연이 발생할 수 있음</v>
      </c>
      <c r="F29" s="41" t="str">
        <f>'AI#1_GPT'!F$125</f>
        <v>++</v>
      </c>
      <c r="G29" s="50" t="str">
        <f>'AI#1_GPT'!G125</f>
        <v>데이터를 사용자나 장치와 가까운 위치에서 처리하여 네트워크 왕복 지연을 줄이고 빠른 응답을 제공할 수 있음</v>
      </c>
    </row>
    <row r="30" ht="15.75" customHeight="1">
      <c r="A30" s="50" t="s">
        <v>35</v>
      </c>
      <c r="B30" s="41" t="str">
        <f>'AI#2_Gemini'!B$125</f>
        <v>+</v>
      </c>
      <c r="C30" s="50" t="str">
        <f>'AI#2_Gemini'!C125</f>
        <v>OS 커널을 직접 공유하는 경량화 구조로, 구동 시간이 수 초 이내로 빠르고 프로세스 실행 오버헤드가 최소화됩니다.</v>
      </c>
      <c r="D30" s="41" t="str">
        <f>'AI#2_Gemini'!D$125</f>
        <v>+</v>
      </c>
      <c r="E30" s="50" t="str">
        <f>'AI#2_Gemini'!E125</f>
        <v>오토스케일링 및 고성능 컴퓨팅 인스턴스를 활용해 트래픽 폭주 시에도 유연하게 대응하고 성능을 유지합니다.</v>
      </c>
      <c r="F30" s="41" t="str">
        <f>'AI#2_Gemini'!F$125</f>
        <v>++</v>
      </c>
      <c r="G30" s="50" t="str">
        <f>'AI#2_Gemini'!G125</f>
        <v>데이터 발생지 바로 인근에서 실시간 처리하여 네트워크 전송 지연을 완벽히 줄이고 초저지연(Ultra-low Latency)을 달성합니다.</v>
      </c>
    </row>
    <row r="31" ht="15.75" customHeight="1">
      <c r="A31" s="50" t="s">
        <v>39</v>
      </c>
      <c r="B31" s="41" t="str">
        <f>Human!B$125</f>
        <v/>
      </c>
      <c r="C31" s="50" t="str">
        <f>Human!C125</f>
        <v>Human - Container-based - Performance</v>
      </c>
      <c r="D31" s="41" t="str">
        <f>Human!D$125</f>
        <v/>
      </c>
      <c r="E31" s="50" t="str">
        <f>Human!E125</f>
        <v>Human - Cloud-based - Performance</v>
      </c>
      <c r="F31" s="41" t="str">
        <f>Human!F$125</f>
        <v>+</v>
      </c>
      <c r="G31" s="50" t="str">
        <f>Human!G125</f>
        <v>분석용 자원을 최종 사용자 가까이에 두기에 속도 측면 좋음</v>
      </c>
    </row>
    <row r="32" ht="15.75" customHeight="1">
      <c r="A32" s="50"/>
      <c r="B32" s="50"/>
      <c r="C32" s="50"/>
      <c r="D32" s="50"/>
      <c r="E32" s="50"/>
      <c r="F32" s="50"/>
      <c r="G32" s="50"/>
    </row>
    <row r="33" ht="15.75" customHeight="1">
      <c r="A33" s="49" t="s">
        <v>68</v>
      </c>
      <c r="B33" s="49">
        <v>0.0</v>
      </c>
      <c r="C33" s="49">
        <v>0.0</v>
      </c>
      <c r="D33" s="49">
        <v>0.0</v>
      </c>
      <c r="E33" s="49">
        <v>0.0</v>
      </c>
      <c r="F33" s="49">
        <v>0.0</v>
      </c>
      <c r="G33" s="49">
        <v>0.0</v>
      </c>
    </row>
    <row r="34" ht="15.75" customHeight="1">
      <c r="A34" s="50" t="s">
        <v>34</v>
      </c>
      <c r="B34" s="41" t="str">
        <f>'AI#1_GPT'!B$126</f>
        <v>+</v>
      </c>
      <c r="C34" s="50" t="str">
        <f>'AI#1_GPT'!C126</f>
        <v>서비스별 격리와 Resource Limit을 통해 한 Container의 문제를 다른 서비스로부터 어느 정도 격리할 수 있음</v>
      </c>
      <c r="D34" s="41" t="str">
        <f>'AI#1_GPT'!D$126</f>
        <v>+</v>
      </c>
      <c r="E34" s="50" t="str">
        <f>'AI#1_GPT'!E126</f>
        <v>중앙에서 정책, 모니터링, 백업 등을 일관되게 적용할 수 있어 시스템 안전 관리가 용이함</v>
      </c>
      <c r="F34" s="41" t="str">
        <f>'AI#1_GPT'!F$126</f>
        <v>++</v>
      </c>
      <c r="G34" s="50" t="str">
        <f>'AI#1_GPT'!G126</f>
        <v>긴급 제어나 실시간 처리를 Cloud 연결 없이 현장에서 수행할 수 있어 안전이 중요한 시스템에 적합함</v>
      </c>
    </row>
    <row r="35" ht="15.75" customHeight="1">
      <c r="A35" s="50" t="s">
        <v>35</v>
      </c>
      <c r="B35" s="41" t="str">
        <f>'AI#2_Gemini'!B$126</f>
        <v>0</v>
      </c>
      <c r="C35" s="50" t="str">
        <f>'AI#2_Gemini'!C126</f>
        <v>프로세스 수준의 격리는 제공하지만 호스트 커널을 공유하므로 결함 파급 차단 측면에서 기능적 안전성에 주는 영향은 중립적입니다.</v>
      </c>
      <c r="D35" s="41" t="str">
        <f>'AI#2_Gemini'!D$126</f>
        <v>0</v>
      </c>
      <c r="E35" s="50" t="str">
        <f>'AI#2_Gemini'!E126</f>
        <v>클라우드 사업자의 SLA에 의존하며, 물리적 하드웨어 제어가 불가능하여 실시간 현장 안전 제어에는 한계가 있습니다.</v>
      </c>
      <c r="F35" s="41" t="str">
        <f>'AI#2_Gemini'!F$126</f>
        <v>++</v>
      </c>
      <c r="G35" s="50" t="str">
        <f>'AI#2_Gemini'!G126</f>
        <v>네트워크 지연이나 단절 없이 로컬 차원에서 즉각적인 제어 및 셧다운을 수행할 수 있어 물리적 현장 안전 확보에 최적입니다.</v>
      </c>
    </row>
    <row r="36" ht="15.75" customHeight="1">
      <c r="A36" s="50" t="s">
        <v>39</v>
      </c>
      <c r="B36" s="41" t="str">
        <f>Human!B$126</f>
        <v/>
      </c>
      <c r="C36" s="50" t="str">
        <f>Human!C126</f>
        <v>Human - Container-based - Safety</v>
      </c>
      <c r="D36" s="41" t="str">
        <f>Human!D$126</f>
        <v/>
      </c>
      <c r="E36" s="50" t="str">
        <f>Human!E126</f>
        <v>Human - Cloud-based - Safety</v>
      </c>
      <c r="F36" s="41" t="str">
        <f>Human!F$126</f>
        <v>+</v>
      </c>
      <c r="G36" s="50" t="str">
        <f>Human!G126</f>
        <v>로컬에서 즉각적인 대응 가능하여 safety 높음</v>
      </c>
    </row>
    <row r="37" ht="15.75" customHeight="1">
      <c r="A37" s="50"/>
      <c r="B37" s="50"/>
      <c r="C37" s="50"/>
      <c r="D37" s="50"/>
      <c r="E37" s="50"/>
      <c r="F37" s="50"/>
      <c r="G37" s="50"/>
    </row>
    <row r="38" ht="15.75" customHeight="1">
      <c r="A38" s="49" t="s">
        <v>74</v>
      </c>
      <c r="B38" s="49">
        <v>0.0</v>
      </c>
      <c r="C38" s="49">
        <v>0.0</v>
      </c>
      <c r="D38" s="49">
        <v>0.0</v>
      </c>
      <c r="E38" s="49">
        <v>0.0</v>
      </c>
      <c r="F38" s="49">
        <v>0.0</v>
      </c>
      <c r="G38" s="49">
        <v>0.0</v>
      </c>
    </row>
    <row r="39" ht="15.75" customHeight="1">
      <c r="A39" s="50" t="s">
        <v>34</v>
      </c>
      <c r="B39" s="43" t="str">
        <f>'AI#1_GPT'!B$127</f>
        <v>+</v>
      </c>
      <c r="C39" s="50" t="str">
        <f>'AI#1_GPT'!C127</f>
        <v>Container Isolation, Image Signing, 접근 제어 등을 적용할 수 있으나 잘못된 이미지나 Host 침해 시 여러 Container가 영향을 받을 수 있음</v>
      </c>
      <c r="D39" s="41" t="str">
        <f>'AI#1_GPT'!D$127</f>
        <v>+</v>
      </c>
      <c r="E39" s="50" t="str">
        <f>'AI#1_GPT'!E127</f>
        <v>IAM, Encryption, WAF, 중앙 보안 모니터링 등 강력한 보안 기능을 활용할 수 있지만 인터넷 노출과 Cloud 계정 침해 위험이 존재함</v>
      </c>
      <c r="F39" s="41" t="str">
        <f>'AI#1_GPT'!F$127</f>
        <v>-</v>
      </c>
      <c r="G39" s="50" t="str">
        <f>'AI#1_GPT'!G127</f>
        <v>많은 Edge 장치가 물리적으로 분산되어 있어 장치 탈취, 변조, 취약한 네트워크 등 공격 지점이 증가함</v>
      </c>
    </row>
    <row r="40" ht="15.75" customHeight="1">
      <c r="A40" s="50" t="s">
        <v>35</v>
      </c>
      <c r="B40" s="43" t="str">
        <f>'AI#2_Gemini'!B$127</f>
        <v>-</v>
      </c>
      <c r="C40" s="50" t="str">
        <f>'AI#2_Gemini'!C127</f>
        <v>호스트 커널 공유 구조로 인한 보안 취약점 전파 가능성 및 Base 이미지 내 취약점 지속 관리 부담이 존재합니다.</v>
      </c>
      <c r="D40" s="41" t="str">
        <f>'AI#2_Gemini'!D$127</f>
        <v>+</v>
      </c>
      <c r="E40" s="50" t="str">
        <f>'AI#2_Gemini'!E127</f>
        <v>클라우드 벤더의 고도화된 IAM, 암호화, 보안 규정 준수 기능을 활용할 수 있으나, 설정 오류에 따른 위험은 잔존합니다.</v>
      </c>
      <c r="F40" s="41" t="str">
        <f>'AI#2_Gemini'!F$127</f>
        <v>--</v>
      </c>
      <c r="G40" s="50" t="str">
        <f>'AI#2_Gemini'!G127</f>
        <v>장치가 현장에 물리적으로 노출되어 있어 도난, 분실, 물리적 접근 공격 및 엔드포인트 탈취 위험에 극도로 취약합니다.</v>
      </c>
    </row>
    <row r="41" ht="15.75" customHeight="1">
      <c r="A41" s="50" t="s">
        <v>39</v>
      </c>
      <c r="B41" s="43" t="str">
        <f>Human!B$127</f>
        <v/>
      </c>
      <c r="C41" s="50" t="str">
        <f>Human!C127</f>
        <v>Human - Container-based - Security</v>
      </c>
      <c r="D41" s="41" t="str">
        <f>Human!D$127</f>
        <v/>
      </c>
      <c r="E41" s="50" t="str">
        <f>Human!E127</f>
        <v>Human - Cloud-based - Security</v>
      </c>
      <c r="F41" s="41" t="str">
        <f>Human!F$127</f>
        <v>-</v>
      </c>
      <c r="G41" s="50" t="str">
        <f>Human!G127</f>
        <v>많은 데이터가 core 밖에서 처리되어 유출, 도난 침해 가능</v>
      </c>
    </row>
    <row r="42" ht="15.75" customHeight="1">
      <c r="A42" s="50"/>
      <c r="B42" s="50"/>
      <c r="C42" s="50"/>
      <c r="D42" s="50"/>
      <c r="E42" s="50"/>
      <c r="F42" s="50"/>
      <c r="G42" s="50"/>
    </row>
    <row r="43" ht="15.75" customHeight="1">
      <c r="A43" s="49" t="s">
        <v>75</v>
      </c>
      <c r="B43" s="49">
        <v>0.0</v>
      </c>
      <c r="C43" s="49">
        <v>0.0</v>
      </c>
      <c r="D43" s="49">
        <v>0.0</v>
      </c>
      <c r="E43" s="49">
        <v>0.0</v>
      </c>
      <c r="F43" s="49">
        <v>0.0</v>
      </c>
      <c r="G43" s="49">
        <v>0.0</v>
      </c>
    </row>
    <row r="44" ht="15.75" customHeight="1">
      <c r="A44" s="50" t="s">
        <v>34</v>
      </c>
      <c r="B44" s="41" t="str">
        <f>'AI#1_GPT'!B$128</f>
        <v>++</v>
      </c>
      <c r="C44" s="50" t="str">
        <f>'AI#1_GPT'!C128</f>
        <v>동일한 Container Image를 개발·테스트·운영 환경에서 사용할 수 있어 테스트 환경 재현성이 높음</v>
      </c>
      <c r="D44" s="41" t="str">
        <f>'AI#1_GPT'!D$128</f>
        <v>+</v>
      </c>
      <c r="E44" s="50" t="str">
        <f>'AI#1_GPT'!E128</f>
        <v>테스트 환경을 필요할 때 빠르게 생성하고 자동화된 테스트를 수행하기 쉽지만 외부 Cloud 서비스 의존성이 있을 수 있음</v>
      </c>
      <c r="F44" s="41" t="str">
        <f>'AI#1_GPT'!F$128</f>
        <v>-</v>
      </c>
      <c r="G44" s="50" t="str">
        <f>'AI#1_GPT'!G128</f>
        <v>다양한 실제 장치, 네트워크 상태, 위치, HW 환경을 재현해야 하므로 전체 시스템 테스트가 어려움</v>
      </c>
    </row>
    <row r="45" ht="15.75" customHeight="1">
      <c r="A45" s="50" t="s">
        <v>35</v>
      </c>
      <c r="B45" s="41" t="str">
        <f>'AI#2_Gemini'!B$128</f>
        <v>++</v>
      </c>
      <c r="C45" s="50" t="str">
        <f>'AI#2_Gemini'!C128</f>
        <v>개발자의 로컬 환경 및 CI 파이프라인에서 실제 운영 환경과 100% 동일한 컨테이너 환경을 즉시 재현하여 테스트할 수 있습니다.</v>
      </c>
      <c r="D45" s="41" t="str">
        <f>'AI#2_Gemini'!D$128</f>
        <v>+</v>
      </c>
      <c r="E45" s="50" t="str">
        <f>'AI#2_Gemini'!E128</f>
        <v>필요할 때만 일회성 테스트 인프라(Ephemeral Environment)를 동적으로 생성하고 폐기할 수 있어 테스트 유연성이 높습니다.</v>
      </c>
      <c r="F45" s="41" t="str">
        <f>'AI#2_Gemini'!F$128</f>
        <v>--</v>
      </c>
      <c r="G45" s="50" t="str">
        <f>'AI#2_Gemini'!G128</f>
        <v>다양한 물리 현장의 필드 하드웨어 환경 및 간헐적 네트워크 불안정 상태를 개발/테스트 환경에서 재현하기가 매우 어렵습니다.</v>
      </c>
    </row>
    <row r="46" ht="15.75" customHeight="1">
      <c r="A46" s="50" t="s">
        <v>39</v>
      </c>
      <c r="B46" s="41" t="str">
        <f>Human!B$128</f>
        <v/>
      </c>
      <c r="C46" s="50" t="str">
        <f>Human!C128</f>
        <v>Human - Container-based - Testability</v>
      </c>
      <c r="D46" s="41" t="str">
        <f>Human!D$128</f>
        <v/>
      </c>
      <c r="E46" s="50" t="str">
        <f>Human!E128</f>
        <v>Human - Cloud-based - Testability</v>
      </c>
      <c r="F46" s="41" t="str">
        <f>Human!F$128</f>
        <v>-</v>
      </c>
      <c r="G46" s="50" t="str">
        <f>Human!G128</f>
        <v>각 edge별 test는 용이하나 중앙과 연결된 전체 test시 복잡해짐</v>
      </c>
    </row>
    <row r="47" ht="15.0" customHeight="1">
      <c r="A47" s="50"/>
      <c r="B47" s="50"/>
      <c r="C47" s="50"/>
      <c r="D47" s="50"/>
      <c r="E47" s="50"/>
      <c r="F47" s="50"/>
      <c r="G47" s="50"/>
    </row>
    <row r="48" ht="15.75" customHeight="1">
      <c r="A48" s="49" t="s">
        <v>79</v>
      </c>
      <c r="B48" s="49">
        <v>0.0</v>
      </c>
      <c r="C48" s="49">
        <v>0.0</v>
      </c>
      <c r="D48" s="49">
        <v>0.0</v>
      </c>
      <c r="E48" s="49">
        <v>0.0</v>
      </c>
      <c r="F48" s="49">
        <v>0.0</v>
      </c>
      <c r="G48" s="49">
        <v>0.0</v>
      </c>
    </row>
    <row r="49" ht="15.75" customHeight="1">
      <c r="A49" s="50" t="s">
        <v>34</v>
      </c>
      <c r="B49" s="41" t="str">
        <f>'AI#1_GPT'!B$129</f>
        <v>0</v>
      </c>
      <c r="C49" s="50" t="str">
        <f>'AI#1_GPT'!C129</f>
        <v>사용자 경험에 직접적인 영향은 작지만 일관된 실행 환경과 빠른 배포를 통해 서비스 품질 개선에 기여할 수 있음</v>
      </c>
      <c r="D49" s="41" t="str">
        <f>'AI#1_GPT'!D$129</f>
        <v>++</v>
      </c>
      <c r="E49" s="50" t="str">
        <f>'AI#1_GPT'!E129</f>
        <v>사용자가 장소나 장치에 관계없이 서비스를 이용할 수 있고 자원 확장을 통해 안정적인 서비스 제공이 가능함</v>
      </c>
      <c r="F49" s="41" t="str">
        <f>'AI#1_GPT'!F$129</f>
        <v>++</v>
      </c>
      <c r="G49" s="50" t="str">
        <f>'AI#1_GPT'!G129</f>
        <v>사용자와 가까운 위치에서 처리하여 응답속도를 낮추고 네트워크가 불안정한 환경에서도 기능 제공이 가능함</v>
      </c>
    </row>
    <row r="50" ht="15.75" customHeight="1">
      <c r="A50" s="50" t="s">
        <v>35</v>
      </c>
      <c r="B50" s="41" t="str">
        <f>'AI#2_Gemini'!B$129</f>
        <v>0</v>
      </c>
      <c r="C50" s="50" t="str">
        <f>'AI#2_Gemini'!C129</f>
        <v>배포 및 패키징 기술로서 엔드유저의 인터페이스 및 사용성에는 직접적인 영향을 미치지 않습니다.</v>
      </c>
      <c r="D50" s="41" t="str">
        <f>'AI#2_Gemini'!D$129</f>
        <v>+</v>
      </c>
      <c r="E50" s="50" t="str">
        <f>'AI#2_Gemini'!E129</f>
        <v>CDN 및 글로벌 엣지 로케이션 배포를 통해 사용자에게 최적의 응답 속도를 제공함으로써 사용자 경험을 대폭 향상시킵니다.</v>
      </c>
      <c r="F50" s="41" t="str">
        <f>'AI#2_Gemini'!F$129</f>
        <v>+</v>
      </c>
      <c r="G50" s="50" t="str">
        <f>'AI#2_Gemini'!G129</f>
        <v>네트워크 연결 없이도 즉각적인 응답 속도를 보장하고 오프라인 동작을 지원하여 특정 현장 사용성을 높입니다.</v>
      </c>
    </row>
    <row r="51" ht="15.75" customHeight="1">
      <c r="A51" s="50" t="s">
        <v>39</v>
      </c>
      <c r="B51" s="41" t="str">
        <f>Human!B$129</f>
        <v/>
      </c>
      <c r="C51" s="50" t="str">
        <f>Human!C129</f>
        <v>Human - Container-based - Usability</v>
      </c>
      <c r="D51" s="41" t="str">
        <f>Human!D$129</f>
        <v/>
      </c>
      <c r="E51" s="50" t="str">
        <f>Human!E129</f>
        <v>Human - Cloud-based - Usability</v>
      </c>
      <c r="F51" s="41" t="str">
        <f>Human!F$129</f>
        <v>+</v>
      </c>
      <c r="G51" s="50" t="str">
        <f>Human!G129</f>
        <v>연관성 없다고 판단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C1"/>
    <mergeCell ref="D1:E1"/>
    <mergeCell ref="F1:G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57"/>
    <col customWidth="1" min="2" max="2" width="14.71"/>
    <col customWidth="1" min="3" max="3" width="73.86"/>
    <col customWidth="1" min="4" max="4" width="9.86"/>
    <col customWidth="1" min="5" max="5" width="64.43"/>
    <col customWidth="1" min="6" max="6" width="11.43"/>
    <col customWidth="1" min="7" max="7" width="61.57"/>
    <col customWidth="1" min="8" max="8" width="8.86"/>
    <col customWidth="1" min="9" max="9" width="64.14"/>
  </cols>
  <sheetData>
    <row r="1">
      <c r="A1" s="53" t="s">
        <v>104</v>
      </c>
      <c r="B1" s="54" t="s">
        <v>10</v>
      </c>
      <c r="C1" s="46"/>
      <c r="D1" s="54" t="s">
        <v>18</v>
      </c>
      <c r="E1" s="46"/>
      <c r="F1" s="54" t="s">
        <v>22</v>
      </c>
      <c r="G1" s="46"/>
    </row>
    <row r="2">
      <c r="A2" s="47"/>
      <c r="B2" s="55" t="s">
        <v>29</v>
      </c>
      <c r="C2" s="55" t="s">
        <v>32</v>
      </c>
      <c r="D2" s="55" t="s">
        <v>29</v>
      </c>
      <c r="E2" s="55" t="s">
        <v>32</v>
      </c>
      <c r="F2" s="55" t="s">
        <v>29</v>
      </c>
      <c r="G2" s="55" t="s">
        <v>32</v>
      </c>
    </row>
    <row r="3" ht="16.5" customHeight="1">
      <c r="A3" s="56" t="s">
        <v>33</v>
      </c>
      <c r="B3" s="57"/>
      <c r="C3" s="58"/>
      <c r="D3" s="57"/>
      <c r="E3" s="56"/>
      <c r="F3" s="59"/>
      <c r="G3" s="60"/>
    </row>
    <row r="4" ht="16.5" customHeight="1">
      <c r="A4" s="56" t="s">
        <v>46</v>
      </c>
      <c r="B4" s="57"/>
      <c r="C4" s="58"/>
      <c r="D4" s="57"/>
      <c r="E4" s="56"/>
      <c r="F4" s="59"/>
      <c r="G4" s="60"/>
    </row>
    <row r="5" ht="16.5" customHeight="1">
      <c r="A5" s="56" t="s">
        <v>52</v>
      </c>
      <c r="B5" s="57"/>
      <c r="C5" s="58"/>
      <c r="D5" s="57"/>
      <c r="E5" s="61"/>
      <c r="F5" s="59"/>
      <c r="G5" s="62"/>
    </row>
    <row r="6" ht="16.5" customHeight="1">
      <c r="A6" s="56" t="s">
        <v>58</v>
      </c>
      <c r="B6" s="57"/>
      <c r="C6" s="58"/>
      <c r="D6" s="57"/>
      <c r="E6" s="58"/>
      <c r="F6" s="59"/>
      <c r="G6" s="60"/>
    </row>
    <row r="7" ht="16.5" customHeight="1">
      <c r="A7" s="56" t="s">
        <v>61</v>
      </c>
      <c r="B7" s="57"/>
      <c r="C7" s="58"/>
      <c r="D7" s="57"/>
      <c r="E7" s="56"/>
      <c r="F7" s="57"/>
      <c r="G7" s="60"/>
    </row>
    <row r="8" ht="16.5" customHeight="1">
      <c r="A8" s="56" t="s">
        <v>65</v>
      </c>
      <c r="B8" s="57"/>
      <c r="C8" s="56"/>
      <c r="D8" s="57"/>
      <c r="E8" s="56"/>
      <c r="F8" s="59"/>
      <c r="G8" s="58"/>
    </row>
    <row r="9" ht="16.5" customHeight="1">
      <c r="A9" s="56" t="s">
        <v>68</v>
      </c>
      <c r="B9" s="57"/>
      <c r="C9" s="58"/>
      <c r="D9" s="57"/>
      <c r="E9" s="58"/>
      <c r="F9" s="59"/>
      <c r="G9" s="60"/>
    </row>
    <row r="10" ht="16.5" customHeight="1">
      <c r="A10" s="56" t="s">
        <v>74</v>
      </c>
      <c r="B10" s="57"/>
      <c r="C10" s="58"/>
      <c r="D10" s="57"/>
      <c r="E10" s="58"/>
      <c r="F10" s="57"/>
      <c r="G10" s="58"/>
    </row>
    <row r="11" ht="16.5" customHeight="1">
      <c r="A11" s="56" t="s">
        <v>75</v>
      </c>
      <c r="B11" s="57"/>
      <c r="C11" s="58"/>
      <c r="D11" s="57"/>
      <c r="E11" s="56"/>
      <c r="F11" s="57"/>
      <c r="G11" s="58"/>
    </row>
    <row r="12" ht="16.5" customHeight="1">
      <c r="A12" s="56" t="s">
        <v>79</v>
      </c>
      <c r="B12" s="57"/>
      <c r="C12" s="58"/>
      <c r="D12" s="57"/>
      <c r="E12" s="58"/>
      <c r="F12" s="57"/>
      <c r="G12" s="58"/>
    </row>
    <row r="13">
      <c r="A13" s="63"/>
      <c r="B13" s="63"/>
      <c r="C13" s="63"/>
      <c r="D13" s="63"/>
      <c r="E13" s="63"/>
      <c r="F13" s="63"/>
      <c r="G13" s="63"/>
    </row>
    <row r="14" ht="36.0" customHeight="1">
      <c r="A14" s="64" t="s">
        <v>13</v>
      </c>
      <c r="B14" s="54" t="s">
        <v>105</v>
      </c>
      <c r="C14" s="46"/>
      <c r="D14" s="54" t="s">
        <v>30</v>
      </c>
      <c r="E14" s="46"/>
      <c r="F14" s="63"/>
      <c r="G14" s="63"/>
    </row>
    <row r="15">
      <c r="A15" s="65"/>
      <c r="B15" s="66" t="s">
        <v>29</v>
      </c>
      <c r="C15" s="66" t="s">
        <v>32</v>
      </c>
      <c r="D15" s="66" t="s">
        <v>29</v>
      </c>
      <c r="E15" s="66" t="s">
        <v>32</v>
      </c>
      <c r="F15" s="63"/>
      <c r="G15" s="63"/>
    </row>
    <row r="16" ht="16.5" customHeight="1">
      <c r="A16" s="56" t="s">
        <v>33</v>
      </c>
      <c r="B16" s="57"/>
      <c r="C16" s="58"/>
      <c r="D16" s="57"/>
      <c r="E16" s="58"/>
      <c r="F16" s="63"/>
      <c r="G16" s="63"/>
    </row>
    <row r="17" ht="16.5" customHeight="1">
      <c r="A17" s="56" t="s">
        <v>46</v>
      </c>
      <c r="B17" s="57"/>
      <c r="C17" s="58"/>
      <c r="D17" s="57"/>
      <c r="E17" s="58"/>
      <c r="F17" s="63"/>
      <c r="G17" s="63"/>
    </row>
    <row r="18" ht="16.5" customHeight="1">
      <c r="A18" s="56" t="s">
        <v>52</v>
      </c>
      <c r="B18" s="57"/>
      <c r="C18" s="58"/>
      <c r="D18" s="57"/>
      <c r="E18" s="56"/>
      <c r="F18" s="63"/>
      <c r="G18" s="63"/>
    </row>
    <row r="19" ht="16.5" customHeight="1">
      <c r="A19" s="56" t="s">
        <v>58</v>
      </c>
      <c r="B19" s="57"/>
      <c r="C19" s="58"/>
      <c r="D19" s="57"/>
      <c r="E19" s="58"/>
      <c r="F19" s="63"/>
      <c r="G19" s="63"/>
    </row>
    <row r="20" ht="16.5" customHeight="1">
      <c r="A20" s="56" t="s">
        <v>61</v>
      </c>
      <c r="B20" s="57"/>
      <c r="C20" s="67"/>
      <c r="D20" s="57"/>
      <c r="E20" s="67"/>
      <c r="F20" s="63"/>
      <c r="G20" s="63"/>
    </row>
    <row r="21" ht="16.5" customHeight="1">
      <c r="A21" s="56" t="s">
        <v>65</v>
      </c>
      <c r="B21" s="57"/>
      <c r="C21" s="56"/>
      <c r="D21" s="57"/>
      <c r="E21" s="56"/>
      <c r="F21" s="63"/>
      <c r="G21" s="63"/>
    </row>
    <row r="22" ht="16.5" customHeight="1">
      <c r="A22" s="56" t="s">
        <v>68</v>
      </c>
      <c r="B22" s="57"/>
      <c r="C22" s="58"/>
      <c r="D22" s="57"/>
      <c r="E22" s="56"/>
      <c r="F22" s="63"/>
      <c r="G22" s="63"/>
    </row>
    <row r="23" ht="16.5" customHeight="1">
      <c r="A23" s="56" t="s">
        <v>74</v>
      </c>
      <c r="B23" s="57"/>
      <c r="C23" s="58"/>
      <c r="D23" s="57"/>
      <c r="E23" s="58"/>
      <c r="F23" s="63"/>
      <c r="G23" s="63"/>
    </row>
    <row r="24" ht="16.5" customHeight="1">
      <c r="A24" s="56" t="s">
        <v>75</v>
      </c>
      <c r="B24" s="57"/>
      <c r="C24" s="58"/>
      <c r="D24" s="57"/>
      <c r="E24" s="58"/>
      <c r="F24" s="63"/>
      <c r="G24" s="63"/>
    </row>
    <row r="25" ht="16.5" customHeight="1">
      <c r="A25" s="56" t="s">
        <v>79</v>
      </c>
      <c r="B25" s="57"/>
      <c r="C25" s="58"/>
      <c r="D25" s="57"/>
      <c r="E25" s="58"/>
      <c r="F25" s="63"/>
      <c r="G25" s="63"/>
    </row>
    <row r="26" ht="15.75" customHeight="1">
      <c r="A26" s="63"/>
      <c r="B26" s="63"/>
      <c r="C26" s="63"/>
      <c r="D26" s="63"/>
      <c r="E26" s="63"/>
      <c r="F26" s="63"/>
      <c r="G26" s="63"/>
    </row>
    <row r="27" ht="15.75" customHeight="1">
      <c r="A27" s="64" t="s">
        <v>14</v>
      </c>
      <c r="B27" s="54" t="s">
        <v>26</v>
      </c>
      <c r="C27" s="46"/>
      <c r="D27" s="54" t="s">
        <v>31</v>
      </c>
      <c r="E27" s="46"/>
      <c r="F27" s="63"/>
      <c r="G27" s="63"/>
    </row>
    <row r="28" ht="15.75" customHeight="1">
      <c r="A28" s="68"/>
      <c r="B28" s="55" t="s">
        <v>29</v>
      </c>
      <c r="C28" s="55" t="s">
        <v>32</v>
      </c>
      <c r="D28" s="55" t="s">
        <v>29</v>
      </c>
      <c r="E28" s="55" t="s">
        <v>32</v>
      </c>
      <c r="F28" s="63"/>
      <c r="G28" s="63"/>
    </row>
    <row r="29" ht="16.5" customHeight="1">
      <c r="A29" s="56" t="s">
        <v>33</v>
      </c>
      <c r="B29" s="55"/>
      <c r="C29" s="56"/>
      <c r="D29" s="57"/>
      <c r="E29" s="56"/>
      <c r="F29" s="63"/>
      <c r="G29" s="63"/>
    </row>
    <row r="30" ht="16.5" customHeight="1">
      <c r="A30" s="56" t="s">
        <v>46</v>
      </c>
      <c r="B30" s="55"/>
      <c r="C30" s="56"/>
      <c r="D30" s="57"/>
      <c r="E30" s="56"/>
      <c r="F30" s="63"/>
      <c r="G30" s="63"/>
    </row>
    <row r="31" ht="16.5" customHeight="1">
      <c r="A31" s="56" t="s">
        <v>52</v>
      </c>
      <c r="B31" s="55"/>
      <c r="C31" s="58"/>
      <c r="D31" s="57"/>
      <c r="E31" s="58"/>
      <c r="F31" s="63"/>
      <c r="G31" s="63"/>
    </row>
    <row r="32" ht="16.5" customHeight="1">
      <c r="A32" s="56" t="s">
        <v>58</v>
      </c>
      <c r="B32" s="55"/>
      <c r="C32" s="58"/>
      <c r="D32" s="57"/>
      <c r="E32" s="58"/>
      <c r="F32" s="63"/>
      <c r="G32" s="63"/>
    </row>
    <row r="33" ht="16.5" customHeight="1">
      <c r="A33" s="56" t="s">
        <v>61</v>
      </c>
      <c r="B33" s="57"/>
      <c r="C33" s="56"/>
      <c r="D33" s="57"/>
      <c r="E33" s="56"/>
      <c r="F33" s="63"/>
      <c r="G33" s="63"/>
    </row>
    <row r="34" ht="16.5" customHeight="1">
      <c r="A34" s="56" t="s">
        <v>65</v>
      </c>
      <c r="B34" s="55"/>
      <c r="C34" s="56"/>
      <c r="D34" s="57"/>
      <c r="E34" s="56"/>
      <c r="F34" s="63"/>
      <c r="G34" s="63"/>
    </row>
    <row r="35" ht="16.5" customHeight="1">
      <c r="A35" s="56" t="s">
        <v>68</v>
      </c>
      <c r="B35" s="55"/>
      <c r="C35" s="58"/>
      <c r="D35" s="55"/>
      <c r="E35" s="58"/>
      <c r="F35" s="63"/>
      <c r="G35" s="63"/>
    </row>
    <row r="36" ht="16.5" customHeight="1">
      <c r="A36" s="56" t="s">
        <v>74</v>
      </c>
      <c r="B36" s="55"/>
      <c r="C36" s="56"/>
      <c r="D36" s="57"/>
      <c r="E36" s="56"/>
      <c r="F36" s="63"/>
      <c r="G36" s="63"/>
    </row>
    <row r="37" ht="15.75" customHeight="1">
      <c r="A37" s="56" t="s">
        <v>75</v>
      </c>
      <c r="B37" s="55"/>
      <c r="C37" s="56"/>
      <c r="D37" s="55"/>
      <c r="E37" s="56"/>
      <c r="F37" s="63"/>
      <c r="G37" s="63"/>
    </row>
    <row r="38" ht="16.5" customHeight="1">
      <c r="A38" s="56" t="s">
        <v>79</v>
      </c>
      <c r="B38" s="57"/>
      <c r="C38" s="56"/>
      <c r="D38" s="55"/>
      <c r="E38" s="56"/>
      <c r="F38" s="63"/>
      <c r="G38" s="63"/>
    </row>
    <row r="39" ht="15.75" customHeight="1">
      <c r="A39" s="63"/>
      <c r="B39" s="63"/>
      <c r="C39" s="63"/>
      <c r="D39" s="63"/>
      <c r="E39" s="63"/>
      <c r="F39" s="63"/>
      <c r="G39" s="63"/>
    </row>
    <row r="40" ht="15.75" customHeight="1">
      <c r="A40" s="64" t="s">
        <v>36</v>
      </c>
      <c r="B40" s="54" t="s">
        <v>37</v>
      </c>
      <c r="C40" s="46"/>
      <c r="D40" s="54" t="s">
        <v>38</v>
      </c>
      <c r="E40" s="46"/>
      <c r="F40" s="63"/>
      <c r="G40" s="63"/>
    </row>
    <row r="41" ht="16.5" customHeight="1">
      <c r="A41" s="68"/>
      <c r="B41" s="55" t="s">
        <v>29</v>
      </c>
      <c r="C41" s="55" t="s">
        <v>32</v>
      </c>
      <c r="D41" s="55" t="s">
        <v>29</v>
      </c>
      <c r="E41" s="55" t="s">
        <v>32</v>
      </c>
      <c r="F41" s="63"/>
      <c r="G41" s="63"/>
      <c r="H41" s="69"/>
    </row>
    <row r="42" ht="16.5" customHeight="1">
      <c r="A42" s="56" t="s">
        <v>33</v>
      </c>
      <c r="B42" s="57"/>
      <c r="C42" s="58"/>
      <c r="D42" s="57"/>
      <c r="E42" s="58"/>
      <c r="F42" s="63"/>
      <c r="G42" s="63"/>
    </row>
    <row r="43" ht="16.5" customHeight="1">
      <c r="A43" s="56" t="s">
        <v>46</v>
      </c>
      <c r="B43" s="57"/>
      <c r="C43" s="58"/>
      <c r="D43" s="57"/>
      <c r="E43" s="56"/>
      <c r="F43" s="63"/>
      <c r="G43" s="63"/>
      <c r="H43" s="63"/>
    </row>
    <row r="44" ht="16.5" customHeight="1">
      <c r="A44" s="56" t="s">
        <v>52</v>
      </c>
      <c r="B44" s="57"/>
      <c r="C44" s="58"/>
      <c r="D44" s="57"/>
      <c r="E44" s="56"/>
      <c r="F44" s="63"/>
      <c r="G44" s="63"/>
      <c r="H44" s="63"/>
    </row>
    <row r="45" ht="16.5" customHeight="1">
      <c r="A45" s="56" t="s">
        <v>58</v>
      </c>
      <c r="B45" s="57"/>
      <c r="C45" s="58"/>
      <c r="D45" s="57"/>
      <c r="E45" s="58"/>
      <c r="F45" s="63"/>
      <c r="G45" s="63"/>
      <c r="H45" s="63"/>
    </row>
    <row r="46" ht="16.5" customHeight="1">
      <c r="A46" s="56" t="s">
        <v>61</v>
      </c>
      <c r="B46" s="57"/>
      <c r="C46" s="67"/>
      <c r="D46" s="57"/>
      <c r="E46" s="58"/>
      <c r="F46" s="63"/>
      <c r="G46" s="63"/>
      <c r="H46" s="63"/>
    </row>
    <row r="47" ht="16.5" customHeight="1">
      <c r="A47" s="56" t="s">
        <v>65</v>
      </c>
      <c r="B47" s="57"/>
      <c r="C47" s="58"/>
      <c r="D47" s="57"/>
      <c r="E47" s="67"/>
      <c r="F47" s="63"/>
      <c r="G47" s="63"/>
      <c r="H47" s="63"/>
    </row>
    <row r="48" ht="16.5" customHeight="1">
      <c r="A48" s="56" t="s">
        <v>68</v>
      </c>
      <c r="B48" s="57"/>
      <c r="C48" s="58"/>
      <c r="D48" s="57"/>
      <c r="E48" s="58"/>
      <c r="F48" s="63"/>
      <c r="G48" s="63"/>
      <c r="H48" s="63"/>
    </row>
    <row r="49" ht="16.5" customHeight="1">
      <c r="A49" s="56" t="s">
        <v>74</v>
      </c>
      <c r="B49" s="57"/>
      <c r="C49" s="58"/>
      <c r="D49" s="57"/>
      <c r="E49" s="58"/>
      <c r="F49" s="63"/>
      <c r="G49" s="63"/>
      <c r="H49" s="63"/>
    </row>
    <row r="50" ht="16.5" customHeight="1">
      <c r="A50" s="56" t="s">
        <v>75</v>
      </c>
      <c r="B50" s="57"/>
      <c r="C50" s="58"/>
      <c r="D50" s="57"/>
      <c r="E50" s="58"/>
      <c r="F50" s="63"/>
      <c r="G50" s="63"/>
      <c r="H50" s="70"/>
      <c r="I50" s="70"/>
    </row>
    <row r="51" ht="16.5" customHeight="1">
      <c r="A51" s="56" t="s">
        <v>79</v>
      </c>
      <c r="B51" s="57"/>
      <c r="C51" s="58"/>
      <c r="D51" s="57"/>
      <c r="E51" s="58"/>
      <c r="F51" s="63"/>
      <c r="G51" s="72"/>
      <c r="H51" s="69"/>
    </row>
    <row r="52" ht="15.75" customHeight="1">
      <c r="A52" s="63"/>
      <c r="B52" s="63"/>
      <c r="C52" s="63"/>
      <c r="D52" s="63"/>
      <c r="E52" s="63"/>
      <c r="F52" s="63"/>
      <c r="G52" s="63"/>
    </row>
    <row r="53" ht="15.75" customHeight="1">
      <c r="A53" s="64" t="s">
        <v>84</v>
      </c>
      <c r="B53" s="54" t="s">
        <v>85</v>
      </c>
      <c r="C53" s="46"/>
      <c r="D53" s="54" t="s">
        <v>87</v>
      </c>
      <c r="E53" s="46"/>
      <c r="F53" s="63"/>
      <c r="G53" s="63"/>
      <c r="H53" s="63"/>
    </row>
    <row r="54" ht="15.75" customHeight="1">
      <c r="A54" s="68"/>
      <c r="B54" s="55" t="s">
        <v>29</v>
      </c>
      <c r="C54" s="55" t="s">
        <v>32</v>
      </c>
      <c r="D54" s="55" t="s">
        <v>29</v>
      </c>
      <c r="E54" s="55" t="s">
        <v>32</v>
      </c>
      <c r="F54" s="63"/>
      <c r="G54" s="72"/>
      <c r="H54" s="63"/>
    </row>
    <row r="55" ht="16.5" customHeight="1">
      <c r="A55" s="56" t="s">
        <v>33</v>
      </c>
      <c r="B55" s="55"/>
      <c r="C55" s="56"/>
      <c r="D55" s="57"/>
      <c r="E55" s="56"/>
      <c r="F55" s="63"/>
      <c r="G55" s="72"/>
      <c r="H55" s="63"/>
    </row>
    <row r="56" ht="15.75" customHeight="1">
      <c r="A56" s="56" t="s">
        <v>46</v>
      </c>
      <c r="B56" s="55"/>
      <c r="C56" s="61"/>
      <c r="D56" s="55"/>
      <c r="E56" s="56"/>
      <c r="F56" s="63"/>
      <c r="G56" s="72"/>
      <c r="H56" s="63"/>
    </row>
    <row r="57" ht="16.5" customHeight="1">
      <c r="A57" s="56" t="s">
        <v>52</v>
      </c>
      <c r="B57" s="55"/>
      <c r="C57" s="58"/>
      <c r="D57" s="55"/>
      <c r="E57" s="56"/>
      <c r="F57" s="63"/>
      <c r="G57" s="72"/>
      <c r="H57" s="63"/>
    </row>
    <row r="58" ht="16.5" customHeight="1">
      <c r="A58" s="56" t="s">
        <v>58</v>
      </c>
      <c r="B58" s="57"/>
      <c r="C58" s="58"/>
      <c r="D58" s="55"/>
      <c r="E58" s="58"/>
      <c r="F58" s="63"/>
      <c r="G58" s="72"/>
      <c r="H58" s="63"/>
    </row>
    <row r="59" ht="16.5" customHeight="1">
      <c r="A59" s="56" t="s">
        <v>61</v>
      </c>
      <c r="B59" s="55"/>
      <c r="C59" s="56"/>
      <c r="D59" s="57"/>
      <c r="E59" s="56"/>
      <c r="F59" s="63"/>
      <c r="G59" s="72"/>
      <c r="H59" s="63"/>
    </row>
    <row r="60" ht="16.5" customHeight="1">
      <c r="A60" s="56" t="s">
        <v>65</v>
      </c>
      <c r="B60" s="55"/>
      <c r="C60" s="56"/>
      <c r="D60" s="57"/>
      <c r="E60" s="56"/>
      <c r="F60" s="63"/>
      <c r="G60" s="72"/>
      <c r="H60" s="70"/>
      <c r="I60" s="70"/>
    </row>
    <row r="61" ht="16.5" customHeight="1">
      <c r="A61" s="56" t="s">
        <v>68</v>
      </c>
      <c r="B61" s="55"/>
      <c r="C61" s="58"/>
      <c r="D61" s="55"/>
      <c r="E61" s="56"/>
      <c r="F61" s="63"/>
      <c r="G61" s="72"/>
      <c r="H61" s="69"/>
    </row>
    <row r="62" ht="15.75" customHeight="1">
      <c r="A62" s="56" t="s">
        <v>74</v>
      </c>
      <c r="B62" s="55"/>
      <c r="C62" s="56"/>
      <c r="D62" s="55"/>
      <c r="E62" s="56"/>
      <c r="F62" s="63"/>
      <c r="G62" s="72"/>
    </row>
    <row r="63" ht="16.5" customHeight="1">
      <c r="A63" s="56" t="s">
        <v>75</v>
      </c>
      <c r="B63" s="57"/>
      <c r="C63" s="56"/>
      <c r="D63" s="55"/>
      <c r="E63" s="56"/>
      <c r="F63" s="63"/>
      <c r="G63" s="63"/>
      <c r="H63" s="63"/>
    </row>
    <row r="64" ht="15.75" customHeight="1">
      <c r="A64" s="56" t="s">
        <v>79</v>
      </c>
      <c r="B64" s="55"/>
      <c r="C64" s="56"/>
      <c r="D64" s="55"/>
      <c r="E64" s="56"/>
      <c r="F64" s="63"/>
      <c r="G64" s="63"/>
      <c r="H64" s="63"/>
    </row>
    <row r="65" ht="15.75" customHeight="1">
      <c r="A65" s="63"/>
      <c r="B65" s="63"/>
      <c r="C65" s="63"/>
      <c r="D65" s="63"/>
      <c r="E65" s="63"/>
      <c r="F65" s="63"/>
      <c r="G65" s="72"/>
      <c r="H65" s="63"/>
    </row>
    <row r="66" ht="15.75" customHeight="1">
      <c r="A66" s="64" t="s">
        <v>84</v>
      </c>
      <c r="B66" s="54" t="s">
        <v>86</v>
      </c>
      <c r="C66" s="46"/>
      <c r="D66" s="54" t="s">
        <v>88</v>
      </c>
      <c r="E66" s="46"/>
      <c r="F66" s="77" t="s">
        <v>89</v>
      </c>
      <c r="G66" s="46"/>
      <c r="H66" s="63"/>
    </row>
    <row r="67" ht="15.75" customHeight="1">
      <c r="A67" s="68"/>
      <c r="B67" s="55" t="s">
        <v>29</v>
      </c>
      <c r="C67" s="55" t="s">
        <v>32</v>
      </c>
      <c r="D67" s="55" t="s">
        <v>29</v>
      </c>
      <c r="E67" s="55" t="s">
        <v>32</v>
      </c>
      <c r="F67" s="78" t="s">
        <v>29</v>
      </c>
      <c r="G67" s="78" t="s">
        <v>32</v>
      </c>
      <c r="H67" s="63"/>
    </row>
    <row r="68" ht="15.75" customHeight="1">
      <c r="A68" s="56" t="s">
        <v>33</v>
      </c>
      <c r="B68" s="55"/>
      <c r="C68" s="56"/>
      <c r="D68" s="55"/>
      <c r="E68" s="56"/>
      <c r="F68" s="78"/>
      <c r="G68" s="62"/>
      <c r="H68" s="63"/>
    </row>
    <row r="69" ht="16.5" customHeight="1">
      <c r="A69" s="56" t="s">
        <v>46</v>
      </c>
      <c r="B69" s="55"/>
      <c r="C69" s="56"/>
      <c r="D69" s="57"/>
      <c r="E69" s="61"/>
      <c r="F69" s="78"/>
      <c r="G69" s="62"/>
      <c r="H69" s="63"/>
    </row>
    <row r="70" ht="16.5" customHeight="1">
      <c r="A70" s="56" t="s">
        <v>52</v>
      </c>
      <c r="B70" s="57"/>
      <c r="C70" s="58"/>
      <c r="D70" s="57"/>
      <c r="E70" s="56"/>
      <c r="F70" s="78"/>
      <c r="G70" s="62"/>
    </row>
    <row r="71" ht="16.5" customHeight="1">
      <c r="A71" s="56" t="s">
        <v>58</v>
      </c>
      <c r="B71" s="55"/>
      <c r="C71" s="58"/>
      <c r="D71" s="55"/>
      <c r="E71" s="58"/>
      <c r="F71" s="78"/>
      <c r="G71" s="60"/>
    </row>
    <row r="72" ht="16.5" customHeight="1">
      <c r="A72" s="56" t="s">
        <v>61</v>
      </c>
      <c r="B72" s="57"/>
      <c r="C72" s="56"/>
      <c r="D72" s="57"/>
      <c r="E72" s="56"/>
      <c r="F72" s="78"/>
      <c r="G72" s="56"/>
    </row>
    <row r="73" ht="15.75" customHeight="1">
      <c r="A73" s="56" t="s">
        <v>65</v>
      </c>
      <c r="B73" s="55"/>
      <c r="C73" s="56"/>
      <c r="D73" s="55"/>
      <c r="E73" s="56"/>
      <c r="F73" s="55"/>
      <c r="G73" s="56"/>
    </row>
    <row r="74" ht="16.5" customHeight="1">
      <c r="A74" s="56" t="s">
        <v>68</v>
      </c>
      <c r="B74" s="57"/>
      <c r="C74" s="58"/>
      <c r="D74" s="55"/>
      <c r="E74" s="58"/>
      <c r="F74" s="55"/>
      <c r="G74" s="58"/>
    </row>
    <row r="75" ht="16.5" customHeight="1">
      <c r="A75" s="56" t="s">
        <v>74</v>
      </c>
      <c r="B75" s="57"/>
      <c r="C75" s="56"/>
      <c r="D75" s="57"/>
      <c r="E75" s="56"/>
      <c r="F75" s="78"/>
      <c r="G75" s="60"/>
    </row>
    <row r="76" ht="16.5" customHeight="1">
      <c r="A76" s="56" t="s">
        <v>75</v>
      </c>
      <c r="B76" s="57"/>
      <c r="C76" s="56"/>
      <c r="D76" s="57"/>
      <c r="E76" s="56"/>
      <c r="F76" s="57"/>
      <c r="G76" s="60"/>
    </row>
    <row r="77" ht="16.5" customHeight="1">
      <c r="A77" s="56" t="s">
        <v>79</v>
      </c>
      <c r="B77" s="57"/>
      <c r="C77" s="56"/>
      <c r="D77" s="57"/>
      <c r="E77" s="56"/>
      <c r="F77" s="57"/>
      <c r="G77" s="62"/>
    </row>
    <row r="78" ht="15.75" customHeight="1">
      <c r="A78" s="63"/>
      <c r="B78" s="63"/>
      <c r="C78" s="63"/>
      <c r="D78" s="63"/>
      <c r="E78" s="63"/>
      <c r="F78" s="72"/>
      <c r="G78" s="72"/>
    </row>
    <row r="79" ht="15.75" customHeight="1">
      <c r="A79" s="53" t="s">
        <v>90</v>
      </c>
      <c r="B79" s="54" t="s">
        <v>145</v>
      </c>
      <c r="C79" s="46"/>
      <c r="D79" s="54" t="s">
        <v>92</v>
      </c>
      <c r="E79" s="46"/>
      <c r="F79" s="77" t="s">
        <v>96</v>
      </c>
      <c r="G79" s="46"/>
    </row>
    <row r="80" ht="15.75" customHeight="1">
      <c r="A80" s="47"/>
      <c r="B80" s="55" t="s">
        <v>29</v>
      </c>
      <c r="C80" s="55" t="s">
        <v>32</v>
      </c>
      <c r="D80" s="55" t="s">
        <v>29</v>
      </c>
      <c r="E80" s="55" t="s">
        <v>32</v>
      </c>
      <c r="F80" s="78" t="s">
        <v>29</v>
      </c>
      <c r="G80" s="78" t="s">
        <v>32</v>
      </c>
    </row>
    <row r="81" ht="15.75" customHeight="1">
      <c r="A81" s="56" t="s">
        <v>33</v>
      </c>
      <c r="B81" s="55"/>
      <c r="C81" s="56"/>
      <c r="D81" s="55"/>
      <c r="E81" s="56"/>
      <c r="F81" s="78"/>
      <c r="G81" s="62"/>
    </row>
    <row r="82" ht="16.5" customHeight="1">
      <c r="A82" s="56" t="s">
        <v>46</v>
      </c>
      <c r="B82" s="55"/>
      <c r="C82" s="58"/>
      <c r="D82" s="55"/>
      <c r="E82" s="61"/>
      <c r="F82" s="57"/>
      <c r="G82" s="56"/>
    </row>
    <row r="83" ht="16.5" customHeight="1">
      <c r="A83" s="56" t="s">
        <v>52</v>
      </c>
      <c r="B83" s="57"/>
      <c r="C83" s="56"/>
      <c r="D83" s="57"/>
      <c r="E83" s="58"/>
      <c r="F83" s="78"/>
      <c r="G83" s="56"/>
    </row>
    <row r="84" ht="16.5" customHeight="1">
      <c r="A84" s="56" t="s">
        <v>58</v>
      </c>
      <c r="B84" s="55"/>
      <c r="C84" s="58"/>
      <c r="D84" s="55"/>
      <c r="E84" s="58"/>
      <c r="F84" s="55"/>
      <c r="G84" s="58"/>
    </row>
    <row r="85" ht="16.5" customHeight="1">
      <c r="A85" s="56" t="s">
        <v>61</v>
      </c>
      <c r="B85" s="57"/>
      <c r="C85" s="56"/>
      <c r="D85" s="57"/>
      <c r="E85" s="56"/>
      <c r="F85" s="78"/>
      <c r="G85" s="56"/>
    </row>
    <row r="86" ht="16.5" customHeight="1">
      <c r="A86" s="56" t="s">
        <v>65</v>
      </c>
      <c r="B86" s="55"/>
      <c r="C86" s="56"/>
      <c r="D86" s="57"/>
      <c r="E86" s="56"/>
      <c r="F86" s="55"/>
      <c r="G86" s="56"/>
    </row>
    <row r="87" ht="16.5" customHeight="1">
      <c r="A87" s="56" t="s">
        <v>68</v>
      </c>
      <c r="B87" s="55"/>
      <c r="C87" s="58"/>
      <c r="D87" s="55"/>
      <c r="E87" s="58"/>
      <c r="F87" s="55"/>
      <c r="G87" s="58"/>
    </row>
    <row r="88" ht="16.5" customHeight="1">
      <c r="A88" s="56" t="s">
        <v>74</v>
      </c>
      <c r="B88" s="57"/>
      <c r="C88" s="56"/>
      <c r="D88" s="55"/>
      <c r="E88" s="56"/>
      <c r="F88" s="55"/>
      <c r="G88" s="56"/>
    </row>
    <row r="89" ht="15.75" customHeight="1">
      <c r="A89" s="56" t="s">
        <v>75</v>
      </c>
      <c r="B89" s="55"/>
      <c r="C89" s="56"/>
      <c r="D89" s="55"/>
      <c r="E89" s="56"/>
      <c r="F89" s="55"/>
      <c r="G89" s="56"/>
    </row>
    <row r="90" ht="16.5" customHeight="1">
      <c r="A90" s="56" t="s">
        <v>79</v>
      </c>
      <c r="B90" s="57"/>
      <c r="C90" s="56"/>
      <c r="D90" s="57"/>
      <c r="E90" s="56"/>
      <c r="F90" s="55"/>
      <c r="G90" s="56"/>
    </row>
    <row r="91" ht="15.75" customHeight="1">
      <c r="A91" s="63"/>
      <c r="B91" s="63"/>
      <c r="C91" s="63"/>
      <c r="D91" s="63"/>
      <c r="E91" s="63"/>
      <c r="F91" s="63"/>
      <c r="G91" s="63"/>
    </row>
    <row r="92" ht="15.75" customHeight="1">
      <c r="A92" s="53" t="s">
        <v>90</v>
      </c>
      <c r="B92" s="54" t="s">
        <v>97</v>
      </c>
      <c r="C92" s="46"/>
      <c r="D92" s="54" t="s">
        <v>169</v>
      </c>
      <c r="E92" s="46"/>
      <c r="F92" s="86"/>
    </row>
    <row r="93" ht="15.75" customHeight="1">
      <c r="A93" s="47"/>
      <c r="B93" s="55" t="s">
        <v>29</v>
      </c>
      <c r="C93" s="55" t="s">
        <v>32</v>
      </c>
      <c r="D93" s="55" t="s">
        <v>29</v>
      </c>
      <c r="E93" s="55" t="s">
        <v>32</v>
      </c>
      <c r="F93" s="63"/>
      <c r="G93" s="63"/>
    </row>
    <row r="94" ht="16.5" customHeight="1">
      <c r="A94" s="56" t="s">
        <v>33</v>
      </c>
      <c r="B94" s="55"/>
      <c r="C94" s="56"/>
      <c r="D94" s="57"/>
      <c r="E94" s="56"/>
      <c r="F94" s="63"/>
      <c r="G94" s="63"/>
    </row>
    <row r="95" ht="16.5" customHeight="1">
      <c r="A95" s="56" t="s">
        <v>46</v>
      </c>
      <c r="B95" s="57"/>
      <c r="C95" s="56"/>
      <c r="D95" s="78"/>
      <c r="E95" s="56"/>
      <c r="F95" s="63"/>
      <c r="G95" s="63"/>
    </row>
    <row r="96" ht="16.5" customHeight="1">
      <c r="A96" s="56" t="s">
        <v>52</v>
      </c>
      <c r="B96" s="57"/>
      <c r="C96" s="56"/>
      <c r="D96" s="78"/>
      <c r="E96" s="58"/>
      <c r="F96" s="63"/>
      <c r="G96" s="63"/>
    </row>
    <row r="97" ht="16.5" customHeight="1">
      <c r="A97" s="56" t="s">
        <v>58</v>
      </c>
      <c r="B97" s="55"/>
      <c r="C97" s="58"/>
      <c r="D97" s="55"/>
      <c r="E97" s="58"/>
      <c r="F97" s="63"/>
      <c r="G97" s="63"/>
    </row>
    <row r="98" ht="16.5" customHeight="1">
      <c r="A98" s="56" t="s">
        <v>61</v>
      </c>
      <c r="B98" s="55"/>
      <c r="C98" s="56"/>
      <c r="D98" s="57"/>
      <c r="E98" s="56"/>
      <c r="F98" s="63"/>
      <c r="G98" s="63"/>
    </row>
    <row r="99" ht="15.75" customHeight="1">
      <c r="A99" s="56" t="s">
        <v>65</v>
      </c>
      <c r="B99" s="55"/>
      <c r="C99" s="56"/>
      <c r="D99" s="55"/>
      <c r="E99" s="56"/>
      <c r="F99" s="63"/>
      <c r="G99" s="63"/>
    </row>
    <row r="100" ht="16.5" customHeight="1">
      <c r="A100" s="56" t="s">
        <v>68</v>
      </c>
      <c r="B100" s="55"/>
      <c r="C100" s="58"/>
      <c r="D100" s="55"/>
      <c r="E100" s="56"/>
      <c r="F100" s="63"/>
      <c r="G100" s="63"/>
    </row>
    <row r="101" ht="16.5" customHeight="1">
      <c r="A101" s="56" t="s">
        <v>74</v>
      </c>
      <c r="B101" s="55"/>
      <c r="C101" s="56"/>
      <c r="D101" s="57"/>
      <c r="E101" s="56"/>
      <c r="F101" s="63"/>
      <c r="G101" s="63"/>
    </row>
    <row r="102" ht="15.75" customHeight="1">
      <c r="A102" s="56" t="s">
        <v>75</v>
      </c>
      <c r="B102" s="55"/>
      <c r="C102" s="56"/>
      <c r="D102" s="55"/>
      <c r="E102" s="56"/>
      <c r="F102" s="63"/>
      <c r="G102" s="63"/>
    </row>
    <row r="103" ht="16.5" customHeight="1">
      <c r="A103" s="56" t="s">
        <v>79</v>
      </c>
      <c r="B103" s="55"/>
      <c r="C103" s="56"/>
      <c r="D103" s="57"/>
      <c r="E103" s="56"/>
      <c r="F103" s="63"/>
      <c r="G103" s="63"/>
    </row>
    <row r="104" ht="15.75" customHeight="1">
      <c r="A104" s="63"/>
      <c r="B104" s="63"/>
      <c r="C104" s="63"/>
      <c r="D104" s="63"/>
      <c r="E104" s="63"/>
      <c r="F104" s="63"/>
      <c r="G104" s="63"/>
    </row>
    <row r="105" ht="15.75" customHeight="1">
      <c r="A105" s="53" t="s">
        <v>100</v>
      </c>
      <c r="B105" s="54" t="s">
        <v>101</v>
      </c>
      <c r="C105" s="46"/>
      <c r="D105" s="54" t="s">
        <v>102</v>
      </c>
      <c r="E105" s="46"/>
      <c r="F105" s="54" t="s">
        <v>103</v>
      </c>
      <c r="G105" s="46"/>
    </row>
    <row r="106" ht="15.75" customHeight="1">
      <c r="A106" s="47"/>
      <c r="B106" s="55" t="s">
        <v>29</v>
      </c>
      <c r="C106" s="55" t="s">
        <v>32</v>
      </c>
      <c r="D106" s="55" t="s">
        <v>29</v>
      </c>
      <c r="E106" s="55" t="s">
        <v>32</v>
      </c>
      <c r="F106" s="55" t="s">
        <v>29</v>
      </c>
      <c r="G106" s="55" t="s">
        <v>32</v>
      </c>
    </row>
    <row r="107" ht="16.5" customHeight="1">
      <c r="A107" s="56" t="s">
        <v>33</v>
      </c>
      <c r="B107" s="57"/>
      <c r="C107" s="58"/>
      <c r="D107" s="78"/>
      <c r="E107" s="58"/>
      <c r="F107" s="57"/>
      <c r="G107" s="56"/>
    </row>
    <row r="108" ht="15.75" customHeight="1">
      <c r="A108" s="56" t="s">
        <v>46</v>
      </c>
      <c r="B108" s="78"/>
      <c r="C108" s="56"/>
      <c r="D108" s="78"/>
      <c r="E108" s="56"/>
      <c r="F108" s="55"/>
      <c r="G108" s="56"/>
    </row>
    <row r="109" ht="15.75" customHeight="1">
      <c r="A109" s="56" t="s">
        <v>52</v>
      </c>
      <c r="B109" s="78"/>
      <c r="C109" s="56"/>
      <c r="D109" s="78"/>
      <c r="E109" s="56"/>
      <c r="F109" s="55"/>
      <c r="G109" s="56"/>
    </row>
    <row r="110" ht="16.5" customHeight="1">
      <c r="A110" s="56" t="s">
        <v>58</v>
      </c>
      <c r="B110" s="57"/>
      <c r="C110" s="56"/>
      <c r="D110" s="55"/>
      <c r="E110" s="58"/>
      <c r="F110" s="55"/>
      <c r="G110" s="58"/>
    </row>
    <row r="111" ht="16.5" customHeight="1">
      <c r="A111" s="56" t="s">
        <v>61</v>
      </c>
      <c r="B111" s="78"/>
      <c r="C111" s="58"/>
      <c r="D111" s="57"/>
      <c r="E111" s="58"/>
      <c r="F111" s="55"/>
      <c r="G111" s="58"/>
    </row>
    <row r="112" ht="16.5" customHeight="1">
      <c r="A112" s="56" t="s">
        <v>65</v>
      </c>
      <c r="B112" s="55"/>
      <c r="C112" s="56"/>
      <c r="D112" s="57"/>
      <c r="E112" s="58"/>
      <c r="F112" s="57"/>
      <c r="G112" s="58"/>
    </row>
    <row r="113" ht="16.5" customHeight="1">
      <c r="A113" s="56" t="s">
        <v>68</v>
      </c>
      <c r="B113" s="57"/>
      <c r="C113" s="58"/>
      <c r="D113" s="55"/>
      <c r="E113" s="58"/>
      <c r="F113" s="55"/>
      <c r="G113" s="56"/>
    </row>
    <row r="114" ht="16.5" customHeight="1">
      <c r="A114" s="56" t="s">
        <v>74</v>
      </c>
      <c r="B114" s="55"/>
      <c r="C114" s="58"/>
      <c r="D114" s="57"/>
      <c r="E114" s="56"/>
      <c r="F114" s="55"/>
      <c r="G114" s="58"/>
    </row>
    <row r="115" ht="16.5" customHeight="1">
      <c r="A115" s="56" t="s">
        <v>75</v>
      </c>
      <c r="B115" s="57"/>
      <c r="C115" s="58"/>
      <c r="D115" s="57"/>
      <c r="E115" s="56"/>
      <c r="F115" s="55"/>
      <c r="G115" s="56"/>
    </row>
    <row r="116" ht="16.5" customHeight="1">
      <c r="A116" s="56" t="s">
        <v>79</v>
      </c>
      <c r="B116" s="55"/>
      <c r="C116" s="58"/>
      <c r="D116" s="57"/>
      <c r="E116" s="56"/>
      <c r="F116" s="57"/>
      <c r="G116" s="56"/>
    </row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H41:I41"/>
    <mergeCell ref="H51:I51"/>
    <mergeCell ref="D53:E53"/>
    <mergeCell ref="H61:I61"/>
    <mergeCell ref="B53:C53"/>
    <mergeCell ref="B66:C66"/>
    <mergeCell ref="D66:E66"/>
    <mergeCell ref="F66:G66"/>
    <mergeCell ref="B79:C79"/>
    <mergeCell ref="D79:E79"/>
    <mergeCell ref="F79:G79"/>
    <mergeCell ref="D105:E105"/>
    <mergeCell ref="F105:G105"/>
    <mergeCell ref="A79:A80"/>
    <mergeCell ref="A92:A93"/>
    <mergeCell ref="B92:C92"/>
    <mergeCell ref="D92:E92"/>
    <mergeCell ref="F92:G92"/>
    <mergeCell ref="A105:A106"/>
    <mergeCell ref="B105:C105"/>
  </mergeCells>
  <dataValidations>
    <dataValidation type="list" allowBlank="1" showErrorMessage="1" sqref="H43:H50 H53:H60 H63:H69">
      <formula1>"++,+,N,-,--"</formula1>
    </dataValidation>
    <dataValidation type="list" allowBlank="1" showErrorMessage="1" sqref="F3:F6 F8:F9 F66:F72 F75 F78:F81 F83 F85 D95:D96 B108:B109 D107:D109 B111">
      <formula1>"'++,'+,'0,'-,'--"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8.0"/>
    <col customWidth="1" min="2" max="2" width="14.71"/>
    <col customWidth="1" min="3" max="3" width="70.57"/>
    <col customWidth="1" min="4" max="4" width="9.86"/>
    <col customWidth="1" min="5" max="5" width="64.43"/>
    <col customWidth="1" min="6" max="6" width="11.43"/>
    <col customWidth="1" min="7" max="7" width="61.57"/>
    <col customWidth="1" min="8" max="8" width="8.86"/>
    <col customWidth="1" min="9" max="9" width="64.14"/>
  </cols>
  <sheetData>
    <row r="1" ht="16.5" customHeight="1">
      <c r="A1" s="53" t="s">
        <v>104</v>
      </c>
      <c r="B1" s="71" t="s">
        <v>10</v>
      </c>
      <c r="C1" s="46"/>
      <c r="D1" s="71" t="s">
        <v>18</v>
      </c>
      <c r="E1" s="46"/>
      <c r="F1" s="71" t="s">
        <v>22</v>
      </c>
      <c r="G1" s="46"/>
    </row>
    <row r="2" ht="16.5" customHeight="1">
      <c r="A2" s="47"/>
      <c r="B2" s="55" t="s">
        <v>29</v>
      </c>
      <c r="C2" s="55" t="s">
        <v>32</v>
      </c>
      <c r="D2" s="55" t="s">
        <v>29</v>
      </c>
      <c r="E2" s="55" t="s">
        <v>32</v>
      </c>
      <c r="F2" s="55" t="s">
        <v>29</v>
      </c>
      <c r="G2" s="55" t="s">
        <v>32</v>
      </c>
    </row>
    <row r="3" ht="16.5" customHeight="1">
      <c r="A3" s="56" t="s">
        <v>33</v>
      </c>
      <c r="B3" s="73" t="s">
        <v>40</v>
      </c>
      <c r="C3" s="74" t="s">
        <v>106</v>
      </c>
      <c r="D3" s="73" t="s">
        <v>42</v>
      </c>
      <c r="E3" s="74" t="s">
        <v>107</v>
      </c>
      <c r="F3" s="75" t="s">
        <v>48</v>
      </c>
      <c r="G3" s="74" t="s">
        <v>108</v>
      </c>
    </row>
    <row r="4" ht="16.5" customHeight="1">
      <c r="A4" s="56" t="s">
        <v>46</v>
      </c>
      <c r="B4" s="73" t="s">
        <v>42</v>
      </c>
      <c r="C4" s="74" t="s">
        <v>109</v>
      </c>
      <c r="D4" s="75" t="s">
        <v>48</v>
      </c>
      <c r="E4" s="74" t="s">
        <v>110</v>
      </c>
      <c r="F4" s="73" t="s">
        <v>40</v>
      </c>
      <c r="G4" s="74" t="s">
        <v>111</v>
      </c>
    </row>
    <row r="5" ht="16.5" customHeight="1">
      <c r="A5" s="56" t="s">
        <v>52</v>
      </c>
      <c r="B5" s="73" t="s">
        <v>42</v>
      </c>
      <c r="C5" s="74" t="s">
        <v>112</v>
      </c>
      <c r="D5" s="75" t="s">
        <v>43</v>
      </c>
      <c r="E5" s="76" t="s">
        <v>113</v>
      </c>
      <c r="F5" s="73" t="s">
        <v>40</v>
      </c>
      <c r="G5" s="74" t="s">
        <v>114</v>
      </c>
    </row>
    <row r="6" ht="16.5" customHeight="1">
      <c r="A6" s="56" t="s">
        <v>58</v>
      </c>
      <c r="B6" s="75" t="s">
        <v>43</v>
      </c>
      <c r="C6" s="74" t="s">
        <v>115</v>
      </c>
      <c r="D6" s="73" t="s">
        <v>42</v>
      </c>
      <c r="E6" s="74" t="s">
        <v>116</v>
      </c>
      <c r="F6" s="73" t="s">
        <v>42</v>
      </c>
      <c r="G6" s="74" t="s">
        <v>117</v>
      </c>
    </row>
    <row r="7" ht="16.5" customHeight="1">
      <c r="A7" s="56" t="s">
        <v>61</v>
      </c>
      <c r="B7" s="73" t="s">
        <v>42</v>
      </c>
      <c r="C7" s="74" t="s">
        <v>118</v>
      </c>
      <c r="D7" s="75" t="s">
        <v>43</v>
      </c>
      <c r="E7" s="74" t="s">
        <v>119</v>
      </c>
      <c r="F7" s="73" t="s">
        <v>40</v>
      </c>
      <c r="G7" s="74" t="s">
        <v>120</v>
      </c>
    </row>
    <row r="8" ht="16.5" customHeight="1">
      <c r="A8" s="56" t="s">
        <v>65</v>
      </c>
      <c r="B8" s="73" t="s">
        <v>40</v>
      </c>
      <c r="C8" s="74" t="s">
        <v>121</v>
      </c>
      <c r="D8" s="75" t="s">
        <v>48</v>
      </c>
      <c r="E8" s="74" t="s">
        <v>122</v>
      </c>
      <c r="F8" s="75" t="s">
        <v>43</v>
      </c>
      <c r="G8" s="74" t="s">
        <v>123</v>
      </c>
    </row>
    <row r="9" ht="16.5" customHeight="1">
      <c r="A9" s="56" t="s">
        <v>68</v>
      </c>
      <c r="B9" s="75" t="s">
        <v>48</v>
      </c>
      <c r="C9" s="74" t="s">
        <v>124</v>
      </c>
      <c r="D9" s="75" t="s">
        <v>48</v>
      </c>
      <c r="E9" s="74" t="s">
        <v>125</v>
      </c>
      <c r="F9" s="75" t="s">
        <v>43</v>
      </c>
      <c r="G9" s="74" t="s">
        <v>126</v>
      </c>
    </row>
    <row r="10" ht="16.5" customHeight="1">
      <c r="A10" s="56" t="s">
        <v>74</v>
      </c>
      <c r="B10" s="73" t="s">
        <v>42</v>
      </c>
      <c r="C10" s="74" t="s">
        <v>127</v>
      </c>
      <c r="D10" s="73" t="s">
        <v>42</v>
      </c>
      <c r="E10" s="74" t="s">
        <v>128</v>
      </c>
      <c r="F10" s="73" t="s">
        <v>40</v>
      </c>
      <c r="G10" s="74" t="s">
        <v>129</v>
      </c>
    </row>
    <row r="11" ht="16.5" customHeight="1">
      <c r="A11" s="56" t="s">
        <v>75</v>
      </c>
      <c r="B11" s="75" t="s">
        <v>48</v>
      </c>
      <c r="C11" s="74" t="s">
        <v>130</v>
      </c>
      <c r="D11" s="75" t="s">
        <v>43</v>
      </c>
      <c r="E11" s="74" t="s">
        <v>131</v>
      </c>
      <c r="F11" s="73" t="s">
        <v>40</v>
      </c>
      <c r="G11" s="74" t="s">
        <v>132</v>
      </c>
    </row>
    <row r="12" ht="16.5" customHeight="1">
      <c r="A12" s="56" t="s">
        <v>79</v>
      </c>
      <c r="B12" s="73" t="s">
        <v>40</v>
      </c>
      <c r="C12" s="74" t="s">
        <v>133</v>
      </c>
      <c r="D12" s="73" t="s">
        <v>42</v>
      </c>
      <c r="E12" s="74" t="s">
        <v>134</v>
      </c>
      <c r="F12" s="75" t="s">
        <v>48</v>
      </c>
      <c r="G12" s="74" t="s">
        <v>135</v>
      </c>
    </row>
    <row r="13" ht="16.5" customHeight="1">
      <c r="A13" s="63"/>
      <c r="B13" s="72"/>
      <c r="C13" s="72"/>
      <c r="D13" s="72"/>
      <c r="E13" s="72"/>
      <c r="F13" s="72"/>
      <c r="G13" s="63"/>
    </row>
    <row r="14" ht="16.5" customHeight="1">
      <c r="A14" s="64" t="s">
        <v>13</v>
      </c>
      <c r="B14" s="79" t="s">
        <v>105</v>
      </c>
      <c r="C14" s="46"/>
      <c r="D14" s="79" t="s">
        <v>30</v>
      </c>
      <c r="E14" s="46"/>
      <c r="F14" s="63"/>
      <c r="G14" s="63"/>
    </row>
    <row r="15" ht="16.5" customHeight="1">
      <c r="A15" s="65"/>
      <c r="B15" s="66" t="s">
        <v>29</v>
      </c>
      <c r="C15" s="80" t="s">
        <v>32</v>
      </c>
      <c r="D15" s="66" t="s">
        <v>29</v>
      </c>
      <c r="E15" s="80" t="s">
        <v>32</v>
      </c>
      <c r="F15" s="63"/>
      <c r="G15" s="63"/>
    </row>
    <row r="16" ht="16.5" customHeight="1">
      <c r="A16" s="56" t="s">
        <v>33</v>
      </c>
      <c r="B16" s="81" t="s">
        <v>77</v>
      </c>
      <c r="C16" s="82" t="s">
        <v>136</v>
      </c>
      <c r="D16" s="81" t="s">
        <v>40</v>
      </c>
      <c r="E16" s="82" t="s">
        <v>137</v>
      </c>
      <c r="F16" s="63"/>
      <c r="G16" s="63"/>
    </row>
    <row r="17" ht="16.5" customHeight="1">
      <c r="A17" s="56" t="s">
        <v>46</v>
      </c>
      <c r="B17" s="81" t="s">
        <v>40</v>
      </c>
      <c r="C17" s="82" t="s">
        <v>138</v>
      </c>
      <c r="D17" s="81" t="s">
        <v>42</v>
      </c>
      <c r="E17" s="82" t="s">
        <v>139</v>
      </c>
      <c r="F17" s="63"/>
      <c r="G17" s="63"/>
    </row>
    <row r="18" ht="16.5" customHeight="1">
      <c r="A18" s="56" t="s">
        <v>52</v>
      </c>
      <c r="B18" s="83" t="s">
        <v>43</v>
      </c>
      <c r="C18" s="82" t="s">
        <v>140</v>
      </c>
      <c r="D18" s="83" t="s">
        <v>48</v>
      </c>
      <c r="E18" s="82" t="s">
        <v>141</v>
      </c>
      <c r="F18" s="63"/>
      <c r="G18" s="63"/>
    </row>
    <row r="19" ht="16.5" customHeight="1">
      <c r="A19" s="56" t="s">
        <v>58</v>
      </c>
      <c r="B19" s="83" t="s">
        <v>48</v>
      </c>
      <c r="C19" s="82" t="s">
        <v>142</v>
      </c>
      <c r="D19" s="81" t="s">
        <v>40</v>
      </c>
      <c r="E19" s="82" t="s">
        <v>143</v>
      </c>
      <c r="F19" s="63"/>
      <c r="G19" s="63"/>
    </row>
    <row r="20" ht="16.5" customHeight="1">
      <c r="A20" s="56" t="s">
        <v>61</v>
      </c>
      <c r="B20" s="81" t="s">
        <v>40</v>
      </c>
      <c r="C20" s="82" t="s">
        <v>144</v>
      </c>
      <c r="D20" s="83" t="s">
        <v>48</v>
      </c>
      <c r="E20" s="82" t="s">
        <v>146</v>
      </c>
      <c r="F20" s="63"/>
      <c r="G20" s="63"/>
    </row>
    <row r="21" ht="16.5" customHeight="1">
      <c r="A21" s="56" t="s">
        <v>65</v>
      </c>
      <c r="B21" s="81" t="s">
        <v>42</v>
      </c>
      <c r="C21" s="82" t="s">
        <v>147</v>
      </c>
      <c r="D21" s="81" t="s">
        <v>40</v>
      </c>
      <c r="E21" s="82" t="s">
        <v>148</v>
      </c>
      <c r="F21" s="63"/>
      <c r="G21" s="63"/>
    </row>
    <row r="22" ht="16.5" customHeight="1">
      <c r="A22" s="56" t="s">
        <v>68</v>
      </c>
      <c r="B22" s="83" t="s">
        <v>48</v>
      </c>
      <c r="C22" s="82" t="s">
        <v>149</v>
      </c>
      <c r="D22" s="81" t="s">
        <v>42</v>
      </c>
      <c r="E22" s="82" t="s">
        <v>150</v>
      </c>
      <c r="F22" s="63"/>
      <c r="G22" s="63"/>
    </row>
    <row r="23" ht="16.5" customHeight="1">
      <c r="A23" s="56" t="s">
        <v>74</v>
      </c>
      <c r="B23" s="81" t="s">
        <v>42</v>
      </c>
      <c r="C23" s="82" t="s">
        <v>151</v>
      </c>
      <c r="D23" s="81" t="s">
        <v>40</v>
      </c>
      <c r="E23" s="82" t="s">
        <v>152</v>
      </c>
      <c r="F23" s="63"/>
      <c r="G23" s="63"/>
    </row>
    <row r="24" ht="16.5" customHeight="1">
      <c r="A24" s="56" t="s">
        <v>75</v>
      </c>
      <c r="B24" s="81" t="s">
        <v>42</v>
      </c>
      <c r="C24" s="82" t="s">
        <v>153</v>
      </c>
      <c r="D24" s="81" t="s">
        <v>40</v>
      </c>
      <c r="E24" s="82" t="s">
        <v>154</v>
      </c>
      <c r="F24" s="63"/>
      <c r="G24" s="63"/>
    </row>
    <row r="25" ht="16.5" customHeight="1">
      <c r="A25" s="56" t="s">
        <v>79</v>
      </c>
      <c r="B25" s="81" t="s">
        <v>42</v>
      </c>
      <c r="C25" s="82" t="s">
        <v>155</v>
      </c>
      <c r="D25" s="81" t="s">
        <v>42</v>
      </c>
      <c r="E25" s="82" t="s">
        <v>156</v>
      </c>
      <c r="F25" s="63"/>
      <c r="G25" s="63"/>
    </row>
    <row r="26" ht="16.5" customHeight="1">
      <c r="A26" s="63"/>
      <c r="B26" s="72"/>
      <c r="C26" s="72"/>
      <c r="D26" s="72"/>
      <c r="E26" s="72"/>
      <c r="F26" s="63"/>
      <c r="G26" s="63"/>
    </row>
    <row r="27" ht="16.5" customHeight="1">
      <c r="A27" s="64" t="s">
        <v>14</v>
      </c>
      <c r="B27" s="79" t="s">
        <v>26</v>
      </c>
      <c r="C27" s="46"/>
      <c r="D27" s="79" t="s">
        <v>31</v>
      </c>
      <c r="E27" s="46"/>
      <c r="F27" s="63"/>
      <c r="G27" s="63"/>
    </row>
    <row r="28" ht="16.5" customHeight="1">
      <c r="A28" s="68"/>
      <c r="B28" s="55" t="s">
        <v>29</v>
      </c>
      <c r="C28" s="78" t="s">
        <v>32</v>
      </c>
      <c r="D28" s="55" t="s">
        <v>29</v>
      </c>
      <c r="E28" s="78" t="s">
        <v>32</v>
      </c>
      <c r="F28" s="63"/>
      <c r="G28" s="63"/>
    </row>
    <row r="29" ht="16.5" customHeight="1">
      <c r="A29" s="56" t="s">
        <v>33</v>
      </c>
      <c r="B29" s="81" t="s">
        <v>40</v>
      </c>
      <c r="C29" s="82" t="s">
        <v>157</v>
      </c>
      <c r="D29" s="83" t="s">
        <v>43</v>
      </c>
      <c r="E29" s="82" t="s">
        <v>158</v>
      </c>
      <c r="F29" s="63"/>
      <c r="G29" s="63"/>
    </row>
    <row r="30" ht="16.5" customHeight="1">
      <c r="A30" s="56" t="s">
        <v>46</v>
      </c>
      <c r="B30" s="83" t="s">
        <v>48</v>
      </c>
      <c r="C30" s="82" t="s">
        <v>159</v>
      </c>
      <c r="D30" s="83" t="s">
        <v>43</v>
      </c>
      <c r="E30" s="82" t="s">
        <v>160</v>
      </c>
      <c r="F30" s="63"/>
      <c r="G30" s="63"/>
    </row>
    <row r="31" ht="16.5" customHeight="1">
      <c r="A31" s="56" t="s">
        <v>52</v>
      </c>
      <c r="B31" s="83" t="s">
        <v>43</v>
      </c>
      <c r="C31" s="82" t="s">
        <v>162</v>
      </c>
      <c r="D31" s="83" t="s">
        <v>43</v>
      </c>
      <c r="E31" s="82" t="s">
        <v>164</v>
      </c>
      <c r="F31" s="63"/>
      <c r="G31" s="63"/>
    </row>
    <row r="32" ht="16.5" customHeight="1">
      <c r="A32" s="56" t="s">
        <v>58</v>
      </c>
      <c r="B32" s="83" t="s">
        <v>48</v>
      </c>
      <c r="C32" s="82" t="s">
        <v>166</v>
      </c>
      <c r="D32" s="81" t="s">
        <v>40</v>
      </c>
      <c r="E32" s="82" t="s">
        <v>167</v>
      </c>
      <c r="F32" s="63"/>
      <c r="G32" s="63"/>
    </row>
    <row r="33" ht="16.5" customHeight="1">
      <c r="A33" s="56" t="s">
        <v>61</v>
      </c>
      <c r="B33" s="83" t="s">
        <v>43</v>
      </c>
      <c r="C33" s="82" t="s">
        <v>172</v>
      </c>
      <c r="D33" s="83" t="s">
        <v>43</v>
      </c>
      <c r="E33" s="82" t="s">
        <v>173</v>
      </c>
      <c r="F33" s="63"/>
      <c r="G33" s="63"/>
    </row>
    <row r="34" ht="16.5" customHeight="1">
      <c r="A34" s="56" t="s">
        <v>65</v>
      </c>
      <c r="B34" s="83" t="s">
        <v>43</v>
      </c>
      <c r="C34" s="82" t="s">
        <v>175</v>
      </c>
      <c r="D34" s="83" t="s">
        <v>48</v>
      </c>
      <c r="E34" s="82" t="s">
        <v>178</v>
      </c>
      <c r="F34" s="63"/>
      <c r="G34" s="63"/>
    </row>
    <row r="35" ht="16.5" customHeight="1">
      <c r="A35" s="56" t="s">
        <v>68</v>
      </c>
      <c r="B35" s="81" t="s">
        <v>40</v>
      </c>
      <c r="C35" s="82" t="s">
        <v>179</v>
      </c>
      <c r="D35" s="83" t="s">
        <v>48</v>
      </c>
      <c r="E35" s="82" t="s">
        <v>182</v>
      </c>
      <c r="F35" s="63"/>
      <c r="G35" s="63"/>
    </row>
    <row r="36" ht="16.5" customHeight="1">
      <c r="A36" s="56" t="s">
        <v>74</v>
      </c>
      <c r="B36" s="81" t="s">
        <v>40</v>
      </c>
      <c r="C36" s="82" t="s">
        <v>184</v>
      </c>
      <c r="D36" s="81" t="s">
        <v>42</v>
      </c>
      <c r="E36" s="82" t="s">
        <v>186</v>
      </c>
      <c r="F36" s="63"/>
      <c r="G36" s="63"/>
    </row>
    <row r="37" ht="16.5" customHeight="1">
      <c r="A37" s="56" t="s">
        <v>75</v>
      </c>
      <c r="B37" s="81" t="s">
        <v>40</v>
      </c>
      <c r="C37" s="82" t="s">
        <v>189</v>
      </c>
      <c r="D37" s="83" t="s">
        <v>48</v>
      </c>
      <c r="E37" s="82" t="s">
        <v>190</v>
      </c>
      <c r="F37" s="63"/>
      <c r="G37" s="63"/>
    </row>
    <row r="38" ht="16.5" customHeight="1">
      <c r="A38" s="56" t="s">
        <v>79</v>
      </c>
      <c r="B38" s="83" t="s">
        <v>48</v>
      </c>
      <c r="C38" s="82" t="s">
        <v>193</v>
      </c>
      <c r="D38" s="83" t="s">
        <v>48</v>
      </c>
      <c r="E38" s="82" t="s">
        <v>195</v>
      </c>
      <c r="F38" s="63"/>
      <c r="G38" s="63"/>
    </row>
    <row r="39" ht="16.5" customHeight="1">
      <c r="A39" s="63"/>
      <c r="B39" s="72"/>
      <c r="C39" s="72"/>
      <c r="D39" s="72"/>
      <c r="E39" s="72"/>
      <c r="F39" s="63"/>
      <c r="G39" s="63"/>
    </row>
    <row r="40" ht="16.5" customHeight="1">
      <c r="A40" s="64" t="s">
        <v>36</v>
      </c>
      <c r="B40" s="71" t="s">
        <v>37</v>
      </c>
      <c r="C40" s="46"/>
      <c r="D40" s="71" t="s">
        <v>38</v>
      </c>
      <c r="E40" s="46"/>
      <c r="F40" s="63"/>
      <c r="G40" s="63"/>
      <c r="H40" s="63"/>
    </row>
    <row r="41" ht="16.5" customHeight="1">
      <c r="A41" s="68"/>
      <c r="B41" s="55" t="s">
        <v>29</v>
      </c>
      <c r="C41" s="55" t="s">
        <v>32</v>
      </c>
      <c r="D41" s="55" t="s">
        <v>29</v>
      </c>
      <c r="E41" s="55" t="s">
        <v>32</v>
      </c>
      <c r="F41" s="63"/>
      <c r="G41" s="63"/>
      <c r="H41" s="63"/>
      <c r="I41" s="69"/>
    </row>
    <row r="42" ht="16.5" customHeight="1">
      <c r="A42" s="56" t="s">
        <v>33</v>
      </c>
      <c r="B42" s="81" t="s">
        <v>42</v>
      </c>
      <c r="C42" s="82" t="s">
        <v>204</v>
      </c>
      <c r="D42" s="83" t="s">
        <v>48</v>
      </c>
      <c r="E42" s="82" t="s">
        <v>206</v>
      </c>
      <c r="F42" s="63"/>
      <c r="G42" s="63"/>
      <c r="H42" s="63"/>
    </row>
    <row r="43" ht="16.5" customHeight="1">
      <c r="A43" s="56" t="s">
        <v>46</v>
      </c>
      <c r="B43" s="81" t="s">
        <v>42</v>
      </c>
      <c r="C43" s="82" t="s">
        <v>208</v>
      </c>
      <c r="D43" s="83" t="s">
        <v>48</v>
      </c>
      <c r="E43" s="82" t="s">
        <v>210</v>
      </c>
      <c r="F43" s="63"/>
      <c r="G43" s="63"/>
      <c r="H43" s="63"/>
    </row>
    <row r="44" ht="16.5" customHeight="1">
      <c r="A44" s="56" t="s">
        <v>52</v>
      </c>
      <c r="B44" s="83" t="s">
        <v>48</v>
      </c>
      <c r="C44" s="82" t="s">
        <v>213</v>
      </c>
      <c r="D44" s="83" t="s">
        <v>48</v>
      </c>
      <c r="E44" s="82" t="s">
        <v>214</v>
      </c>
      <c r="F44" s="63"/>
      <c r="G44" s="63"/>
      <c r="H44" s="63"/>
    </row>
    <row r="45" ht="16.5" customHeight="1">
      <c r="A45" s="56" t="s">
        <v>58</v>
      </c>
      <c r="B45" s="81" t="s">
        <v>42</v>
      </c>
      <c r="C45" s="82" t="s">
        <v>215</v>
      </c>
      <c r="D45" s="81" t="s">
        <v>40</v>
      </c>
      <c r="E45" s="82" t="s">
        <v>216</v>
      </c>
      <c r="F45" s="63"/>
      <c r="G45" s="63"/>
      <c r="H45" s="63"/>
    </row>
    <row r="46" ht="16.5" customHeight="1">
      <c r="A46" s="56" t="s">
        <v>61</v>
      </c>
      <c r="B46" s="83" t="s">
        <v>43</v>
      </c>
      <c r="C46" s="82" t="s">
        <v>217</v>
      </c>
      <c r="D46" s="83" t="s">
        <v>43</v>
      </c>
      <c r="E46" s="82" t="s">
        <v>218</v>
      </c>
      <c r="F46" s="63"/>
      <c r="G46" s="63"/>
      <c r="H46" s="63"/>
    </row>
    <row r="47" ht="16.5" customHeight="1">
      <c r="A47" s="56" t="s">
        <v>65</v>
      </c>
      <c r="B47" s="81" t="s">
        <v>42</v>
      </c>
      <c r="C47" s="82" t="s">
        <v>219</v>
      </c>
      <c r="D47" s="81" t="s">
        <v>40</v>
      </c>
      <c r="E47" s="82" t="s">
        <v>220</v>
      </c>
      <c r="F47" s="63"/>
      <c r="G47" s="63"/>
      <c r="H47" s="63"/>
    </row>
    <row r="48" ht="16.5" customHeight="1">
      <c r="A48" s="56" t="s">
        <v>68</v>
      </c>
      <c r="B48" s="83" t="s">
        <v>48</v>
      </c>
      <c r="C48" s="82" t="s">
        <v>222</v>
      </c>
      <c r="D48" s="83" t="s">
        <v>48</v>
      </c>
      <c r="E48" s="82" t="s">
        <v>224</v>
      </c>
      <c r="F48" s="63"/>
      <c r="G48" s="63"/>
      <c r="H48" s="63"/>
    </row>
    <row r="49" ht="16.5" customHeight="1">
      <c r="A49" s="56" t="s">
        <v>74</v>
      </c>
      <c r="B49" s="83" t="s">
        <v>48</v>
      </c>
      <c r="C49" s="82" t="s">
        <v>225</v>
      </c>
      <c r="D49" s="81" t="s">
        <v>42</v>
      </c>
      <c r="E49" s="82" t="s">
        <v>228</v>
      </c>
      <c r="F49" s="63"/>
      <c r="G49" s="63"/>
      <c r="H49" s="63"/>
    </row>
    <row r="50" ht="16.5" customHeight="1">
      <c r="A50" s="56" t="s">
        <v>75</v>
      </c>
      <c r="B50" s="83" t="s">
        <v>43</v>
      </c>
      <c r="C50" s="82" t="s">
        <v>229</v>
      </c>
      <c r="D50" s="83" t="s">
        <v>48</v>
      </c>
      <c r="E50" s="82" t="s">
        <v>232</v>
      </c>
      <c r="F50" s="63"/>
      <c r="G50" s="72"/>
      <c r="H50" s="63"/>
      <c r="I50" s="70"/>
    </row>
    <row r="51" ht="16.5" customHeight="1">
      <c r="A51" s="56" t="s">
        <v>79</v>
      </c>
      <c r="B51" s="83" t="s">
        <v>43</v>
      </c>
      <c r="C51" s="82" t="s">
        <v>235</v>
      </c>
      <c r="D51" s="83" t="s">
        <v>43</v>
      </c>
      <c r="E51" s="82" t="s">
        <v>236</v>
      </c>
      <c r="F51" s="63"/>
      <c r="G51" s="72"/>
      <c r="H51" s="63"/>
      <c r="I51" s="69"/>
    </row>
    <row r="52" ht="16.5" customHeight="1">
      <c r="A52" s="63"/>
      <c r="B52" s="72"/>
      <c r="C52" s="63"/>
      <c r="D52" s="72"/>
      <c r="E52" s="63"/>
      <c r="F52" s="63"/>
      <c r="G52" s="63"/>
    </row>
    <row r="53" ht="16.5" customHeight="1">
      <c r="A53" s="64" t="s">
        <v>84</v>
      </c>
      <c r="B53" s="79" t="s">
        <v>85</v>
      </c>
      <c r="C53" s="46"/>
      <c r="D53" s="79" t="s">
        <v>87</v>
      </c>
      <c r="E53" s="46"/>
      <c r="F53" s="63"/>
      <c r="G53" s="72"/>
      <c r="H53" s="63"/>
    </row>
    <row r="54" ht="16.5" customHeight="1">
      <c r="A54" s="68"/>
      <c r="B54" s="55" t="s">
        <v>29</v>
      </c>
      <c r="C54" s="78" t="s">
        <v>32</v>
      </c>
      <c r="D54" s="55" t="s">
        <v>29</v>
      </c>
      <c r="E54" s="78" t="s">
        <v>32</v>
      </c>
      <c r="F54" s="63"/>
      <c r="G54" s="72"/>
      <c r="H54" s="63"/>
    </row>
    <row r="55" ht="16.5" customHeight="1">
      <c r="A55" s="56" t="s">
        <v>33</v>
      </c>
      <c r="B55" s="81" t="s">
        <v>40</v>
      </c>
      <c r="C55" s="82" t="s">
        <v>244</v>
      </c>
      <c r="D55" s="83" t="s">
        <v>48</v>
      </c>
      <c r="E55" s="82" t="s">
        <v>246</v>
      </c>
      <c r="F55" s="63"/>
      <c r="G55" s="72"/>
      <c r="H55" s="63"/>
    </row>
    <row r="56" ht="16.5" customHeight="1">
      <c r="A56" s="56" t="s">
        <v>46</v>
      </c>
      <c r="B56" s="81" t="s">
        <v>77</v>
      </c>
      <c r="C56" s="87" t="s">
        <v>249</v>
      </c>
      <c r="D56" s="83" t="s">
        <v>48</v>
      </c>
      <c r="E56" s="82" t="s">
        <v>250</v>
      </c>
      <c r="F56" s="63"/>
      <c r="G56" s="72"/>
      <c r="H56" s="63"/>
    </row>
    <row r="57" ht="16.5" customHeight="1">
      <c r="A57" s="56" t="s">
        <v>52</v>
      </c>
      <c r="B57" s="81" t="s">
        <v>40</v>
      </c>
      <c r="C57" s="82" t="s">
        <v>253</v>
      </c>
      <c r="D57" s="81" t="s">
        <v>42</v>
      </c>
      <c r="E57" s="82" t="s">
        <v>254</v>
      </c>
      <c r="F57" s="63"/>
      <c r="G57" s="72"/>
      <c r="H57" s="63"/>
    </row>
    <row r="58" ht="16.5" customHeight="1">
      <c r="A58" s="56" t="s">
        <v>58</v>
      </c>
      <c r="B58" s="83" t="s">
        <v>43</v>
      </c>
      <c r="C58" s="82" t="s">
        <v>255</v>
      </c>
      <c r="D58" s="81" t="s">
        <v>40</v>
      </c>
      <c r="E58" s="82" t="s">
        <v>256</v>
      </c>
      <c r="F58" s="63"/>
      <c r="G58" s="72"/>
      <c r="H58" s="63"/>
    </row>
    <row r="59" ht="16.5" customHeight="1">
      <c r="A59" s="56" t="s">
        <v>61</v>
      </c>
      <c r="B59" s="81" t="s">
        <v>40</v>
      </c>
      <c r="C59" s="82" t="s">
        <v>257</v>
      </c>
      <c r="D59" s="83" t="s">
        <v>48</v>
      </c>
      <c r="E59" s="82" t="s">
        <v>258</v>
      </c>
      <c r="F59" s="63"/>
      <c r="G59" s="72"/>
      <c r="H59" s="63"/>
    </row>
    <row r="60" ht="16.5" customHeight="1">
      <c r="A60" s="56" t="s">
        <v>65</v>
      </c>
      <c r="B60" s="83" t="s">
        <v>43</v>
      </c>
      <c r="C60" s="82" t="s">
        <v>259</v>
      </c>
      <c r="D60" s="83" t="s">
        <v>43</v>
      </c>
      <c r="E60" s="82" t="s">
        <v>260</v>
      </c>
      <c r="F60" s="63"/>
      <c r="G60" s="72"/>
      <c r="H60" s="63"/>
      <c r="I60" s="70"/>
    </row>
    <row r="61" ht="16.5" customHeight="1">
      <c r="A61" s="56" t="s">
        <v>68</v>
      </c>
      <c r="B61" s="83" t="s">
        <v>48</v>
      </c>
      <c r="C61" s="82" t="s">
        <v>261</v>
      </c>
      <c r="D61" s="83" t="s">
        <v>48</v>
      </c>
      <c r="E61" s="82" t="s">
        <v>263</v>
      </c>
      <c r="F61" s="63"/>
      <c r="G61" s="72"/>
      <c r="H61" s="63"/>
      <c r="I61" s="69"/>
    </row>
    <row r="62" ht="16.5" customHeight="1">
      <c r="A62" s="56" t="s">
        <v>74</v>
      </c>
      <c r="B62" s="81" t="s">
        <v>42</v>
      </c>
      <c r="C62" s="82" t="s">
        <v>265</v>
      </c>
      <c r="D62" s="81" t="s">
        <v>40</v>
      </c>
      <c r="E62" s="82" t="s">
        <v>267</v>
      </c>
      <c r="F62" s="63"/>
      <c r="G62" s="72"/>
      <c r="H62" s="63"/>
    </row>
    <row r="63" ht="16.5" customHeight="1">
      <c r="A63" s="56" t="s">
        <v>75</v>
      </c>
      <c r="B63" s="83" t="s">
        <v>48</v>
      </c>
      <c r="C63" s="82" t="s">
        <v>269</v>
      </c>
      <c r="D63" s="83" t="s">
        <v>48</v>
      </c>
      <c r="E63" s="82" t="s">
        <v>271</v>
      </c>
      <c r="F63" s="63"/>
      <c r="G63" s="72"/>
      <c r="H63" s="63"/>
    </row>
    <row r="64" ht="16.5" customHeight="1">
      <c r="A64" s="56" t="s">
        <v>79</v>
      </c>
      <c r="B64" s="81" t="s">
        <v>42</v>
      </c>
      <c r="C64" s="82" t="s">
        <v>273</v>
      </c>
      <c r="D64" s="81" t="s">
        <v>42</v>
      </c>
      <c r="E64" s="82" t="s">
        <v>274</v>
      </c>
      <c r="F64" s="63"/>
      <c r="G64" s="72"/>
      <c r="H64" s="63"/>
    </row>
    <row r="65" ht="16.5" customHeight="1">
      <c r="A65" s="63"/>
      <c r="B65" s="72"/>
      <c r="C65" s="72"/>
      <c r="D65" s="72"/>
      <c r="E65" s="72"/>
      <c r="F65" s="63"/>
      <c r="G65" s="72"/>
      <c r="H65" s="63"/>
    </row>
    <row r="66" ht="16.5" customHeight="1">
      <c r="A66" s="64" t="s">
        <v>84</v>
      </c>
      <c r="B66" s="79" t="s">
        <v>86</v>
      </c>
      <c r="C66" s="46"/>
      <c r="D66" s="79" t="s">
        <v>88</v>
      </c>
      <c r="E66" s="46"/>
      <c r="F66" s="79" t="s">
        <v>89</v>
      </c>
      <c r="G66" s="46"/>
      <c r="H66" s="63"/>
    </row>
    <row r="67" ht="16.5" customHeight="1">
      <c r="A67" s="68"/>
      <c r="B67" s="55" t="s">
        <v>29</v>
      </c>
      <c r="C67" s="78" t="s">
        <v>32</v>
      </c>
      <c r="D67" s="55" t="s">
        <v>29</v>
      </c>
      <c r="E67" s="78" t="s">
        <v>32</v>
      </c>
      <c r="F67" s="55" t="s">
        <v>29</v>
      </c>
      <c r="G67" s="78" t="s">
        <v>32</v>
      </c>
      <c r="H67" s="63"/>
    </row>
    <row r="68" ht="16.5" customHeight="1">
      <c r="A68" s="56" t="s">
        <v>33</v>
      </c>
      <c r="B68" s="81" t="s">
        <v>42</v>
      </c>
      <c r="C68" s="82" t="s">
        <v>283</v>
      </c>
      <c r="D68" s="83" t="s">
        <v>48</v>
      </c>
      <c r="E68" s="82" t="s">
        <v>285</v>
      </c>
      <c r="F68" s="83" t="s">
        <v>43</v>
      </c>
      <c r="G68" s="82" t="s">
        <v>287</v>
      </c>
      <c r="H68" s="63"/>
    </row>
    <row r="69" ht="16.5" customHeight="1">
      <c r="A69" s="56" t="s">
        <v>46</v>
      </c>
      <c r="B69" s="83" t="s">
        <v>48</v>
      </c>
      <c r="C69" s="82" t="s">
        <v>290</v>
      </c>
      <c r="D69" s="83" t="s">
        <v>43</v>
      </c>
      <c r="E69" s="87" t="s">
        <v>292</v>
      </c>
      <c r="F69" s="83" t="s">
        <v>43</v>
      </c>
      <c r="G69" s="82" t="s">
        <v>294</v>
      </c>
      <c r="H69" s="63"/>
    </row>
    <row r="70" ht="16.5" customHeight="1">
      <c r="A70" s="56" t="s">
        <v>52</v>
      </c>
      <c r="B70" s="83" t="s">
        <v>48</v>
      </c>
      <c r="C70" s="82" t="s">
        <v>295</v>
      </c>
      <c r="D70" s="83" t="s">
        <v>48</v>
      </c>
      <c r="E70" s="82" t="s">
        <v>296</v>
      </c>
      <c r="F70" s="83" t="s">
        <v>48</v>
      </c>
      <c r="G70" s="82" t="s">
        <v>297</v>
      </c>
      <c r="H70" s="63"/>
    </row>
    <row r="71" ht="16.5" customHeight="1">
      <c r="A71" s="56" t="s">
        <v>58</v>
      </c>
      <c r="B71" s="81" t="s">
        <v>40</v>
      </c>
      <c r="C71" s="82" t="s">
        <v>298</v>
      </c>
      <c r="D71" s="81" t="s">
        <v>77</v>
      </c>
      <c r="E71" s="82" t="s">
        <v>299</v>
      </c>
      <c r="F71" s="81" t="s">
        <v>40</v>
      </c>
      <c r="G71" s="82" t="s">
        <v>300</v>
      </c>
      <c r="H71" s="63"/>
    </row>
    <row r="72" ht="16.5" customHeight="1">
      <c r="A72" s="56" t="s">
        <v>61</v>
      </c>
      <c r="B72" s="83" t="s">
        <v>43</v>
      </c>
      <c r="C72" s="82" t="s">
        <v>301</v>
      </c>
      <c r="D72" s="83" t="s">
        <v>48</v>
      </c>
      <c r="E72" s="82" t="s">
        <v>303</v>
      </c>
      <c r="F72" s="83" t="s">
        <v>43</v>
      </c>
      <c r="G72" s="82" t="s">
        <v>305</v>
      </c>
      <c r="H72" s="63"/>
    </row>
    <row r="73" ht="16.5" customHeight="1">
      <c r="A73" s="56" t="s">
        <v>65</v>
      </c>
      <c r="B73" s="81" t="s">
        <v>40</v>
      </c>
      <c r="C73" s="82" t="s">
        <v>307</v>
      </c>
      <c r="D73" s="81" t="s">
        <v>40</v>
      </c>
      <c r="E73" s="82" t="s">
        <v>309</v>
      </c>
      <c r="F73" s="81" t="s">
        <v>77</v>
      </c>
      <c r="G73" s="82" t="s">
        <v>310</v>
      </c>
      <c r="H73" s="63"/>
    </row>
    <row r="74" ht="16.5" customHeight="1">
      <c r="A74" s="56" t="s">
        <v>68</v>
      </c>
      <c r="B74" s="83" t="s">
        <v>48</v>
      </c>
      <c r="C74" s="82" t="s">
        <v>313</v>
      </c>
      <c r="D74" s="83" t="s">
        <v>43</v>
      </c>
      <c r="E74" s="82" t="s">
        <v>314</v>
      </c>
      <c r="F74" s="83" t="s">
        <v>43</v>
      </c>
      <c r="G74" s="82" t="s">
        <v>316</v>
      </c>
    </row>
    <row r="75" ht="16.5" customHeight="1">
      <c r="A75" s="56" t="s">
        <v>74</v>
      </c>
      <c r="B75" s="83" t="s">
        <v>43</v>
      </c>
      <c r="C75" s="82" t="s">
        <v>318</v>
      </c>
      <c r="D75" s="83" t="s">
        <v>48</v>
      </c>
      <c r="E75" s="82" t="s">
        <v>319</v>
      </c>
      <c r="F75" s="83" t="s">
        <v>43</v>
      </c>
      <c r="G75" s="82" t="s">
        <v>322</v>
      </c>
    </row>
    <row r="76" ht="16.5" customHeight="1">
      <c r="A76" s="56" t="s">
        <v>75</v>
      </c>
      <c r="B76" s="83" t="s">
        <v>43</v>
      </c>
      <c r="C76" s="82" t="s">
        <v>323</v>
      </c>
      <c r="D76" s="83" t="s">
        <v>43</v>
      </c>
      <c r="E76" s="82" t="s">
        <v>327</v>
      </c>
      <c r="F76" s="83" t="s">
        <v>48</v>
      </c>
      <c r="G76" s="82" t="s">
        <v>329</v>
      </c>
    </row>
    <row r="77" ht="16.5" customHeight="1">
      <c r="A77" s="56" t="s">
        <v>79</v>
      </c>
      <c r="B77" s="83" t="s">
        <v>48</v>
      </c>
      <c r="C77" s="82" t="s">
        <v>331</v>
      </c>
      <c r="D77" s="81" t="s">
        <v>42</v>
      </c>
      <c r="E77" s="82" t="s">
        <v>333</v>
      </c>
      <c r="F77" s="81" t="s">
        <v>42</v>
      </c>
      <c r="G77" s="82" t="s">
        <v>335</v>
      </c>
    </row>
    <row r="78" ht="16.5" customHeight="1">
      <c r="A78" s="63"/>
      <c r="B78" s="72"/>
      <c r="C78" s="72"/>
      <c r="D78" s="72"/>
      <c r="E78" s="72"/>
      <c r="F78" s="72"/>
      <c r="G78" s="72"/>
    </row>
    <row r="79" ht="16.5" customHeight="1">
      <c r="A79" s="53" t="s">
        <v>90</v>
      </c>
      <c r="B79" s="79" t="s">
        <v>145</v>
      </c>
      <c r="C79" s="46"/>
      <c r="D79" s="79" t="s">
        <v>92</v>
      </c>
      <c r="E79" s="46"/>
    </row>
    <row r="80" ht="16.5" customHeight="1">
      <c r="A80" s="47"/>
      <c r="B80" s="55" t="s">
        <v>29</v>
      </c>
      <c r="C80" s="55" t="s">
        <v>32</v>
      </c>
      <c r="D80" s="55" t="s">
        <v>29</v>
      </c>
      <c r="E80" s="55" t="s">
        <v>32</v>
      </c>
      <c r="G80" s="90" t="s">
        <v>341</v>
      </c>
      <c r="H80" s="90" t="s">
        <v>92</v>
      </c>
      <c r="I80" s="90" t="s">
        <v>145</v>
      </c>
      <c r="J80" s="90" t="s">
        <v>343</v>
      </c>
    </row>
    <row r="81" ht="16.5" customHeight="1">
      <c r="A81" s="56" t="s">
        <v>33</v>
      </c>
      <c r="B81" s="83" t="s">
        <v>48</v>
      </c>
      <c r="C81" s="82" t="s">
        <v>344</v>
      </c>
      <c r="D81" s="81" t="s">
        <v>40</v>
      </c>
      <c r="E81" s="82" t="s">
        <v>346</v>
      </c>
      <c r="G81" s="92" t="s">
        <v>347</v>
      </c>
      <c r="H81" s="92" t="s">
        <v>40</v>
      </c>
      <c r="I81" s="92">
        <v>0.0</v>
      </c>
      <c r="J81" s="92" t="s">
        <v>351</v>
      </c>
    </row>
    <row r="82" ht="16.5" customHeight="1">
      <c r="A82" s="56" t="s">
        <v>46</v>
      </c>
      <c r="B82" s="83" t="s">
        <v>48</v>
      </c>
      <c r="C82" s="82" t="s">
        <v>353</v>
      </c>
      <c r="D82" s="81" t="s">
        <v>42</v>
      </c>
      <c r="E82" s="82" t="s">
        <v>356</v>
      </c>
      <c r="G82" s="92" t="s">
        <v>359</v>
      </c>
      <c r="H82" s="94" t="str">
        <f>+</f>
        <v>#ERROR!</v>
      </c>
      <c r="I82" s="94" t="str">
        <f>+</f>
        <v>#ERROR!</v>
      </c>
      <c r="J82" s="92" t="s">
        <v>366</v>
      </c>
    </row>
    <row r="83" ht="16.5" customHeight="1">
      <c r="A83" s="56" t="s">
        <v>52</v>
      </c>
      <c r="B83" s="83" t="s">
        <v>48</v>
      </c>
      <c r="C83" s="82" t="s">
        <v>369</v>
      </c>
      <c r="D83" s="83" t="s">
        <v>48</v>
      </c>
      <c r="E83" s="82" t="s">
        <v>371</v>
      </c>
      <c r="G83" s="92" t="s">
        <v>373</v>
      </c>
      <c r="H83" s="94" t="str">
        <f>+</f>
        <v>#ERROR!</v>
      </c>
      <c r="I83" s="94" t="str">
        <f>+</f>
        <v>#ERROR!</v>
      </c>
      <c r="J83" s="92" t="s">
        <v>376</v>
      </c>
    </row>
    <row r="84" ht="16.5" customHeight="1">
      <c r="A84" s="56" t="s">
        <v>58</v>
      </c>
      <c r="B84" s="81" t="s">
        <v>40</v>
      </c>
      <c r="C84" s="82" t="s">
        <v>380</v>
      </c>
      <c r="D84" s="81" t="s">
        <v>42</v>
      </c>
      <c r="E84" s="82" t="s">
        <v>382</v>
      </c>
      <c r="G84" s="92" t="s">
        <v>383</v>
      </c>
      <c r="H84" s="94" t="str">
        <f>+</f>
        <v>#ERROR!</v>
      </c>
      <c r="I84" s="92" t="s">
        <v>40</v>
      </c>
      <c r="J84" s="92" t="s">
        <v>387</v>
      </c>
    </row>
    <row r="85" ht="16.5" customHeight="1">
      <c r="A85" s="56" t="s">
        <v>61</v>
      </c>
      <c r="B85" s="83" t="s">
        <v>48</v>
      </c>
      <c r="C85" s="82" t="s">
        <v>390</v>
      </c>
      <c r="D85" s="83" t="s">
        <v>48</v>
      </c>
      <c r="E85" s="82" t="s">
        <v>392</v>
      </c>
      <c r="G85" s="92" t="s">
        <v>394</v>
      </c>
      <c r="H85" s="94" t="str">
        <f>+</f>
        <v>#ERROR!</v>
      </c>
      <c r="I85" s="94" t="str">
        <f>++</f>
        <v>#ERROR!</v>
      </c>
      <c r="J85" s="92" t="s">
        <v>399</v>
      </c>
    </row>
    <row r="86" ht="16.5" customHeight="1">
      <c r="A86" s="56" t="s">
        <v>65</v>
      </c>
      <c r="B86" s="81" t="s">
        <v>42</v>
      </c>
      <c r="C86" s="82" t="s">
        <v>400</v>
      </c>
      <c r="D86" s="81" t="s">
        <v>42</v>
      </c>
      <c r="E86" s="82" t="s">
        <v>403</v>
      </c>
      <c r="G86" s="92" t="s">
        <v>405</v>
      </c>
      <c r="H86" s="92" t="s">
        <v>40</v>
      </c>
      <c r="I86" s="94" t="str">
        <f>+</f>
        <v>#ERROR!</v>
      </c>
      <c r="J86" s="92" t="s">
        <v>407</v>
      </c>
    </row>
    <row r="87" ht="16.5" customHeight="1">
      <c r="A87" s="56" t="s">
        <v>68</v>
      </c>
      <c r="B87" s="83" t="s">
        <v>48</v>
      </c>
      <c r="C87" s="82" t="s">
        <v>409</v>
      </c>
      <c r="D87" s="83" t="s">
        <v>48</v>
      </c>
      <c r="E87" s="82" t="s">
        <v>411</v>
      </c>
      <c r="G87" s="92" t="s">
        <v>412</v>
      </c>
      <c r="H87" s="92">
        <v>0.0</v>
      </c>
      <c r="I87" s="94" t="str">
        <f>+</f>
        <v>#ERROR!</v>
      </c>
      <c r="J87" s="92" t="s">
        <v>414</v>
      </c>
    </row>
    <row r="88" ht="16.5" customHeight="1">
      <c r="A88" s="56" t="s">
        <v>74</v>
      </c>
      <c r="B88" s="83" t="s">
        <v>43</v>
      </c>
      <c r="C88" s="82" t="s">
        <v>415</v>
      </c>
      <c r="D88" s="83" t="s">
        <v>48</v>
      </c>
      <c r="E88" s="82" t="s">
        <v>416</v>
      </c>
      <c r="G88" s="92" t="s">
        <v>417</v>
      </c>
      <c r="H88" s="92" t="s">
        <v>40</v>
      </c>
      <c r="I88" s="94" t="str">
        <f>++</f>
        <v>#ERROR!</v>
      </c>
      <c r="J88" s="92" t="s">
        <v>418</v>
      </c>
    </row>
    <row r="89" ht="16.5" customHeight="1">
      <c r="A89" s="56" t="s">
        <v>75</v>
      </c>
      <c r="B89" s="83" t="s">
        <v>48</v>
      </c>
      <c r="C89" s="82" t="s">
        <v>419</v>
      </c>
      <c r="D89" s="83" t="s">
        <v>48</v>
      </c>
      <c r="E89" s="82" t="s">
        <v>420</v>
      </c>
      <c r="G89" s="92" t="s">
        <v>421</v>
      </c>
      <c r="H89" s="92" t="s">
        <v>40</v>
      </c>
      <c r="I89" s="92" t="s">
        <v>40</v>
      </c>
      <c r="J89" s="92" t="s">
        <v>423</v>
      </c>
    </row>
    <row r="90" ht="16.5" customHeight="1">
      <c r="A90" s="56" t="s">
        <v>79</v>
      </c>
      <c r="B90" s="83" t="s">
        <v>48</v>
      </c>
      <c r="C90" s="82" t="s">
        <v>424</v>
      </c>
      <c r="D90" s="83" t="s">
        <v>48</v>
      </c>
      <c r="E90" s="82" t="s">
        <v>426</v>
      </c>
      <c r="G90" s="92" t="s">
        <v>428</v>
      </c>
      <c r="H90" s="94" t="str">
        <f>+</f>
        <v>#ERROR!</v>
      </c>
      <c r="I90" s="94" t="str">
        <f>+</f>
        <v>#ERROR!</v>
      </c>
      <c r="J90" s="92" t="s">
        <v>431</v>
      </c>
    </row>
    <row r="91" ht="16.5" customHeight="1">
      <c r="A91" s="63"/>
      <c r="B91" s="72"/>
      <c r="C91" s="63"/>
      <c r="D91" s="72"/>
      <c r="E91" s="63"/>
      <c r="F91" s="72"/>
      <c r="G91" s="63"/>
    </row>
    <row r="92" ht="16.5" customHeight="1">
      <c r="A92" s="53" t="s">
        <v>90</v>
      </c>
      <c r="B92" s="79" t="s">
        <v>96</v>
      </c>
      <c r="C92" s="46"/>
      <c r="D92" s="71" t="s">
        <v>97</v>
      </c>
      <c r="E92" s="46"/>
    </row>
    <row r="93" ht="16.5" customHeight="1">
      <c r="A93" s="47"/>
      <c r="B93" s="55" t="s">
        <v>29</v>
      </c>
      <c r="C93" s="55" t="s">
        <v>32</v>
      </c>
      <c r="D93" s="55" t="s">
        <v>29</v>
      </c>
      <c r="E93" s="55" t="s">
        <v>32</v>
      </c>
    </row>
    <row r="94" ht="16.5" customHeight="1">
      <c r="A94" s="56" t="s">
        <v>33</v>
      </c>
      <c r="B94" s="83" t="s">
        <v>48</v>
      </c>
      <c r="C94" s="82" t="s">
        <v>443</v>
      </c>
      <c r="D94" s="83" t="s">
        <v>48</v>
      </c>
      <c r="E94" s="82" t="s">
        <v>445</v>
      </c>
    </row>
    <row r="95" ht="16.5" customHeight="1">
      <c r="A95" s="56" t="s">
        <v>46</v>
      </c>
      <c r="B95" s="83" t="s">
        <v>43</v>
      </c>
      <c r="C95" s="82" t="s">
        <v>448</v>
      </c>
      <c r="D95" s="83" t="s">
        <v>48</v>
      </c>
      <c r="E95" s="82" t="s">
        <v>451</v>
      </c>
    </row>
    <row r="96" ht="16.5" customHeight="1">
      <c r="A96" s="56" t="s">
        <v>52</v>
      </c>
      <c r="B96" s="83" t="s">
        <v>43</v>
      </c>
      <c r="C96" s="82" t="s">
        <v>455</v>
      </c>
      <c r="D96" s="83" t="s">
        <v>48</v>
      </c>
      <c r="E96" s="82" t="s">
        <v>457</v>
      </c>
    </row>
    <row r="97" ht="16.5" customHeight="1">
      <c r="A97" s="56" t="s">
        <v>58</v>
      </c>
      <c r="B97" s="81" t="s">
        <v>40</v>
      </c>
      <c r="C97" s="82" t="s">
        <v>461</v>
      </c>
      <c r="D97" s="81" t="s">
        <v>42</v>
      </c>
      <c r="E97" s="82" t="s">
        <v>463</v>
      </c>
    </row>
    <row r="98" ht="16.5" customHeight="1">
      <c r="A98" s="56" t="s">
        <v>61</v>
      </c>
      <c r="B98" s="83" t="s">
        <v>43</v>
      </c>
      <c r="C98" s="82" t="s">
        <v>467</v>
      </c>
      <c r="D98" s="83" t="s">
        <v>48</v>
      </c>
      <c r="E98" s="82" t="s">
        <v>470</v>
      </c>
    </row>
    <row r="99" ht="16.5" customHeight="1">
      <c r="A99" s="56" t="s">
        <v>65</v>
      </c>
      <c r="B99" s="81" t="s">
        <v>40</v>
      </c>
      <c r="C99" s="82" t="s">
        <v>472</v>
      </c>
      <c r="D99" s="83" t="s">
        <v>48</v>
      </c>
      <c r="E99" s="82" t="s">
        <v>475</v>
      </c>
    </row>
    <row r="100" ht="16.5" customHeight="1">
      <c r="A100" s="56" t="s">
        <v>68</v>
      </c>
      <c r="B100" s="83" t="s">
        <v>48</v>
      </c>
      <c r="C100" s="82" t="s">
        <v>478</v>
      </c>
      <c r="D100" s="83" t="s">
        <v>48</v>
      </c>
      <c r="E100" s="82" t="s">
        <v>480</v>
      </c>
    </row>
    <row r="101" ht="16.5" customHeight="1">
      <c r="A101" s="56" t="s">
        <v>74</v>
      </c>
      <c r="B101" s="83" t="s">
        <v>48</v>
      </c>
      <c r="C101" s="82" t="s">
        <v>482</v>
      </c>
      <c r="D101" s="83" t="s">
        <v>48</v>
      </c>
      <c r="E101" s="82" t="s">
        <v>483</v>
      </c>
    </row>
    <row r="102" ht="16.5" customHeight="1">
      <c r="A102" s="56" t="s">
        <v>75</v>
      </c>
      <c r="B102" s="83" t="s">
        <v>48</v>
      </c>
      <c r="C102" s="82" t="s">
        <v>486</v>
      </c>
      <c r="D102" s="83" t="s">
        <v>48</v>
      </c>
      <c r="E102" s="82" t="s">
        <v>487</v>
      </c>
    </row>
    <row r="103" ht="16.5" customHeight="1">
      <c r="A103" s="56" t="s">
        <v>79</v>
      </c>
      <c r="B103" s="81" t="s">
        <v>42</v>
      </c>
      <c r="C103" s="82" t="s">
        <v>488</v>
      </c>
      <c r="D103" s="81" t="s">
        <v>42</v>
      </c>
      <c r="E103" s="82" t="s">
        <v>489</v>
      </c>
    </row>
    <row r="104" ht="16.5" customHeight="1">
      <c r="A104" s="63"/>
      <c r="B104" s="72"/>
      <c r="C104" s="63"/>
      <c r="D104" s="72"/>
      <c r="E104" s="63"/>
      <c r="F104" s="63"/>
      <c r="G104" s="63"/>
    </row>
    <row r="105" ht="16.5" customHeight="1">
      <c r="A105" s="53" t="s">
        <v>90</v>
      </c>
      <c r="B105" s="79" t="s">
        <v>98</v>
      </c>
      <c r="C105" s="46"/>
      <c r="D105" s="71" t="s">
        <v>493</v>
      </c>
      <c r="E105" s="46"/>
    </row>
    <row r="106" ht="16.5" customHeight="1">
      <c r="A106" s="47"/>
      <c r="B106" s="55" t="s">
        <v>29</v>
      </c>
      <c r="C106" s="55" t="s">
        <v>32</v>
      </c>
      <c r="D106" s="55" t="s">
        <v>29</v>
      </c>
      <c r="E106" s="55" t="s">
        <v>32</v>
      </c>
    </row>
    <row r="107" ht="16.5" customHeight="1">
      <c r="A107" s="56" t="s">
        <v>33</v>
      </c>
      <c r="B107" s="83" t="s">
        <v>48</v>
      </c>
      <c r="C107" s="82" t="s">
        <v>498</v>
      </c>
      <c r="D107" s="83" t="s">
        <v>43</v>
      </c>
      <c r="E107" s="82" t="s">
        <v>499</v>
      </c>
    </row>
    <row r="108" ht="16.5" customHeight="1">
      <c r="A108" s="56" t="s">
        <v>46</v>
      </c>
      <c r="B108" s="83" t="s">
        <v>48</v>
      </c>
      <c r="C108" s="82" t="s">
        <v>501</v>
      </c>
      <c r="D108" s="83" t="s">
        <v>43</v>
      </c>
      <c r="E108" s="82" t="s">
        <v>503</v>
      </c>
    </row>
    <row r="109" ht="16.5" customHeight="1">
      <c r="A109" s="56" t="s">
        <v>52</v>
      </c>
      <c r="B109" s="83" t="s">
        <v>43</v>
      </c>
      <c r="C109" s="82" t="s">
        <v>507</v>
      </c>
      <c r="D109" s="83" t="s">
        <v>48</v>
      </c>
      <c r="E109" s="82" t="s">
        <v>508</v>
      </c>
    </row>
    <row r="110" ht="16.5" customHeight="1">
      <c r="A110" s="56" t="s">
        <v>58</v>
      </c>
      <c r="B110" s="81" t="s">
        <v>40</v>
      </c>
      <c r="C110" s="82" t="s">
        <v>511</v>
      </c>
      <c r="D110" s="81" t="s">
        <v>77</v>
      </c>
      <c r="E110" s="82" t="s">
        <v>513</v>
      </c>
    </row>
    <row r="111" ht="16.5" customHeight="1">
      <c r="A111" s="56" t="s">
        <v>61</v>
      </c>
      <c r="B111" s="83" t="s">
        <v>43</v>
      </c>
      <c r="C111" s="82" t="s">
        <v>516</v>
      </c>
      <c r="D111" s="83" t="s">
        <v>43</v>
      </c>
      <c r="E111" s="82" t="s">
        <v>517</v>
      </c>
    </row>
    <row r="112" ht="16.5" customHeight="1">
      <c r="A112" s="56" t="s">
        <v>65</v>
      </c>
      <c r="B112" s="81" t="s">
        <v>40</v>
      </c>
      <c r="C112" s="82" t="s">
        <v>520</v>
      </c>
      <c r="D112" s="81" t="s">
        <v>40</v>
      </c>
      <c r="E112" s="82" t="s">
        <v>523</v>
      </c>
    </row>
    <row r="113" ht="16.5" customHeight="1">
      <c r="A113" s="56" t="s">
        <v>68</v>
      </c>
      <c r="B113" s="83" t="s">
        <v>48</v>
      </c>
      <c r="C113" s="82" t="s">
        <v>527</v>
      </c>
      <c r="D113" s="83" t="s">
        <v>48</v>
      </c>
      <c r="E113" s="82" t="s">
        <v>528</v>
      </c>
    </row>
    <row r="114" ht="16.5" customHeight="1">
      <c r="A114" s="56" t="s">
        <v>74</v>
      </c>
      <c r="B114" s="83" t="s">
        <v>48</v>
      </c>
      <c r="C114" s="82" t="s">
        <v>532</v>
      </c>
      <c r="D114" s="81" t="s">
        <v>40</v>
      </c>
      <c r="E114" s="82" t="s">
        <v>534</v>
      </c>
    </row>
    <row r="115" ht="16.5" customHeight="1">
      <c r="A115" s="56" t="s">
        <v>75</v>
      </c>
      <c r="B115" s="83" t="s">
        <v>48</v>
      </c>
      <c r="C115" s="82" t="s">
        <v>536</v>
      </c>
      <c r="D115" s="81" t="s">
        <v>42</v>
      </c>
      <c r="E115" s="82" t="s">
        <v>539</v>
      </c>
    </row>
    <row r="116" ht="16.5" customHeight="1">
      <c r="A116" s="56" t="s">
        <v>79</v>
      </c>
      <c r="B116" s="81" t="s">
        <v>42</v>
      </c>
      <c r="C116" s="82" t="s">
        <v>541</v>
      </c>
      <c r="D116" s="81" t="s">
        <v>42</v>
      </c>
      <c r="E116" s="82" t="s">
        <v>543</v>
      </c>
    </row>
    <row r="117" ht="16.5" customHeight="1">
      <c r="A117" s="63"/>
      <c r="B117" s="72"/>
      <c r="C117" s="63"/>
      <c r="D117" s="72"/>
      <c r="E117" s="63"/>
      <c r="F117" s="63"/>
      <c r="G117" s="63"/>
    </row>
    <row r="118" ht="16.5" customHeight="1">
      <c r="A118" s="53" t="s">
        <v>100</v>
      </c>
      <c r="B118" s="71" t="s">
        <v>101</v>
      </c>
      <c r="C118" s="46"/>
      <c r="D118" s="71" t="s">
        <v>102</v>
      </c>
      <c r="E118" s="46"/>
      <c r="F118" s="71" t="s">
        <v>103</v>
      </c>
      <c r="G118" s="46"/>
    </row>
    <row r="119" ht="16.5" customHeight="1">
      <c r="A119" s="47"/>
      <c r="B119" s="55" t="s">
        <v>29</v>
      </c>
      <c r="C119" s="55" t="s">
        <v>32</v>
      </c>
      <c r="D119" s="55" t="s">
        <v>29</v>
      </c>
      <c r="E119" s="55" t="s">
        <v>32</v>
      </c>
      <c r="F119" s="55" t="s">
        <v>29</v>
      </c>
      <c r="G119" s="55" t="s">
        <v>32</v>
      </c>
    </row>
    <row r="120" ht="16.5" customHeight="1">
      <c r="A120" s="27" t="s">
        <v>33</v>
      </c>
      <c r="B120" s="83" t="s">
        <v>48</v>
      </c>
      <c r="C120" s="27" t="s">
        <v>548</v>
      </c>
      <c r="D120" s="83" t="s">
        <v>43</v>
      </c>
      <c r="E120" s="27" t="s">
        <v>550</v>
      </c>
      <c r="F120" s="83" t="s">
        <v>48</v>
      </c>
      <c r="G120" s="27" t="s">
        <v>551</v>
      </c>
    </row>
    <row r="121" ht="16.5" customHeight="1">
      <c r="A121" s="27" t="s">
        <v>46</v>
      </c>
      <c r="B121" s="83" t="s">
        <v>43</v>
      </c>
      <c r="C121" s="27" t="s">
        <v>554</v>
      </c>
      <c r="D121" s="83" t="s">
        <v>43</v>
      </c>
      <c r="E121" s="27" t="s">
        <v>555</v>
      </c>
      <c r="F121" s="83" t="s">
        <v>40</v>
      </c>
      <c r="G121" s="27" t="s">
        <v>557</v>
      </c>
    </row>
    <row r="122" ht="16.5" customHeight="1">
      <c r="A122" s="27" t="s">
        <v>52</v>
      </c>
      <c r="B122" s="83" t="s">
        <v>48</v>
      </c>
      <c r="C122" s="27" t="s">
        <v>558</v>
      </c>
      <c r="D122" s="83" t="s">
        <v>43</v>
      </c>
      <c r="E122" s="27" t="s">
        <v>559</v>
      </c>
      <c r="F122" s="83" t="s">
        <v>42</v>
      </c>
      <c r="G122" s="27" t="s">
        <v>560</v>
      </c>
    </row>
    <row r="123" ht="16.5" customHeight="1">
      <c r="A123" s="27" t="s">
        <v>58</v>
      </c>
      <c r="B123" s="83" t="s">
        <v>48</v>
      </c>
      <c r="C123" s="27" t="s">
        <v>561</v>
      </c>
      <c r="D123" s="83" t="s">
        <v>48</v>
      </c>
      <c r="E123" s="27" t="s">
        <v>563</v>
      </c>
      <c r="F123" s="83" t="s">
        <v>48</v>
      </c>
      <c r="G123" s="27" t="s">
        <v>564</v>
      </c>
    </row>
    <row r="124" ht="16.5" customHeight="1">
      <c r="A124" s="27" t="s">
        <v>61</v>
      </c>
      <c r="B124" s="83" t="s">
        <v>43</v>
      </c>
      <c r="C124" s="27" t="s">
        <v>565</v>
      </c>
      <c r="D124" s="83" t="s">
        <v>43</v>
      </c>
      <c r="E124" s="27" t="s">
        <v>566</v>
      </c>
      <c r="F124" s="83" t="s">
        <v>42</v>
      </c>
      <c r="G124" s="27" t="s">
        <v>567</v>
      </c>
    </row>
    <row r="125" ht="16.5" customHeight="1">
      <c r="A125" s="27" t="s">
        <v>65</v>
      </c>
      <c r="B125" s="83" t="s">
        <v>48</v>
      </c>
      <c r="C125" s="27" t="s">
        <v>568</v>
      </c>
      <c r="D125" s="83" t="s">
        <v>48</v>
      </c>
      <c r="E125" s="27" t="s">
        <v>570</v>
      </c>
      <c r="F125" s="83" t="s">
        <v>43</v>
      </c>
      <c r="G125" s="27" t="s">
        <v>573</v>
      </c>
    </row>
    <row r="126" ht="16.5" customHeight="1">
      <c r="A126" s="27" t="s">
        <v>68</v>
      </c>
      <c r="B126" s="83" t="s">
        <v>48</v>
      </c>
      <c r="C126" s="27" t="s">
        <v>575</v>
      </c>
      <c r="D126" s="83" t="s">
        <v>48</v>
      </c>
      <c r="E126" s="27" t="s">
        <v>576</v>
      </c>
      <c r="F126" s="83" t="s">
        <v>43</v>
      </c>
      <c r="G126" s="27" t="s">
        <v>578</v>
      </c>
    </row>
    <row r="127" ht="16.5" customHeight="1">
      <c r="A127" s="27" t="s">
        <v>74</v>
      </c>
      <c r="B127" s="83" t="s">
        <v>48</v>
      </c>
      <c r="C127" s="27" t="s">
        <v>582</v>
      </c>
      <c r="D127" s="83" t="s">
        <v>48</v>
      </c>
      <c r="E127" s="27" t="s">
        <v>583</v>
      </c>
      <c r="F127" s="81" t="s">
        <v>40</v>
      </c>
      <c r="G127" s="27" t="s">
        <v>584</v>
      </c>
    </row>
    <row r="128" ht="16.5" customHeight="1">
      <c r="A128" s="27" t="s">
        <v>75</v>
      </c>
      <c r="B128" s="83" t="s">
        <v>43</v>
      </c>
      <c r="C128" s="27" t="s">
        <v>586</v>
      </c>
      <c r="D128" s="83" t="s">
        <v>48</v>
      </c>
      <c r="E128" s="27" t="s">
        <v>588</v>
      </c>
      <c r="F128" s="81" t="s">
        <v>40</v>
      </c>
      <c r="G128" s="27" t="s">
        <v>589</v>
      </c>
    </row>
    <row r="129" ht="16.5" customHeight="1">
      <c r="A129" s="27" t="s">
        <v>79</v>
      </c>
      <c r="B129" s="83" t="s">
        <v>42</v>
      </c>
      <c r="C129" s="27" t="s">
        <v>591</v>
      </c>
      <c r="D129" s="83" t="s">
        <v>43</v>
      </c>
      <c r="E129" s="27" t="s">
        <v>593</v>
      </c>
      <c r="F129" s="83" t="s">
        <v>43</v>
      </c>
      <c r="G129" s="27" t="s">
        <v>594</v>
      </c>
    </row>
    <row r="130" ht="16.5" customHeight="1">
      <c r="B130" s="72"/>
      <c r="D130" s="72"/>
      <c r="F130" s="72"/>
    </row>
    <row r="131" ht="16.5" customHeight="1"/>
    <row r="132" ht="16.5" customHeight="1">
      <c r="A132" s="103"/>
      <c r="B132" s="103"/>
      <c r="C132" s="103"/>
      <c r="D132" s="103"/>
      <c r="E132" s="103"/>
      <c r="F132" s="103"/>
      <c r="G132" s="103"/>
    </row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  <mergeCell ref="D66:E66"/>
    <mergeCell ref="F66:G66"/>
    <mergeCell ref="A105:A106"/>
    <mergeCell ref="B105:C105"/>
    <mergeCell ref="D105:E105"/>
    <mergeCell ref="A118:A119"/>
    <mergeCell ref="B118:C118"/>
    <mergeCell ref="D118:E118"/>
    <mergeCell ref="F118:G118"/>
    <mergeCell ref="B66:C66"/>
    <mergeCell ref="A79:A80"/>
    <mergeCell ref="B79:C79"/>
    <mergeCell ref="D79:E79"/>
    <mergeCell ref="A92:A93"/>
    <mergeCell ref="B92:C92"/>
    <mergeCell ref="D92:E92"/>
  </mergeCells>
  <dataValidations>
    <dataValidation type="list" allowBlank="1" showErrorMessage="1" sqref="B3:B12 D3:D12 F3:F12 B14 D14 B16:B25 D16:D25 B27 D27 B29:B38 D29:D38 B42:B51 D42:D51 B53 D53 B55:B64 D55:D64 B66 D66 F66 B68:B77 D68:D77 F68:F78 B79 D79 B81:B90 D81:D90 B92 B94:B103 D94:D103 B107:B116 D107:D116 B120:B129 D120:D129 F120:F129">
      <formula1>"'++,'+,'0,'-,'--"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8.0"/>
    <col customWidth="1" min="2" max="2" width="14.71"/>
    <col customWidth="1" min="3" max="3" width="70.57"/>
    <col customWidth="1" min="4" max="4" width="9.86"/>
    <col customWidth="1" min="5" max="5" width="64.43"/>
    <col customWidth="1" min="6" max="6" width="11.43"/>
    <col customWidth="1" min="7" max="7" width="19.0"/>
    <col customWidth="1" min="8" max="8" width="28.86"/>
    <col customWidth="1" min="9" max="9" width="64.14"/>
  </cols>
  <sheetData>
    <row r="1" ht="16.5" customHeight="1">
      <c r="A1" s="53" t="s">
        <v>104</v>
      </c>
      <c r="B1" s="71" t="s">
        <v>10</v>
      </c>
      <c r="C1" s="46"/>
      <c r="D1" s="71" t="s">
        <v>18</v>
      </c>
      <c r="E1" s="46"/>
      <c r="F1" s="71" t="s">
        <v>22</v>
      </c>
      <c r="G1" s="46"/>
    </row>
    <row r="2" ht="16.5" customHeight="1">
      <c r="A2" s="47"/>
      <c r="B2" s="55" t="s">
        <v>29</v>
      </c>
      <c r="C2" s="55" t="s">
        <v>32</v>
      </c>
      <c r="D2" s="55" t="s">
        <v>29</v>
      </c>
      <c r="E2" s="55" t="s">
        <v>32</v>
      </c>
      <c r="F2" s="55" t="s">
        <v>29</v>
      </c>
      <c r="G2" s="55" t="s">
        <v>32</v>
      </c>
      <c r="I2" s="84"/>
      <c r="J2" s="84"/>
      <c r="K2" s="84"/>
      <c r="L2" s="84"/>
      <c r="M2" s="84"/>
      <c r="N2" s="84"/>
      <c r="O2" s="84"/>
    </row>
    <row r="3" ht="16.5" customHeight="1">
      <c r="A3" s="56" t="s">
        <v>33</v>
      </c>
      <c r="B3" s="83" t="s">
        <v>42</v>
      </c>
      <c r="C3" s="27" t="s">
        <v>161</v>
      </c>
      <c r="D3" s="83" t="s">
        <v>42</v>
      </c>
      <c r="E3" s="27" t="s">
        <v>163</v>
      </c>
      <c r="F3" s="83" t="s">
        <v>48</v>
      </c>
      <c r="G3" s="27" t="s">
        <v>165</v>
      </c>
      <c r="I3" s="85"/>
      <c r="J3" s="85"/>
      <c r="K3" s="85"/>
      <c r="L3" s="85"/>
      <c r="M3" s="85"/>
      <c r="N3" s="85"/>
    </row>
    <row r="4" ht="16.5" customHeight="1">
      <c r="A4" s="56" t="s">
        <v>46</v>
      </c>
      <c r="B4" s="83" t="s">
        <v>48</v>
      </c>
      <c r="C4" s="27" t="s">
        <v>168</v>
      </c>
      <c r="D4" s="83" t="s">
        <v>48</v>
      </c>
      <c r="E4" s="27" t="s">
        <v>170</v>
      </c>
      <c r="F4" s="83" t="s">
        <v>40</v>
      </c>
      <c r="G4" s="27" t="s">
        <v>171</v>
      </c>
      <c r="I4" s="85"/>
      <c r="J4" s="85"/>
      <c r="K4" s="85"/>
      <c r="L4" s="85"/>
      <c r="M4" s="85"/>
      <c r="N4" s="85"/>
    </row>
    <row r="5" ht="16.5" customHeight="1">
      <c r="A5" s="56" t="s">
        <v>52</v>
      </c>
      <c r="B5" s="83" t="s">
        <v>48</v>
      </c>
      <c r="C5" s="27" t="s">
        <v>174</v>
      </c>
      <c r="D5" s="83" t="s">
        <v>43</v>
      </c>
      <c r="E5" s="27" t="s">
        <v>176</v>
      </c>
      <c r="F5" s="83" t="s">
        <v>40</v>
      </c>
      <c r="G5" s="27" t="s">
        <v>177</v>
      </c>
      <c r="I5" s="85"/>
      <c r="J5" s="85"/>
      <c r="K5" s="85"/>
      <c r="L5" s="85"/>
      <c r="M5" s="85"/>
      <c r="N5" s="85"/>
    </row>
    <row r="6" ht="16.5" customHeight="1">
      <c r="A6" s="56" t="s">
        <v>58</v>
      </c>
      <c r="B6" s="83" t="s">
        <v>42</v>
      </c>
      <c r="C6" s="27" t="s">
        <v>180</v>
      </c>
      <c r="D6" s="83" t="s">
        <v>42</v>
      </c>
      <c r="E6" s="27" t="s">
        <v>181</v>
      </c>
      <c r="F6" s="83" t="s">
        <v>48</v>
      </c>
      <c r="G6" s="27" t="s">
        <v>183</v>
      </c>
      <c r="I6" s="85"/>
      <c r="J6" s="85"/>
      <c r="K6" s="85"/>
      <c r="L6" s="85"/>
      <c r="M6" s="85"/>
      <c r="N6" s="85"/>
    </row>
    <row r="7" ht="16.5" customHeight="1">
      <c r="A7" s="56" t="s">
        <v>61</v>
      </c>
      <c r="B7" s="83" t="s">
        <v>48</v>
      </c>
      <c r="C7" s="27" t="s">
        <v>185</v>
      </c>
      <c r="D7" s="83" t="s">
        <v>43</v>
      </c>
      <c r="E7" s="27" t="s">
        <v>187</v>
      </c>
      <c r="F7" s="83" t="s">
        <v>40</v>
      </c>
      <c r="G7" s="27" t="s">
        <v>188</v>
      </c>
      <c r="I7" s="85"/>
      <c r="J7" s="85"/>
      <c r="K7" s="85"/>
      <c r="L7" s="85"/>
      <c r="M7" s="85"/>
      <c r="N7" s="85"/>
    </row>
    <row r="8" ht="16.5" customHeight="1">
      <c r="A8" s="56" t="s">
        <v>65</v>
      </c>
      <c r="B8" s="83" t="s">
        <v>77</v>
      </c>
      <c r="C8" s="27" t="s">
        <v>191</v>
      </c>
      <c r="D8" s="83" t="s">
        <v>48</v>
      </c>
      <c r="E8" s="27" t="s">
        <v>192</v>
      </c>
      <c r="F8" s="83" t="s">
        <v>42</v>
      </c>
      <c r="G8" s="27" t="s">
        <v>194</v>
      </c>
      <c r="I8" s="85"/>
      <c r="J8" s="85"/>
      <c r="K8" s="85"/>
      <c r="L8" s="85"/>
      <c r="M8" s="85"/>
      <c r="N8" s="85"/>
    </row>
    <row r="9" ht="16.5" customHeight="1">
      <c r="A9" s="56" t="s">
        <v>68</v>
      </c>
      <c r="B9" s="83" t="s">
        <v>42</v>
      </c>
      <c r="C9" s="27" t="s">
        <v>196</v>
      </c>
      <c r="D9" s="83" t="s">
        <v>42</v>
      </c>
      <c r="E9" s="27" t="s">
        <v>197</v>
      </c>
      <c r="F9" s="83" t="s">
        <v>43</v>
      </c>
      <c r="G9" s="27" t="s">
        <v>198</v>
      </c>
      <c r="I9" s="85"/>
      <c r="J9" s="85"/>
      <c r="K9" s="85"/>
      <c r="L9" s="85"/>
      <c r="M9" s="85"/>
      <c r="N9" s="85"/>
    </row>
    <row r="10" ht="16.5" customHeight="1">
      <c r="A10" s="56" t="s">
        <v>74</v>
      </c>
      <c r="B10" s="83" t="s">
        <v>42</v>
      </c>
      <c r="C10" s="27" t="s">
        <v>199</v>
      </c>
      <c r="D10" s="83" t="s">
        <v>42</v>
      </c>
      <c r="E10" s="27" t="s">
        <v>200</v>
      </c>
      <c r="F10" s="83" t="s">
        <v>42</v>
      </c>
      <c r="G10" s="27" t="s">
        <v>201</v>
      </c>
      <c r="I10" s="85"/>
      <c r="J10" s="85"/>
      <c r="K10" s="85"/>
      <c r="L10" s="85"/>
      <c r="M10" s="85"/>
      <c r="N10" s="85"/>
    </row>
    <row r="11" ht="16.5" customHeight="1">
      <c r="A11" s="56" t="s">
        <v>75</v>
      </c>
      <c r="B11" s="83" t="s">
        <v>43</v>
      </c>
      <c r="C11" s="27" t="s">
        <v>202</v>
      </c>
      <c r="D11" s="83" t="s">
        <v>48</v>
      </c>
      <c r="E11" s="27" t="s">
        <v>203</v>
      </c>
      <c r="F11" s="83" t="s">
        <v>40</v>
      </c>
      <c r="G11" s="27" t="s">
        <v>205</v>
      </c>
      <c r="I11" s="85"/>
      <c r="J11" s="85"/>
      <c r="K11" s="85"/>
      <c r="L11" s="85"/>
      <c r="M11" s="85"/>
      <c r="N11" s="85"/>
    </row>
    <row r="12" ht="16.5" customHeight="1">
      <c r="A12" s="56" t="s">
        <v>79</v>
      </c>
      <c r="B12" s="83" t="s">
        <v>42</v>
      </c>
      <c r="C12" s="27" t="s">
        <v>207</v>
      </c>
      <c r="D12" s="83" t="s">
        <v>42</v>
      </c>
      <c r="E12" s="27" t="s">
        <v>209</v>
      </c>
      <c r="F12" s="83" t="s">
        <v>42</v>
      </c>
      <c r="G12" s="27" t="s">
        <v>211</v>
      </c>
      <c r="I12" s="85"/>
      <c r="J12" s="85"/>
      <c r="K12" s="85"/>
      <c r="L12" s="85"/>
      <c r="M12" s="85"/>
      <c r="N12" s="85"/>
    </row>
    <row r="13" ht="16.5" customHeight="1">
      <c r="A13" s="63"/>
      <c r="B13" s="72" t="s">
        <v>212</v>
      </c>
      <c r="C13" s="72" t="s">
        <v>212</v>
      </c>
      <c r="D13" s="72" t="s">
        <v>212</v>
      </c>
      <c r="E13" s="72" t="s">
        <v>212</v>
      </c>
      <c r="F13" s="72" t="s">
        <v>212</v>
      </c>
      <c r="G13" s="63"/>
      <c r="I13" s="85"/>
      <c r="J13" s="85"/>
      <c r="K13" s="85"/>
      <c r="L13" s="85"/>
      <c r="M13" s="85"/>
      <c r="N13" s="85"/>
    </row>
    <row r="14" ht="16.5" customHeight="1">
      <c r="A14" s="64" t="s">
        <v>13</v>
      </c>
      <c r="B14" s="79" t="s">
        <v>105</v>
      </c>
      <c r="C14" s="46"/>
      <c r="D14" s="79" t="s">
        <v>30</v>
      </c>
      <c r="E14" s="46"/>
      <c r="F14" s="63"/>
      <c r="G14" s="63"/>
      <c r="I14" s="85"/>
      <c r="J14" s="85"/>
      <c r="K14" s="85"/>
      <c r="L14" s="85"/>
      <c r="M14" s="85"/>
      <c r="N14" s="85"/>
    </row>
    <row r="15" ht="16.5" customHeight="1">
      <c r="A15" s="65"/>
      <c r="B15" s="66" t="s">
        <v>29</v>
      </c>
      <c r="C15" s="80" t="s">
        <v>32</v>
      </c>
      <c r="D15" s="66" t="s">
        <v>29</v>
      </c>
      <c r="E15" s="80" t="s">
        <v>32</v>
      </c>
      <c r="F15" s="63"/>
      <c r="G15" s="84"/>
      <c r="H15" s="84"/>
      <c r="I15" s="84"/>
      <c r="J15" s="84"/>
      <c r="K15" s="84"/>
      <c r="L15" s="85"/>
      <c r="M15" s="85"/>
      <c r="N15" s="85"/>
    </row>
    <row r="16" ht="16.5" customHeight="1">
      <c r="A16" s="56" t="s">
        <v>33</v>
      </c>
      <c r="B16" s="83" t="s">
        <v>40</v>
      </c>
      <c r="C16" s="27" t="s">
        <v>221</v>
      </c>
      <c r="D16" s="83" t="s">
        <v>40</v>
      </c>
      <c r="E16" s="27" t="s">
        <v>223</v>
      </c>
      <c r="F16" s="63"/>
      <c r="I16" s="85"/>
      <c r="J16" s="85"/>
      <c r="K16" s="85"/>
      <c r="L16" s="85"/>
      <c r="M16" s="85"/>
      <c r="N16" s="85"/>
    </row>
    <row r="17" ht="16.5" customHeight="1">
      <c r="A17" s="56" t="s">
        <v>46</v>
      </c>
      <c r="B17" s="83" t="s">
        <v>42</v>
      </c>
      <c r="C17" s="27" t="s">
        <v>226</v>
      </c>
      <c r="D17" s="83" t="s">
        <v>42</v>
      </c>
      <c r="E17" s="27" t="s">
        <v>227</v>
      </c>
      <c r="F17" s="63"/>
      <c r="I17" s="85"/>
      <c r="J17" s="85"/>
      <c r="K17" s="85"/>
      <c r="L17" s="85"/>
      <c r="M17" s="85"/>
      <c r="N17" s="85"/>
    </row>
    <row r="18" ht="16.5" customHeight="1">
      <c r="A18" s="56" t="s">
        <v>52</v>
      </c>
      <c r="B18" s="83" t="s">
        <v>48</v>
      </c>
      <c r="C18" s="27" t="s">
        <v>230</v>
      </c>
      <c r="D18" s="83" t="s">
        <v>43</v>
      </c>
      <c r="E18" s="27" t="s">
        <v>231</v>
      </c>
      <c r="F18" s="63"/>
      <c r="I18" s="85"/>
      <c r="J18" s="85"/>
      <c r="K18" s="85"/>
      <c r="L18" s="85"/>
      <c r="M18" s="85"/>
      <c r="N18" s="85"/>
    </row>
    <row r="19" ht="16.5" customHeight="1">
      <c r="A19" s="56" t="s">
        <v>58</v>
      </c>
      <c r="B19" s="83" t="s">
        <v>42</v>
      </c>
      <c r="C19" s="27" t="s">
        <v>233</v>
      </c>
      <c r="D19" s="83" t="s">
        <v>40</v>
      </c>
      <c r="E19" s="27" t="s">
        <v>234</v>
      </c>
      <c r="F19" s="63"/>
      <c r="I19" s="85"/>
      <c r="J19" s="85"/>
      <c r="K19" s="85"/>
      <c r="L19" s="85"/>
      <c r="M19" s="85"/>
      <c r="N19" s="85"/>
    </row>
    <row r="20" ht="16.5" customHeight="1">
      <c r="A20" s="56" t="s">
        <v>61</v>
      </c>
      <c r="B20" s="83" t="s">
        <v>48</v>
      </c>
      <c r="C20" s="27" t="s">
        <v>237</v>
      </c>
      <c r="D20" s="83" t="s">
        <v>43</v>
      </c>
      <c r="E20" s="27" t="s">
        <v>238</v>
      </c>
      <c r="F20" s="63"/>
      <c r="I20" s="85"/>
      <c r="J20" s="85"/>
      <c r="K20" s="85"/>
      <c r="L20" s="85"/>
      <c r="M20" s="85"/>
      <c r="N20" s="85"/>
    </row>
    <row r="21" ht="16.5" customHeight="1">
      <c r="A21" s="56" t="s">
        <v>65</v>
      </c>
      <c r="B21" s="83" t="s">
        <v>40</v>
      </c>
      <c r="C21" s="27" t="s">
        <v>239</v>
      </c>
      <c r="D21" s="83" t="s">
        <v>77</v>
      </c>
      <c r="E21" s="27" t="s">
        <v>240</v>
      </c>
      <c r="F21" s="63"/>
      <c r="I21" s="85"/>
      <c r="J21" s="85"/>
      <c r="K21" s="85"/>
      <c r="L21" s="85"/>
      <c r="M21" s="85"/>
      <c r="N21" s="85"/>
    </row>
    <row r="22" ht="16.5" customHeight="1">
      <c r="A22" s="56" t="s">
        <v>68</v>
      </c>
      <c r="B22" s="83" t="s">
        <v>42</v>
      </c>
      <c r="C22" s="27" t="s">
        <v>241</v>
      </c>
      <c r="D22" s="83" t="s">
        <v>42</v>
      </c>
      <c r="E22" s="27" t="s">
        <v>242</v>
      </c>
      <c r="F22" s="63"/>
      <c r="I22" s="85"/>
      <c r="J22" s="85"/>
      <c r="K22" s="85"/>
      <c r="L22" s="85"/>
      <c r="M22" s="85"/>
      <c r="N22" s="85"/>
    </row>
    <row r="23" ht="16.5" customHeight="1">
      <c r="A23" s="56" t="s">
        <v>74</v>
      </c>
      <c r="B23" s="83" t="s">
        <v>43</v>
      </c>
      <c r="C23" s="27" t="s">
        <v>243</v>
      </c>
      <c r="D23" s="83" t="s">
        <v>42</v>
      </c>
      <c r="E23" s="27" t="s">
        <v>245</v>
      </c>
      <c r="F23" s="63"/>
      <c r="I23" s="85"/>
      <c r="J23" s="85"/>
      <c r="K23" s="85"/>
      <c r="L23" s="85"/>
      <c r="M23" s="85"/>
      <c r="N23" s="85"/>
    </row>
    <row r="24" ht="16.5" customHeight="1">
      <c r="A24" s="56" t="s">
        <v>75</v>
      </c>
      <c r="B24" s="83" t="s">
        <v>40</v>
      </c>
      <c r="C24" s="27" t="s">
        <v>247</v>
      </c>
      <c r="D24" s="83" t="s">
        <v>77</v>
      </c>
      <c r="E24" s="27" t="s">
        <v>248</v>
      </c>
      <c r="F24" s="63"/>
      <c r="I24" s="85"/>
      <c r="J24" s="85"/>
      <c r="K24" s="85"/>
      <c r="L24" s="85"/>
      <c r="M24" s="85"/>
      <c r="N24" s="85"/>
    </row>
    <row r="25" ht="16.5" customHeight="1">
      <c r="A25" s="56" t="s">
        <v>79</v>
      </c>
      <c r="B25" s="83" t="s">
        <v>42</v>
      </c>
      <c r="C25" s="27" t="s">
        <v>251</v>
      </c>
      <c r="D25" s="83" t="s">
        <v>42</v>
      </c>
      <c r="E25" s="27" t="s">
        <v>252</v>
      </c>
      <c r="F25" s="63"/>
      <c r="I25" s="85"/>
      <c r="J25" s="85"/>
      <c r="K25" s="85"/>
      <c r="L25" s="85"/>
      <c r="M25" s="85"/>
      <c r="N25" s="85"/>
    </row>
    <row r="26" ht="16.5" customHeight="1">
      <c r="A26" s="63"/>
      <c r="B26" s="72" t="s">
        <v>212</v>
      </c>
      <c r="C26" s="72" t="s">
        <v>212</v>
      </c>
      <c r="D26" s="72" t="s">
        <v>212</v>
      </c>
      <c r="E26" s="72" t="s">
        <v>212</v>
      </c>
      <c r="F26" s="63"/>
      <c r="G26" s="63"/>
      <c r="I26" s="85"/>
      <c r="J26" s="85"/>
      <c r="K26" s="85"/>
      <c r="L26" s="85"/>
      <c r="M26" s="85"/>
      <c r="N26" s="85"/>
    </row>
    <row r="27" ht="16.5" customHeight="1">
      <c r="A27" s="64" t="s">
        <v>14</v>
      </c>
      <c r="B27" s="79" t="s">
        <v>26</v>
      </c>
      <c r="C27" s="46"/>
      <c r="D27" s="79" t="s">
        <v>31</v>
      </c>
      <c r="E27" s="46"/>
      <c r="F27" s="63"/>
      <c r="G27" s="63"/>
      <c r="I27" s="85"/>
      <c r="J27" s="85"/>
      <c r="K27" s="85"/>
      <c r="L27" s="85"/>
      <c r="M27" s="85"/>
      <c r="N27" s="85"/>
    </row>
    <row r="28" ht="16.5" customHeight="1">
      <c r="A28" s="68"/>
      <c r="B28" s="55" t="s">
        <v>29</v>
      </c>
      <c r="C28" s="78" t="s">
        <v>32</v>
      </c>
      <c r="D28" s="55" t="s">
        <v>29</v>
      </c>
      <c r="E28" s="78" t="s">
        <v>32</v>
      </c>
      <c r="F28" s="63"/>
      <c r="G28" s="84"/>
      <c r="H28" s="84"/>
      <c r="I28" s="84"/>
      <c r="J28" s="84"/>
      <c r="K28" s="84"/>
      <c r="L28" s="85"/>
      <c r="M28" s="85"/>
      <c r="N28" s="85"/>
    </row>
    <row r="29" ht="16.5" customHeight="1">
      <c r="A29" s="56" t="s">
        <v>33</v>
      </c>
      <c r="B29" s="83" t="s">
        <v>42</v>
      </c>
      <c r="C29" s="27" t="s">
        <v>262</v>
      </c>
      <c r="D29" s="83" t="s">
        <v>43</v>
      </c>
      <c r="E29" s="27" t="s">
        <v>264</v>
      </c>
      <c r="F29" s="63"/>
      <c r="I29" s="85"/>
      <c r="J29" s="85"/>
      <c r="K29" s="85"/>
      <c r="L29" s="85"/>
      <c r="M29" s="85"/>
      <c r="N29" s="85"/>
    </row>
    <row r="30" ht="16.5" customHeight="1">
      <c r="A30" s="56" t="s">
        <v>46</v>
      </c>
      <c r="B30" s="83" t="s">
        <v>48</v>
      </c>
      <c r="C30" s="27" t="s">
        <v>266</v>
      </c>
      <c r="D30" s="83" t="s">
        <v>43</v>
      </c>
      <c r="E30" s="27" t="s">
        <v>268</v>
      </c>
      <c r="F30" s="63"/>
      <c r="I30" s="85"/>
      <c r="J30" s="85"/>
      <c r="K30" s="85"/>
      <c r="L30" s="85"/>
      <c r="M30" s="85"/>
      <c r="N30" s="85"/>
    </row>
    <row r="31" ht="16.5" customHeight="1">
      <c r="A31" s="56" t="s">
        <v>52</v>
      </c>
      <c r="B31" s="83" t="s">
        <v>48</v>
      </c>
      <c r="C31" s="27" t="s">
        <v>270</v>
      </c>
      <c r="D31" s="83" t="s">
        <v>43</v>
      </c>
      <c r="E31" s="27" t="s">
        <v>272</v>
      </c>
      <c r="F31" s="63"/>
      <c r="I31" s="85"/>
      <c r="J31" s="85"/>
      <c r="K31" s="85"/>
      <c r="L31" s="85"/>
      <c r="M31" s="85"/>
      <c r="N31" s="85"/>
    </row>
    <row r="32" ht="16.5" customHeight="1">
      <c r="A32" s="56" t="s">
        <v>58</v>
      </c>
      <c r="B32" s="83" t="s">
        <v>42</v>
      </c>
      <c r="C32" s="27" t="s">
        <v>275</v>
      </c>
      <c r="D32" s="83" t="s">
        <v>48</v>
      </c>
      <c r="E32" s="27" t="s">
        <v>276</v>
      </c>
      <c r="F32" s="63"/>
      <c r="I32" s="85"/>
      <c r="J32" s="85"/>
      <c r="K32" s="85"/>
      <c r="L32" s="85"/>
      <c r="M32" s="85"/>
      <c r="N32" s="85"/>
    </row>
    <row r="33" ht="16.5" customHeight="1">
      <c r="A33" s="56" t="s">
        <v>61</v>
      </c>
      <c r="B33" s="83" t="s">
        <v>43</v>
      </c>
      <c r="C33" s="27" t="s">
        <v>277</v>
      </c>
      <c r="D33" s="83" t="s">
        <v>43</v>
      </c>
      <c r="E33" s="27" t="s">
        <v>278</v>
      </c>
      <c r="F33" s="63"/>
      <c r="I33" s="85"/>
      <c r="J33" s="85"/>
      <c r="K33" s="85"/>
      <c r="L33" s="85"/>
      <c r="M33" s="85"/>
      <c r="N33" s="85"/>
    </row>
    <row r="34" ht="16.5" customHeight="1">
      <c r="A34" s="56" t="s">
        <v>65</v>
      </c>
      <c r="B34" s="83" t="s">
        <v>48</v>
      </c>
      <c r="C34" s="27" t="s">
        <v>279</v>
      </c>
      <c r="D34" s="83" t="s">
        <v>42</v>
      </c>
      <c r="E34" s="27" t="s">
        <v>280</v>
      </c>
      <c r="F34" s="63"/>
      <c r="I34" s="85"/>
      <c r="J34" s="85"/>
      <c r="K34" s="85"/>
      <c r="L34" s="85"/>
      <c r="M34" s="85"/>
      <c r="N34" s="85"/>
    </row>
    <row r="35" ht="16.5" customHeight="1">
      <c r="A35" s="56" t="s">
        <v>68</v>
      </c>
      <c r="B35" s="83" t="s">
        <v>42</v>
      </c>
      <c r="C35" s="27" t="s">
        <v>281</v>
      </c>
      <c r="D35" s="83" t="s">
        <v>42</v>
      </c>
      <c r="E35" s="27" t="s">
        <v>282</v>
      </c>
      <c r="F35" s="63"/>
    </row>
    <row r="36" ht="16.5" customHeight="1">
      <c r="A36" s="56" t="s">
        <v>74</v>
      </c>
      <c r="B36" s="83" t="s">
        <v>40</v>
      </c>
      <c r="C36" s="27" t="s">
        <v>284</v>
      </c>
      <c r="D36" s="83" t="s">
        <v>48</v>
      </c>
      <c r="E36" s="27" t="s">
        <v>286</v>
      </c>
      <c r="F36" s="63"/>
    </row>
    <row r="37" ht="16.5" customHeight="1">
      <c r="A37" s="56" t="s">
        <v>75</v>
      </c>
      <c r="B37" s="83" t="s">
        <v>40</v>
      </c>
      <c r="C37" s="27" t="s">
        <v>288</v>
      </c>
      <c r="D37" s="83" t="s">
        <v>42</v>
      </c>
      <c r="E37" s="27" t="s">
        <v>289</v>
      </c>
      <c r="F37" s="63"/>
    </row>
    <row r="38" ht="16.5" customHeight="1">
      <c r="A38" s="56" t="s">
        <v>79</v>
      </c>
      <c r="B38" s="83" t="s">
        <v>42</v>
      </c>
      <c r="C38" s="27" t="s">
        <v>291</v>
      </c>
      <c r="D38" s="83" t="s">
        <v>42</v>
      </c>
      <c r="E38" s="27" t="s">
        <v>293</v>
      </c>
      <c r="F38" s="63"/>
    </row>
    <row r="39" ht="16.5" customHeight="1">
      <c r="A39" s="63"/>
      <c r="B39" s="72" t="s">
        <v>212</v>
      </c>
      <c r="C39" s="72" t="s">
        <v>212</v>
      </c>
      <c r="D39" s="72" t="s">
        <v>212</v>
      </c>
      <c r="E39" s="72" t="s">
        <v>212</v>
      </c>
      <c r="F39" s="63"/>
      <c r="G39" s="63"/>
    </row>
    <row r="40" ht="16.5" customHeight="1">
      <c r="A40" s="64" t="s">
        <v>36</v>
      </c>
      <c r="B40" s="71" t="s">
        <v>37</v>
      </c>
      <c r="C40" s="46"/>
      <c r="D40" s="71" t="s">
        <v>38</v>
      </c>
      <c r="E40" s="46"/>
      <c r="F40" s="63"/>
      <c r="G40" s="63"/>
      <c r="H40" s="63"/>
    </row>
    <row r="41" ht="15.75" customHeight="1">
      <c r="A41" s="68"/>
      <c r="B41" s="55" t="s">
        <v>29</v>
      </c>
      <c r="C41" s="55" t="s">
        <v>32</v>
      </c>
      <c r="D41" s="55" t="s">
        <v>29</v>
      </c>
      <c r="E41" s="55" t="s">
        <v>32</v>
      </c>
      <c r="F41" s="63"/>
      <c r="G41" s="63"/>
      <c r="H41" s="63"/>
      <c r="I41" s="69"/>
    </row>
    <row r="42" ht="16.5" customHeight="1">
      <c r="A42" s="56" t="s">
        <v>33</v>
      </c>
      <c r="B42" s="83" t="s">
        <v>42</v>
      </c>
      <c r="C42" s="27" t="s">
        <v>302</v>
      </c>
      <c r="D42" s="83" t="s">
        <v>48</v>
      </c>
      <c r="E42" s="27" t="s">
        <v>304</v>
      </c>
      <c r="F42" s="63"/>
      <c r="G42" s="63"/>
      <c r="H42" s="63"/>
    </row>
    <row r="43" ht="16.5" customHeight="1">
      <c r="A43" s="56" t="s">
        <v>46</v>
      </c>
      <c r="B43" s="83" t="s">
        <v>40</v>
      </c>
      <c r="C43" s="27" t="s">
        <v>306</v>
      </c>
      <c r="D43" s="83" t="s">
        <v>48</v>
      </c>
      <c r="E43" s="27" t="s">
        <v>308</v>
      </c>
      <c r="F43" s="63"/>
      <c r="G43" s="63"/>
      <c r="H43" s="63"/>
    </row>
    <row r="44" ht="16.5" customHeight="1">
      <c r="A44" s="56" t="s">
        <v>52</v>
      </c>
      <c r="B44" s="83" t="s">
        <v>48</v>
      </c>
      <c r="C44" s="27" t="s">
        <v>311</v>
      </c>
      <c r="D44" s="83" t="s">
        <v>77</v>
      </c>
      <c r="E44" s="27" t="s">
        <v>312</v>
      </c>
      <c r="F44" s="63"/>
      <c r="G44" s="63"/>
      <c r="H44" s="63"/>
    </row>
    <row r="45" ht="16.5" customHeight="1">
      <c r="A45" s="56" t="s">
        <v>58</v>
      </c>
      <c r="B45" s="83" t="s">
        <v>48</v>
      </c>
      <c r="C45" s="27" t="s">
        <v>315</v>
      </c>
      <c r="D45" s="83" t="s">
        <v>40</v>
      </c>
      <c r="E45" s="27" t="s">
        <v>317</v>
      </c>
      <c r="F45" s="63"/>
      <c r="G45" s="63"/>
      <c r="H45" s="63"/>
    </row>
    <row r="46" ht="16.5" customHeight="1">
      <c r="A46" s="56" t="s">
        <v>61</v>
      </c>
      <c r="B46" s="83" t="s">
        <v>48</v>
      </c>
      <c r="C46" s="27" t="s">
        <v>320</v>
      </c>
      <c r="D46" s="83" t="s">
        <v>43</v>
      </c>
      <c r="E46" s="27" t="s">
        <v>321</v>
      </c>
      <c r="F46" s="63"/>
      <c r="G46" s="63"/>
      <c r="H46" s="63"/>
    </row>
    <row r="47" ht="16.5" customHeight="1">
      <c r="A47" s="56" t="s">
        <v>65</v>
      </c>
      <c r="B47" s="83" t="s">
        <v>48</v>
      </c>
      <c r="C47" s="27" t="s">
        <v>324</v>
      </c>
      <c r="D47" s="83" t="s">
        <v>40</v>
      </c>
      <c r="E47" s="27" t="s">
        <v>325</v>
      </c>
      <c r="F47" s="63"/>
      <c r="G47" s="63"/>
      <c r="H47" s="63"/>
    </row>
    <row r="48" ht="16.5" customHeight="1">
      <c r="A48" s="56" t="s">
        <v>68</v>
      </c>
      <c r="B48" s="83" t="s">
        <v>42</v>
      </c>
      <c r="C48" s="27" t="s">
        <v>326</v>
      </c>
      <c r="D48" s="83" t="s">
        <v>48</v>
      </c>
      <c r="E48" s="27" t="s">
        <v>328</v>
      </c>
      <c r="F48" s="63"/>
      <c r="G48" s="63"/>
      <c r="H48" s="63"/>
    </row>
    <row r="49" ht="16.5" customHeight="1">
      <c r="A49" s="56" t="s">
        <v>74</v>
      </c>
      <c r="B49" s="83" t="s">
        <v>48</v>
      </c>
      <c r="C49" s="27" t="s">
        <v>330</v>
      </c>
      <c r="D49" s="83" t="s">
        <v>40</v>
      </c>
      <c r="E49" s="27" t="s">
        <v>332</v>
      </c>
      <c r="F49" s="63"/>
      <c r="G49" s="63"/>
      <c r="H49" s="63"/>
    </row>
    <row r="50" ht="15.75" customHeight="1">
      <c r="A50" s="56" t="s">
        <v>75</v>
      </c>
      <c r="B50" s="83" t="s">
        <v>48</v>
      </c>
      <c r="C50" s="27" t="s">
        <v>334</v>
      </c>
      <c r="D50" s="83" t="s">
        <v>40</v>
      </c>
      <c r="E50" s="27" t="s">
        <v>336</v>
      </c>
      <c r="F50" s="63"/>
      <c r="G50" s="72" t="s">
        <v>212</v>
      </c>
      <c r="H50" s="63"/>
      <c r="I50" s="70"/>
    </row>
    <row r="51" ht="15.75" customHeight="1">
      <c r="A51" s="56" t="s">
        <v>79</v>
      </c>
      <c r="B51" s="83" t="s">
        <v>48</v>
      </c>
      <c r="C51" s="27" t="s">
        <v>337</v>
      </c>
      <c r="D51" s="83" t="s">
        <v>43</v>
      </c>
      <c r="E51" s="27" t="s">
        <v>338</v>
      </c>
      <c r="F51" s="63"/>
      <c r="G51" s="72" t="s">
        <v>212</v>
      </c>
      <c r="H51" s="63"/>
      <c r="I51" s="69"/>
    </row>
    <row r="52" ht="16.5" customHeight="1">
      <c r="A52" s="63"/>
      <c r="B52" s="72" t="s">
        <v>212</v>
      </c>
      <c r="C52" s="63"/>
      <c r="D52" s="72" t="s">
        <v>212</v>
      </c>
      <c r="E52" s="63"/>
      <c r="F52" s="63"/>
      <c r="G52" s="63"/>
    </row>
    <row r="53" ht="16.5" customHeight="1">
      <c r="A53" s="64" t="s">
        <v>84</v>
      </c>
      <c r="B53" s="79" t="s">
        <v>85</v>
      </c>
      <c r="C53" s="46"/>
      <c r="D53" s="79" t="s">
        <v>87</v>
      </c>
      <c r="E53" s="46"/>
      <c r="F53" s="63"/>
      <c r="G53" s="72" t="s">
        <v>212</v>
      </c>
      <c r="H53" s="63"/>
    </row>
    <row r="54" ht="16.5" customHeight="1">
      <c r="A54" s="68"/>
      <c r="B54" s="55" t="s">
        <v>29</v>
      </c>
      <c r="C54" s="78" t="s">
        <v>32</v>
      </c>
      <c r="D54" s="55" t="s">
        <v>29</v>
      </c>
      <c r="E54" s="78" t="s">
        <v>32</v>
      </c>
      <c r="F54" s="63"/>
      <c r="G54" s="72" t="s">
        <v>212</v>
      </c>
      <c r="H54" s="63"/>
    </row>
    <row r="55" ht="16.5" customHeight="1">
      <c r="A55" s="56" t="s">
        <v>33</v>
      </c>
      <c r="B55" s="83" t="s">
        <v>77</v>
      </c>
      <c r="C55" s="27" t="s">
        <v>350</v>
      </c>
      <c r="D55" s="83" t="s">
        <v>48</v>
      </c>
      <c r="E55" s="27" t="s">
        <v>352</v>
      </c>
      <c r="F55" s="63"/>
      <c r="G55" s="72" t="s">
        <v>212</v>
      </c>
      <c r="H55" s="63"/>
    </row>
    <row r="56" ht="16.5" customHeight="1">
      <c r="A56" s="56" t="s">
        <v>46</v>
      </c>
      <c r="B56" s="83" t="s">
        <v>40</v>
      </c>
      <c r="C56" s="27" t="s">
        <v>355</v>
      </c>
      <c r="D56" s="83" t="s">
        <v>48</v>
      </c>
      <c r="E56" s="27" t="s">
        <v>357</v>
      </c>
      <c r="F56" s="63"/>
      <c r="G56" s="72" t="s">
        <v>212</v>
      </c>
      <c r="H56" s="63"/>
    </row>
    <row r="57" ht="16.5" customHeight="1">
      <c r="A57" s="56" t="s">
        <v>52</v>
      </c>
      <c r="B57" s="83" t="s">
        <v>48</v>
      </c>
      <c r="C57" s="27" t="s">
        <v>360</v>
      </c>
      <c r="D57" s="83" t="s">
        <v>40</v>
      </c>
      <c r="E57" s="27" t="s">
        <v>362</v>
      </c>
      <c r="F57" s="63"/>
      <c r="G57" s="72" t="s">
        <v>212</v>
      </c>
      <c r="H57" s="63"/>
    </row>
    <row r="58" ht="16.5" customHeight="1">
      <c r="A58" s="56" t="s">
        <v>58</v>
      </c>
      <c r="B58" s="83" t="s">
        <v>48</v>
      </c>
      <c r="C58" s="27" t="s">
        <v>365</v>
      </c>
      <c r="D58" s="83" t="s">
        <v>40</v>
      </c>
      <c r="E58" s="27" t="s">
        <v>367</v>
      </c>
      <c r="F58" s="63"/>
      <c r="G58" s="72" t="s">
        <v>212</v>
      </c>
      <c r="H58" s="63"/>
    </row>
    <row r="59" ht="16.5" customHeight="1">
      <c r="A59" s="56" t="s">
        <v>61</v>
      </c>
      <c r="B59" s="83" t="s">
        <v>42</v>
      </c>
      <c r="C59" s="27" t="s">
        <v>372</v>
      </c>
      <c r="D59" s="83" t="s">
        <v>48</v>
      </c>
      <c r="E59" s="27" t="s">
        <v>375</v>
      </c>
      <c r="F59" s="63"/>
      <c r="G59" s="72" t="s">
        <v>212</v>
      </c>
      <c r="H59" s="63"/>
    </row>
    <row r="60" ht="15.75" customHeight="1">
      <c r="A60" s="56" t="s">
        <v>65</v>
      </c>
      <c r="B60" s="83" t="s">
        <v>40</v>
      </c>
      <c r="C60" s="27" t="s">
        <v>378</v>
      </c>
      <c r="D60" s="83" t="s">
        <v>43</v>
      </c>
      <c r="E60" s="27" t="s">
        <v>381</v>
      </c>
      <c r="F60" s="63"/>
      <c r="G60" s="72" t="s">
        <v>212</v>
      </c>
      <c r="H60" s="63"/>
      <c r="I60" s="70"/>
    </row>
    <row r="61" ht="15.75" customHeight="1">
      <c r="A61" s="56" t="s">
        <v>68</v>
      </c>
      <c r="B61" s="83" t="s">
        <v>48</v>
      </c>
      <c r="C61" s="27" t="s">
        <v>384</v>
      </c>
      <c r="D61" s="83" t="s">
        <v>48</v>
      </c>
      <c r="E61" s="27" t="s">
        <v>386</v>
      </c>
      <c r="F61" s="63"/>
      <c r="G61" s="72" t="s">
        <v>212</v>
      </c>
      <c r="H61" s="63"/>
      <c r="I61" s="69"/>
    </row>
    <row r="62" ht="16.5" customHeight="1">
      <c r="A62" s="56" t="s">
        <v>74</v>
      </c>
      <c r="B62" s="83" t="s">
        <v>48</v>
      </c>
      <c r="C62" s="27" t="s">
        <v>389</v>
      </c>
      <c r="D62" s="83" t="s">
        <v>40</v>
      </c>
      <c r="E62" s="27" t="s">
        <v>391</v>
      </c>
      <c r="F62" s="63"/>
      <c r="G62" s="72" t="s">
        <v>212</v>
      </c>
      <c r="H62" s="63"/>
    </row>
    <row r="63" ht="16.5" customHeight="1">
      <c r="A63" s="56" t="s">
        <v>75</v>
      </c>
      <c r="B63" s="83" t="s">
        <v>43</v>
      </c>
      <c r="C63" s="27" t="s">
        <v>396</v>
      </c>
      <c r="D63" s="83" t="s">
        <v>40</v>
      </c>
      <c r="E63" s="27" t="s">
        <v>397</v>
      </c>
      <c r="F63" s="63"/>
      <c r="G63" s="72" t="s">
        <v>212</v>
      </c>
      <c r="H63" s="63"/>
    </row>
    <row r="64" ht="16.5" customHeight="1">
      <c r="A64" s="56" t="s">
        <v>79</v>
      </c>
      <c r="B64" s="83" t="s">
        <v>42</v>
      </c>
      <c r="C64" s="27" t="s">
        <v>402</v>
      </c>
      <c r="D64" s="83" t="s">
        <v>42</v>
      </c>
      <c r="E64" s="27" t="s">
        <v>402</v>
      </c>
      <c r="F64" s="63"/>
      <c r="G64" s="72" t="s">
        <v>212</v>
      </c>
      <c r="H64" s="63"/>
    </row>
    <row r="65" ht="16.5" customHeight="1">
      <c r="A65" s="63"/>
      <c r="B65" s="72" t="s">
        <v>212</v>
      </c>
      <c r="C65" s="72" t="s">
        <v>212</v>
      </c>
      <c r="D65" s="72" t="s">
        <v>212</v>
      </c>
      <c r="E65" s="72" t="s">
        <v>212</v>
      </c>
      <c r="F65" s="63"/>
      <c r="G65" s="72" t="s">
        <v>212</v>
      </c>
      <c r="H65" s="63"/>
    </row>
    <row r="66" ht="16.5" customHeight="1">
      <c r="A66" s="64" t="s">
        <v>84</v>
      </c>
      <c r="B66" s="79" t="s">
        <v>86</v>
      </c>
      <c r="C66" s="46"/>
      <c r="D66" s="79" t="s">
        <v>88</v>
      </c>
      <c r="E66" s="46"/>
      <c r="F66" s="79" t="s">
        <v>89</v>
      </c>
      <c r="G66" s="46"/>
      <c r="H66" s="63"/>
    </row>
    <row r="67" ht="16.5" customHeight="1">
      <c r="A67" s="68"/>
      <c r="B67" s="55" t="s">
        <v>29</v>
      </c>
      <c r="C67" s="78" t="s">
        <v>32</v>
      </c>
      <c r="D67" s="55" t="s">
        <v>29</v>
      </c>
      <c r="E67" s="78" t="s">
        <v>32</v>
      </c>
      <c r="F67" s="55" t="s">
        <v>29</v>
      </c>
      <c r="G67" s="78" t="s">
        <v>32</v>
      </c>
      <c r="H67" s="63"/>
    </row>
    <row r="68" ht="16.5" customHeight="1">
      <c r="A68" s="56" t="s">
        <v>33</v>
      </c>
      <c r="B68" s="83" t="s">
        <v>42</v>
      </c>
      <c r="C68" s="27" t="s">
        <v>422</v>
      </c>
      <c r="D68" s="83" t="s">
        <v>48</v>
      </c>
      <c r="E68" s="27" t="s">
        <v>425</v>
      </c>
      <c r="F68" s="83" t="s">
        <v>43</v>
      </c>
      <c r="G68" s="27" t="s">
        <v>429</v>
      </c>
      <c r="H68" s="63"/>
    </row>
    <row r="69" ht="16.5" customHeight="1">
      <c r="A69" s="56" t="s">
        <v>46</v>
      </c>
      <c r="B69" s="83" t="s">
        <v>48</v>
      </c>
      <c r="C69" s="27" t="s">
        <v>430</v>
      </c>
      <c r="D69" s="83" t="s">
        <v>48</v>
      </c>
      <c r="E69" s="27" t="s">
        <v>433</v>
      </c>
      <c r="F69" s="83" t="s">
        <v>43</v>
      </c>
      <c r="G69" s="27" t="s">
        <v>434</v>
      </c>
      <c r="H69" s="63"/>
    </row>
    <row r="70" ht="16.5" customHeight="1">
      <c r="A70" s="56" t="s">
        <v>52</v>
      </c>
      <c r="B70" s="83" t="s">
        <v>48</v>
      </c>
      <c r="C70" s="27" t="s">
        <v>436</v>
      </c>
      <c r="D70" s="83" t="s">
        <v>42</v>
      </c>
      <c r="E70" s="27" t="s">
        <v>437</v>
      </c>
      <c r="F70" s="83" t="s">
        <v>77</v>
      </c>
      <c r="G70" s="27" t="s">
        <v>438</v>
      </c>
      <c r="H70" s="63"/>
    </row>
    <row r="71" ht="16.5" customHeight="1">
      <c r="A71" s="56" t="s">
        <v>58</v>
      </c>
      <c r="B71" s="83" t="s">
        <v>40</v>
      </c>
      <c r="C71" s="27" t="s">
        <v>440</v>
      </c>
      <c r="D71" s="83" t="s">
        <v>77</v>
      </c>
      <c r="E71" s="27" t="s">
        <v>442</v>
      </c>
      <c r="F71" s="83" t="s">
        <v>40</v>
      </c>
      <c r="G71" s="27" t="s">
        <v>444</v>
      </c>
      <c r="H71" s="63"/>
    </row>
    <row r="72" ht="16.5" customHeight="1">
      <c r="A72" s="56" t="s">
        <v>61</v>
      </c>
      <c r="B72" s="83" t="s">
        <v>48</v>
      </c>
      <c r="C72" s="27" t="s">
        <v>446</v>
      </c>
      <c r="D72" s="83" t="s">
        <v>48</v>
      </c>
      <c r="E72" s="27" t="s">
        <v>447</v>
      </c>
      <c r="F72" s="83" t="s">
        <v>43</v>
      </c>
      <c r="G72" s="27" t="s">
        <v>449</v>
      </c>
      <c r="H72" s="63"/>
    </row>
    <row r="73" ht="16.5" customHeight="1">
      <c r="A73" s="56" t="s">
        <v>65</v>
      </c>
      <c r="B73" s="83" t="s">
        <v>40</v>
      </c>
      <c r="C73" s="27" t="s">
        <v>452</v>
      </c>
      <c r="D73" s="83" t="s">
        <v>77</v>
      </c>
      <c r="E73" s="27" t="s">
        <v>454</v>
      </c>
      <c r="F73" s="83" t="s">
        <v>40</v>
      </c>
      <c r="G73" s="27" t="s">
        <v>456</v>
      </c>
      <c r="H73" s="63"/>
    </row>
    <row r="74" ht="16.5" customHeight="1">
      <c r="A74" s="56" t="s">
        <v>68</v>
      </c>
      <c r="B74" s="83" t="s">
        <v>42</v>
      </c>
      <c r="C74" s="27" t="s">
        <v>458</v>
      </c>
      <c r="D74" s="83" t="s">
        <v>48</v>
      </c>
      <c r="E74" s="27" t="s">
        <v>459</v>
      </c>
      <c r="F74" s="83" t="s">
        <v>48</v>
      </c>
      <c r="G74" s="27" t="s">
        <v>462</v>
      </c>
    </row>
    <row r="75" ht="16.5" customHeight="1">
      <c r="A75" s="56" t="s">
        <v>74</v>
      </c>
      <c r="B75" s="83" t="s">
        <v>48</v>
      </c>
      <c r="C75" s="27" t="s">
        <v>464</v>
      </c>
      <c r="D75" s="83" t="s">
        <v>48</v>
      </c>
      <c r="E75" s="27" t="s">
        <v>466</v>
      </c>
      <c r="F75" s="83" t="s">
        <v>48</v>
      </c>
      <c r="G75" s="27" t="s">
        <v>468</v>
      </c>
    </row>
    <row r="76" ht="16.5" customHeight="1">
      <c r="A76" s="56" t="s">
        <v>75</v>
      </c>
      <c r="B76" s="83" t="s">
        <v>48</v>
      </c>
      <c r="C76" s="27" t="s">
        <v>471</v>
      </c>
      <c r="D76" s="83" t="s">
        <v>48</v>
      </c>
      <c r="E76" s="27" t="s">
        <v>473</v>
      </c>
      <c r="F76" s="83" t="s">
        <v>42</v>
      </c>
      <c r="G76" s="27" t="s">
        <v>476</v>
      </c>
    </row>
    <row r="77" ht="16.5" customHeight="1">
      <c r="A77" s="56" t="s">
        <v>79</v>
      </c>
      <c r="B77" s="83" t="s">
        <v>42</v>
      </c>
      <c r="C77" s="27" t="s">
        <v>477</v>
      </c>
      <c r="D77" s="83" t="s">
        <v>42</v>
      </c>
      <c r="E77" s="27" t="s">
        <v>477</v>
      </c>
      <c r="F77" s="83" t="s">
        <v>48</v>
      </c>
      <c r="G77" s="27" t="s">
        <v>481</v>
      </c>
    </row>
    <row r="78" ht="16.5" customHeight="1">
      <c r="A78" s="63"/>
      <c r="B78" s="72" t="s">
        <v>212</v>
      </c>
      <c r="C78" s="72" t="s">
        <v>212</v>
      </c>
      <c r="D78" s="72" t="s">
        <v>212</v>
      </c>
      <c r="E78" s="72" t="s">
        <v>212</v>
      </c>
      <c r="F78" s="72" t="s">
        <v>212</v>
      </c>
      <c r="G78" s="72" t="s">
        <v>212</v>
      </c>
    </row>
    <row r="79" ht="16.5" customHeight="1">
      <c r="A79" s="53" t="s">
        <v>90</v>
      </c>
      <c r="B79" s="79" t="s">
        <v>145</v>
      </c>
      <c r="C79" s="46"/>
      <c r="D79" s="79" t="s">
        <v>92</v>
      </c>
      <c r="E79" s="46"/>
    </row>
    <row r="80" ht="16.5" customHeight="1">
      <c r="A80" s="47"/>
      <c r="B80" s="55" t="s">
        <v>29</v>
      </c>
      <c r="C80" s="55" t="s">
        <v>32</v>
      </c>
      <c r="D80" s="55" t="s">
        <v>29</v>
      </c>
      <c r="E80" s="55" t="s">
        <v>32</v>
      </c>
      <c r="F80" s="90" t="s">
        <v>341</v>
      </c>
      <c r="G80" s="90" t="s">
        <v>145</v>
      </c>
      <c r="H80" s="90" t="s">
        <v>92</v>
      </c>
      <c r="I80" s="90" t="s">
        <v>343</v>
      </c>
    </row>
    <row r="81" ht="16.5" customHeight="1">
      <c r="A81" s="56" t="s">
        <v>33</v>
      </c>
      <c r="B81" s="83" t="s">
        <v>42</v>
      </c>
      <c r="C81" s="82" t="s">
        <v>490</v>
      </c>
      <c r="D81" s="83" t="s">
        <v>40</v>
      </c>
      <c r="E81" s="82" t="s">
        <v>491</v>
      </c>
      <c r="F81" s="92" t="s">
        <v>347</v>
      </c>
      <c r="G81" s="92">
        <v>0.0</v>
      </c>
      <c r="H81" s="92" t="s">
        <v>40</v>
      </c>
      <c r="I81" s="92" t="s">
        <v>494</v>
      </c>
    </row>
    <row r="82" ht="16.5" customHeight="1">
      <c r="A82" s="56" t="s">
        <v>46</v>
      </c>
      <c r="B82" s="83" t="s">
        <v>48</v>
      </c>
      <c r="C82" s="82" t="s">
        <v>496</v>
      </c>
      <c r="D82" s="83" t="s">
        <v>48</v>
      </c>
      <c r="E82" s="82" t="s">
        <v>497</v>
      </c>
      <c r="F82" s="92" t="s">
        <v>359</v>
      </c>
      <c r="G82" s="94" t="str">
        <f>+</f>
        <v>#ERROR!</v>
      </c>
      <c r="H82" s="94" t="str">
        <f>+</f>
        <v>#ERROR!</v>
      </c>
      <c r="I82" s="92" t="s">
        <v>502</v>
      </c>
    </row>
    <row r="83" ht="16.5" customHeight="1">
      <c r="A83" s="56" t="s">
        <v>52</v>
      </c>
      <c r="B83" s="83" t="s">
        <v>48</v>
      </c>
      <c r="C83" s="82" t="s">
        <v>506</v>
      </c>
      <c r="D83" s="83" t="s">
        <v>48</v>
      </c>
      <c r="E83" s="82" t="s">
        <v>509</v>
      </c>
      <c r="F83" s="92" t="s">
        <v>373</v>
      </c>
      <c r="G83" s="94" t="str">
        <f>+</f>
        <v>#ERROR!</v>
      </c>
      <c r="H83" s="94" t="str">
        <f>+</f>
        <v>#ERROR!</v>
      </c>
      <c r="I83" s="92" t="s">
        <v>512</v>
      </c>
    </row>
    <row r="84" ht="16.5" customHeight="1">
      <c r="A84" s="56" t="s">
        <v>58</v>
      </c>
      <c r="B84" s="98" t="s">
        <v>40</v>
      </c>
      <c r="C84" s="100" t="s">
        <v>518</v>
      </c>
      <c r="D84" s="98" t="s">
        <v>42</v>
      </c>
      <c r="E84" s="100" t="s">
        <v>522</v>
      </c>
      <c r="F84" s="92" t="s">
        <v>383</v>
      </c>
      <c r="G84" s="92" t="s">
        <v>40</v>
      </c>
      <c r="H84" s="94" t="str">
        <f>+</f>
        <v>#ERROR!</v>
      </c>
      <c r="I84" s="92" t="s">
        <v>525</v>
      </c>
    </row>
    <row r="85" ht="16.5" customHeight="1">
      <c r="A85" s="56" t="s">
        <v>61</v>
      </c>
      <c r="B85" s="101" t="s">
        <v>48</v>
      </c>
      <c r="C85" s="100" t="s">
        <v>530</v>
      </c>
      <c r="D85" s="101" t="s">
        <v>48</v>
      </c>
      <c r="E85" s="100" t="s">
        <v>533</v>
      </c>
      <c r="F85" s="92" t="s">
        <v>394</v>
      </c>
      <c r="G85" s="94" t="str">
        <f>++</f>
        <v>#ERROR!</v>
      </c>
      <c r="H85" s="94" t="str">
        <f>+</f>
        <v>#ERROR!</v>
      </c>
      <c r="I85" s="92" t="s">
        <v>538</v>
      </c>
    </row>
    <row r="86" ht="32.25" customHeight="1">
      <c r="A86" s="56" t="s">
        <v>65</v>
      </c>
      <c r="B86" s="98" t="s">
        <v>42</v>
      </c>
      <c r="C86" s="100" t="s">
        <v>540</v>
      </c>
      <c r="D86" s="98" t="s">
        <v>42</v>
      </c>
      <c r="E86" s="100" t="s">
        <v>542</v>
      </c>
      <c r="F86" s="92" t="s">
        <v>405</v>
      </c>
      <c r="G86" s="94" t="str">
        <f>+</f>
        <v>#ERROR!</v>
      </c>
      <c r="H86" s="92" t="s">
        <v>40</v>
      </c>
      <c r="I86" s="92" t="s">
        <v>544</v>
      </c>
    </row>
    <row r="87" ht="16.5" customHeight="1">
      <c r="A87" s="56" t="s">
        <v>68</v>
      </c>
      <c r="B87" s="98" t="s">
        <v>42</v>
      </c>
      <c r="C87" s="100" t="s">
        <v>522</v>
      </c>
      <c r="D87" s="98" t="s">
        <v>42</v>
      </c>
      <c r="E87" s="100" t="s">
        <v>522</v>
      </c>
      <c r="F87" s="92" t="s">
        <v>412</v>
      </c>
      <c r="G87" s="94" t="str">
        <f>+</f>
        <v>#ERROR!</v>
      </c>
      <c r="H87" s="92">
        <v>0.0</v>
      </c>
      <c r="I87" s="92" t="s">
        <v>545</v>
      </c>
    </row>
    <row r="88" ht="16.5" customHeight="1">
      <c r="A88" s="56" t="s">
        <v>74</v>
      </c>
      <c r="B88" s="101" t="s">
        <v>48</v>
      </c>
      <c r="C88" s="100" t="s">
        <v>546</v>
      </c>
      <c r="D88" s="98" t="s">
        <v>40</v>
      </c>
      <c r="E88" s="100" t="s">
        <v>547</v>
      </c>
      <c r="F88" s="92" t="s">
        <v>417</v>
      </c>
      <c r="G88" s="94" t="str">
        <f>++</f>
        <v>#ERROR!</v>
      </c>
      <c r="H88" s="92" t="s">
        <v>40</v>
      </c>
      <c r="I88" s="92" t="s">
        <v>549</v>
      </c>
    </row>
    <row r="89" ht="16.5" customHeight="1">
      <c r="A89" s="56" t="s">
        <v>75</v>
      </c>
      <c r="B89" s="98" t="s">
        <v>40</v>
      </c>
      <c r="C89" s="100" t="s">
        <v>552</v>
      </c>
      <c r="D89" s="98" t="s">
        <v>40</v>
      </c>
      <c r="E89" s="100" t="s">
        <v>553</v>
      </c>
      <c r="F89" s="92" t="s">
        <v>421</v>
      </c>
      <c r="G89" s="92" t="s">
        <v>40</v>
      </c>
      <c r="H89" s="92" t="s">
        <v>40</v>
      </c>
      <c r="I89" s="92" t="s">
        <v>556</v>
      </c>
    </row>
    <row r="90" ht="16.5" customHeight="1">
      <c r="A90" s="56" t="s">
        <v>79</v>
      </c>
      <c r="B90" s="98" t="s">
        <v>42</v>
      </c>
      <c r="C90" s="100" t="s">
        <v>522</v>
      </c>
      <c r="D90" s="98" t="s">
        <v>42</v>
      </c>
      <c r="E90" s="100" t="s">
        <v>522</v>
      </c>
      <c r="F90" s="92" t="s">
        <v>428</v>
      </c>
      <c r="G90" s="94" t="str">
        <f>+</f>
        <v>#ERROR!</v>
      </c>
      <c r="H90" s="94" t="str">
        <f>+</f>
        <v>#ERROR!</v>
      </c>
      <c r="I90" s="92" t="s">
        <v>562</v>
      </c>
    </row>
    <row r="91" ht="16.5" customHeight="1">
      <c r="A91" s="63"/>
      <c r="B91" s="72" t="s">
        <v>212</v>
      </c>
      <c r="C91" s="63"/>
      <c r="D91" s="72" t="s">
        <v>212</v>
      </c>
      <c r="E91" s="63"/>
      <c r="F91" s="72" t="s">
        <v>212</v>
      </c>
      <c r="G91" s="63"/>
    </row>
    <row r="92" ht="16.5" customHeight="1">
      <c r="A92" s="53" t="s">
        <v>90</v>
      </c>
      <c r="B92" s="79" t="s">
        <v>96</v>
      </c>
      <c r="C92" s="46"/>
      <c r="D92" s="71" t="s">
        <v>97</v>
      </c>
      <c r="E92" s="46"/>
    </row>
    <row r="93" ht="16.5" customHeight="1">
      <c r="A93" s="47"/>
      <c r="B93" s="55" t="s">
        <v>29</v>
      </c>
      <c r="C93" s="55" t="s">
        <v>32</v>
      </c>
      <c r="D93" s="55" t="s">
        <v>29</v>
      </c>
      <c r="E93" s="55" t="s">
        <v>32</v>
      </c>
      <c r="F93" s="90" t="s">
        <v>341</v>
      </c>
      <c r="G93" s="90" t="s">
        <v>96</v>
      </c>
      <c r="H93" s="90" t="s">
        <v>97</v>
      </c>
      <c r="I93" s="90" t="s">
        <v>343</v>
      </c>
    </row>
    <row r="94" ht="16.5" customHeight="1">
      <c r="A94" s="56" t="s">
        <v>33</v>
      </c>
      <c r="B94" s="83" t="s">
        <v>40</v>
      </c>
      <c r="C94" s="82" t="s">
        <v>569</v>
      </c>
      <c r="D94" s="83" t="s">
        <v>48</v>
      </c>
      <c r="E94" s="82" t="s">
        <v>571</v>
      </c>
      <c r="F94" s="92" t="s">
        <v>347</v>
      </c>
      <c r="G94" s="92" t="s">
        <v>40</v>
      </c>
      <c r="H94" s="94" t="str">
        <f>+</f>
        <v>#ERROR!</v>
      </c>
      <c r="I94" s="92" t="s">
        <v>572</v>
      </c>
    </row>
    <row r="95" ht="16.5" customHeight="1">
      <c r="A95" s="56" t="s">
        <v>46</v>
      </c>
      <c r="B95" s="83" t="s">
        <v>43</v>
      </c>
      <c r="C95" s="82" t="s">
        <v>574</v>
      </c>
      <c r="D95" s="83" t="s">
        <v>48</v>
      </c>
      <c r="E95" s="82" t="s">
        <v>577</v>
      </c>
      <c r="F95" s="92" t="s">
        <v>359</v>
      </c>
      <c r="G95" s="94" t="str">
        <f>++</f>
        <v>#ERROR!</v>
      </c>
      <c r="H95" s="94" t="str">
        <f>+</f>
        <v>#ERROR!</v>
      </c>
      <c r="I95" s="92" t="s">
        <v>579</v>
      </c>
    </row>
    <row r="96" ht="16.5" customHeight="1">
      <c r="A96" s="56" t="s">
        <v>52</v>
      </c>
      <c r="B96" s="83" t="s">
        <v>43</v>
      </c>
      <c r="C96" s="82" t="s">
        <v>580</v>
      </c>
      <c r="D96" s="83" t="s">
        <v>48</v>
      </c>
      <c r="E96" s="82" t="s">
        <v>581</v>
      </c>
      <c r="F96" s="92" t="s">
        <v>373</v>
      </c>
      <c r="G96" s="94" t="str">
        <f>++</f>
        <v>#ERROR!</v>
      </c>
      <c r="H96" s="94" t="str">
        <f>+</f>
        <v>#ERROR!</v>
      </c>
      <c r="I96" s="92" t="s">
        <v>585</v>
      </c>
    </row>
    <row r="97" ht="16.5" customHeight="1">
      <c r="A97" s="56" t="s">
        <v>58</v>
      </c>
      <c r="B97" s="83" t="s">
        <v>77</v>
      </c>
      <c r="C97" s="82" t="s">
        <v>587</v>
      </c>
      <c r="D97" s="83" t="s">
        <v>40</v>
      </c>
      <c r="E97" s="82" t="s">
        <v>590</v>
      </c>
      <c r="F97" s="92" t="s">
        <v>383</v>
      </c>
      <c r="G97" s="92" t="s">
        <v>77</v>
      </c>
      <c r="H97" s="92" t="s">
        <v>40</v>
      </c>
      <c r="I97" s="92" t="s">
        <v>592</v>
      </c>
    </row>
    <row r="98" ht="16.5" customHeight="1">
      <c r="A98" s="56" t="s">
        <v>61</v>
      </c>
      <c r="B98" s="83" t="s">
        <v>43</v>
      </c>
      <c r="C98" s="82" t="s">
        <v>595</v>
      </c>
      <c r="D98" s="83" t="s">
        <v>48</v>
      </c>
      <c r="E98" s="82" t="s">
        <v>596</v>
      </c>
      <c r="F98" s="92" t="s">
        <v>394</v>
      </c>
      <c r="G98" s="94" t="str">
        <f>++</f>
        <v>#ERROR!</v>
      </c>
      <c r="H98" s="94" t="str">
        <f>+</f>
        <v>#ERROR!</v>
      </c>
      <c r="I98" s="92" t="s">
        <v>597</v>
      </c>
    </row>
    <row r="99" ht="16.5" customHeight="1">
      <c r="A99" s="56" t="s">
        <v>65</v>
      </c>
      <c r="B99" s="83" t="s">
        <v>77</v>
      </c>
      <c r="C99" s="82" t="s">
        <v>599</v>
      </c>
      <c r="D99" s="83" t="s">
        <v>40</v>
      </c>
      <c r="E99" s="82" t="s">
        <v>601</v>
      </c>
      <c r="F99" s="92" t="s">
        <v>405</v>
      </c>
      <c r="G99" s="92" t="s">
        <v>77</v>
      </c>
      <c r="H99" s="92" t="s">
        <v>40</v>
      </c>
      <c r="I99" s="92" t="s">
        <v>602</v>
      </c>
    </row>
    <row r="100" ht="16.5" customHeight="1">
      <c r="A100" s="56" t="s">
        <v>68</v>
      </c>
      <c r="B100" s="83" t="s">
        <v>40</v>
      </c>
      <c r="C100" s="82" t="s">
        <v>605</v>
      </c>
      <c r="D100" s="83" t="s">
        <v>48</v>
      </c>
      <c r="E100" s="82" t="s">
        <v>606</v>
      </c>
      <c r="F100" s="92" t="s">
        <v>412</v>
      </c>
      <c r="G100" s="92" t="s">
        <v>40</v>
      </c>
      <c r="H100" s="94" t="str">
        <f>+</f>
        <v>#ERROR!</v>
      </c>
      <c r="I100" s="92" t="s">
        <v>609</v>
      </c>
    </row>
    <row r="101" ht="16.5" customHeight="1">
      <c r="A101" s="56" t="s">
        <v>74</v>
      </c>
      <c r="B101" s="83" t="s">
        <v>40</v>
      </c>
      <c r="C101" s="82" t="s">
        <v>611</v>
      </c>
      <c r="D101" s="83" t="s">
        <v>42</v>
      </c>
      <c r="E101" s="82" t="s">
        <v>613</v>
      </c>
      <c r="F101" s="92" t="s">
        <v>417</v>
      </c>
      <c r="G101" s="92" t="s">
        <v>40</v>
      </c>
      <c r="H101" s="92">
        <v>0.0</v>
      </c>
      <c r="I101" s="92" t="s">
        <v>614</v>
      </c>
    </row>
    <row r="102" ht="16.5" customHeight="1">
      <c r="A102" s="56" t="s">
        <v>75</v>
      </c>
      <c r="B102" s="83" t="s">
        <v>77</v>
      </c>
      <c r="C102" s="82" t="s">
        <v>617</v>
      </c>
      <c r="D102" s="83" t="s">
        <v>40</v>
      </c>
      <c r="E102" s="82" t="s">
        <v>620</v>
      </c>
      <c r="F102" s="92" t="s">
        <v>421</v>
      </c>
      <c r="G102" s="92" t="s">
        <v>77</v>
      </c>
      <c r="H102" s="92" t="s">
        <v>40</v>
      </c>
      <c r="I102" s="92" t="s">
        <v>621</v>
      </c>
    </row>
    <row r="103" ht="16.5" customHeight="1">
      <c r="A103" s="56" t="s">
        <v>79</v>
      </c>
      <c r="B103" s="83" t="s">
        <v>42</v>
      </c>
      <c r="C103" s="82" t="s">
        <v>622</v>
      </c>
      <c r="D103" s="83" t="s">
        <v>42</v>
      </c>
      <c r="E103" s="82" t="s">
        <v>622</v>
      </c>
      <c r="F103" s="92" t="s">
        <v>428</v>
      </c>
      <c r="G103" s="92">
        <v>0.0</v>
      </c>
      <c r="H103" s="92">
        <v>0.0</v>
      </c>
      <c r="I103" s="92" t="s">
        <v>623</v>
      </c>
    </row>
    <row r="104" ht="16.5" customHeight="1">
      <c r="A104" s="63"/>
      <c r="B104" s="72" t="s">
        <v>212</v>
      </c>
      <c r="C104" s="63"/>
      <c r="D104" s="72" t="s">
        <v>212</v>
      </c>
      <c r="E104" s="63"/>
      <c r="F104" s="63"/>
      <c r="G104" s="63"/>
    </row>
    <row r="105" ht="16.5" customHeight="1">
      <c r="A105" s="53" t="s">
        <v>90</v>
      </c>
      <c r="B105" s="79" t="s">
        <v>98</v>
      </c>
      <c r="C105" s="46"/>
      <c r="D105" s="71" t="s">
        <v>493</v>
      </c>
      <c r="E105" s="46"/>
    </row>
    <row r="106" ht="16.5" customHeight="1">
      <c r="A106" s="47"/>
      <c r="B106" s="55" t="s">
        <v>29</v>
      </c>
      <c r="C106" s="55" t="s">
        <v>32</v>
      </c>
      <c r="D106" s="55" t="s">
        <v>29</v>
      </c>
      <c r="E106" s="55" t="s">
        <v>32</v>
      </c>
    </row>
    <row r="107" ht="16.5" customHeight="1">
      <c r="A107" s="56" t="s">
        <v>33</v>
      </c>
      <c r="B107" s="83" t="s">
        <v>48</v>
      </c>
      <c r="C107" s="104" t="s">
        <v>628</v>
      </c>
      <c r="D107" s="83" t="s">
        <v>43</v>
      </c>
      <c r="E107" s="82" t="s">
        <v>629</v>
      </c>
      <c r="F107" s="105"/>
      <c r="G107" s="105"/>
    </row>
    <row r="108" ht="16.5" customHeight="1">
      <c r="A108" s="56" t="s">
        <v>46</v>
      </c>
      <c r="B108" s="83" t="s">
        <v>42</v>
      </c>
      <c r="C108" s="104" t="s">
        <v>630</v>
      </c>
      <c r="D108" s="83" t="s">
        <v>43</v>
      </c>
      <c r="E108" s="82" t="s">
        <v>631</v>
      </c>
      <c r="F108" s="106"/>
      <c r="G108" s="105"/>
    </row>
    <row r="109" ht="16.5" customHeight="1">
      <c r="A109" s="56" t="s">
        <v>52</v>
      </c>
      <c r="B109" s="83" t="s">
        <v>43</v>
      </c>
      <c r="C109" s="104" t="s">
        <v>632</v>
      </c>
      <c r="D109" s="83" t="s">
        <v>48</v>
      </c>
      <c r="E109" s="82" t="s">
        <v>634</v>
      </c>
      <c r="F109" s="105"/>
      <c r="G109" s="105"/>
    </row>
    <row r="110" ht="16.5" customHeight="1">
      <c r="A110" s="56" t="s">
        <v>58</v>
      </c>
      <c r="B110" s="83" t="s">
        <v>40</v>
      </c>
      <c r="C110" s="104" t="s">
        <v>635</v>
      </c>
      <c r="D110" s="83" t="s">
        <v>77</v>
      </c>
      <c r="E110" s="82" t="s">
        <v>636</v>
      </c>
      <c r="F110" s="105"/>
      <c r="G110" s="105"/>
    </row>
    <row r="111" ht="16.5" customHeight="1">
      <c r="A111" s="56" t="s">
        <v>61</v>
      </c>
      <c r="B111" s="83" t="s">
        <v>48</v>
      </c>
      <c r="C111" s="104" t="s">
        <v>637</v>
      </c>
      <c r="D111" s="83" t="s">
        <v>43</v>
      </c>
      <c r="E111" s="82" t="s">
        <v>638</v>
      </c>
      <c r="F111" s="105"/>
      <c r="G111" s="105"/>
    </row>
    <row r="112" ht="16.5" customHeight="1">
      <c r="A112" s="56" t="s">
        <v>65</v>
      </c>
      <c r="B112" s="83" t="s">
        <v>40</v>
      </c>
      <c r="C112" s="104" t="s">
        <v>639</v>
      </c>
      <c r="D112" s="83" t="s">
        <v>77</v>
      </c>
      <c r="E112" s="82" t="s">
        <v>641</v>
      </c>
      <c r="F112" s="105"/>
      <c r="G112" s="105"/>
    </row>
    <row r="113" ht="16.5" customHeight="1">
      <c r="A113" s="56" t="s">
        <v>68</v>
      </c>
      <c r="B113" s="83" t="s">
        <v>42</v>
      </c>
      <c r="C113" s="108" t="s">
        <v>642</v>
      </c>
      <c r="D113" s="83" t="s">
        <v>42</v>
      </c>
      <c r="E113" s="108" t="s">
        <v>642</v>
      </c>
      <c r="F113" s="106"/>
      <c r="G113" s="106"/>
    </row>
    <row r="114" ht="16.5" customHeight="1">
      <c r="A114" s="56" t="s">
        <v>74</v>
      </c>
      <c r="B114" s="83" t="s">
        <v>48</v>
      </c>
      <c r="C114" s="104" t="s">
        <v>644</v>
      </c>
      <c r="D114" s="83" t="s">
        <v>40</v>
      </c>
      <c r="E114" s="82" t="s">
        <v>645</v>
      </c>
      <c r="F114" s="105"/>
      <c r="G114" s="105"/>
    </row>
    <row r="115" ht="16.5" customHeight="1">
      <c r="A115" s="56" t="s">
        <v>75</v>
      </c>
      <c r="B115" s="83" t="s">
        <v>40</v>
      </c>
      <c r="C115" s="104" t="s">
        <v>646</v>
      </c>
      <c r="D115" s="83" t="s">
        <v>77</v>
      </c>
      <c r="E115" s="82" t="s">
        <v>648</v>
      </c>
      <c r="F115" s="105"/>
      <c r="G115" s="105"/>
    </row>
    <row r="116" ht="16.5" customHeight="1">
      <c r="A116" s="56" t="s">
        <v>79</v>
      </c>
      <c r="B116" s="83" t="s">
        <v>42</v>
      </c>
      <c r="C116" s="108" t="s">
        <v>649</v>
      </c>
      <c r="D116" s="83" t="s">
        <v>42</v>
      </c>
      <c r="E116" s="108" t="s">
        <v>649</v>
      </c>
      <c r="F116" s="106"/>
      <c r="G116" s="106"/>
    </row>
    <row r="117" ht="16.5" customHeight="1">
      <c r="A117" s="63"/>
      <c r="B117" s="72" t="s">
        <v>212</v>
      </c>
      <c r="C117" s="63"/>
      <c r="D117" s="72" t="s">
        <v>212</v>
      </c>
      <c r="E117" s="63"/>
      <c r="F117" s="63"/>
      <c r="G117" s="63"/>
    </row>
    <row r="118" ht="16.5" customHeight="1">
      <c r="A118" s="53" t="s">
        <v>100</v>
      </c>
      <c r="B118" s="71" t="s">
        <v>101</v>
      </c>
      <c r="C118" s="46"/>
      <c r="D118" s="71" t="s">
        <v>102</v>
      </c>
      <c r="E118" s="46"/>
      <c r="F118" s="71" t="s">
        <v>103</v>
      </c>
      <c r="G118" s="46"/>
    </row>
    <row r="119" ht="16.5" customHeight="1">
      <c r="A119" s="47"/>
      <c r="B119" s="55" t="s">
        <v>29</v>
      </c>
      <c r="C119" s="55" t="s">
        <v>32</v>
      </c>
      <c r="D119" s="55" t="s">
        <v>29</v>
      </c>
      <c r="E119" s="55" t="s">
        <v>32</v>
      </c>
      <c r="F119" s="55" t="s">
        <v>29</v>
      </c>
      <c r="G119" s="55" t="s">
        <v>32</v>
      </c>
    </row>
    <row r="120" ht="16.5" customHeight="1">
      <c r="A120" s="56" t="s">
        <v>33</v>
      </c>
      <c r="B120" s="83" t="s">
        <v>48</v>
      </c>
      <c r="C120" s="82" t="s">
        <v>653</v>
      </c>
      <c r="D120" s="83" t="s">
        <v>43</v>
      </c>
      <c r="E120" s="82" t="s">
        <v>655</v>
      </c>
      <c r="F120" s="83" t="s">
        <v>48</v>
      </c>
      <c r="G120" s="82" t="s">
        <v>656</v>
      </c>
    </row>
    <row r="121" ht="16.5" customHeight="1">
      <c r="A121" s="56" t="s">
        <v>46</v>
      </c>
      <c r="B121" s="83" t="s">
        <v>43</v>
      </c>
      <c r="C121" s="82" t="s">
        <v>658</v>
      </c>
      <c r="D121" s="83" t="s">
        <v>43</v>
      </c>
      <c r="E121" s="82" t="s">
        <v>660</v>
      </c>
      <c r="F121" s="83" t="s">
        <v>40</v>
      </c>
      <c r="G121" s="82" t="s">
        <v>661</v>
      </c>
    </row>
    <row r="122" ht="16.5" customHeight="1">
      <c r="A122" s="56" t="s">
        <v>52</v>
      </c>
      <c r="B122" s="83" t="s">
        <v>48</v>
      </c>
      <c r="C122" s="82" t="s">
        <v>662</v>
      </c>
      <c r="D122" s="83" t="s">
        <v>43</v>
      </c>
      <c r="E122" s="82" t="s">
        <v>663</v>
      </c>
      <c r="F122" s="83" t="s">
        <v>40</v>
      </c>
      <c r="G122" s="82" t="s">
        <v>664</v>
      </c>
    </row>
    <row r="123" ht="16.5" customHeight="1">
      <c r="A123" s="56" t="s">
        <v>58</v>
      </c>
      <c r="B123" s="83" t="s">
        <v>48</v>
      </c>
      <c r="C123" s="82" t="s">
        <v>665</v>
      </c>
      <c r="D123" s="83" t="s">
        <v>40</v>
      </c>
      <c r="E123" s="82" t="s">
        <v>666</v>
      </c>
      <c r="F123" s="83" t="s">
        <v>43</v>
      </c>
      <c r="G123" s="82" t="s">
        <v>667</v>
      </c>
    </row>
    <row r="124" ht="16.5" customHeight="1">
      <c r="A124" s="56" t="s">
        <v>61</v>
      </c>
      <c r="B124" s="83" t="s">
        <v>48</v>
      </c>
      <c r="C124" s="82" t="s">
        <v>668</v>
      </c>
      <c r="D124" s="83" t="s">
        <v>48</v>
      </c>
      <c r="E124" s="82" t="s">
        <v>670</v>
      </c>
      <c r="F124" s="83" t="s">
        <v>40</v>
      </c>
      <c r="G124" s="82" t="s">
        <v>672</v>
      </c>
    </row>
    <row r="125" ht="16.5" customHeight="1">
      <c r="A125" s="56" t="s">
        <v>65</v>
      </c>
      <c r="B125" s="83" t="s">
        <v>48</v>
      </c>
      <c r="C125" s="82" t="s">
        <v>674</v>
      </c>
      <c r="D125" s="83" t="s">
        <v>48</v>
      </c>
      <c r="E125" s="82" t="s">
        <v>676</v>
      </c>
      <c r="F125" s="83" t="s">
        <v>43</v>
      </c>
      <c r="G125" s="82" t="s">
        <v>678</v>
      </c>
    </row>
    <row r="126" ht="16.5" customHeight="1">
      <c r="A126" s="56" t="s">
        <v>68</v>
      </c>
      <c r="B126" s="83" t="s">
        <v>42</v>
      </c>
      <c r="C126" s="82" t="s">
        <v>681</v>
      </c>
      <c r="D126" s="83" t="s">
        <v>42</v>
      </c>
      <c r="E126" s="82" t="s">
        <v>682</v>
      </c>
      <c r="F126" s="83" t="s">
        <v>43</v>
      </c>
      <c r="G126" s="82" t="s">
        <v>684</v>
      </c>
    </row>
    <row r="127" ht="16.5" customHeight="1">
      <c r="A127" s="56" t="s">
        <v>74</v>
      </c>
      <c r="B127" s="83" t="s">
        <v>40</v>
      </c>
      <c r="C127" s="82" t="s">
        <v>687</v>
      </c>
      <c r="D127" s="83" t="s">
        <v>48</v>
      </c>
      <c r="E127" s="82" t="s">
        <v>689</v>
      </c>
      <c r="F127" s="83" t="s">
        <v>77</v>
      </c>
      <c r="G127" s="82" t="s">
        <v>690</v>
      </c>
    </row>
    <row r="128" ht="16.5" customHeight="1">
      <c r="A128" s="56" t="s">
        <v>75</v>
      </c>
      <c r="B128" s="83" t="s">
        <v>43</v>
      </c>
      <c r="C128" s="82" t="s">
        <v>693</v>
      </c>
      <c r="D128" s="83" t="s">
        <v>48</v>
      </c>
      <c r="E128" s="82" t="s">
        <v>694</v>
      </c>
      <c r="F128" s="83" t="s">
        <v>77</v>
      </c>
      <c r="G128" s="82" t="s">
        <v>697</v>
      </c>
    </row>
    <row r="129" ht="16.5" customHeight="1">
      <c r="A129" s="56" t="s">
        <v>79</v>
      </c>
      <c r="B129" s="83" t="s">
        <v>42</v>
      </c>
      <c r="C129" s="82" t="s">
        <v>699</v>
      </c>
      <c r="D129" s="83" t="s">
        <v>48</v>
      </c>
      <c r="E129" s="82" t="s">
        <v>701</v>
      </c>
      <c r="F129" s="83" t="s">
        <v>48</v>
      </c>
      <c r="G129" s="82" t="s">
        <v>703</v>
      </c>
    </row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  <mergeCell ref="D66:E66"/>
    <mergeCell ref="F66:G66"/>
    <mergeCell ref="A105:A106"/>
    <mergeCell ref="B105:C105"/>
    <mergeCell ref="D105:E105"/>
    <mergeCell ref="A118:A119"/>
    <mergeCell ref="B118:C118"/>
    <mergeCell ref="D118:E118"/>
    <mergeCell ref="F118:G118"/>
    <mergeCell ref="B66:C66"/>
    <mergeCell ref="A79:A80"/>
    <mergeCell ref="B79:C79"/>
    <mergeCell ref="D79:E79"/>
    <mergeCell ref="A92:A93"/>
    <mergeCell ref="B92:C92"/>
    <mergeCell ref="D92:E92"/>
  </mergeCells>
  <dataValidations>
    <dataValidation type="list" allowBlank="1" showErrorMessage="1" sqref="B3:B12 D3:D12 F3:F12 B14 D14 B16:B25 D16:D25 B27 D27 B29:B38 D29:D38 B42:B51 D42:D51 B53 D53 B55:B64 D55:D64 B66 D66 F66 B68:B77 D68:D77 F68:F78 B79 D79 B81:B90 D81:D90 B92 B94:B103 D94:D103 B107:B116 D107:D116 B120:B129 D120:D129 F120:F129">
      <formula1>"'++,'+,'0,'-,'--"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8.0"/>
    <col customWidth="1" min="2" max="2" width="9.43"/>
    <col customWidth="1" min="3" max="3" width="82.43"/>
    <col customWidth="1" min="4" max="4" width="9.43"/>
    <col customWidth="1" min="5" max="5" width="64.43"/>
    <col customWidth="1" min="6" max="6" width="9.43"/>
    <col customWidth="1" min="7" max="7" width="61.57"/>
    <col customWidth="1" min="8" max="8" width="8.86"/>
    <col customWidth="1" min="9" max="9" width="64.14"/>
  </cols>
  <sheetData>
    <row r="1" ht="16.5" customHeight="1">
      <c r="A1" s="53" t="s">
        <v>104</v>
      </c>
      <c r="B1" s="71" t="s">
        <v>10</v>
      </c>
      <c r="C1" s="46"/>
      <c r="D1" s="71" t="s">
        <v>18</v>
      </c>
      <c r="E1" s="46"/>
      <c r="F1" s="71" t="s">
        <v>22</v>
      </c>
      <c r="G1" s="46"/>
    </row>
    <row r="2" ht="16.5" customHeight="1">
      <c r="A2" s="47"/>
      <c r="B2" s="55" t="s">
        <v>29</v>
      </c>
      <c r="C2" s="55" t="s">
        <v>32</v>
      </c>
      <c r="D2" s="55" t="s">
        <v>29</v>
      </c>
      <c r="E2" s="55" t="s">
        <v>32</v>
      </c>
      <c r="F2" s="55" t="s">
        <v>29</v>
      </c>
      <c r="G2" s="55" t="s">
        <v>32</v>
      </c>
    </row>
    <row r="3" ht="16.5" customHeight="1">
      <c r="A3" s="56" t="s">
        <v>33</v>
      </c>
      <c r="B3" s="83" t="s">
        <v>40</v>
      </c>
      <c r="C3" s="88" t="s">
        <v>339</v>
      </c>
      <c r="D3" s="83" t="s">
        <v>40</v>
      </c>
      <c r="E3" s="89" t="s">
        <v>340</v>
      </c>
      <c r="F3" s="83" t="s">
        <v>48</v>
      </c>
      <c r="G3" s="91" t="s">
        <v>342</v>
      </c>
    </row>
    <row r="4" ht="16.5" customHeight="1">
      <c r="A4" s="56" t="s">
        <v>46</v>
      </c>
      <c r="B4" s="83" t="s">
        <v>48</v>
      </c>
      <c r="C4" s="88" t="s">
        <v>345</v>
      </c>
      <c r="D4" s="83" t="s">
        <v>48</v>
      </c>
      <c r="E4" s="82" t="s">
        <v>348</v>
      </c>
      <c r="F4" s="83" t="s">
        <v>40</v>
      </c>
      <c r="G4" s="82" t="s">
        <v>349</v>
      </c>
    </row>
    <row r="5" ht="16.5" customHeight="1">
      <c r="A5" s="56" t="s">
        <v>52</v>
      </c>
      <c r="B5" s="83" t="s">
        <v>48</v>
      </c>
      <c r="C5" s="82" t="s">
        <v>174</v>
      </c>
      <c r="D5" s="83" t="s">
        <v>43</v>
      </c>
      <c r="E5" s="87" t="s">
        <v>354</v>
      </c>
      <c r="F5" s="83" t="s">
        <v>40</v>
      </c>
      <c r="G5" s="93" t="s">
        <v>358</v>
      </c>
    </row>
    <row r="6" ht="16.5" customHeight="1">
      <c r="A6" s="56" t="s">
        <v>58</v>
      </c>
      <c r="B6" s="83" t="s">
        <v>42</v>
      </c>
      <c r="C6" s="82" t="s">
        <v>361</v>
      </c>
      <c r="D6" s="83" t="s">
        <v>42</v>
      </c>
      <c r="E6" s="82" t="s">
        <v>363</v>
      </c>
      <c r="F6" s="83" t="s">
        <v>48</v>
      </c>
      <c r="G6" s="27" t="s">
        <v>364</v>
      </c>
    </row>
    <row r="7" ht="16.5" customHeight="1">
      <c r="A7" s="56" t="s">
        <v>61</v>
      </c>
      <c r="B7" s="83" t="s">
        <v>43</v>
      </c>
      <c r="C7" s="82" t="s">
        <v>368</v>
      </c>
      <c r="D7" s="83" t="s">
        <v>43</v>
      </c>
      <c r="E7" s="82" t="s">
        <v>370</v>
      </c>
      <c r="F7" s="83" t="s">
        <v>40</v>
      </c>
      <c r="G7" s="27" t="s">
        <v>374</v>
      </c>
    </row>
    <row r="8" ht="16.5" customHeight="1">
      <c r="A8" s="56" t="s">
        <v>65</v>
      </c>
      <c r="B8" s="83" t="s">
        <v>40</v>
      </c>
      <c r="C8" s="82" t="s">
        <v>377</v>
      </c>
      <c r="D8" s="83" t="s">
        <v>48</v>
      </c>
      <c r="E8" s="82" t="s">
        <v>379</v>
      </c>
      <c r="F8" s="83" t="s">
        <v>43</v>
      </c>
      <c r="G8" s="89" t="s">
        <v>123</v>
      </c>
    </row>
    <row r="9" ht="16.5" customHeight="1">
      <c r="A9" s="56" t="s">
        <v>68</v>
      </c>
      <c r="B9" s="83" t="s">
        <v>42</v>
      </c>
      <c r="C9" s="82" t="s">
        <v>385</v>
      </c>
      <c r="D9" s="83" t="s">
        <v>42</v>
      </c>
      <c r="E9" s="27" t="s">
        <v>388</v>
      </c>
      <c r="F9" s="83" t="s">
        <v>43</v>
      </c>
      <c r="G9" s="82" t="s">
        <v>123</v>
      </c>
    </row>
    <row r="10" ht="16.5" customHeight="1">
      <c r="A10" s="56" t="s">
        <v>74</v>
      </c>
      <c r="B10" s="83" t="s">
        <v>40</v>
      </c>
      <c r="C10" s="82" t="s">
        <v>393</v>
      </c>
      <c r="D10" s="83" t="s">
        <v>42</v>
      </c>
      <c r="E10" s="27" t="s">
        <v>395</v>
      </c>
      <c r="F10" s="83" t="s">
        <v>40</v>
      </c>
      <c r="G10" s="74" t="s">
        <v>398</v>
      </c>
    </row>
    <row r="11" ht="16.5" customHeight="1">
      <c r="A11" s="56" t="s">
        <v>75</v>
      </c>
      <c r="B11" s="83" t="s">
        <v>43</v>
      </c>
      <c r="C11" s="82" t="s">
        <v>401</v>
      </c>
      <c r="D11" s="83" t="s">
        <v>42</v>
      </c>
      <c r="E11" s="82" t="s">
        <v>404</v>
      </c>
      <c r="F11" s="83" t="s">
        <v>48</v>
      </c>
      <c r="G11" s="74" t="s">
        <v>406</v>
      </c>
    </row>
    <row r="12" ht="16.5" customHeight="1">
      <c r="A12" s="56" t="s">
        <v>79</v>
      </c>
      <c r="B12" s="83" t="s">
        <v>77</v>
      </c>
      <c r="C12" s="82" t="s">
        <v>408</v>
      </c>
      <c r="D12" s="83" t="s">
        <v>42</v>
      </c>
      <c r="E12" s="27" t="s">
        <v>410</v>
      </c>
      <c r="F12" s="83" t="s">
        <v>48</v>
      </c>
      <c r="G12" s="74" t="s">
        <v>413</v>
      </c>
    </row>
    <row r="13" ht="16.5" customHeight="1">
      <c r="A13" s="63"/>
      <c r="B13" s="72" t="s">
        <v>212</v>
      </c>
      <c r="C13" s="72" t="s">
        <v>212</v>
      </c>
      <c r="D13" s="72" t="s">
        <v>212</v>
      </c>
      <c r="E13" s="72" t="s">
        <v>212</v>
      </c>
      <c r="F13" s="72" t="s">
        <v>212</v>
      </c>
      <c r="G13" s="63"/>
    </row>
    <row r="14" ht="16.5" customHeight="1">
      <c r="A14" s="64" t="s">
        <v>13</v>
      </c>
      <c r="B14" s="79" t="s">
        <v>105</v>
      </c>
      <c r="C14" s="46"/>
      <c r="D14" s="79" t="s">
        <v>30</v>
      </c>
      <c r="E14" s="46"/>
      <c r="F14" s="63"/>
      <c r="G14" s="95"/>
    </row>
    <row r="15" ht="16.5" customHeight="1">
      <c r="A15" s="65"/>
      <c r="B15" s="66" t="s">
        <v>29</v>
      </c>
      <c r="C15" s="80" t="s">
        <v>32</v>
      </c>
      <c r="D15" s="66" t="s">
        <v>29</v>
      </c>
      <c r="E15" s="80" t="s">
        <v>32</v>
      </c>
      <c r="F15" s="63"/>
      <c r="G15" s="63"/>
    </row>
    <row r="16" ht="16.5" customHeight="1">
      <c r="A16" s="56" t="s">
        <v>33</v>
      </c>
      <c r="B16" s="83" t="s">
        <v>77</v>
      </c>
      <c r="C16" s="82" t="s">
        <v>427</v>
      </c>
      <c r="D16" s="83" t="s">
        <v>40</v>
      </c>
      <c r="E16" s="26" t="s">
        <v>432</v>
      </c>
      <c r="F16" s="63"/>
      <c r="G16" s="63"/>
    </row>
    <row r="17" ht="16.5" customHeight="1">
      <c r="A17" s="56" t="s">
        <v>46</v>
      </c>
      <c r="B17" s="83" t="s">
        <v>40</v>
      </c>
      <c r="C17" s="82" t="s">
        <v>435</v>
      </c>
      <c r="D17" s="83" t="s">
        <v>42</v>
      </c>
      <c r="E17" s="24" t="s">
        <v>54</v>
      </c>
      <c r="F17" s="63"/>
      <c r="G17" s="63"/>
    </row>
    <row r="18" ht="16.5" customHeight="1">
      <c r="A18" s="56" t="s">
        <v>52</v>
      </c>
      <c r="B18" s="83" t="s">
        <v>48</v>
      </c>
      <c r="C18" s="82" t="s">
        <v>439</v>
      </c>
      <c r="D18" s="83" t="s">
        <v>48</v>
      </c>
      <c r="E18" s="24" t="s">
        <v>59</v>
      </c>
      <c r="F18" s="63"/>
      <c r="G18" s="63"/>
    </row>
    <row r="19" ht="16.5" customHeight="1">
      <c r="A19" s="56" t="s">
        <v>58</v>
      </c>
      <c r="B19" s="83" t="s">
        <v>40</v>
      </c>
      <c r="C19" s="82" t="s">
        <v>441</v>
      </c>
      <c r="D19" s="83" t="s">
        <v>40</v>
      </c>
      <c r="E19" s="24" t="s">
        <v>62</v>
      </c>
      <c r="F19" s="63"/>
      <c r="G19" s="63"/>
    </row>
    <row r="20" ht="16.5" customHeight="1">
      <c r="A20" s="56" t="s">
        <v>61</v>
      </c>
      <c r="B20" s="83" t="s">
        <v>40</v>
      </c>
      <c r="C20" s="93" t="s">
        <v>450</v>
      </c>
      <c r="D20" s="83" t="s">
        <v>48</v>
      </c>
      <c r="E20" s="96" t="s">
        <v>453</v>
      </c>
      <c r="F20" s="63"/>
      <c r="G20" s="63"/>
    </row>
    <row r="21" ht="16.5" customHeight="1">
      <c r="A21" s="56" t="s">
        <v>65</v>
      </c>
      <c r="B21" s="83" t="s">
        <v>40</v>
      </c>
      <c r="C21" s="82" t="s">
        <v>460</v>
      </c>
      <c r="D21" s="83" t="s">
        <v>40</v>
      </c>
      <c r="E21" s="24" t="s">
        <v>67</v>
      </c>
      <c r="F21" s="63"/>
      <c r="G21" s="63"/>
    </row>
    <row r="22" ht="16.5" customHeight="1">
      <c r="A22" s="56" t="s">
        <v>68</v>
      </c>
      <c r="B22" s="83" t="s">
        <v>40</v>
      </c>
      <c r="C22" s="89" t="s">
        <v>465</v>
      </c>
      <c r="D22" s="83" t="s">
        <v>40</v>
      </c>
      <c r="E22" s="97" t="s">
        <v>469</v>
      </c>
      <c r="F22" s="63"/>
      <c r="G22" s="63"/>
    </row>
    <row r="23" ht="16.5" customHeight="1">
      <c r="A23" s="56" t="s">
        <v>74</v>
      </c>
      <c r="B23" s="83" t="s">
        <v>40</v>
      </c>
      <c r="C23" s="89" t="s">
        <v>474</v>
      </c>
      <c r="D23" s="83" t="s">
        <v>40</v>
      </c>
      <c r="E23" s="89" t="s">
        <v>474</v>
      </c>
      <c r="F23" s="63"/>
      <c r="G23" s="63"/>
    </row>
    <row r="24" ht="16.5" customHeight="1">
      <c r="A24" s="56" t="s">
        <v>75</v>
      </c>
      <c r="B24" s="83" t="s">
        <v>40</v>
      </c>
      <c r="C24" s="82" t="s">
        <v>479</v>
      </c>
      <c r="D24" s="83" t="s">
        <v>77</v>
      </c>
      <c r="E24" s="38" t="s">
        <v>78</v>
      </c>
      <c r="F24" s="63"/>
      <c r="G24" s="63"/>
    </row>
    <row r="25" ht="16.5" customHeight="1">
      <c r="A25" s="56" t="s">
        <v>79</v>
      </c>
      <c r="B25" s="83" t="s">
        <v>42</v>
      </c>
      <c r="C25" s="82" t="s">
        <v>484</v>
      </c>
      <c r="D25" s="83" t="s">
        <v>42</v>
      </c>
      <c r="E25" s="24" t="s">
        <v>82</v>
      </c>
      <c r="F25" s="63"/>
      <c r="G25" s="95" t="s">
        <v>485</v>
      </c>
    </row>
    <row r="26" ht="16.5" customHeight="1">
      <c r="A26" s="63"/>
      <c r="B26" s="72" t="s">
        <v>212</v>
      </c>
      <c r="C26" s="72" t="s">
        <v>212</v>
      </c>
      <c r="D26" s="72" t="s">
        <v>212</v>
      </c>
      <c r="E26" s="72" t="s">
        <v>212</v>
      </c>
      <c r="F26" s="63"/>
      <c r="G26" s="95"/>
    </row>
    <row r="27" ht="16.5" customHeight="1">
      <c r="A27" s="64" t="s">
        <v>14</v>
      </c>
      <c r="B27" s="79" t="s">
        <v>26</v>
      </c>
      <c r="C27" s="46"/>
      <c r="D27" s="79" t="s">
        <v>31</v>
      </c>
      <c r="E27" s="46"/>
      <c r="F27" s="63"/>
      <c r="G27" s="95"/>
    </row>
    <row r="28" ht="16.5" customHeight="1">
      <c r="A28" s="68"/>
      <c r="B28" s="55" t="s">
        <v>29</v>
      </c>
      <c r="C28" s="78" t="s">
        <v>32</v>
      </c>
      <c r="D28" s="55" t="s">
        <v>29</v>
      </c>
      <c r="E28" s="78" t="s">
        <v>32</v>
      </c>
      <c r="F28" s="63"/>
      <c r="G28" s="63"/>
    </row>
    <row r="29" ht="16.5" customHeight="1">
      <c r="A29" s="56" t="s">
        <v>33</v>
      </c>
      <c r="B29" s="83" t="s">
        <v>40</v>
      </c>
      <c r="C29" s="82" t="s">
        <v>492</v>
      </c>
      <c r="D29" s="83" t="s">
        <v>43</v>
      </c>
      <c r="E29" s="24" t="s">
        <v>45</v>
      </c>
      <c r="F29" s="63"/>
      <c r="G29" s="63"/>
    </row>
    <row r="30" ht="16.5" customHeight="1">
      <c r="A30" s="56" t="s">
        <v>46</v>
      </c>
      <c r="B30" s="83" t="s">
        <v>40</v>
      </c>
      <c r="C30" s="89" t="s">
        <v>495</v>
      </c>
      <c r="D30" s="83" t="s">
        <v>43</v>
      </c>
      <c r="E30" s="24" t="s">
        <v>51</v>
      </c>
      <c r="F30" s="63"/>
      <c r="G30" s="63"/>
    </row>
    <row r="31" ht="16.5" customHeight="1">
      <c r="A31" s="56" t="s">
        <v>52</v>
      </c>
      <c r="B31" s="83" t="s">
        <v>40</v>
      </c>
      <c r="C31" s="89" t="s">
        <v>500</v>
      </c>
      <c r="D31" s="83" t="s">
        <v>43</v>
      </c>
      <c r="E31" s="82" t="s">
        <v>57</v>
      </c>
      <c r="F31" s="63"/>
      <c r="G31" s="63"/>
    </row>
    <row r="32" ht="16.5" customHeight="1">
      <c r="A32" s="56" t="s">
        <v>58</v>
      </c>
      <c r="B32" s="83" t="s">
        <v>40</v>
      </c>
      <c r="C32" s="93" t="s">
        <v>504</v>
      </c>
      <c r="D32" s="83" t="s">
        <v>48</v>
      </c>
      <c r="E32" s="82" t="s">
        <v>505</v>
      </c>
      <c r="F32" s="63"/>
      <c r="G32" s="63"/>
    </row>
    <row r="33" ht="16.5" customHeight="1">
      <c r="A33" s="56" t="s">
        <v>61</v>
      </c>
      <c r="B33" s="83" t="s">
        <v>40</v>
      </c>
      <c r="C33" s="93" t="s">
        <v>510</v>
      </c>
      <c r="D33" s="83" t="s">
        <v>43</v>
      </c>
      <c r="E33" s="24" t="s">
        <v>64</v>
      </c>
      <c r="F33" s="63"/>
      <c r="G33" s="63"/>
    </row>
    <row r="34" ht="16.5" customHeight="1">
      <c r="A34" s="56" t="s">
        <v>65</v>
      </c>
      <c r="B34" s="83" t="s">
        <v>43</v>
      </c>
      <c r="C34" s="82" t="s">
        <v>514</v>
      </c>
      <c r="D34" s="83" t="s">
        <v>48</v>
      </c>
      <c r="E34" s="27" t="s">
        <v>515</v>
      </c>
      <c r="F34" s="63"/>
      <c r="G34" s="63"/>
    </row>
    <row r="35" ht="16.5" customHeight="1">
      <c r="A35" s="56" t="s">
        <v>68</v>
      </c>
      <c r="B35" s="83" t="s">
        <v>40</v>
      </c>
      <c r="C35" s="99" t="s">
        <v>519</v>
      </c>
      <c r="D35" s="83" t="s">
        <v>40</v>
      </c>
      <c r="E35" s="27" t="s">
        <v>521</v>
      </c>
      <c r="F35" s="63"/>
      <c r="G35" s="63"/>
    </row>
    <row r="36" ht="16.5" customHeight="1">
      <c r="A36" s="56" t="s">
        <v>74</v>
      </c>
      <c r="B36" s="83" t="s">
        <v>48</v>
      </c>
      <c r="C36" s="93" t="s">
        <v>524</v>
      </c>
      <c r="D36" s="83" t="s">
        <v>40</v>
      </c>
      <c r="E36" s="27" t="s">
        <v>526</v>
      </c>
      <c r="F36" s="63"/>
      <c r="G36" s="63"/>
    </row>
    <row r="37" ht="16.5" customHeight="1">
      <c r="A37" s="56" t="s">
        <v>75</v>
      </c>
      <c r="B37" s="83" t="s">
        <v>48</v>
      </c>
      <c r="C37" s="27" t="s">
        <v>529</v>
      </c>
      <c r="D37" s="83" t="s">
        <v>40</v>
      </c>
      <c r="E37" s="82" t="s">
        <v>531</v>
      </c>
      <c r="F37" s="63"/>
      <c r="G37" s="63"/>
    </row>
    <row r="38" ht="16.5" customHeight="1">
      <c r="A38" s="56" t="s">
        <v>79</v>
      </c>
      <c r="B38" s="83" t="s">
        <v>48</v>
      </c>
      <c r="C38" s="89" t="s">
        <v>535</v>
      </c>
      <c r="D38" s="83" t="s">
        <v>40</v>
      </c>
      <c r="E38" s="93" t="s">
        <v>537</v>
      </c>
      <c r="F38" s="63"/>
      <c r="G38" s="63"/>
    </row>
    <row r="39" ht="16.5" customHeight="1">
      <c r="A39" s="63"/>
      <c r="B39" s="72" t="s">
        <v>212</v>
      </c>
      <c r="C39" s="72" t="s">
        <v>212</v>
      </c>
      <c r="D39" s="72" t="s">
        <v>212</v>
      </c>
      <c r="E39" s="72" t="s">
        <v>212</v>
      </c>
      <c r="F39" s="63"/>
      <c r="G39" s="63"/>
    </row>
    <row r="40" ht="16.5" customHeight="1">
      <c r="A40" s="64" t="s">
        <v>36</v>
      </c>
      <c r="B40" s="71" t="s">
        <v>37</v>
      </c>
      <c r="C40" s="46"/>
      <c r="D40" s="71" t="s">
        <v>38</v>
      </c>
      <c r="E40" s="46"/>
      <c r="F40" s="63"/>
      <c r="G40" s="63"/>
      <c r="H40" s="63"/>
    </row>
    <row r="41" ht="15.75" customHeight="1">
      <c r="A41" s="68"/>
      <c r="B41" s="55" t="s">
        <v>29</v>
      </c>
      <c r="C41" s="55" t="s">
        <v>32</v>
      </c>
      <c r="D41" s="55" t="s">
        <v>29</v>
      </c>
      <c r="E41" s="55" t="s">
        <v>32</v>
      </c>
      <c r="F41" s="63"/>
      <c r="G41" s="63"/>
      <c r="H41" s="63"/>
      <c r="I41" s="69"/>
    </row>
    <row r="42" ht="16.5" customHeight="1">
      <c r="A42" s="56" t="s">
        <v>33</v>
      </c>
      <c r="B42" s="88" t="s">
        <v>212</v>
      </c>
      <c r="C42" s="102" t="str">
        <f t="shared" ref="C42:C51" si="1">"Human" &amp; " - " &amp; B$40 &amp; " - " &amp; $A42</f>
        <v>Human - MVC - Availability</v>
      </c>
      <c r="D42" s="88" t="s">
        <v>212</v>
      </c>
      <c r="E42" s="102" t="str">
        <f t="shared" ref="E42:E51" si="2">"Human" &amp; " - " &amp; D$40 &amp; " - " &amp; $A42</f>
        <v>Human - PAC - Availability</v>
      </c>
      <c r="F42" s="63"/>
      <c r="G42" s="63"/>
      <c r="H42" s="63"/>
    </row>
    <row r="43" ht="16.5" customHeight="1">
      <c r="A43" s="56" t="s">
        <v>46</v>
      </c>
      <c r="B43" s="88" t="s">
        <v>212</v>
      </c>
      <c r="C43" s="102" t="str">
        <f t="shared" si="1"/>
        <v>Human - MVC - Deployability</v>
      </c>
      <c r="D43" s="88" t="s">
        <v>212</v>
      </c>
      <c r="E43" s="102" t="str">
        <f t="shared" si="2"/>
        <v>Human - PAC - Deployability</v>
      </c>
      <c r="F43" s="63"/>
      <c r="G43" s="63"/>
      <c r="H43" s="63"/>
    </row>
    <row r="44" ht="16.5" customHeight="1">
      <c r="A44" s="56" t="s">
        <v>52</v>
      </c>
      <c r="B44" s="88" t="s">
        <v>212</v>
      </c>
      <c r="C44" s="102" t="str">
        <f t="shared" si="1"/>
        <v>Human - MVC - Integrability</v>
      </c>
      <c r="D44" s="88" t="s">
        <v>212</v>
      </c>
      <c r="E44" s="102" t="str">
        <f t="shared" si="2"/>
        <v>Human - PAC - Integrability</v>
      </c>
      <c r="F44" s="63"/>
      <c r="G44" s="63"/>
      <c r="H44" s="63"/>
    </row>
    <row r="45" ht="16.5" customHeight="1">
      <c r="A45" s="56" t="s">
        <v>58</v>
      </c>
      <c r="B45" s="88" t="s">
        <v>212</v>
      </c>
      <c r="C45" s="102" t="str">
        <f t="shared" si="1"/>
        <v>Human - MVC - Energy Efficiency</v>
      </c>
      <c r="D45" s="88" t="s">
        <v>212</v>
      </c>
      <c r="E45" s="102" t="str">
        <f t="shared" si="2"/>
        <v>Human - PAC - Energy Efficiency</v>
      </c>
      <c r="F45" s="63"/>
      <c r="G45" s="63"/>
      <c r="H45" s="63"/>
    </row>
    <row r="46" ht="16.5" customHeight="1">
      <c r="A46" s="56" t="s">
        <v>61</v>
      </c>
      <c r="B46" s="88" t="s">
        <v>212</v>
      </c>
      <c r="C46" s="102" t="str">
        <f t="shared" si="1"/>
        <v>Human - MVC - Modifiability</v>
      </c>
      <c r="D46" s="88" t="s">
        <v>212</v>
      </c>
      <c r="E46" s="102" t="str">
        <f t="shared" si="2"/>
        <v>Human - PAC - Modifiability</v>
      </c>
      <c r="F46" s="63"/>
      <c r="G46" s="63"/>
      <c r="H46" s="63"/>
    </row>
    <row r="47" ht="16.5" customHeight="1">
      <c r="A47" s="56" t="s">
        <v>65</v>
      </c>
      <c r="B47" s="88" t="s">
        <v>212</v>
      </c>
      <c r="C47" s="102" t="str">
        <f t="shared" si="1"/>
        <v>Human - MVC - Performance</v>
      </c>
      <c r="D47" s="88" t="s">
        <v>212</v>
      </c>
      <c r="E47" s="102" t="str">
        <f t="shared" si="2"/>
        <v>Human - PAC - Performance</v>
      </c>
      <c r="F47" s="63"/>
      <c r="G47" s="63"/>
      <c r="H47" s="63"/>
    </row>
    <row r="48" ht="16.5" customHeight="1">
      <c r="A48" s="56" t="s">
        <v>68</v>
      </c>
      <c r="B48" s="88" t="s">
        <v>212</v>
      </c>
      <c r="C48" s="102" t="str">
        <f t="shared" si="1"/>
        <v>Human - MVC - Safety</v>
      </c>
      <c r="D48" s="88" t="s">
        <v>212</v>
      </c>
      <c r="E48" s="102" t="str">
        <f t="shared" si="2"/>
        <v>Human - PAC - Safety</v>
      </c>
      <c r="F48" s="63"/>
      <c r="G48" s="63"/>
      <c r="H48" s="63"/>
    </row>
    <row r="49" ht="16.5" customHeight="1">
      <c r="A49" s="56" t="s">
        <v>74</v>
      </c>
      <c r="B49" s="88" t="s">
        <v>212</v>
      </c>
      <c r="C49" s="102" t="str">
        <f t="shared" si="1"/>
        <v>Human - MVC - Security</v>
      </c>
      <c r="D49" s="88" t="s">
        <v>212</v>
      </c>
      <c r="E49" s="102" t="str">
        <f t="shared" si="2"/>
        <v>Human - PAC - Security</v>
      </c>
      <c r="F49" s="63"/>
      <c r="G49" s="63"/>
      <c r="H49" s="63"/>
    </row>
    <row r="50" ht="15.75" customHeight="1">
      <c r="A50" s="56" t="s">
        <v>75</v>
      </c>
      <c r="B50" s="88" t="s">
        <v>212</v>
      </c>
      <c r="C50" s="102" t="str">
        <f t="shared" si="1"/>
        <v>Human - MVC - Testability</v>
      </c>
      <c r="D50" s="88" t="s">
        <v>212</v>
      </c>
      <c r="E50" s="102" t="str">
        <f t="shared" si="2"/>
        <v>Human - PAC - Testability</v>
      </c>
      <c r="F50" s="63"/>
      <c r="G50" s="72" t="s">
        <v>212</v>
      </c>
      <c r="H50" s="63"/>
      <c r="I50" s="70"/>
    </row>
    <row r="51" ht="15.75" customHeight="1">
      <c r="A51" s="56" t="s">
        <v>79</v>
      </c>
      <c r="B51" s="88" t="s">
        <v>212</v>
      </c>
      <c r="C51" s="102" t="str">
        <f t="shared" si="1"/>
        <v>Human - MVC - Usability</v>
      </c>
      <c r="D51" s="88" t="s">
        <v>212</v>
      </c>
      <c r="E51" s="102" t="str">
        <f t="shared" si="2"/>
        <v>Human - PAC - Usability</v>
      </c>
      <c r="F51" s="63"/>
      <c r="G51" s="72" t="s">
        <v>212</v>
      </c>
      <c r="H51" s="63"/>
      <c r="I51" s="69"/>
    </row>
    <row r="52" ht="16.5" customHeight="1">
      <c r="A52" s="63"/>
      <c r="B52" s="72" t="s">
        <v>212</v>
      </c>
      <c r="C52" s="63"/>
      <c r="D52" s="72" t="s">
        <v>212</v>
      </c>
      <c r="E52" s="63"/>
      <c r="F52" s="63"/>
      <c r="G52" s="63"/>
    </row>
    <row r="53" ht="16.5" customHeight="1">
      <c r="A53" s="64" t="s">
        <v>84</v>
      </c>
      <c r="B53" s="79" t="s">
        <v>85</v>
      </c>
      <c r="C53" s="46"/>
      <c r="D53" s="79" t="s">
        <v>87</v>
      </c>
      <c r="E53" s="46"/>
      <c r="F53" s="63"/>
      <c r="G53" s="72" t="s">
        <v>212</v>
      </c>
      <c r="H53" s="63"/>
    </row>
    <row r="54" ht="16.5" customHeight="1">
      <c r="A54" s="68"/>
      <c r="B54" s="55" t="s">
        <v>29</v>
      </c>
      <c r="C54" s="78" t="s">
        <v>32</v>
      </c>
      <c r="D54" s="55" t="s">
        <v>29</v>
      </c>
      <c r="E54" s="78" t="s">
        <v>32</v>
      </c>
      <c r="F54" s="63"/>
      <c r="G54" s="72" t="s">
        <v>212</v>
      </c>
      <c r="H54" s="63"/>
    </row>
    <row r="55" ht="16.5" customHeight="1">
      <c r="A55" s="56" t="s">
        <v>33</v>
      </c>
      <c r="B55" s="83" t="s">
        <v>40</v>
      </c>
      <c r="C55" s="82" t="s">
        <v>598</v>
      </c>
      <c r="D55" s="83" t="s">
        <v>48</v>
      </c>
      <c r="E55" s="82" t="s">
        <v>600</v>
      </c>
      <c r="F55" s="63"/>
      <c r="G55" s="72" t="s">
        <v>212</v>
      </c>
      <c r="H55" s="63"/>
    </row>
    <row r="56" ht="16.5" customHeight="1">
      <c r="A56" s="56" t="s">
        <v>46</v>
      </c>
      <c r="B56" s="83" t="s">
        <v>40</v>
      </c>
      <c r="C56" s="87" t="s">
        <v>603</v>
      </c>
      <c r="D56" s="83" t="s">
        <v>48</v>
      </c>
      <c r="E56" s="82" t="s">
        <v>604</v>
      </c>
      <c r="F56" s="63"/>
      <c r="G56" s="72" t="s">
        <v>212</v>
      </c>
      <c r="H56" s="63"/>
    </row>
    <row r="57" ht="16.5" customHeight="1">
      <c r="A57" s="56" t="s">
        <v>52</v>
      </c>
      <c r="B57" s="83" t="s">
        <v>40</v>
      </c>
      <c r="C57" s="82" t="s">
        <v>607</v>
      </c>
      <c r="D57" s="83" t="s">
        <v>40</v>
      </c>
      <c r="E57" s="82" t="s">
        <v>608</v>
      </c>
      <c r="F57" s="63"/>
      <c r="G57" s="72" t="s">
        <v>212</v>
      </c>
      <c r="H57" s="63"/>
    </row>
    <row r="58" ht="16.5" customHeight="1">
      <c r="A58" s="56" t="s">
        <v>58</v>
      </c>
      <c r="B58" s="83" t="s">
        <v>43</v>
      </c>
      <c r="C58" s="82" t="s">
        <v>610</v>
      </c>
      <c r="D58" s="83" t="s">
        <v>40</v>
      </c>
      <c r="E58" s="82" t="s">
        <v>612</v>
      </c>
      <c r="F58" s="63"/>
      <c r="G58" s="72" t="s">
        <v>212</v>
      </c>
      <c r="H58" s="63"/>
    </row>
    <row r="59" ht="16.5" customHeight="1">
      <c r="A59" s="56" t="s">
        <v>61</v>
      </c>
      <c r="B59" s="83" t="s">
        <v>40</v>
      </c>
      <c r="C59" s="82" t="s">
        <v>615</v>
      </c>
      <c r="D59" s="83" t="s">
        <v>48</v>
      </c>
      <c r="E59" s="82" t="s">
        <v>616</v>
      </c>
      <c r="F59" s="63"/>
      <c r="G59" s="72" t="s">
        <v>212</v>
      </c>
      <c r="H59" s="63"/>
    </row>
    <row r="60" ht="15.75" customHeight="1">
      <c r="A60" s="56" t="s">
        <v>65</v>
      </c>
      <c r="B60" s="83" t="s">
        <v>40</v>
      </c>
      <c r="C60" s="82" t="s">
        <v>618</v>
      </c>
      <c r="D60" s="83" t="s">
        <v>43</v>
      </c>
      <c r="E60" s="82" t="s">
        <v>619</v>
      </c>
      <c r="F60" s="63"/>
      <c r="G60" s="72" t="s">
        <v>212</v>
      </c>
      <c r="H60" s="63"/>
      <c r="I60" s="70"/>
    </row>
    <row r="61" ht="15.75" customHeight="1">
      <c r="A61" s="56" t="s">
        <v>68</v>
      </c>
      <c r="B61" s="83" t="s">
        <v>48</v>
      </c>
      <c r="C61" s="27" t="s">
        <v>384</v>
      </c>
      <c r="D61" s="83" t="s">
        <v>40</v>
      </c>
      <c r="E61" s="24" t="s">
        <v>94</v>
      </c>
      <c r="F61" s="63"/>
      <c r="G61" s="72" t="s">
        <v>212</v>
      </c>
      <c r="H61" s="63"/>
      <c r="I61" s="69"/>
    </row>
    <row r="62" ht="16.5" customHeight="1">
      <c r="A62" s="56" t="s">
        <v>74</v>
      </c>
      <c r="B62" s="83" t="s">
        <v>48</v>
      </c>
      <c r="C62" s="27" t="s">
        <v>624</v>
      </c>
      <c r="D62" s="83" t="s">
        <v>40</v>
      </c>
      <c r="E62" s="24" t="s">
        <v>95</v>
      </c>
      <c r="F62" s="63"/>
      <c r="G62" s="72" t="s">
        <v>212</v>
      </c>
      <c r="H62" s="63"/>
    </row>
    <row r="63" ht="16.5" customHeight="1">
      <c r="A63" s="56" t="s">
        <v>75</v>
      </c>
      <c r="B63" s="83" t="s">
        <v>43</v>
      </c>
      <c r="C63" s="27" t="s">
        <v>625</v>
      </c>
      <c r="D63" s="83" t="s">
        <v>40</v>
      </c>
      <c r="E63" s="27" t="s">
        <v>626</v>
      </c>
      <c r="F63" s="63"/>
      <c r="G63" s="72" t="s">
        <v>212</v>
      </c>
      <c r="H63" s="63"/>
    </row>
    <row r="64" ht="16.5" customHeight="1">
      <c r="A64" s="56" t="s">
        <v>79</v>
      </c>
      <c r="B64" s="83" t="s">
        <v>42</v>
      </c>
      <c r="C64" s="82" t="s">
        <v>627</v>
      </c>
      <c r="D64" s="83" t="s">
        <v>42</v>
      </c>
      <c r="E64" s="24" t="s">
        <v>82</v>
      </c>
      <c r="F64" s="63"/>
      <c r="G64" s="72" t="s">
        <v>212</v>
      </c>
      <c r="H64" s="63"/>
    </row>
    <row r="65" ht="16.5" customHeight="1">
      <c r="A65" s="63"/>
      <c r="B65" s="72" t="s">
        <v>212</v>
      </c>
      <c r="C65" s="72" t="s">
        <v>212</v>
      </c>
      <c r="D65" s="72" t="s">
        <v>212</v>
      </c>
      <c r="E65" s="72" t="s">
        <v>212</v>
      </c>
      <c r="F65" s="63"/>
      <c r="G65" s="72" t="s">
        <v>212</v>
      </c>
      <c r="H65" s="63"/>
    </row>
    <row r="66" ht="16.5" customHeight="1">
      <c r="A66" s="64" t="s">
        <v>84</v>
      </c>
      <c r="B66" s="79" t="s">
        <v>86</v>
      </c>
      <c r="C66" s="46"/>
      <c r="D66" s="79" t="s">
        <v>88</v>
      </c>
      <c r="E66" s="46"/>
      <c r="F66" s="79" t="s">
        <v>89</v>
      </c>
      <c r="G66" s="46"/>
      <c r="H66" s="63"/>
    </row>
    <row r="67" ht="16.5" customHeight="1">
      <c r="A67" s="68"/>
      <c r="B67" s="55" t="s">
        <v>29</v>
      </c>
      <c r="C67" s="78" t="s">
        <v>32</v>
      </c>
      <c r="D67" s="55" t="s">
        <v>29</v>
      </c>
      <c r="E67" s="78" t="s">
        <v>32</v>
      </c>
      <c r="F67" s="55" t="s">
        <v>29</v>
      </c>
      <c r="G67" s="78" t="s">
        <v>32</v>
      </c>
      <c r="H67" s="63"/>
    </row>
    <row r="68" ht="16.5" customHeight="1">
      <c r="A68" s="56" t="s">
        <v>33</v>
      </c>
      <c r="B68" s="83" t="s">
        <v>40</v>
      </c>
      <c r="C68" s="82" t="s">
        <v>633</v>
      </c>
      <c r="D68" s="88" t="s">
        <v>212</v>
      </c>
      <c r="E68" s="102" t="str">
        <f t="shared" ref="E68:E77" si="3">"Human" &amp; " - " &amp; D$66 &amp; " - " &amp; $A68</f>
        <v>Human - Virtual Machine - Availability</v>
      </c>
      <c r="F68" s="88" t="s">
        <v>212</v>
      </c>
      <c r="G68" s="102" t="str">
        <f t="shared" ref="G68:G77" si="4">"Human" &amp; " - " &amp; F$66 &amp; " - " &amp; $A68</f>
        <v>Human - Microkernel - Availability</v>
      </c>
      <c r="H68" s="63"/>
    </row>
    <row r="69" ht="16.5" customHeight="1">
      <c r="A69" s="56" t="s">
        <v>46</v>
      </c>
      <c r="B69" s="83" t="s">
        <v>48</v>
      </c>
      <c r="C69" s="82" t="s">
        <v>640</v>
      </c>
      <c r="D69" s="88" t="s">
        <v>212</v>
      </c>
      <c r="E69" s="107" t="str">
        <f t="shared" si="3"/>
        <v>Human - Virtual Machine - Deployability</v>
      </c>
      <c r="F69" s="88" t="s">
        <v>212</v>
      </c>
      <c r="G69" s="102" t="str">
        <f t="shared" si="4"/>
        <v>Human - Microkernel - Deployability</v>
      </c>
      <c r="H69" s="63"/>
    </row>
    <row r="70" ht="16.5" customHeight="1">
      <c r="A70" s="56" t="s">
        <v>52</v>
      </c>
      <c r="B70" s="83" t="s">
        <v>48</v>
      </c>
      <c r="C70" s="82" t="s">
        <v>643</v>
      </c>
      <c r="D70" s="88" t="s">
        <v>212</v>
      </c>
      <c r="E70" s="102" t="str">
        <f t="shared" si="3"/>
        <v>Human - Virtual Machine - Integrability</v>
      </c>
      <c r="F70" s="88" t="s">
        <v>212</v>
      </c>
      <c r="G70" s="102" t="str">
        <f t="shared" si="4"/>
        <v>Human - Microkernel - Integrability</v>
      </c>
      <c r="H70" s="63"/>
    </row>
    <row r="71" ht="16.5" customHeight="1">
      <c r="A71" s="56" t="s">
        <v>58</v>
      </c>
      <c r="B71" s="83" t="s">
        <v>40</v>
      </c>
      <c r="C71" s="82" t="s">
        <v>647</v>
      </c>
      <c r="D71" s="88" t="s">
        <v>212</v>
      </c>
      <c r="E71" s="102" t="str">
        <f t="shared" si="3"/>
        <v>Human - Virtual Machine - Energy Efficiency</v>
      </c>
      <c r="F71" s="88" t="s">
        <v>212</v>
      </c>
      <c r="G71" s="102" t="str">
        <f t="shared" si="4"/>
        <v>Human - Microkernel - Energy Efficiency</v>
      </c>
      <c r="H71" s="63"/>
    </row>
    <row r="72" ht="16.5" customHeight="1">
      <c r="A72" s="56" t="s">
        <v>61</v>
      </c>
      <c r="B72" s="83" t="s">
        <v>48</v>
      </c>
      <c r="C72" s="82" t="s">
        <v>650</v>
      </c>
      <c r="D72" s="88" t="s">
        <v>212</v>
      </c>
      <c r="E72" s="102" t="str">
        <f t="shared" si="3"/>
        <v>Human - Virtual Machine - Modifiability</v>
      </c>
      <c r="F72" s="88" t="s">
        <v>212</v>
      </c>
      <c r="G72" s="102" t="str">
        <f t="shared" si="4"/>
        <v>Human - Microkernel - Modifiability</v>
      </c>
      <c r="H72" s="63"/>
    </row>
    <row r="73" ht="16.5" customHeight="1">
      <c r="A73" s="56" t="s">
        <v>65</v>
      </c>
      <c r="B73" s="83" t="s">
        <v>40</v>
      </c>
      <c r="C73" s="82" t="s">
        <v>651</v>
      </c>
      <c r="D73" s="88" t="s">
        <v>212</v>
      </c>
      <c r="E73" s="102" t="str">
        <f t="shared" si="3"/>
        <v>Human - Virtual Machine - Performance</v>
      </c>
      <c r="F73" s="88" t="s">
        <v>212</v>
      </c>
      <c r="G73" s="102" t="str">
        <f t="shared" si="4"/>
        <v>Human - Microkernel - Performance</v>
      </c>
      <c r="H73" s="63"/>
    </row>
    <row r="74" ht="16.5" customHeight="1">
      <c r="A74" s="56" t="s">
        <v>68</v>
      </c>
      <c r="B74" s="83" t="s">
        <v>42</v>
      </c>
      <c r="C74" s="82" t="s">
        <v>652</v>
      </c>
      <c r="D74" s="88" t="s">
        <v>212</v>
      </c>
      <c r="E74" s="102" t="str">
        <f t="shared" si="3"/>
        <v>Human - Virtual Machine - Safety</v>
      </c>
      <c r="F74" s="88" t="s">
        <v>212</v>
      </c>
      <c r="G74" s="102" t="str">
        <f t="shared" si="4"/>
        <v>Human - Microkernel - Safety</v>
      </c>
    </row>
    <row r="75" ht="16.5" customHeight="1">
      <c r="A75" s="56" t="s">
        <v>74</v>
      </c>
      <c r="B75" s="83" t="s">
        <v>48</v>
      </c>
      <c r="C75" s="82" t="s">
        <v>654</v>
      </c>
      <c r="D75" s="88" t="s">
        <v>212</v>
      </c>
      <c r="E75" s="102" t="str">
        <f t="shared" si="3"/>
        <v>Human - Virtual Machine - Security</v>
      </c>
      <c r="F75" s="88" t="s">
        <v>212</v>
      </c>
      <c r="G75" s="102" t="str">
        <f t="shared" si="4"/>
        <v>Human - Microkernel - Security</v>
      </c>
    </row>
    <row r="76" ht="16.5" customHeight="1">
      <c r="A76" s="56" t="s">
        <v>75</v>
      </c>
      <c r="B76" s="83" t="s">
        <v>48</v>
      </c>
      <c r="C76" s="82" t="s">
        <v>657</v>
      </c>
      <c r="D76" s="88" t="s">
        <v>212</v>
      </c>
      <c r="E76" s="102" t="str">
        <f t="shared" si="3"/>
        <v>Human - Virtual Machine - Testability</v>
      </c>
      <c r="F76" s="88" t="s">
        <v>212</v>
      </c>
      <c r="G76" s="102" t="str">
        <f t="shared" si="4"/>
        <v>Human - Microkernel - Testability</v>
      </c>
    </row>
    <row r="77" ht="16.5" customHeight="1">
      <c r="A77" s="56" t="s">
        <v>79</v>
      </c>
      <c r="B77" s="83" t="s">
        <v>42</v>
      </c>
      <c r="C77" s="27" t="s">
        <v>659</v>
      </c>
      <c r="D77" s="88" t="s">
        <v>212</v>
      </c>
      <c r="E77" s="102" t="str">
        <f t="shared" si="3"/>
        <v>Human - Virtual Machine - Usability</v>
      </c>
      <c r="F77" s="88" t="s">
        <v>212</v>
      </c>
      <c r="G77" s="102" t="str">
        <f t="shared" si="4"/>
        <v>Human - Microkernel - Usability</v>
      </c>
    </row>
    <row r="78" ht="16.5" customHeight="1">
      <c r="A78" s="63"/>
      <c r="B78" s="72" t="s">
        <v>212</v>
      </c>
      <c r="C78" s="72" t="s">
        <v>212</v>
      </c>
      <c r="D78" s="72" t="s">
        <v>212</v>
      </c>
      <c r="E78" s="72" t="s">
        <v>212</v>
      </c>
      <c r="F78" s="72" t="s">
        <v>212</v>
      </c>
      <c r="G78" s="72" t="s">
        <v>212</v>
      </c>
    </row>
    <row r="79" ht="16.5" customHeight="1">
      <c r="A79" s="53" t="s">
        <v>90</v>
      </c>
      <c r="B79" s="79" t="s">
        <v>145</v>
      </c>
      <c r="C79" s="46"/>
      <c r="D79" s="79" t="s">
        <v>92</v>
      </c>
      <c r="E79" s="46"/>
    </row>
    <row r="80" ht="16.5" customHeight="1">
      <c r="A80" s="47"/>
      <c r="B80" s="55" t="s">
        <v>29</v>
      </c>
      <c r="C80" s="55" t="s">
        <v>32</v>
      </c>
      <c r="D80" s="55" t="s">
        <v>29</v>
      </c>
      <c r="E80" s="55" t="s">
        <v>32</v>
      </c>
    </row>
    <row r="81" ht="16.5" customHeight="1">
      <c r="A81" s="56" t="s">
        <v>33</v>
      </c>
      <c r="B81" s="83" t="s">
        <v>40</v>
      </c>
      <c r="C81" s="82" t="s">
        <v>669</v>
      </c>
      <c r="D81" s="83" t="s">
        <v>40</v>
      </c>
      <c r="E81" s="82" t="s">
        <v>671</v>
      </c>
    </row>
    <row r="82" ht="16.5" customHeight="1">
      <c r="A82" s="56" t="s">
        <v>46</v>
      </c>
      <c r="B82" s="83" t="s">
        <v>48</v>
      </c>
      <c r="C82" s="82" t="s">
        <v>673</v>
      </c>
      <c r="D82" s="83" t="s">
        <v>48</v>
      </c>
      <c r="E82" s="89" t="s">
        <v>675</v>
      </c>
      <c r="F82" s="27" t="s">
        <v>677</v>
      </c>
    </row>
    <row r="83" ht="16.5" customHeight="1">
      <c r="A83" s="56" t="s">
        <v>52</v>
      </c>
      <c r="B83" s="83" t="s">
        <v>48</v>
      </c>
      <c r="C83" s="82" t="s">
        <v>679</v>
      </c>
      <c r="D83" s="83" t="s">
        <v>48</v>
      </c>
      <c r="E83" s="82" t="s">
        <v>680</v>
      </c>
    </row>
    <row r="84" ht="16.5" customHeight="1">
      <c r="A84" s="56" t="s">
        <v>58</v>
      </c>
      <c r="B84" s="83" t="s">
        <v>40</v>
      </c>
      <c r="C84" s="82" t="s">
        <v>683</v>
      </c>
      <c r="D84" s="83" t="s">
        <v>48</v>
      </c>
      <c r="E84" s="82" t="s">
        <v>685</v>
      </c>
    </row>
    <row r="85" ht="16.5" customHeight="1">
      <c r="A85" s="56" t="s">
        <v>61</v>
      </c>
      <c r="B85" s="83" t="s">
        <v>48</v>
      </c>
      <c r="C85" s="82" t="s">
        <v>686</v>
      </c>
      <c r="D85" s="83" t="s">
        <v>48</v>
      </c>
      <c r="E85" s="82" t="s">
        <v>688</v>
      </c>
    </row>
    <row r="86" ht="16.5" customHeight="1">
      <c r="A86" s="56" t="s">
        <v>65</v>
      </c>
      <c r="B86" s="83" t="s">
        <v>42</v>
      </c>
      <c r="C86" s="82" t="s">
        <v>691</v>
      </c>
      <c r="D86" s="83" t="s">
        <v>42</v>
      </c>
      <c r="E86" s="82" t="s">
        <v>692</v>
      </c>
    </row>
    <row r="87" ht="16.5" customHeight="1">
      <c r="A87" s="56" t="s">
        <v>68</v>
      </c>
      <c r="B87" s="83" t="s">
        <v>42</v>
      </c>
      <c r="C87" s="82" t="s">
        <v>695</v>
      </c>
      <c r="D87" s="83" t="s">
        <v>48</v>
      </c>
      <c r="E87" s="82" t="s">
        <v>696</v>
      </c>
    </row>
    <row r="88" ht="16.5" customHeight="1">
      <c r="A88" s="56" t="s">
        <v>74</v>
      </c>
      <c r="B88" s="83" t="s">
        <v>48</v>
      </c>
      <c r="C88" s="82" t="s">
        <v>698</v>
      </c>
      <c r="D88" s="83" t="s">
        <v>40</v>
      </c>
      <c r="E88" s="82" t="s">
        <v>700</v>
      </c>
    </row>
    <row r="89" ht="16.5" customHeight="1">
      <c r="A89" s="56" t="s">
        <v>75</v>
      </c>
      <c r="B89" s="83" t="s">
        <v>40</v>
      </c>
      <c r="C89" s="82" t="s">
        <v>702</v>
      </c>
      <c r="D89" s="83" t="s">
        <v>40</v>
      </c>
      <c r="E89" s="82" t="s">
        <v>704</v>
      </c>
    </row>
    <row r="90" ht="16.5" customHeight="1">
      <c r="A90" s="56" t="s">
        <v>79</v>
      </c>
      <c r="B90" s="83" t="s">
        <v>42</v>
      </c>
      <c r="C90" s="82" t="s">
        <v>705</v>
      </c>
      <c r="D90" s="83" t="s">
        <v>42</v>
      </c>
      <c r="E90" s="102" t="s">
        <v>522</v>
      </c>
    </row>
    <row r="91" ht="16.5" customHeight="1">
      <c r="A91" s="63"/>
      <c r="B91" s="72" t="s">
        <v>212</v>
      </c>
      <c r="C91" s="63"/>
      <c r="D91" s="72" t="s">
        <v>212</v>
      </c>
      <c r="E91" s="63"/>
      <c r="F91" s="72" t="s">
        <v>212</v>
      </c>
      <c r="G91" s="63"/>
    </row>
    <row r="92" ht="16.5" customHeight="1">
      <c r="A92" s="53" t="s">
        <v>90</v>
      </c>
      <c r="B92" s="79" t="s">
        <v>96</v>
      </c>
      <c r="C92" s="46"/>
      <c r="D92" s="71" t="s">
        <v>97</v>
      </c>
      <c r="E92" s="46"/>
    </row>
    <row r="93" ht="16.5" customHeight="1">
      <c r="A93" s="47"/>
      <c r="B93" s="55" t="s">
        <v>29</v>
      </c>
      <c r="C93" s="55" t="s">
        <v>32</v>
      </c>
      <c r="D93" s="55" t="s">
        <v>29</v>
      </c>
      <c r="E93" s="55" t="s">
        <v>32</v>
      </c>
    </row>
    <row r="94" ht="16.5" customHeight="1">
      <c r="A94" s="56" t="s">
        <v>33</v>
      </c>
      <c r="B94" s="83" t="s">
        <v>77</v>
      </c>
      <c r="C94" s="82" t="s">
        <v>706</v>
      </c>
      <c r="D94" s="83" t="s">
        <v>48</v>
      </c>
      <c r="E94" s="89" t="s">
        <v>707</v>
      </c>
      <c r="G94" s="27" t="s">
        <v>708</v>
      </c>
    </row>
    <row r="95" ht="16.5" customHeight="1">
      <c r="A95" s="56" t="s">
        <v>46</v>
      </c>
      <c r="B95" s="83" t="s">
        <v>43</v>
      </c>
      <c r="C95" s="82" t="s">
        <v>709</v>
      </c>
      <c r="D95" s="83" t="s">
        <v>48</v>
      </c>
      <c r="E95" s="82" t="s">
        <v>710</v>
      </c>
    </row>
    <row r="96" ht="16.5" customHeight="1">
      <c r="A96" s="56" t="s">
        <v>52</v>
      </c>
      <c r="B96" s="83" t="s">
        <v>43</v>
      </c>
      <c r="C96" s="82" t="s">
        <v>711</v>
      </c>
      <c r="D96" s="83" t="s">
        <v>48</v>
      </c>
      <c r="E96" s="82" t="s">
        <v>712</v>
      </c>
    </row>
    <row r="97" ht="16.5" customHeight="1">
      <c r="A97" s="56" t="s">
        <v>58</v>
      </c>
      <c r="B97" s="83" t="s">
        <v>40</v>
      </c>
      <c r="C97" s="82" t="s">
        <v>713</v>
      </c>
      <c r="D97" s="83" t="s">
        <v>40</v>
      </c>
      <c r="E97" s="82" t="s">
        <v>714</v>
      </c>
    </row>
    <row r="98" ht="16.5" customHeight="1">
      <c r="A98" s="56" t="s">
        <v>61</v>
      </c>
      <c r="B98" s="83" t="s">
        <v>43</v>
      </c>
      <c r="C98" s="82" t="s">
        <v>715</v>
      </c>
      <c r="D98" s="83" t="s">
        <v>48</v>
      </c>
      <c r="E98" s="82" t="s">
        <v>716</v>
      </c>
    </row>
    <row r="99" ht="16.5" customHeight="1">
      <c r="A99" s="56" t="s">
        <v>65</v>
      </c>
      <c r="B99" s="83" t="s">
        <v>40</v>
      </c>
      <c r="C99" s="82" t="s">
        <v>717</v>
      </c>
      <c r="D99" s="83" t="s">
        <v>40</v>
      </c>
      <c r="E99" s="82" t="s">
        <v>718</v>
      </c>
    </row>
    <row r="100" ht="16.5" customHeight="1">
      <c r="A100" s="56" t="s">
        <v>68</v>
      </c>
      <c r="B100" s="83" t="s">
        <v>40</v>
      </c>
      <c r="C100" s="82" t="s">
        <v>719</v>
      </c>
      <c r="D100" s="83" t="s">
        <v>48</v>
      </c>
      <c r="E100" s="82" t="s">
        <v>606</v>
      </c>
    </row>
    <row r="101" ht="16.5" customHeight="1">
      <c r="A101" s="56" t="s">
        <v>74</v>
      </c>
      <c r="B101" s="83" t="s">
        <v>40</v>
      </c>
      <c r="C101" s="82" t="s">
        <v>720</v>
      </c>
      <c r="D101" s="83" t="s">
        <v>42</v>
      </c>
      <c r="E101" s="52" t="s">
        <v>721</v>
      </c>
    </row>
    <row r="102" ht="16.5" customHeight="1">
      <c r="A102" s="56" t="s">
        <v>75</v>
      </c>
      <c r="B102" s="83" t="s">
        <v>40</v>
      </c>
      <c r="C102" s="82" t="s">
        <v>722</v>
      </c>
      <c r="D102" s="83" t="s">
        <v>40</v>
      </c>
      <c r="E102" s="82" t="s">
        <v>620</v>
      </c>
    </row>
    <row r="103" ht="16.5" customHeight="1">
      <c r="A103" s="56" t="s">
        <v>79</v>
      </c>
      <c r="B103" s="83" t="s">
        <v>42</v>
      </c>
      <c r="C103" s="82" t="s">
        <v>723</v>
      </c>
      <c r="D103" s="83" t="s">
        <v>42</v>
      </c>
      <c r="E103" s="82" t="s">
        <v>522</v>
      </c>
    </row>
    <row r="104" ht="16.5" customHeight="1">
      <c r="A104" s="63"/>
      <c r="B104" s="72" t="s">
        <v>212</v>
      </c>
      <c r="C104" s="63"/>
      <c r="D104" s="72" t="s">
        <v>212</v>
      </c>
      <c r="E104" s="63"/>
      <c r="F104" s="63"/>
      <c r="G104" s="63"/>
    </row>
    <row r="105" ht="16.5" customHeight="1">
      <c r="A105" s="53" t="s">
        <v>90</v>
      </c>
      <c r="B105" s="79" t="s">
        <v>98</v>
      </c>
      <c r="C105" s="46"/>
      <c r="D105" s="71" t="s">
        <v>493</v>
      </c>
      <c r="E105" s="46"/>
    </row>
    <row r="106" ht="16.5" customHeight="1">
      <c r="A106" s="47"/>
      <c r="B106" s="55" t="s">
        <v>29</v>
      </c>
      <c r="C106" s="55" t="s">
        <v>32</v>
      </c>
      <c r="D106" s="55" t="s">
        <v>29</v>
      </c>
      <c r="E106" s="55" t="s">
        <v>32</v>
      </c>
    </row>
    <row r="107" ht="16.5" customHeight="1">
      <c r="A107" s="56" t="s">
        <v>33</v>
      </c>
      <c r="B107" s="83" t="s">
        <v>48</v>
      </c>
      <c r="C107" s="82" t="s">
        <v>724</v>
      </c>
      <c r="D107" s="83" t="s">
        <v>43</v>
      </c>
      <c r="E107" s="82" t="s">
        <v>725</v>
      </c>
    </row>
    <row r="108" ht="16.5" customHeight="1">
      <c r="A108" s="56" t="s">
        <v>46</v>
      </c>
      <c r="B108" s="83" t="s">
        <v>42</v>
      </c>
      <c r="C108" s="82" t="s">
        <v>726</v>
      </c>
      <c r="D108" s="83" t="s">
        <v>48</v>
      </c>
      <c r="E108" s="82" t="s">
        <v>727</v>
      </c>
    </row>
    <row r="109" ht="16.5" customHeight="1">
      <c r="A109" s="56" t="s">
        <v>52</v>
      </c>
      <c r="B109" s="83" t="s">
        <v>43</v>
      </c>
      <c r="C109" s="82" t="s">
        <v>728</v>
      </c>
      <c r="D109" s="83" t="s">
        <v>48</v>
      </c>
      <c r="E109" s="82" t="s">
        <v>729</v>
      </c>
    </row>
    <row r="110" ht="16.5" customHeight="1">
      <c r="A110" s="56" t="s">
        <v>58</v>
      </c>
      <c r="B110" s="83" t="s">
        <v>40</v>
      </c>
      <c r="C110" s="82" t="s">
        <v>730</v>
      </c>
      <c r="D110" s="83" t="s">
        <v>77</v>
      </c>
      <c r="E110" s="82" t="s">
        <v>731</v>
      </c>
    </row>
    <row r="111" ht="16.5" customHeight="1">
      <c r="A111" s="56" t="s">
        <v>61</v>
      </c>
      <c r="B111" s="83" t="s">
        <v>43</v>
      </c>
      <c r="C111" s="82" t="s">
        <v>732</v>
      </c>
      <c r="D111" s="83" t="s">
        <v>48</v>
      </c>
      <c r="E111" s="82" t="s">
        <v>733</v>
      </c>
    </row>
    <row r="112" ht="16.5" customHeight="1">
      <c r="A112" s="56" t="s">
        <v>65</v>
      </c>
      <c r="B112" s="83" t="s">
        <v>40</v>
      </c>
      <c r="C112" s="82" t="s">
        <v>734</v>
      </c>
      <c r="D112" s="83" t="s">
        <v>77</v>
      </c>
      <c r="E112" s="82" t="s">
        <v>735</v>
      </c>
    </row>
    <row r="113" ht="16.5" customHeight="1">
      <c r="A113" s="56" t="s">
        <v>68</v>
      </c>
      <c r="B113" s="83" t="s">
        <v>48</v>
      </c>
      <c r="C113" s="82" t="s">
        <v>736</v>
      </c>
      <c r="D113" s="83" t="s">
        <v>48</v>
      </c>
      <c r="E113" s="82" t="s">
        <v>737</v>
      </c>
    </row>
    <row r="114" ht="16.5" customHeight="1">
      <c r="A114" s="56" t="s">
        <v>74</v>
      </c>
      <c r="B114" s="83" t="s">
        <v>48</v>
      </c>
      <c r="C114" s="82" t="s">
        <v>738</v>
      </c>
      <c r="D114" s="83" t="s">
        <v>48</v>
      </c>
      <c r="E114" s="89" t="s">
        <v>739</v>
      </c>
    </row>
    <row r="115" ht="16.5" customHeight="1">
      <c r="A115" s="56" t="s">
        <v>75</v>
      </c>
      <c r="B115" s="83" t="s">
        <v>40</v>
      </c>
      <c r="C115" s="82" t="s">
        <v>740</v>
      </c>
      <c r="D115" s="83" t="s">
        <v>40</v>
      </c>
      <c r="E115" s="82" t="s">
        <v>741</v>
      </c>
    </row>
    <row r="116" ht="16.5" customHeight="1">
      <c r="A116" s="56" t="s">
        <v>79</v>
      </c>
      <c r="B116" s="83" t="s">
        <v>42</v>
      </c>
      <c r="C116" s="82" t="s">
        <v>742</v>
      </c>
      <c r="D116" s="83" t="s">
        <v>48</v>
      </c>
      <c r="E116" s="89" t="s">
        <v>743</v>
      </c>
    </row>
    <row r="117" ht="16.5" customHeight="1">
      <c r="A117" s="63"/>
      <c r="B117" s="72" t="s">
        <v>212</v>
      </c>
      <c r="C117" s="63"/>
      <c r="D117" s="72" t="s">
        <v>212</v>
      </c>
      <c r="E117" s="63"/>
      <c r="F117" s="63"/>
      <c r="G117" s="63"/>
    </row>
    <row r="118" ht="16.5" customHeight="1">
      <c r="A118" s="53" t="s">
        <v>100</v>
      </c>
      <c r="B118" s="71" t="s">
        <v>101</v>
      </c>
      <c r="C118" s="46"/>
      <c r="D118" s="71" t="s">
        <v>102</v>
      </c>
      <c r="E118" s="46"/>
      <c r="F118" s="71" t="s">
        <v>103</v>
      </c>
      <c r="G118" s="46"/>
    </row>
    <row r="119" ht="16.5" customHeight="1">
      <c r="A119" s="47"/>
      <c r="B119" s="55" t="s">
        <v>29</v>
      </c>
      <c r="C119" s="55" t="s">
        <v>32</v>
      </c>
      <c r="D119" s="55" t="s">
        <v>29</v>
      </c>
      <c r="E119" s="55" t="s">
        <v>32</v>
      </c>
      <c r="F119" s="55" t="s">
        <v>29</v>
      </c>
      <c r="G119" s="55" t="s">
        <v>32</v>
      </c>
    </row>
    <row r="120" ht="16.5" customHeight="1">
      <c r="A120" s="56" t="s">
        <v>33</v>
      </c>
      <c r="B120" s="88" t="s">
        <v>212</v>
      </c>
      <c r="C120" s="102" t="str">
        <f t="shared" ref="C120:C129" si="5">"Human" &amp; " - " &amp; B$118 &amp; " - " &amp; $A120</f>
        <v>Human - Container-based - Availability</v>
      </c>
      <c r="D120" s="88" t="s">
        <v>212</v>
      </c>
      <c r="E120" s="102" t="str">
        <f t="shared" ref="E120:E129" si="6">"Human" &amp; " - " &amp; D$118 &amp; " - " &amp; $A120</f>
        <v>Human - Cloud-based - Availability</v>
      </c>
      <c r="F120" s="83" t="s">
        <v>48</v>
      </c>
      <c r="G120" s="82" t="s">
        <v>744</v>
      </c>
    </row>
    <row r="121" ht="16.5" customHeight="1">
      <c r="A121" s="56" t="s">
        <v>46</v>
      </c>
      <c r="B121" s="88" t="s">
        <v>212</v>
      </c>
      <c r="C121" s="102" t="str">
        <f t="shared" si="5"/>
        <v>Human - Container-based - Deployability</v>
      </c>
      <c r="D121" s="88" t="s">
        <v>212</v>
      </c>
      <c r="E121" s="102" t="str">
        <f t="shared" si="6"/>
        <v>Human - Cloud-based - Deployability</v>
      </c>
      <c r="F121" s="83" t="s">
        <v>40</v>
      </c>
      <c r="G121" s="82" t="s">
        <v>745</v>
      </c>
    </row>
    <row r="122" ht="16.5" customHeight="1">
      <c r="A122" s="56" t="s">
        <v>52</v>
      </c>
      <c r="B122" s="88" t="s">
        <v>212</v>
      </c>
      <c r="C122" s="102" t="str">
        <f t="shared" si="5"/>
        <v>Human - Container-based - Integrability</v>
      </c>
      <c r="D122" s="88" t="s">
        <v>212</v>
      </c>
      <c r="E122" s="102" t="str">
        <f t="shared" si="6"/>
        <v>Human - Cloud-based - Integrability</v>
      </c>
      <c r="F122" s="83" t="s">
        <v>40</v>
      </c>
      <c r="G122" s="82" t="s">
        <v>746</v>
      </c>
    </row>
    <row r="123" ht="16.5" customHeight="1">
      <c r="A123" s="56" t="s">
        <v>58</v>
      </c>
      <c r="B123" s="88" t="s">
        <v>212</v>
      </c>
      <c r="C123" s="102" t="str">
        <f t="shared" si="5"/>
        <v>Human - Container-based - Energy Efficiency</v>
      </c>
      <c r="D123" s="88" t="s">
        <v>212</v>
      </c>
      <c r="E123" s="102" t="str">
        <f t="shared" si="6"/>
        <v>Human - Cloud-based - Energy Efficiency</v>
      </c>
      <c r="F123" s="83" t="s">
        <v>42</v>
      </c>
      <c r="G123" s="82" t="s">
        <v>747</v>
      </c>
    </row>
    <row r="124" ht="16.5" customHeight="1">
      <c r="A124" s="56" t="s">
        <v>61</v>
      </c>
      <c r="B124" s="88" t="s">
        <v>212</v>
      </c>
      <c r="C124" s="102" t="str">
        <f t="shared" si="5"/>
        <v>Human - Container-based - Modifiability</v>
      </c>
      <c r="D124" s="88" t="s">
        <v>212</v>
      </c>
      <c r="E124" s="102" t="str">
        <f t="shared" si="6"/>
        <v>Human - Cloud-based - Modifiability</v>
      </c>
      <c r="F124" s="83" t="s">
        <v>40</v>
      </c>
      <c r="G124" s="82" t="s">
        <v>748</v>
      </c>
      <c r="I124" s="27" t="s">
        <v>749</v>
      </c>
    </row>
    <row r="125" ht="16.5" customHeight="1">
      <c r="A125" s="56" t="s">
        <v>65</v>
      </c>
      <c r="B125" s="88" t="s">
        <v>212</v>
      </c>
      <c r="C125" s="102" t="str">
        <f t="shared" si="5"/>
        <v>Human - Container-based - Performance</v>
      </c>
      <c r="D125" s="88" t="s">
        <v>212</v>
      </c>
      <c r="E125" s="102" t="str">
        <f t="shared" si="6"/>
        <v>Human - Cloud-based - Performance</v>
      </c>
      <c r="F125" s="83" t="s">
        <v>48</v>
      </c>
      <c r="G125" s="82" t="s">
        <v>750</v>
      </c>
    </row>
    <row r="126" ht="16.5" customHeight="1">
      <c r="A126" s="56" t="s">
        <v>68</v>
      </c>
      <c r="B126" s="88" t="s">
        <v>212</v>
      </c>
      <c r="C126" s="102" t="str">
        <f t="shared" si="5"/>
        <v>Human - Container-based - Safety</v>
      </c>
      <c r="D126" s="88" t="s">
        <v>212</v>
      </c>
      <c r="E126" s="102" t="str">
        <f t="shared" si="6"/>
        <v>Human - Cloud-based - Safety</v>
      </c>
      <c r="F126" s="83" t="s">
        <v>48</v>
      </c>
      <c r="G126" s="82" t="s">
        <v>751</v>
      </c>
    </row>
    <row r="127" ht="54.0" customHeight="1">
      <c r="A127" s="56" t="s">
        <v>74</v>
      </c>
      <c r="B127" s="88" t="s">
        <v>212</v>
      </c>
      <c r="C127" s="102" t="str">
        <f t="shared" si="5"/>
        <v>Human - Container-based - Security</v>
      </c>
      <c r="D127" s="88" t="s">
        <v>212</v>
      </c>
      <c r="E127" s="102" t="str">
        <f t="shared" si="6"/>
        <v>Human - Cloud-based - Security</v>
      </c>
      <c r="F127" s="83" t="s">
        <v>40</v>
      </c>
      <c r="G127" s="82" t="s">
        <v>752</v>
      </c>
      <c r="I127" s="100" t="s">
        <v>753</v>
      </c>
    </row>
    <row r="128" ht="16.5" customHeight="1">
      <c r="A128" s="56" t="s">
        <v>75</v>
      </c>
      <c r="B128" s="88" t="s">
        <v>212</v>
      </c>
      <c r="C128" s="102" t="str">
        <f t="shared" si="5"/>
        <v>Human - Container-based - Testability</v>
      </c>
      <c r="D128" s="88" t="s">
        <v>212</v>
      </c>
      <c r="E128" s="102" t="str">
        <f t="shared" si="6"/>
        <v>Human - Cloud-based - Testability</v>
      </c>
      <c r="F128" s="83" t="s">
        <v>40</v>
      </c>
      <c r="G128" s="89" t="s">
        <v>754</v>
      </c>
      <c r="I128" s="27" t="s">
        <v>755</v>
      </c>
    </row>
    <row r="129" ht="16.5" customHeight="1">
      <c r="A129" s="56" t="s">
        <v>79</v>
      </c>
      <c r="B129" s="88" t="s">
        <v>212</v>
      </c>
      <c r="C129" s="102" t="str">
        <f t="shared" si="5"/>
        <v>Human - Container-based - Usability</v>
      </c>
      <c r="D129" s="88" t="s">
        <v>212</v>
      </c>
      <c r="E129" s="102" t="str">
        <f t="shared" si="6"/>
        <v>Human - Cloud-based - Usability</v>
      </c>
      <c r="F129" s="109" t="s">
        <v>48</v>
      </c>
      <c r="G129" s="89" t="s">
        <v>756</v>
      </c>
      <c r="I129" s="4" t="s">
        <v>757</v>
      </c>
    </row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A2"/>
    <mergeCell ref="B1:C1"/>
    <mergeCell ref="D1:E1"/>
    <mergeCell ref="F1:G1"/>
    <mergeCell ref="B14:C14"/>
    <mergeCell ref="D14:E14"/>
    <mergeCell ref="D27:E27"/>
    <mergeCell ref="B27:C27"/>
    <mergeCell ref="B40:C40"/>
    <mergeCell ref="D40:E40"/>
    <mergeCell ref="B53:C53"/>
    <mergeCell ref="D53:E53"/>
    <mergeCell ref="D66:E66"/>
    <mergeCell ref="F66:G66"/>
    <mergeCell ref="A105:A106"/>
    <mergeCell ref="B105:C105"/>
    <mergeCell ref="D105:E105"/>
    <mergeCell ref="A118:A119"/>
    <mergeCell ref="B118:C118"/>
    <mergeCell ref="D118:E118"/>
    <mergeCell ref="F118:G118"/>
    <mergeCell ref="B66:C66"/>
    <mergeCell ref="A79:A80"/>
    <mergeCell ref="B79:C79"/>
    <mergeCell ref="D79:E79"/>
    <mergeCell ref="A92:A93"/>
    <mergeCell ref="B92:C92"/>
    <mergeCell ref="D92:E92"/>
  </mergeCells>
  <dataValidations>
    <dataValidation type="list" allowBlank="1" showErrorMessage="1" sqref="B3:B12 D3:D12 F3:F12 B14 D14 B16:B25 D16:D25 B27 D27 B29:B38 D29:D38 B42:B51 D42:D51 B53 D53 B55:B64 D55:D64 B66 D66 F66 B68:B77 D68:D77 F68:F78 B79 D79 B81:B90 D81:D90 B92 B94:B103 D94:D103 B107:B116 D107:D116 B120:B129 D120:D129 F120:F129">
      <formula1>"'++,'+,'0,'-,'--"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2026-09-03T11:26:15Z</dcterms:created>
  <dc:creator>김덕겸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6E519BA2EED35B6C97B361C0D562289A2FECB733DDB0F8C1CC21DD9C9B536CBE007F1B4BF0E5C25EEC4F563B656D092FE6F2A52B70A00257A6B82A71AB390F89</vt:lpwstr>
  </property>
  <property fmtid="{D5CDD505-2E9C-101B-9397-08002B2CF9AE}" pid="3" name="ContentTypeId">
    <vt:lpwstr>0x0101009EB770C6058C0A408AAF2910384D1419</vt:lpwstr>
  </property>
</Properties>
</file>