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F" sheetId="1" r:id="rId4"/>
    <sheet state="visible" name="DC" sheetId="2" r:id="rId5"/>
    <sheet state="visible" name="II" sheetId="3" r:id="rId6"/>
    <sheet state="visible" name="IO" sheetId="4" r:id="rId7"/>
    <sheet state="visible" name="H1" sheetId="5" r:id="rId8"/>
    <sheet state="visible" name="H2" sheetId="6" r:id="rId9"/>
    <sheet state="visible" name="DA1" sheetId="7" r:id="rId10"/>
    <sheet state="visible" name="DA2" sheetId="8" r:id="rId11"/>
    <sheet state="visible" name="DA3" sheetId="9" r:id="rId12"/>
    <sheet state="visible" name="Dep" sheetId="10" r:id="rId13"/>
    <sheet state="visible" name="Detailed Reasoning" sheetId="11" r:id="rId14"/>
    <sheet state="visible" name="1조" sheetId="12" r:id="rId15"/>
    <sheet state="visible" name="2조" sheetId="13" r:id="rId16"/>
    <sheet state="visible" name="3조" sheetId="14" r:id="rId17"/>
    <sheet state="visible" name="4조" sheetId="15" r:id="rId18"/>
    <sheet state="visible" name="5조" sheetId="16" r:id="rId19"/>
    <sheet state="visible" name="6조" sheetId="17" r:id="rId20"/>
    <sheet state="visible" name="7조" sheetId="18" r:id="rId21"/>
    <sheet state="visible" name="8조" sheetId="19" r:id="rId22"/>
    <sheet state="visible" name="9조" sheetId="20" r:id="rId23"/>
  </sheets>
  <definedNames/>
  <calcPr/>
  <extLst>
    <ext uri="GoogleSheetsCustomDataVersion2">
      <go:sheetsCustomData xmlns:go="http://customooxmlschemas.google.com/" r:id="rId24" roundtripDataChecksum="rhMY0gb4IIoOXWBkCblB9L7WvnSoMJiTaQsqD3X0cr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
ID#AAACGs8NPLA
Hongwon Kim    (2026-09-07 05:11:16)
Safety 품질 속성에 대한 평가에 가까움. Availibility 품질 속성에 대한 평가인지 고민이 필요</t>
      </text>
    </comment>
    <comment authorId="0" ref="G6">
      <text>
        <t xml:space="preserve">======
ID#AAACGs8NPK8
Hongwon Kim    (2026-09-07 05:10:26)
Safety 품질 속성에 대한 내용으로 작성됨</t>
      </text>
    </comment>
    <comment authorId="0" ref="C30">
      <text>
        <t xml:space="preserve">======
ID#AAACGs8NPLI
Hongwon Kim    (2026-09-07 05:13:47)
Input/Output의 일관성은 이미 확보되어 있다고 보아야 함</t>
      </text>
    </comment>
    <comment authorId="0" ref="B92">
      <text>
        <t xml:space="preserve">======
ID#AAACGs8NPMA
Hongwon Kim    (2026-09-07 05:32:07)
Justification 이 +, ++인데 Effects 가 +임. 다른 품질 속성들과 같은 기준으로 Effects 레이팅이 필요</t>
      </text>
    </comment>
    <comment authorId="0" ref="G63">
      <text>
        <t xml:space="preserve">======
ID#AAACGs8NPLU
Hongwon Kim    (2026-09-07 05:24:37)
Latency가 추가된다고 보기에는 조금 어려움</t>
      </text>
    </comment>
    <comment authorId="0" ref="G31">
      <text>
        <t xml:space="preserve">======
ID#AAACGs8NPLQ
Hongwon Kim    (2026-09-07 05:17:27)
의미적 연결이 어렵다는 점에 대한 고려가 들어가면 좋을 것 같음</t>
      </text>
    </comment>
    <comment authorId="0" ref="G30">
      <text>
        <t xml:space="preserve">======
ID#AAACGs8NPLM
Hongwon Kim    (2026-09-07 05:17:20)
의미적 연결이 어렵다는 점에 대한 고려가 들어가면 좋을 것 같음</t>
      </text>
    </comment>
    <comment authorId="0" ref="E91">
      <text>
        <t xml:space="preserve">======
ID#AAACGs8NPME
Hongwon Kim    (2026-09-07 05:33:09)
Testability는 Batch seq. 대비하여 동시성 실행으로 인해 더 불리하다고 보아야 함</t>
      </text>
    </comment>
    <comment authorId="0" ref="G91">
      <text>
        <t xml:space="preserve">======
ID#AAACGs8NPMI
Hongwon Kim    (2026-09-07 05:33:44)
즉각적인 피드백이 가능하므로 + 정도로 보아야 함</t>
      </text>
    </comment>
    <comment authorId="0" ref="C85">
      <text>
        <t xml:space="preserve">======
ID#AAACGs8NPL4
Hongwon Kim    (2026-09-07 05:29:47)
영향성은 크다고 봐야 함</t>
      </text>
    </comment>
    <comment authorId="0" ref="C84">
      <text>
        <t xml:space="preserve">======
ID#AAACGs8NPL0
Hongwon Kim    (2026-09-07 05:29:22)
공격 받을 수 있는 포인트가 많음</t>
      </text>
    </comment>
    <comment authorId="0" ref="C80">
      <text>
        <t xml:space="preserve">======
ID#AAACGs8NPLw
Hongwon Kim    (2026-09-07 05:28:50)
Security에 불리한 시스템임을 고려가 필요</t>
      </text>
    </comment>
    <comment authorId="0" ref="E80">
      <text>
        <t xml:space="preserve">======
ID#AAACGs8NPL8
Hongwon Kim    (2026-09-07 05:30:23)
Batch Sequence 보다는 나으나 Safety 측면에서 여전히 약점이 있음</t>
      </text>
    </comment>
    <comment authorId="0" ref="C75">
      <text>
        <t xml:space="preserve">======
ID#AAACGs8NPLo
Hongwon Kim    (2026-09-07 05:26:54)
오류가 전파될 수 있는 trade-off에 대한 고려가 필요</t>
      </text>
    </comment>
    <comment authorId="0" ref="E73">
      <text>
        <t xml:space="preserve">======
ID#AAACGs8NPLs
Hongwon Kim    (2026-09-07 05:27:52)
Testbility 품질 속성에 대한 내용으로 보임</t>
      </text>
    </comment>
    <comment authorId="0" ref="C71">
      <text>
        <t xml:space="preserve">======
ID#AAACGs8NPLY
Hongwon Kim    (2026-09-07 05:25:32)
Testbility 품질 속성에 대한 내용으로 보임</t>
      </text>
    </comment>
    <comment authorId="0" ref="E9">
      <text>
        <t xml:space="preserve">======
ID#AAACGs8NPK4
Hongwon Kim    (2026-09-07 05:08:41)
부정적인 측면에 대한 고려가 필요</t>
      </text>
    </comment>
    <comment authorId="0" ref="E8">
      <text>
        <t xml:space="preserve">======
ID#AAACGs8NPK0
Hongwon Kim    (2026-09-07 05:07:56)
전체 System(Pipe)에 영향이 있다고 보아야 함</t>
      </text>
    </comment>
    <comment authorId="0" ref="G8">
      <text>
        <t xml:space="preserve">======
ID#AAACGs8NPLE
Hongwon Kim    (2026-09-07 05:11:33)
Safety 품질 속성에 대한 평가에 가까움. Availibility 품질 속성에 대한 평가인지 고민이 필요</t>
      </text>
    </comment>
  </commentList>
  <extLst>
    <ext uri="GoogleSheetsCustomDataVersion2">
      <go:sheetsCustomData xmlns:go="http://customooxmlschemas.google.com/" r:id="rId1" roundtripDataSignature="AMtx7mh5uOZgbwokEdY3Ifgpm0ijSUjtx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94">
      <text>
        <t xml:space="preserve">직관적이기는 하나 테스트 환경이 복잡해지는 점을 검토해보면 좋겠습니다
======</t>
      </text>
    </comment>
    <comment authorId="0" ref="C61">
      <text>
        <t xml:space="preserve">데이터를 메개체로 등록하고 읽는 과정의 오버해드도 고려 해보면 좋겠습니다
======</t>
      </text>
    </comment>
    <comment authorId="0" ref="C92">
      <text>
        <t xml:space="preserve">통합 테스가 복잡해니즌 부분이 조금더 문제가 된다고 생각 됩니다
======</t>
      </text>
    </comment>
    <comment authorId="0" ref="C53">
      <text>
        <t xml:space="preserve">componet 의 변경은 데이터의 변경보다 영향이 크지 않습니다.
======</t>
      </text>
    </comment>
    <comment authorId="0" ref="C84">
      <text>
        <t xml:space="preserve">동의 합니다. 다만, 공격 포인트가 명하고, 접근 경로가 많다는 점을 좀더 크게 고려해봐야 합니다
======</t>
      </text>
    </comment>
    <comment authorId="0" ref="E53">
      <text>
        <t xml:space="preserve">인터페이스를 변경해야 한다면? 데이터의 스키마가 변경되면 어떻게 될까요?
======</t>
      </text>
    </comment>
    <comment authorId="0" ref="E49">
      <text>
        <t xml:space="preserve">데이터의 스키마가 변경 도는 경우도 고려 해보면 좋겠습니다
======</t>
      </text>
    </comment>
    <comment authorId="0" ref="C105">
      <text>
        <t xml:space="preserve">음... 맞는 부분이긴 합니다. 일허게 생각 해볼수도 잇군요...
======</t>
      </text>
    </comment>
    <comment authorId="0" ref="E74">
      <text>
        <t xml:space="preserve">중앙 저장소가 단일 장애 지점이 되어 생기는 문제도 고려 해보면 좋겠습니다
======</t>
      </text>
    </comment>
    <comment authorId="0" ref="C103">
      <text>
        <t xml:space="preserve">화면구성, 입력 절차는 개발자의 관심 사항이라고 보는게 맞지 않을까요? 사용성은 엔드 유저릐 관점에서 평가하면 좋겠습니다
======</t>
      </text>
    </comment>
    <comment authorId="0" ref="C70">
      <text>
        <t xml:space="preserve">좋은 지적입니다!
다만 우측 커멘트의 내용도 고려해보면 좋겠습니다
======</t>
      </text>
    </comment>
    <comment authorId="0" ref="E72">
      <text>
        <t xml:space="preserve">우측 커멘트의 내용을 참고해보면 좋겠습니다
======</t>
      </text>
    </comment>
    <comment authorId="0" ref="E70">
      <text>
        <t xml:space="preserve">우측 커멘트의 내용을 참고해보면 좋겠습니다
======</t>
      </text>
    </comment>
    <comment authorId="0" ref="C64">
      <text>
        <t xml:space="preserve">데이터를 메개체로 등록하고 읽는 과정의 오버해드도 고려 해보면 좋겠습니다
======</t>
      </text>
    </comment>
    <comment authorId="0" ref="E97">
      <text>
        <t xml:space="preserve">단위 테스트 보다 통합테스트가 더  복잡해 집니다
======</t>
      </text>
    </comment>
    <comment authorId="0" ref="E25">
      <text>
        <t xml:space="preserve">======
ID#AAACGs8NPMM
Hongwon Kim    (2026-09-07 05:40:13)
Controller가 KS를 알아야 한다는 의존성이 있음</t>
      </text>
    </comment>
    <comment authorId="0" ref="C85">
      <text>
        <t xml:space="preserve">어떤의미인지? ^^;;;
우측 커멘트 내용 참고해보시면 좋겟습니다
======</t>
      </text>
    </comment>
    <comment authorId="0" ref="E85">
      <text>
        <t xml:space="preserve">하나의 위험 지점이 너무나도 명확한 공격 포인트입니다!
======</t>
      </text>
    </comment>
    <comment authorId="0" ref="E52">
      <text>
        <t xml:space="preserve">데이터의 스키마가 변경되면 어떻게 될까요?
======</t>
      </text>
    </comment>
    <comment authorId="0" ref="E50">
      <text>
        <t xml:space="preserve">데이터의 스키마가 변경 도는 경우도 고려 해보면 좋겠습니다
======</t>
      </text>
    </comment>
    <comment authorId="0" ref="C108">
      <text>
        <t xml:space="preserve">의견 주신 부분은 개발자에게 해장하는 내용이 가까워 보입니다
======</t>
      </text>
    </comment>
    <comment authorId="0" ref="C73">
      <text>
        <t xml:space="preserve">우측 커멘트를 참조 해보면 좋겠습니다
======</t>
      </text>
    </comment>
    <comment authorId="0" ref="E73">
      <text>
        <t xml:space="preserve">중앙 저장소가 단일 장애 지점이 되어 생기는 문제도 고려 해보면 좋겠습니다
======</t>
      </text>
    </comment>
    <comment authorId="0" ref="E71">
      <text>
        <t xml:space="preserve">중앙 저장소가 단일 장애 지점이 되어 생기는 문제도 고려 해보면 좋겠습니다
======</t>
      </text>
    </comment>
  </commentList>
  <extLst>
    <ext uri="GoogleSheetsCustomDataVersion2">
      <go:sheetsCustomData xmlns:go="http://customooxmlschemas.google.com/" r:id="rId1" roundtripDataSignature="AMtx7mg4RNPGY2u2GCLq21uXSftnxhbcP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3">
      <text>
        <t xml:space="preserve">고유 건셉은 동기 호출(직접호출)
======</t>
      </text>
    </comment>
    <comment authorId="0" ref="C30">
      <text>
        <t xml:space="preserve">개발 시점으로 제한 되는 점 고려 해보시면 좋겠습니다
======</t>
      </text>
    </comment>
    <comment authorId="0" ref="C29">
      <text>
        <t xml:space="preserve">강한 결합임을 검토해보시면 좋겠습니다
======</t>
      </text>
    </comment>
    <comment authorId="0" ref="C28">
      <text>
        <t xml:space="preserve">강한 결합의 영향으로 새로운 리스너으 추가는 개발 시점으로 제한 됩니다
======</t>
      </text>
    </comment>
    <comment authorId="0" ref="C60">
      <text>
        <t xml:space="preserve">간접호출(indirect invocation)의 overhead 가 문제가될수있다
======</t>
      </text>
    </comment>
    <comment authorId="0" ref="C27">
      <text>
        <t xml:space="preserve">고유 컨셉은 직접 호출(강한 결합) 입니다
======</t>
      </text>
    </comment>
    <comment authorId="0" ref="C26">
      <text>
        <t xml:space="preserve">고유 컨셉은 직접 호출(강한 결합) 입니다
======</t>
      </text>
    </comment>
    <comment authorId="0" ref="C20">
      <text>
        <t xml:space="preserve">강하게 결합된점을 고려해보시기 바랍니다
======</t>
      </text>
    </comment>
    <comment authorId="0" ref="C19">
      <text>
        <t xml:space="preserve">강하게 결합된점을 고려해보시기 바랍니다
======</t>
      </text>
    </comment>
    <comment authorId="0" ref="C17">
      <text>
        <t xml:space="preserve">개발 시점에서는 용이하지만 런타임에 확장은 어렵다는 점 고려해야 합니다
======</t>
      </text>
    </comment>
    <comment authorId="0" ref="C16">
      <text>
        <t xml:space="preserve">우측 커멘트 참조해보시면 좋겠습니다
======</t>
      </text>
    </comment>
    <comment authorId="0" ref="C15">
      <text>
        <t xml:space="preserve">원래의 컨셉은 직접 연결 되는 강한 결합니다
======</t>
      </text>
    </comment>
    <comment authorId="0" ref="C42">
      <text>
        <t xml:space="preserve">강한결합으로 메시지를 받지 않는 경우가 있을까요?
======</t>
      </text>
    </comment>
    <comment authorId="0" ref="C74">
      <text>
        <t xml:space="preserve">커멘트 내용을 참고해보면 좋겠씁니다
======</t>
      </text>
    </comment>
    <comment authorId="0" ref="C41">
      <text>
        <t xml:space="preserve">지적하신 점은 이벤트가 빈발해 지는 경우 문제가 됩니다
======</t>
      </text>
    </comment>
    <comment authorId="0" ref="C8">
      <text>
        <t xml:space="preserve">송신측이 멈춰도 문제가 됩니다~.
======</t>
      </text>
    </comment>
    <comment authorId="0" ref="E42">
      <text>
        <t xml:space="preserve">비동기와 선별적 메시지 소비도 고려 해보면 좋겠습니다
======</t>
      </text>
    </comment>
    <comment authorId="0" ref="C7">
      <text>
        <t xml:space="preserve">주는 기능의 장애도 마찬가지 이겠죠? ^^
======</t>
      </text>
    </comment>
    <comment authorId="0" ref="C38">
      <text>
        <t xml:space="preserve">오버해드은 없지만 강한 결합(call-Return)으로 자원소모가 집중되는 점 고려 해보면 좋겠습니다
======</t>
      </text>
    </comment>
    <comment authorId="0" ref="C37">
      <text>
        <t xml:space="preserve">이벤트가 빈번한 경우를 고려해본다면 어떨까요?
======</t>
      </text>
    </comment>
    <comment authorId="0" ref="E39">
      <text>
        <t xml:space="preserve">검토할만한 요인입니다만, 커멘트 내용도 검토 해보면 좋겠습니다 
======</t>
      </text>
    </comment>
    <comment authorId="0" ref="C4">
      <text>
        <t xml:space="preserve">분리되기는 햇지만 강한 결합이 문제가 됩니다
======</t>
      </text>
    </comment>
    <comment authorId="0" ref="E38">
      <text>
        <t xml:space="preserve">구성요소들이 비동기 구동 되는 점, 메시지를 선별적 소비하는 점을 고려 해보면 좋겠습니다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83">
      <text>
        <t xml:space="preserve">글로벌 데이터 사용한다는 점도 검토 해보시면 좋겠습니다
======</t>
      </text>
    </comment>
    <comment authorId="0" ref="C81">
      <text>
        <t xml:space="preserve">글로벌 데이터 사용을 검토 해보시면 좋겠습니다
======</t>
      </text>
    </comment>
    <comment authorId="0" ref="C63">
      <text>
        <t xml:space="preserve">단독 쓰레드, 동기방식으로 동작 하는 점을 고려 해보면 좋겠습니다
======</t>
      </text>
    </comment>
    <comment authorId="0" ref="E30">
      <text>
        <t xml:space="preserve">단, 규약이 지켜진다면 어떨지도 검토해보면 좋겠씁니다
======</t>
      </text>
    </comment>
    <comment authorId="0" ref="C74">
      <text>
        <t xml:space="preserve">살짝~ 테스트 용이성 시나리오에 가깝다고 생각 됩니다
======</t>
      </text>
    </comment>
    <comment authorId="0" ref="E74">
      <text>
        <t xml:space="preserve">마스더 다운은 가용성 측면의 시나리오에 갑깝습니다. 안정성으로 보면 마스터의 동작 불안(성능 저하, 오동작)이 슬레이브에 미치는 영향을 고려하면 좋겠습니다. 다만, 작업 할당후 슬래이브에 미치는 영향이 크지는 않은점 고려 해보면 좋겠습니다
======</t>
      </text>
    </comment>
    <comment authorId="0" ref="C85">
      <text>
        <t xml:space="preserve">글로벌 데이터 사용을 검토 해보시면 좋겠습니다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75">
      <text>
        <t xml:space="preserve">호출의 흐름의 차단이 발생하는 점을 고려 해보면 좋겠습니다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E97">
      <text>
        <t xml:space="preserve">통합 테스트를 감안해보면 어떨까요?
======</t>
      </text>
    </comment>
    <comment authorId="0" ref="E94">
      <text>
        <t xml:space="preserve">통합 테스트를 감안해보면 어떨까요?
======</t>
      </text>
    </comment>
    <comment authorId="0" ref="E86">
      <text>
        <t xml:space="preserve">동의합니다먄 창과 방패이 싸움 입니다. 어디를 공격해야 하는지가 명확한 이상 문제가 생길 여지가 있습니다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8">
      <text>
        <t xml:space="preserve">결합이 강해지는 부분의 세션 형성 후 서버와 클라이언트 간의 부분입니다
======</t>
      </text>
    </comment>
    <comment authorId="0" ref="E29">
      <text>
        <t xml:space="preserve">인터페이스 프로토콜 만 맞추면 쉽게 연결 할 수 있는 부분은 장점에 해당합니다
======</t>
      </text>
    </comment>
    <comment authorId="0" ref="E41">
      <text>
        <t xml:space="preserve">연결 수립되고 난 이후에는 오버해득 줄어듭니다. 다만, 연결을 모니터 하는 과정의 오버해드를 말씀하신거라면 맞는 의견입니다
======</t>
      </text>
    </comment>
    <comment authorId="0" ref="E39">
      <text>
        <t xml:space="preserve">연결 수립되고 난 이후에는 오버해득 줄어듭니다. 다만, 연결을 모니터 하는 과정의 오버해드를 말씀하신거라면 맞는 의견입니다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E31">
      <text>
        <t xml:space="preserve">기술 스택이 달라도 유연하게 연계 될 수 있는 점이 장점인 스타일 입니다
======</t>
      </text>
    </comment>
  </commentList>
</comments>
</file>

<file path=xl/sharedStrings.xml><?xml version="1.0" encoding="utf-8"?>
<sst xmlns="http://schemas.openxmlformats.org/spreadsheetml/2006/main" count="6324" uniqueCount="1700">
  <si>
    <t>Batch Sequential</t>
  </si>
  <si>
    <t>Pipe and Filter</t>
  </si>
  <si>
    <t>Process Control</t>
  </si>
  <si>
    <t>Data Centered</t>
  </si>
  <si>
    <t>Implicit Invocation</t>
  </si>
  <si>
    <t>Shared Repository</t>
  </si>
  <si>
    <t>Non-Buffered Event Based</t>
  </si>
  <si>
    <t>Interaction-Oriented</t>
  </si>
  <si>
    <t>Blackboard</t>
  </si>
  <si>
    <t>Buffered Message Based</t>
  </si>
  <si>
    <t>MVC</t>
  </si>
  <si>
    <t>Effects</t>
  </si>
  <si>
    <t>Justification</t>
  </si>
  <si>
    <t>PAC</t>
  </si>
  <si>
    <t>Availability</t>
  </si>
  <si>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</si>
  <si>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</si>
  <si>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t>MVC
모델에 문제가 생기면 전체 시스템에 영향(-)
뷰의 장애는 특정 뷰에만 영향을 미친다(+)
PAC
agent를 다양한 노드에 배치가 가능하여 전체 시스템 가용성을 높일 수 있음</t>
  </si>
  <si>
    <r>
      <rPr>
        <rFont val="Calibri"/>
        <color rgb="FF000000"/>
        <sz val="11.0"/>
      </rPr>
      <t>1</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</si>
  <si>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</si>
  <si>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</si>
  <si>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</si>
  <si>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</si>
  <si>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</si>
  <si>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</si>
  <si>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</si>
  <si>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</si>
  <si>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</si>
  <si>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</si>
  <si>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</si>
  <si>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</si>
  <si>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5</t>
    </r>
    <r>
      <rPr>
        <rFont val="&quot;맑은 고딕&quot;"/>
        <color rgb="FF000000"/>
        <sz val="11.0"/>
      </rPr>
      <t>조</t>
    </r>
  </si>
  <si>
    <t>Non-Buff의 강한 결합은 가용성의 문제점이 된다. 
Buff를 이용한 약한 결합은 장애 점파를 차단 하는 효과가 있다
이벤트 소스의 장애는 전체 시스템 동작에 문제가 된다. 특히 Non-Buff의 경우 치명적이다</t>
  </si>
  <si>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</si>
  <si>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</si>
  <si>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</si>
  <si>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</si>
  <si>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</si>
  <si>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</si>
  <si>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</si>
  <si>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</si>
  <si>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</si>
  <si>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</si>
  <si>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</si>
  <si>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</si>
  <si>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</si>
  <si>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</si>
  <si>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t>Deployability</t>
  </si>
  <si>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</si>
  <si>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</si>
  <si>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</si>
  <si>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</si>
  <si>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t>MVC
역할 분리를 통해 구조적 변경 관리 용이(+)
구성요소 간 강한 의미적 결합은 부분 배포를 제한하는 요소(-)
PAC 
느슨한 결합을 통해 부분적, 점진적 배포 가능</t>
  </si>
  <si>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</si>
  <si>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</si>
  <si>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</si>
  <si>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</si>
  <si>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</si>
  <si>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t>Data client, KS는 비교적 독립 배포가 가능(+)
Data store, Black bd의 스키마 변경은 시스템 전체의 재배포를 요구한다(--)</t>
  </si>
  <si>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</si>
  <si>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</si>
  <si>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</si>
  <si>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</si>
  <si>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</si>
  <si>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</si>
  <si>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</si>
  <si>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</si>
  <si>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</si>
  <si>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</si>
  <si>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</si>
  <si>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t>Non-Buff 는 강한 결합이 단일 배포지점을 제공하는 장점이 있지만 이벤트-발생과 소비가 고정되어 확장의  제약이 됨
Buff 의 경우 런타임의 유연한 클라이언트 확장이 가능하다</t>
  </si>
  <si>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</si>
  <si>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</si>
  <si>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</si>
  <si>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</si>
  <si>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</si>
  <si>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</si>
  <si>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</si>
  <si>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</si>
  <si>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</si>
  <si>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t>Integrability</t>
  </si>
  <si>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</si>
  <si>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</si>
  <si>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</si>
  <si>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</si>
  <si>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t>MVC
Model이 로직과 데이터를 캡슐화, View/Controller의 분리로  외부 시스템(API, 다른 UI, 배치/서비스)과의 통합이 비교적 용이(+)
Controller가 복잡해질수록 통합 지점이 Controller에 집중되어 통합 변경 시 영향 범위가 커질 수 있음(-)
PAC 
약한결합의 에이전트 단위는 유연한 통합이 가능(+)
제어 계층 에이전트가 세분화 되면  통합 구조가 복잡해진다(-)</t>
  </si>
  <si>
    <r>
      <rPr>
        <rFont val="Calibri"/>
        <color rgb="FF000000"/>
        <sz val="11.0"/>
      </rPr>
      <t>9</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</si>
  <si>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</si>
  <si>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</si>
  <si>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</si>
  <si>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</si>
  <si>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</si>
  <si>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</si>
  <si>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</si>
  <si>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</si>
  <si>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</si>
  <si>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</si>
  <si>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t>공통) 데이터 스키마만 이해하면 빠르게 통합 가능(+)
반면, 스키마 변경이 전체 시스템에 영향을 미쳐 진화(확장) 시 통합 리스크가 큼(-)
Blackboard의 경우 Controller와 KS 간의 의존성이 통합이 리스트가되기도함</t>
  </si>
  <si>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</si>
  <si>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</si>
  <si>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</si>
  <si>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</si>
  <si>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</si>
  <si>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</si>
  <si>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</si>
  <si>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</si>
  <si>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</si>
  <si>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</si>
  <si>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</si>
  <si>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8</t>
    </r>
    <r>
      <rPr>
        <rFont val="&quot;맑은 고딕&quot;"/>
        <color rgb="FF000000"/>
        <sz val="11.0"/>
      </rPr>
      <t>조</t>
    </r>
  </si>
  <si>
    <t>Non-Buff는 강한 결합이 통합을 어렵게 한다
Buff는 메시지이 규격을 준수하여 유연한 확장이 가능하다</t>
  </si>
  <si>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</si>
  <si>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</si>
  <si>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</si>
  <si>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</si>
  <si>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</si>
  <si>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</si>
  <si>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t>Energy Efficiency</t>
  </si>
  <si>
    <r>
      <rPr>
        <rFont val="Calibri"/>
        <color rgb="FF000000"/>
        <sz val="11.0"/>
      </rPr>
      <t>4</t>
    </r>
    <r>
      <rPr>
        <rFont val="&quot;맑은 고딕&quot;"/>
        <color rgb="FF000000"/>
        <sz val="11.0"/>
      </rPr>
      <t>조</t>
    </r>
  </si>
  <si>
    <r>
      <rPr>
        <rFont val="Calibri"/>
        <color theme="1"/>
        <sz val="11.0"/>
      </rPr>
      <t>1</t>
    </r>
    <r>
      <rPr>
        <rFont val="Arial"/>
        <color theme="1"/>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</si>
  <si>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</si>
  <si>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</si>
  <si>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</si>
  <si>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t>MVC
UI/로직/데이터 접근을 분리해 불필요한 재계산 및 재렌더링을 최소화(+)
로직/데이터 바인딩이 복잡하고 많아지는 경우 오버헤드로 인하 리소스 사용 증가(-)
PAC 
Agent간 상호작용이 많아질수록  리소스 사용 증가
(동시성과 통신 제어로 인한 리소스)</t>
  </si>
  <si>
    <r>
      <rPr>
        <rFont val="Calibri"/>
        <color theme="1"/>
        <sz val="11.0"/>
      </rPr>
      <t>2</t>
    </r>
    <r>
      <rPr>
        <rFont val="Arial"/>
        <color theme="1"/>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</si>
  <si>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</si>
  <si>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</si>
  <si>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theme="1"/>
        <sz val="11.0"/>
      </rPr>
      <t>3</t>
    </r>
    <r>
      <rPr>
        <rFont val="Arial"/>
        <color theme="1"/>
        <sz val="11.0"/>
      </rPr>
      <t>조</t>
    </r>
  </si>
  <si>
    <r>
      <rPr>
        <rFont val="Calibri"/>
        <color theme="1"/>
        <sz val="11.0"/>
      </rPr>
      <t>4</t>
    </r>
    <r>
      <rPr>
        <rFont val="Arial"/>
        <color theme="1"/>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</si>
  <si>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</si>
  <si>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</si>
  <si>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theme="1"/>
        <sz val="11.0"/>
      </rPr>
      <t>5</t>
    </r>
    <r>
      <rPr>
        <rFont val="Arial"/>
        <color theme="1"/>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</si>
  <si>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</si>
  <si>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</si>
  <si>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theme="1"/>
        <sz val="11.0"/>
      </rPr>
      <t>1</t>
    </r>
    <r>
      <rPr>
        <rFont val="Arial"/>
        <color theme="1"/>
        <sz val="11.0"/>
      </rPr>
      <t>조</t>
    </r>
  </si>
  <si>
    <r>
      <rPr>
        <rFont val="Calibri"/>
        <color theme="1"/>
        <sz val="11.0"/>
      </rPr>
      <t>6</t>
    </r>
    <r>
      <rPr>
        <rFont val="Arial"/>
        <color theme="1"/>
        <sz val="11.0"/>
      </rPr>
      <t>조</t>
    </r>
  </si>
  <si>
    <r>
      <rPr>
        <rFont val="Calibri"/>
        <color rgb="FF000000"/>
        <sz val="11.0"/>
      </rPr>
      <t>9</t>
    </r>
    <r>
      <rPr>
        <rFont val="&quot;맑은 고딕&quot;"/>
        <color rgb="FF000000"/>
        <sz val="11.0"/>
      </rPr>
      <t>조</t>
    </r>
  </si>
  <si>
    <t>공통)  동시에 작업이 몰리는 경우 및 지속적인 데이터 모니터링으로 리소스의 소비가 이어지는 점을 고려 해야 한다.
Shared Repo의 경우 클라이언트간 작업이 순차적으로 발생하는 경우가 많아 이점은 다소 긍정적이다</t>
  </si>
  <si>
    <r>
      <rPr>
        <rFont val="Calibri"/>
        <color theme="1"/>
        <sz val="11.0"/>
      </rPr>
      <t>2</t>
    </r>
    <r>
      <rPr>
        <rFont val="Arial"/>
        <color theme="1"/>
        <sz val="11.0"/>
      </rPr>
      <t>조</t>
    </r>
  </si>
  <si>
    <r>
      <rPr>
        <rFont val="Calibri"/>
        <color rgb="FF000000"/>
        <sz val="11.0"/>
      </rPr>
      <t>5</t>
    </r>
    <r>
      <rPr>
        <rFont val="&quot;맑은 고딕&quot;"/>
        <color rgb="FF000000"/>
        <sz val="11.0"/>
      </rPr>
      <t>조</t>
    </r>
  </si>
  <si>
    <r>
      <rPr>
        <rFont val="Calibri"/>
        <color theme="1"/>
        <sz val="11.0"/>
      </rPr>
      <t>7</t>
    </r>
    <r>
      <rPr>
        <rFont val="Arial"/>
        <color theme="1"/>
        <sz val="11.0"/>
      </rPr>
      <t>조</t>
    </r>
  </si>
  <si>
    <r>
      <rPr>
        <rFont val="Calibri"/>
        <color theme="1"/>
        <sz val="11.0"/>
      </rPr>
      <t>3</t>
    </r>
    <r>
      <rPr>
        <rFont val="Arial"/>
        <color theme="1"/>
        <sz val="11.0"/>
      </rPr>
      <t>조</t>
    </r>
  </si>
  <si>
    <r>
      <rPr>
        <rFont val="Calibri"/>
        <color theme="1"/>
        <sz val="11.0"/>
      </rPr>
      <t>8</t>
    </r>
    <r>
      <rPr>
        <rFont val="Arial"/>
        <color theme="1"/>
        <sz val="11.0"/>
      </rPr>
      <t>조</t>
    </r>
  </si>
  <si>
    <r>
      <rPr>
        <rFont val="Calibri"/>
        <color rgb="FF000000"/>
        <sz val="11.0"/>
      </rPr>
      <t>6</t>
    </r>
    <r>
      <rPr>
        <rFont val="&quot;맑은 고딕&quot;"/>
        <color rgb="FF000000"/>
        <sz val="11.0"/>
      </rPr>
      <t>조</t>
    </r>
  </si>
  <si>
    <r>
      <rPr>
        <rFont val="Calibri"/>
        <color theme="1"/>
        <sz val="11.0"/>
      </rPr>
      <t>4</t>
    </r>
    <r>
      <rPr>
        <rFont val="Arial"/>
        <color theme="1"/>
        <sz val="11.0"/>
      </rPr>
      <t>조</t>
    </r>
  </si>
  <si>
    <r>
      <rPr>
        <rFont val="Calibri"/>
        <color theme="1"/>
        <sz val="11.0"/>
      </rPr>
      <t>9</t>
    </r>
    <r>
      <rPr>
        <rFont val="Arial"/>
        <color theme="1"/>
        <sz val="11.0"/>
      </rPr>
      <t>조</t>
    </r>
  </si>
  <si>
    <r>
      <rPr>
        <rFont val="Calibri"/>
        <color theme="1"/>
        <sz val="11.0"/>
      </rPr>
      <t>1</t>
    </r>
    <r>
      <rPr>
        <rFont val="Arial"/>
        <color theme="1"/>
        <sz val="11.0"/>
      </rPr>
      <t>조</t>
    </r>
  </si>
  <si>
    <r>
      <rPr>
        <rFont val="Calibri"/>
        <color theme="1"/>
        <sz val="11.0"/>
      </rPr>
      <t>5</t>
    </r>
    <r>
      <rPr>
        <rFont val="Arial"/>
        <color theme="1"/>
        <sz val="11.0"/>
      </rPr>
      <t>조</t>
    </r>
  </si>
  <si>
    <t>Non-Buff는 빈발한 이벤트 발생시 자원소비가 증가하게 된다(소스와 리스너가 거이 동시에 구동)
Buff는 메시지를 구독하는 동시 구독자가 많아지면 문제가 되지만 일잠적으로 메시지별 구독자는 구분된다</t>
  </si>
  <si>
    <r>
      <rPr>
        <rFont val="Calibri"/>
        <color rgb="FF000000"/>
        <sz val="11.0"/>
      </rPr>
      <t>7</t>
    </r>
    <r>
      <rPr>
        <rFont val="&quot;맑은 고딕&quot;"/>
        <color rgb="FF000000"/>
        <sz val="11.0"/>
      </rPr>
      <t>조</t>
    </r>
  </si>
  <si>
    <r>
      <rPr>
        <rFont val="Calibri"/>
        <color theme="1"/>
        <sz val="11.0"/>
      </rPr>
      <t>2</t>
    </r>
    <r>
      <rPr>
        <rFont val="Arial"/>
        <color theme="1"/>
        <sz val="11.0"/>
      </rPr>
      <t>조</t>
    </r>
  </si>
  <si>
    <t>Modifiability</t>
  </si>
  <si>
    <r>
      <rPr>
        <rFont val="Calibri"/>
        <color theme="1"/>
        <sz val="11.0"/>
      </rPr>
      <t>6</t>
    </r>
    <r>
      <rPr>
        <rFont val="Arial"/>
        <color theme="1"/>
        <sz val="11.0"/>
      </rPr>
      <t>조</t>
    </r>
  </si>
  <si>
    <r>
      <rPr>
        <rFont val="Calibri"/>
        <color rgb="FF000000"/>
        <sz val="11.0"/>
      </rPr>
      <t>8</t>
    </r>
    <r>
      <rPr>
        <rFont val="&quot;맑은 고딕&quot;"/>
        <color rgb="FF000000"/>
        <sz val="11.0"/>
      </rPr>
      <t>조</t>
    </r>
  </si>
  <si>
    <r>
      <rPr>
        <rFont val="Calibri"/>
        <color theme="1"/>
        <sz val="11.0"/>
      </rPr>
      <t>3</t>
    </r>
    <r>
      <rPr>
        <rFont val="Arial"/>
        <color theme="1"/>
        <sz val="11.0"/>
      </rPr>
      <t>조</t>
    </r>
  </si>
  <si>
    <r>
      <rPr>
        <rFont val="Calibri"/>
        <color theme="1"/>
        <sz val="11.0"/>
      </rPr>
      <t>7</t>
    </r>
    <r>
      <rPr>
        <rFont val="Arial"/>
        <color theme="1"/>
        <sz val="11.0"/>
      </rPr>
      <t>조</t>
    </r>
  </si>
  <si>
    <r>
      <rPr>
        <rFont val="Calibri"/>
        <color rgb="FF000000"/>
        <sz val="11.0"/>
      </rPr>
      <t>1</t>
    </r>
    <r>
      <rPr>
        <rFont val="&quot;맑은 고딕&quot;"/>
        <color rgb="FF000000"/>
        <sz val="11.0"/>
      </rPr>
      <t>조</t>
    </r>
  </si>
  <si>
    <r>
      <rPr>
        <rFont val="Calibri"/>
        <color theme="1"/>
        <sz val="11.0"/>
      </rPr>
      <t>4</t>
    </r>
    <r>
      <rPr>
        <rFont val="Arial"/>
        <color theme="1"/>
        <sz val="11.0"/>
      </rPr>
      <t>조</t>
    </r>
  </si>
  <si>
    <r>
      <rPr>
        <rFont val="Calibri"/>
        <color rgb="FF000000"/>
        <sz val="11.0"/>
      </rPr>
      <t>9</t>
    </r>
    <r>
      <rPr>
        <rFont val="&quot;맑은 고딕&quot;"/>
        <color rgb="FF000000"/>
        <sz val="11.0"/>
      </rPr>
      <t>조</t>
    </r>
  </si>
  <si>
    <t>MVC
역할 분리를 통해 구조적 변경 관리 용이(+)
구성요소 간 강한 의미적 결합은 부분 배포를 제한하는 요소(-)
PAC 
약한 결합으로 Agent 교체하는 것이 용이
Agent 내부의 변경이 다른 Agent에 영향을 미치지 않는다.</t>
  </si>
  <si>
    <r>
      <rPr>
        <rFont val="Calibri"/>
        <color theme="1"/>
        <sz val="11.0"/>
      </rPr>
      <t>8</t>
    </r>
    <r>
      <rPr>
        <rFont val="Arial"/>
        <color theme="1"/>
        <sz val="11.0"/>
      </rPr>
      <t>조</t>
    </r>
  </si>
  <si>
    <r>
      <rPr>
        <rFont val="Calibri"/>
        <color rgb="FF000000"/>
        <sz val="11.0"/>
      </rPr>
      <t>2</t>
    </r>
    <r>
      <rPr>
        <rFont val="&quot;맑은 고딕&quot;"/>
        <color rgb="FF000000"/>
        <sz val="11.0"/>
      </rPr>
      <t>조</t>
    </r>
  </si>
  <si>
    <r>
      <rPr>
        <rFont val="Calibri"/>
        <color theme="1"/>
        <sz val="11.0"/>
      </rPr>
      <t>5</t>
    </r>
    <r>
      <rPr>
        <rFont val="Arial"/>
        <color theme="1"/>
        <sz val="11.0"/>
      </rPr>
      <t>조</t>
    </r>
  </si>
  <si>
    <r>
      <rPr>
        <rFont val="Calibri"/>
        <color theme="1"/>
        <sz val="11.0"/>
      </rPr>
      <t>9</t>
    </r>
    <r>
      <rPr>
        <rFont val="Arial"/>
        <color theme="1"/>
        <sz val="11.0"/>
      </rPr>
      <t>조</t>
    </r>
  </si>
  <si>
    <r>
      <rPr>
        <rFont val="Calibri"/>
        <color rgb="FF000000"/>
        <sz val="11.0"/>
      </rPr>
      <t>3</t>
    </r>
    <r>
      <rPr>
        <rFont val="&quot;맑은 고딕&quot;"/>
        <color rgb="FF000000"/>
        <sz val="11.0"/>
      </rPr>
      <t>조</t>
    </r>
  </si>
  <si>
    <r>
      <rPr>
        <rFont val="Calibri"/>
        <color theme="1"/>
        <sz val="11.0"/>
      </rPr>
      <t>6</t>
    </r>
    <r>
      <rPr>
        <rFont val="Arial"/>
        <color theme="1"/>
        <sz val="11.0"/>
      </rPr>
      <t>조</t>
    </r>
  </si>
  <si>
    <r>
      <rPr>
        <rFont val="Calibri"/>
        <color rgb="FF000000"/>
        <sz val="11.0"/>
      </rPr>
      <t>4</t>
    </r>
    <r>
      <rPr>
        <rFont val="&quot;맑은 고딕&quot;"/>
        <color rgb="FF000000"/>
        <sz val="11.0"/>
      </rPr>
      <t>조</t>
    </r>
  </si>
  <si>
    <r>
      <rPr>
        <rFont val="Calibri"/>
        <color theme="1"/>
        <sz val="11.0"/>
      </rPr>
      <t>7</t>
    </r>
    <r>
      <rPr>
        <rFont val="Arial"/>
        <color theme="1"/>
        <sz val="11.0"/>
      </rPr>
      <t>조</t>
    </r>
  </si>
  <si>
    <r>
      <rPr>
        <rFont val="Calibri"/>
        <color rgb="FF000000"/>
        <sz val="11.0"/>
      </rPr>
      <t>5</t>
    </r>
    <r>
      <rPr>
        <rFont val="&quot;맑은 고딕&quot;"/>
        <color rgb="FF000000"/>
        <sz val="11.0"/>
      </rPr>
      <t>조</t>
    </r>
  </si>
  <si>
    <r>
      <rPr>
        <rFont val="Calibri"/>
        <color theme="1"/>
        <sz val="11.0"/>
      </rPr>
      <t>1</t>
    </r>
    <r>
      <rPr>
        <rFont val="Arial"/>
        <color theme="1"/>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</si>
  <si>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</si>
  <si>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</si>
  <si>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theme="1"/>
        <sz val="11.0"/>
      </rPr>
      <t>8</t>
    </r>
    <r>
      <rPr>
        <rFont val="Arial"/>
        <color theme="1"/>
        <sz val="11.0"/>
      </rPr>
      <t>조</t>
    </r>
  </si>
  <si>
    <t>공통
클라이언트, KS간 변경의 영향은 최소화 되지만 데이의 스키마 변경등은 모든 클라이언트에게 영향을 주는 점을 고려해보아야 합니다
블랙보드의 경우 Contrpller와 KS 간의 의존이 추가되는 점에도 수정용이성에는 문제 됩니다</t>
  </si>
  <si>
    <r>
      <rPr>
        <rFont val="Calibri"/>
        <color theme="1"/>
        <sz val="11.0"/>
      </rPr>
      <t>2</t>
    </r>
    <r>
      <rPr>
        <rFont val="Arial"/>
        <color theme="1"/>
        <sz val="11.0"/>
      </rPr>
      <t>조</t>
    </r>
  </si>
  <si>
    <r>
      <rPr>
        <rFont val="Calibri"/>
        <color rgb="FF000000"/>
        <sz val="11.0"/>
      </rPr>
      <t>7</t>
    </r>
    <r>
      <rPr>
        <rFont val="&quot;맑은 고딕&quot;"/>
        <color rgb="FF000000"/>
        <sz val="11.0"/>
      </rPr>
      <t>조</t>
    </r>
  </si>
  <si>
    <r>
      <rPr>
        <rFont val="Calibri"/>
        <color theme="1"/>
        <sz val="11.0"/>
      </rPr>
      <t>9</t>
    </r>
    <r>
      <rPr>
        <rFont val="Arial"/>
        <color theme="1"/>
        <sz val="11.0"/>
      </rPr>
      <t>조</t>
    </r>
  </si>
  <si>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</si>
  <si>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</si>
  <si>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theme="1"/>
        <sz val="11.0"/>
      </rPr>
      <t>3</t>
    </r>
    <r>
      <rPr>
        <rFont val="Arial"/>
        <color theme="1"/>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</si>
  <si>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</si>
  <si>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</si>
  <si>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</si>
  <si>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</si>
  <si>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theme="1"/>
        <sz val="11.0"/>
      </rPr>
      <t>4</t>
    </r>
    <r>
      <rPr>
        <rFont val="Arial"/>
        <color theme="1"/>
        <sz val="11.0"/>
      </rPr>
      <t>조</t>
    </r>
  </si>
  <si>
    <r>
      <rPr>
        <rFont val="Calibri"/>
        <color rgb="FF000000"/>
        <sz val="11.0"/>
      </rPr>
      <t>5</t>
    </r>
    <r>
      <rPr>
        <rFont val="&quot;맑은 고딕&quot;"/>
        <color rgb="FF000000"/>
        <sz val="11.0"/>
      </rPr>
      <t>조</t>
    </r>
  </si>
  <si>
    <t>Performance</t>
  </si>
  <si>
    <t xml:space="preserve">Non-Buff, Buff 모두 분리된 기능은 긍정적 요소.
Non Buff의 고유 컨셉이 강한 결합인점을 고려해야함
</t>
  </si>
  <si>
    <r>
      <rPr>
        <rFont val="Calibri"/>
        <color rgb="FF000000"/>
        <sz val="11.0"/>
      </rPr>
      <t>2</t>
    </r>
    <r>
      <rPr>
        <rFont val="&quot;맑은 고딕&quot;"/>
        <color rgb="FF000000"/>
        <sz val="11.0"/>
      </rPr>
      <t>조</t>
    </r>
  </si>
  <si>
    <r>
      <rPr>
        <rFont val="Calibri"/>
        <color theme="1"/>
        <sz val="11.0"/>
      </rPr>
      <t>5</t>
    </r>
    <r>
      <rPr>
        <rFont val="Arial"/>
        <color theme="1"/>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</si>
  <si>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</si>
  <si>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</si>
  <si>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t>MVC
복잡도가 높고 뷰에서 데이터 접근(바인딩) 효율이 낮음
PAC 
Agent를 다중 thread에 배포해서 병렬 처리가 용이 (+)
복잡도가 높아지면 Agent 간 통신, 동시성 제어 오버헤드 증가(-)</t>
  </si>
  <si>
    <r>
      <rPr>
        <rFont val="Calibri"/>
        <color theme="1"/>
        <sz val="11.0"/>
      </rPr>
      <t>6</t>
    </r>
    <r>
      <rPr>
        <rFont val="Arial"/>
        <color theme="1"/>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</si>
  <si>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</si>
  <si>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</si>
  <si>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</si>
  <si>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</si>
  <si>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</si>
  <si>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theme="1"/>
        <sz val="11.0"/>
      </rPr>
      <t>7</t>
    </r>
    <r>
      <rPr>
        <rFont val="Arial"/>
        <color theme="1"/>
        <sz val="11.0"/>
      </rPr>
      <t>조</t>
    </r>
  </si>
  <si>
    <r>
      <rPr>
        <rFont val="Calibri"/>
        <color rgb="FF000000"/>
        <sz val="11.0"/>
      </rPr>
      <t>3</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</si>
  <si>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</si>
  <si>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</si>
  <si>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</si>
  <si>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r>
      <rPr>
        <rFont val="Calibri"/>
        <color theme="1"/>
        <sz val="11.0"/>
      </rPr>
      <t>8</t>
    </r>
    <r>
      <rPr>
        <rFont val="Arial"/>
        <color theme="1"/>
        <sz val="11.0"/>
      </rPr>
      <t>조</t>
    </r>
  </si>
  <si>
    <r>
      <rPr>
        <rFont val="Calibri"/>
        <color rgb="FF000000"/>
        <sz val="11.0"/>
      </rPr>
      <t>6</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</si>
  <si>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</si>
  <si>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</si>
  <si>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6</t>
    </r>
    <r>
      <rPr>
        <rFont val="&quot;맑은 고딕&quot;"/>
        <color rgb="FF000000"/>
        <sz val="11.0"/>
      </rPr>
      <t>조</t>
    </r>
  </si>
  <si>
    <r>
      <rPr>
        <rFont val="Calibri"/>
        <color theme="1"/>
        <sz val="11.0"/>
      </rPr>
      <t>9</t>
    </r>
    <r>
      <rPr>
        <rFont val="Arial"/>
        <color theme="1"/>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</si>
  <si>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</si>
  <si>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</si>
  <si>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7</t>
    </r>
    <r>
      <rPr>
        <rFont val="&quot;맑은 고딕&quot;"/>
        <color rgb="FF000000"/>
        <sz val="11.0"/>
      </rPr>
      <t>조</t>
    </r>
  </si>
  <si>
    <t>에너지 효율성과 선능은 서로 상반된 영향을 주는 것이 일반적
동시성은 자원의 소모를 증가시키는 요인
Shared Repo는 데이터를 등록하고 읽어가는 과정의 오버해드가  존재 한다. 이점은 클라이언트간 데이터 전송 오버해드를 제거한 장점을 상쇄하는 부분이다</t>
  </si>
  <si>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</si>
  <si>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</si>
  <si>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</si>
  <si>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</si>
  <si>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</si>
  <si>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</si>
  <si>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4</t>
    </r>
    <r>
      <rPr>
        <rFont val="&quot;맑은 고딕&quot;"/>
        <color rgb="FF000000"/>
        <sz val="11.0"/>
      </rPr>
      <t>조</t>
    </r>
  </si>
  <si>
    <t>Safety</t>
  </si>
  <si>
    <r>
      <rPr>
        <rFont val="Calibri"/>
        <color rgb="FF000000"/>
        <sz val="11.0"/>
      </rPr>
      <t>1</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</si>
  <si>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</si>
  <si>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</si>
  <si>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</si>
  <si>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t>Non-Buff
강한 결합 직접 호출은 긍정적 요소
Buff
Message Consumer 들 간에, 또한 Message Producers와 Consumers 사이에 동시성 (+)
Indirection에 대한 오버헤드 존재 (-)</t>
  </si>
  <si>
    <r>
      <rPr>
        <rFont val="Calibri"/>
        <color rgb="FF000000"/>
        <sz val="11.0"/>
      </rPr>
      <t>2</t>
    </r>
    <r>
      <rPr>
        <rFont val="&quot;맑은 고딕&quot;"/>
        <color rgb="FF000000"/>
        <sz val="11.0"/>
      </rPr>
      <t>조</t>
    </r>
  </si>
  <si>
    <t>MVC
UI/로직 분리로 변경 안전성은 좋아짐(+)
모델,컨트롤러 제어의 오류는 시스템 전반에 영향(-)
PAC 
Agent 단위 분리로 오류 격리·대체가 가능(+)
Agent 간 조정 실패 시 시스템의 동작이 불안정 해짐(-)</t>
  </si>
  <si>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</si>
  <si>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</si>
  <si>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</si>
  <si>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</si>
  <si>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</si>
  <si>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</si>
  <si>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</si>
  <si>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</si>
  <si>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</si>
  <si>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</si>
  <si>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</si>
  <si>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</si>
  <si>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</si>
  <si>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</si>
  <si>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</si>
  <si>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</si>
  <si>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</si>
  <si>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</si>
  <si>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</si>
  <si>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</si>
  <si>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</si>
  <si>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</si>
  <si>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</si>
  <si>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9</t>
    </r>
    <r>
      <rPr>
        <rFont val="&quot;맑은 고딕&quot;"/>
        <color rgb="FF000000"/>
        <sz val="11.0"/>
      </rPr>
      <t>조</t>
    </r>
  </si>
  <si>
    <t>중앙 저장소가 단일 장애 지점은 보안성에서도 문제지만 안정성에서 문제가 됨
클라이언트,KS 가 잘못된 정보를 등록하는 경우 다른 요소들의 오동작을 유발 할 수 있음</t>
  </si>
  <si>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</si>
  <si>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</si>
  <si>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</si>
  <si>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</si>
  <si>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</si>
  <si>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</si>
  <si>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</si>
  <si>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t>Security</t>
  </si>
  <si>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</si>
  <si>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</si>
  <si>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</si>
  <si>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</si>
  <si>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t>Non-Buff 강한결합(동기) 방식은 불안요소
Buff는 예외발생시 장점이 잇으나 메시지 증가시 지연 발생으로 인한  안정적인 (실시간) 처리에 영향을 받는다</t>
  </si>
  <si>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</si>
  <si>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</si>
  <si>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</si>
  <si>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</si>
  <si>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</si>
  <si>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</si>
  <si>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</si>
  <si>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</si>
  <si>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</si>
  <si>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</si>
  <si>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</si>
  <si>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</si>
  <si>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</si>
  <si>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</si>
  <si>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</si>
  <si>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</si>
  <si>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</si>
  <si>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t>Data Store, Black Bd의 데이터가 모든 Data client, KS에 공개되어 있으므로, 보안에 취약함
Data Store, Black Bd에 대한 공격은 전체 시스템의 보안에 치명적인 영향을 미친다</t>
  </si>
  <si>
    <r>
      <rPr>
        <rFont val="Calibri"/>
        <color rgb="FF000000"/>
        <sz val="11.0"/>
      </rPr>
      <t>2</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</si>
  <si>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</si>
  <si>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</si>
  <si>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</si>
  <si>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</si>
  <si>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</si>
  <si>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</si>
  <si>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t>Non-Buff의 간한 결합(동기)은 정보의 유출 가능성을 줄여 준다
Buff 의 경우 메시지(정보)가 집중되는 공간이 명확한점은 공격의 포인트가 된다</t>
  </si>
  <si>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</si>
  <si>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</si>
  <si>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</si>
  <si>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</si>
  <si>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</si>
  <si>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</si>
  <si>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</si>
  <si>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</si>
  <si>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</si>
  <si>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</si>
  <si>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</si>
  <si>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</si>
  <si>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</si>
  <si>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</si>
  <si>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</si>
  <si>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</si>
  <si>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</si>
  <si>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t>Testability</t>
  </si>
  <si>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</si>
  <si>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</si>
  <si>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</si>
  <si>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</si>
  <si>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</si>
  <si>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8</t>
    </r>
    <r>
      <rPr>
        <rFont val="&quot;맑은 고딕&quot;"/>
        <color rgb="FF000000"/>
        <sz val="11.0"/>
      </rPr>
      <t>조</t>
    </r>
  </si>
  <si>
    <t>동시성과 중간 매개체 역할을 하는 데이터,블랙보드가 존재하여 통합 테스트가  복잡해진다
Black Bd의 경우 통합 동작의 재현이 어렵다는 문제도 검토해야 함</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</si>
  <si>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</si>
  <si>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</si>
  <si>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</si>
  <si>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</si>
  <si>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</si>
  <si>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</si>
  <si>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</si>
  <si>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</si>
  <si>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</si>
  <si>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t>Non-Buff의 간한 결합(동기)은 통합테스트를 용이하게 한다
Buff 의 비동기 방식은 통합 테스트 구현을 복잡하게 한다</t>
  </si>
  <si>
    <r>
      <rPr>
        <rFont val="Calibri"/>
        <color rgb="FF000000"/>
        <sz val="11.0"/>
      </rPr>
      <t>2</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</si>
  <si>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</si>
  <si>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</si>
  <si>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</si>
  <si>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</si>
  <si>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7</t>
    </r>
    <r>
      <rPr>
        <rFont val="&quot;맑은 고딕&quot;"/>
        <color rgb="FF000000"/>
        <sz val="11.0"/>
      </rPr>
      <t>조</t>
    </r>
  </si>
  <si>
    <t>MVC
모델이라는 명확한 공격 포인트
PAC 
정보를 Agent 단위로 분산 (+)
데이터 전용 Agent 통합(-)</t>
  </si>
  <si>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</si>
  <si>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</si>
  <si>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</si>
  <si>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</si>
  <si>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</si>
  <si>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</si>
  <si>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</si>
  <si>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</si>
  <si>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</si>
  <si>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</si>
  <si>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</si>
  <si>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t>Usability</t>
  </si>
  <si>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</si>
  <si>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</si>
  <si>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</si>
  <si>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</si>
  <si>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t>사용자 상호 작용과는 관련된 부분이 없다
엔드유저의 입장에서 평가해야 함
데이터 접근 경로의 통일인 클ㄹ이넌트와 데이터 간의 동작문제는 개발자의 관심 영역임</t>
  </si>
  <si>
    <r>
      <rPr>
        <rFont val="Calibri"/>
        <color rgb="FF000000"/>
        <sz val="11.0"/>
      </rPr>
      <t>6</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</si>
  <si>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</si>
  <si>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</si>
  <si>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</si>
  <si>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</si>
  <si>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</si>
  <si>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</si>
  <si>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</si>
  <si>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</si>
  <si>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</si>
  <si>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t>이벤트, 메시지에 대한 즉각적 반응은 UX 개선에 도움이 된다
단, Non-Buff의 경우 메시지 유실이 발생할 수 있는점 다소 부정적인 측면이다</t>
  </si>
  <si>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</si>
  <si>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</si>
  <si>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</si>
  <si>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</si>
  <si>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</si>
  <si>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</si>
  <si>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</si>
  <si>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</si>
  <si>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</si>
  <si>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</si>
  <si>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</si>
  <si>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</si>
  <si>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</si>
  <si>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</si>
  <si>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</si>
  <si>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</si>
  <si>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</si>
  <si>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8</t>
    </r>
    <r>
      <rPr>
        <rFont val="&quot;맑은 고딕&quot;"/>
        <color rgb="FF000000"/>
        <sz val="11.0"/>
      </rPr>
      <t>조</t>
    </r>
  </si>
  <si>
    <t>MVC
사용자에게 다양한 View(UI/UX) 제공 가능
PAC 
분리된 Presentation은 사용성 좋은 UI/UX 구축에 용이</t>
  </si>
  <si>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</si>
  <si>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</si>
  <si>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</si>
  <si>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</si>
  <si>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</si>
  <si>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</si>
  <si>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</si>
  <si>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</si>
  <si>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</si>
  <si>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</si>
  <si>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</si>
  <si>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</si>
  <si>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</si>
  <si>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</si>
  <si>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</si>
  <si>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</si>
  <si>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</si>
  <si>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</si>
  <si>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</si>
  <si>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</si>
  <si>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</si>
  <si>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</si>
  <si>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</si>
  <si>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</si>
  <si>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</si>
  <si>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</si>
  <si>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</si>
  <si>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t>즉각적으로 반응을 확인 할 수 있어서 최상의 사용자 경험을 제공한다</t>
  </si>
  <si>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</si>
  <si>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</si>
  <si>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</si>
  <si>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t>Hierarchical</t>
  </si>
  <si>
    <t>Main-subroutine</t>
  </si>
  <si>
    <t>Master-Slave</t>
  </si>
  <si>
    <r>
      <rPr>
        <rFont val="Calibri"/>
        <color rgb="FF000000"/>
        <sz val="11.0"/>
      </rPr>
      <t>1</t>
    </r>
    <r>
      <rPr>
        <rFont val="&quot;맑은 고딕&quot;"/>
        <color rgb="FF000000"/>
        <sz val="11.0"/>
      </rPr>
      <t>조</t>
    </r>
  </si>
  <si>
    <t>Main-subroutine
강한 결합으로 인한 예외전파는 시스템 전반에 영향을 준다
Master-Slave
약한 결합으로 하나의 슬레이브에 문제가 생겨도 복제된 슬레이브로 대응가능하다(++) 
마스터에 문제가 생기면 시스템 전반이 영향을 받는다.</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</si>
  <si>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</si>
  <si>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</si>
  <si>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t>Layered</t>
  </si>
  <si>
    <t>Virtual Machine</t>
  </si>
  <si>
    <t>Microkernel</t>
  </si>
  <si>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</si>
  <si>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</si>
  <si>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</si>
  <si>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</si>
  <si>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</si>
  <si>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</si>
  <si>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t xml:space="preserve">Layer
분리 구조이나 하위레이어의 의존성이 장애발생시 상위에 영향을 준다
VM
격리(분리) 구조로 VM의 오류는 다른 VM에 영향을 주지 않는다. (+)
Hypervisor의 장에는 모든 VM에 영향은 준다. Layer의 속성(-)
Microkernel
서비스, 어플리케이션의 장애가 다른 서비스,어플리케이션에 전파되지 않는다. 분리 구조(+)
단 커널에 영향을 주게되는 경우 모든 서비스, 어플리케이션이 영향을 받음. Layer의 속성(-)
</t>
  </si>
  <si>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</si>
  <si>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</si>
  <si>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</si>
  <si>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</si>
  <si>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</si>
  <si>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t xml:space="preserve">Main-subroutine
강한 결합으로 배포 단위가  단순 (+)
부분, 런타임의 실시간 배포는 불가능 (-)
Master-Slave
약한 결합.  런타임의 Slave 단위 독립적 배포가능(++)
단, Master 배포시 시스템의 순간 정지가 필요(-) </t>
  </si>
  <si>
    <r>
      <rPr>
        <rFont val="Calibri"/>
        <color rgb="FF000000"/>
        <sz val="11.0"/>
      </rPr>
      <t>5</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</si>
  <si>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</si>
  <si>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</si>
  <si>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</si>
  <si>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</si>
  <si>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</si>
  <si>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</si>
  <si>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</si>
  <si>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</si>
  <si>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</si>
  <si>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</si>
  <si>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</si>
  <si>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</si>
  <si>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1</t>
    </r>
    <r>
      <rPr>
        <rFont val="&quot;맑은 고딕&quot;"/>
        <color rgb="FF000000"/>
        <sz val="11.0"/>
      </rPr>
      <t>조</t>
    </r>
  </si>
  <si>
    <t xml:space="preserve">Layer
계층 간 명확한 구조로 배포 예측성은 높지만, 하위 계층 변경이 상위 계층 재배포를 유발
(분리에서오는 유리함을 하위 의존성이 상쇄)
VM
VM 실행 환경의 격리 결합을 차단하여 이식성과 배포 안정성을 크게 높인다(++)
단, VM 계층 자체는 배포 병목이 된다(-)
Microkernel 
핵심을 안정적으로 고정하고 기능을 플러그인으로 분리. 부분·점진적 배포에 매우 유리
</t>
  </si>
  <si>
    <r>
      <rPr>
        <rFont val="Calibri"/>
        <color rgb="FF000000"/>
        <sz val="11.0"/>
      </rPr>
      <t>2</t>
    </r>
    <r>
      <rPr>
        <rFont val="&quot;맑은 고딕&quot;"/>
        <color rgb="FF000000"/>
        <sz val="11.0"/>
      </rPr>
      <t>조</t>
    </r>
  </si>
  <si>
    <r>
      <rPr>
        <rFont val="Calibri"/>
        <color rgb="FF000000"/>
        <sz val="11.0"/>
      </rPr>
      <t>1</t>
    </r>
    <r>
      <rPr>
        <rFont val="&quot;맑은 고딕&quot;"/>
        <color rgb="FF000000"/>
        <sz val="11.0"/>
      </rPr>
      <t>조</t>
    </r>
  </si>
  <si>
    <t>Main-subroutine
강한 결합으로 인한 의존성은 컴포넌트 확장이나 시스템간 연동을 어렵게 한다 
Master-Slave
약한 결합으로 인터페이스를 유지하는 경우 유연하게 슬레이브 추가,확장이 용이(+)
마스터 변경이 필요한 경우는 부담이 발생(-)</t>
  </si>
  <si>
    <r>
      <rPr>
        <rFont val="Calibri"/>
        <color rgb="FF000000"/>
        <sz val="11.0"/>
      </rPr>
      <t>3</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</si>
  <si>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</si>
  <si>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</si>
  <si>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</si>
  <si>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</si>
  <si>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</si>
  <si>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</si>
  <si>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</si>
  <si>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</si>
  <si>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</si>
  <si>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</si>
  <si>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</si>
  <si>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</si>
  <si>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</si>
  <si>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9</t>
    </r>
    <r>
      <rPr>
        <rFont val="&quot;맑은 고딕&quot;"/>
        <color rgb="FF000000"/>
        <sz val="11.0"/>
      </rPr>
      <t>조</t>
    </r>
  </si>
  <si>
    <r>
      <rPr>
        <rFont val="Calibri"/>
        <color theme="1"/>
        <sz val="11.0"/>
      </rPr>
      <t>1</t>
    </r>
    <r>
      <rPr>
        <rFont val="Arial"/>
        <color theme="1"/>
        <sz val="11.0"/>
      </rPr>
      <t>조</t>
    </r>
  </si>
  <si>
    <r>
      <rPr>
        <rFont val="Calibri"/>
        <color rgb="FF000000"/>
        <sz val="11.0"/>
      </rPr>
      <t>1</t>
    </r>
    <r>
      <rPr>
        <rFont val="&quot;맑은 고딕&quot;"/>
        <color rgb="FF000000"/>
        <sz val="11.0"/>
      </rPr>
      <t>조</t>
    </r>
  </si>
  <si>
    <t xml:space="preserve">Main-subroutine
강한 결합. 동기 방식으로 메인과 서브가 모두 활성 상태를 유지하는 불리함이 있음
Master-Slave
동시성. 대기 또는 병렬 동작 중인 슬레이브로 활성화 리소스증가. 슬레이브들의 동기화 통신 과정의 오버해드 역시 리소스를 소비하는 점이  </t>
  </si>
  <si>
    <r>
      <rPr>
        <rFont val="Calibri"/>
        <color theme="1"/>
        <sz val="11.0"/>
      </rPr>
      <t>2</t>
    </r>
    <r>
      <rPr>
        <rFont val="Arial"/>
        <color theme="1"/>
        <sz val="11.0"/>
      </rPr>
      <t>조</t>
    </r>
  </si>
  <si>
    <t>Layer
계층 간 명확한 인터페이스 덕분에 특정 계층에서의 통합은 비교적 쉬움(+)
하위 계층 변경이 상위 통합에 영향을 미침 (-) 
하나의 계층을 외부 시스템과의 통합에 필요한 레이어로 구현하여, 통합용이성을 향상(+)
VM
표준 실행 환경과 추상 API를 제공하여, 상위 애플리케이션 간 이식성과 간접 통합이 매우 용이(++)
다만 외부 시스템과 장치와의 직접 통합은 VM의 추상 계층(Hypervisor)으로 인한 제약때문에 한계가 있음(-)
Microkernel 
표준 인터페이스와 프로토콜을 사용하여 커널과 플러그인 간의 상호 작용을  연결하는 구조는 새로운 컴포넌트(플러그인) 일관성 있는 통합에 매우 유리</t>
  </si>
  <si>
    <r>
      <rPr>
        <rFont val="Calibri"/>
        <color rgb="FF000000"/>
        <sz val="11.0"/>
      </rPr>
      <t>2</t>
    </r>
    <r>
      <rPr>
        <rFont val="&quot;맑은 고딕&quot;"/>
        <color rgb="FF000000"/>
        <sz val="11.0"/>
      </rPr>
      <t>조</t>
    </r>
  </si>
  <si>
    <r>
      <rPr>
        <rFont val="Calibri"/>
        <color theme="1"/>
        <sz val="11.0"/>
      </rPr>
      <t>3</t>
    </r>
    <r>
      <rPr>
        <rFont val="Arial"/>
        <color theme="1"/>
        <sz val="11.0"/>
      </rPr>
      <t>조</t>
    </r>
  </si>
  <si>
    <r>
      <rPr>
        <rFont val="Calibri"/>
        <color rgb="FF000000"/>
        <sz val="11.0"/>
      </rPr>
      <t>3</t>
    </r>
    <r>
      <rPr>
        <rFont val="&quot;맑은 고딕&quot;"/>
        <color rgb="FF000000"/>
        <sz val="11.0"/>
      </rPr>
      <t>조</t>
    </r>
  </si>
  <si>
    <r>
      <rPr>
        <rFont val="Calibri"/>
        <color theme="1"/>
        <sz val="11.0"/>
      </rPr>
      <t>4</t>
    </r>
    <r>
      <rPr>
        <rFont val="Arial"/>
        <color theme="1"/>
        <sz val="11.0"/>
      </rPr>
      <t>조</t>
    </r>
  </si>
  <si>
    <r>
      <rPr>
        <rFont val="Calibri"/>
        <color theme="1"/>
        <sz val="11.0"/>
      </rPr>
      <t>5</t>
    </r>
    <r>
      <rPr>
        <rFont val="Arial"/>
        <color theme="1"/>
        <sz val="11.0"/>
      </rPr>
      <t>조</t>
    </r>
  </si>
  <si>
    <r>
      <rPr>
        <rFont val="Calibri"/>
        <color rgb="FF000000"/>
        <sz val="11.0"/>
      </rPr>
      <t>4</t>
    </r>
    <r>
      <rPr>
        <rFont val="&quot;맑은 고딕&quot;"/>
        <color rgb="FF000000"/>
        <sz val="11.0"/>
      </rPr>
      <t>조</t>
    </r>
  </si>
  <si>
    <r>
      <rPr>
        <rFont val="Calibri"/>
        <color theme="1"/>
        <sz val="11.0"/>
      </rPr>
      <t>6</t>
    </r>
    <r>
      <rPr>
        <rFont val="Arial"/>
        <color theme="1"/>
        <sz val="11.0"/>
      </rPr>
      <t>조</t>
    </r>
  </si>
  <si>
    <r>
      <rPr>
        <rFont val="Calibri"/>
        <color rgb="FF000000"/>
        <sz val="11.0"/>
      </rPr>
      <t>5</t>
    </r>
    <r>
      <rPr>
        <rFont val="&quot;맑은 고딕&quot;"/>
        <color rgb="FF000000"/>
        <sz val="11.0"/>
      </rPr>
      <t>조</t>
    </r>
  </si>
  <si>
    <r>
      <rPr>
        <rFont val="Calibri"/>
        <color theme="1"/>
        <sz val="11.0"/>
      </rPr>
      <t>7</t>
    </r>
    <r>
      <rPr>
        <rFont val="Arial"/>
        <color theme="1"/>
        <sz val="11.0"/>
      </rPr>
      <t>조</t>
    </r>
  </si>
  <si>
    <r>
      <rPr>
        <rFont val="Calibri"/>
        <color theme="1"/>
        <sz val="11.0"/>
      </rPr>
      <t>8</t>
    </r>
    <r>
      <rPr>
        <rFont val="Arial"/>
        <color theme="1"/>
        <sz val="11.0"/>
      </rPr>
      <t>조</t>
    </r>
  </si>
  <si>
    <r>
      <rPr>
        <rFont val="Calibri"/>
        <color rgb="FF000000"/>
        <sz val="11.0"/>
      </rPr>
      <t>6</t>
    </r>
    <r>
      <rPr>
        <rFont val="&quot;맑은 고딕&quot;"/>
        <color rgb="FF000000"/>
        <sz val="11.0"/>
      </rPr>
      <t>조</t>
    </r>
  </si>
  <si>
    <r>
      <rPr>
        <rFont val="Calibri"/>
        <color theme="1"/>
        <sz val="11.0"/>
      </rPr>
      <t>9</t>
    </r>
    <r>
      <rPr>
        <rFont val="Arial"/>
        <color theme="1"/>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</si>
  <si>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</si>
  <si>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</si>
  <si>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1</t>
    </r>
    <r>
      <rPr>
        <rFont val="&quot;맑은 고딕&quot;"/>
        <color rgb="FF000000"/>
        <sz val="11.0"/>
      </rPr>
      <t>조</t>
    </r>
  </si>
  <si>
    <t>Main-subroutine
강한 결합. Global  Data변경은 시스템 전반에 영향을 미친다.
Master-Slave
슬래이브의 변경은 다른 이종 슬래이브에 영향을 주지 않는다(+)
단, 마스터의 영향은 모든 슬래이브에 영향을 준다(-)</t>
  </si>
  <si>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</si>
  <si>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</si>
  <si>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</si>
  <si>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t>Distributed</t>
  </si>
  <si>
    <t>Multi-Tier</t>
  </si>
  <si>
    <t>Client-Server</t>
  </si>
  <si>
    <r>
      <rPr>
        <rFont val="Calibri"/>
        <color rgb="FF000000"/>
        <sz val="11.0"/>
      </rPr>
      <t>4</t>
    </r>
    <r>
      <rPr>
        <rFont val="&quot;맑은 고딕&quot;"/>
        <color rgb="FF000000"/>
        <sz val="11.0"/>
      </rPr>
      <t>조</t>
    </r>
  </si>
  <si>
    <r>
      <rPr>
        <rFont val="Calibri"/>
        <color theme="1"/>
        <sz val="11.0"/>
      </rPr>
      <t>1</t>
    </r>
    <r>
      <rPr>
        <rFont val="Arial"/>
        <color theme="1"/>
        <sz val="11.0"/>
      </rPr>
      <t>조</t>
    </r>
  </si>
  <si>
    <r>
      <rPr>
        <rFont val="Calibri"/>
        <color rgb="FF000000"/>
        <sz val="11.0"/>
      </rPr>
      <t>5</t>
    </r>
    <r>
      <rPr>
        <rFont val="&quot;맑은 고딕&quot;"/>
        <color rgb="FF000000"/>
        <sz val="11.0"/>
      </rPr>
      <t>조</t>
    </r>
  </si>
  <si>
    <t>Layer
계층이 많아질수로 호출/변환 오버헤드가 증가되어 에너지 효율이 다소 떨어짐
VM
VM 증가은 추상화/인터프리팅/가상화 오버헤드로 많은 리소스를 소모
Microkernel 
필요한 서비스만 로드가능 하여 유휴 리소스를 줄일 수 있다(+)
단, 빈번한 IPC/컨텍스트 스위칭은 리소스 소모를 증가 시킨다(-)</t>
  </si>
  <si>
    <r>
      <rPr>
        <rFont val="Calibri"/>
        <color rgb="FF000000"/>
        <sz val="11.0"/>
      </rPr>
      <t>6</t>
    </r>
    <r>
      <rPr>
        <rFont val="&quot;맑은 고딕&quot;"/>
        <color rgb="FF000000"/>
        <sz val="11.0"/>
      </rPr>
      <t>조</t>
    </r>
  </si>
  <si>
    <r>
      <rPr>
        <rFont val="Calibri"/>
        <color theme="1"/>
        <sz val="11.0"/>
      </rPr>
      <t>2</t>
    </r>
    <r>
      <rPr>
        <rFont val="Arial"/>
        <color theme="1"/>
        <sz val="11.0"/>
      </rPr>
      <t>조</t>
    </r>
  </si>
  <si>
    <t>1조</t>
  </si>
  <si>
    <r>
      <rPr>
        <rFont val="Calibri"/>
        <color rgb="FF000000"/>
        <sz val="11.0"/>
      </rPr>
      <t>7</t>
    </r>
    <r>
      <rPr>
        <rFont val="&quot;맑은 고딕&quot;"/>
        <color rgb="FF000000"/>
        <sz val="11.0"/>
      </rPr>
      <t>조</t>
    </r>
  </si>
  <si>
    <r>
      <rPr>
        <rFont val="Calibri"/>
        <color theme="1"/>
        <sz val="11.0"/>
      </rPr>
      <t>3</t>
    </r>
    <r>
      <rPr>
        <rFont val="Arial"/>
        <color theme="1"/>
        <sz val="11.0"/>
      </rPr>
      <t>조</t>
    </r>
  </si>
  <si>
    <t xml:space="preserve">Multi-Tier,  Client Server
티어(서버)가의 중지는 서비스 전체으 동작에 여향을 준다(-)
단, 빠른 복구 또는 이중화가 가능(+)
</t>
  </si>
  <si>
    <r>
      <rPr>
        <rFont val="Calibri"/>
        <color rgb="FF000000"/>
        <sz val="11.0"/>
      </rPr>
      <t>8</t>
    </r>
    <r>
      <rPr>
        <rFont val="&quot;맑은 고딕&quot;"/>
        <color rgb="FF000000"/>
        <sz val="11.0"/>
      </rPr>
      <t>조</t>
    </r>
  </si>
  <si>
    <t>2조</t>
  </si>
  <si>
    <r>
      <rPr>
        <rFont val="Calibri"/>
        <color rgb="FF000000"/>
        <sz val="11.0"/>
      </rPr>
      <t>9</t>
    </r>
    <r>
      <rPr>
        <rFont val="&quot;맑은 고딕&quot;"/>
        <color rgb="FF000000"/>
        <sz val="11.0"/>
      </rPr>
      <t>조</t>
    </r>
  </si>
  <si>
    <r>
      <rPr>
        <rFont val="Calibri"/>
        <color theme="1"/>
        <sz val="11.0"/>
      </rPr>
      <t>4</t>
    </r>
    <r>
      <rPr>
        <rFont val="Arial"/>
        <color theme="1"/>
        <sz val="11.0"/>
      </rPr>
      <t>조</t>
    </r>
  </si>
  <si>
    <t>3조</t>
  </si>
  <si>
    <t>4조</t>
  </si>
  <si>
    <r>
      <rPr>
        <rFont val="Calibri"/>
        <color theme="1"/>
        <sz val="11.0"/>
      </rPr>
      <t>5</t>
    </r>
    <r>
      <rPr>
        <rFont val="Arial"/>
        <color theme="1"/>
        <sz val="11.0"/>
      </rPr>
      <t>조</t>
    </r>
  </si>
  <si>
    <t>5조</t>
  </si>
  <si>
    <r>
      <rPr>
        <rFont val="Calibri"/>
        <color rgb="FF000000"/>
        <sz val="11.0"/>
      </rPr>
      <t>1</t>
    </r>
    <r>
      <rPr>
        <rFont val="&quot;맑은 고딕&quot;"/>
        <color rgb="FF000000"/>
        <sz val="11.0"/>
      </rPr>
      <t>조</t>
    </r>
  </si>
  <si>
    <r>
      <rPr>
        <rFont val="Calibri"/>
        <color theme="1"/>
        <sz val="11.0"/>
      </rPr>
      <t>6</t>
    </r>
    <r>
      <rPr>
        <rFont val="Arial"/>
        <color theme="1"/>
        <sz val="11.0"/>
      </rPr>
      <t>조</t>
    </r>
  </si>
  <si>
    <t>6조</t>
  </si>
  <si>
    <t xml:space="preserve">Main-subroutine
강한 결합으로 인한 직접 호출은 호출간 지연을 최소화(+)
단일 쓰래드로 동작하는 점은 마이너스 요소(-)
Master-Slave
동시성. 병렬 처리 가능한 슬래이브는 워크로드를 분산하여 효율성을 높일 수 있는 수단이 된다 </t>
  </si>
  <si>
    <r>
      <rPr>
        <rFont val="Calibri"/>
        <color theme="1"/>
        <sz val="11.0"/>
      </rPr>
      <t>7</t>
    </r>
    <r>
      <rPr>
        <rFont val="Arial"/>
        <color theme="1"/>
        <sz val="11.0"/>
      </rPr>
      <t>조</t>
    </r>
  </si>
  <si>
    <r>
      <rPr>
        <rFont val="Calibri"/>
        <color rgb="FF000000"/>
        <sz val="11.0"/>
      </rPr>
      <t>2</t>
    </r>
    <r>
      <rPr>
        <rFont val="&quot;맑은 고딕&quot;"/>
        <color rgb="FF000000"/>
        <sz val="11.0"/>
      </rPr>
      <t>조</t>
    </r>
  </si>
  <si>
    <t>7조</t>
  </si>
  <si>
    <r>
      <rPr>
        <rFont val="Calibri"/>
        <color theme="1"/>
        <sz val="11.0"/>
      </rPr>
      <t>8</t>
    </r>
    <r>
      <rPr>
        <rFont val="Arial"/>
        <color theme="1"/>
        <sz val="11.0"/>
      </rPr>
      <t>조</t>
    </r>
  </si>
  <si>
    <r>
      <rPr>
        <rFont val="Calibri"/>
        <color rgb="FF000000"/>
        <sz val="11.0"/>
      </rPr>
      <t>3</t>
    </r>
    <r>
      <rPr>
        <rFont val="&quot;맑은 고딕&quot;"/>
        <color rgb="FF000000"/>
        <sz val="11.0"/>
      </rPr>
      <t>조</t>
    </r>
  </si>
  <si>
    <t>8조</t>
  </si>
  <si>
    <r>
      <rPr>
        <rFont val="Calibri"/>
        <color theme="1"/>
        <sz val="11.0"/>
      </rPr>
      <t>9</t>
    </r>
    <r>
      <rPr>
        <rFont val="Arial"/>
        <color theme="1"/>
        <sz val="11.0"/>
      </rPr>
      <t>조</t>
    </r>
  </si>
  <si>
    <r>
      <rPr>
        <rFont val="Calibri"/>
        <color rgb="FF000000"/>
        <sz val="11.0"/>
      </rPr>
      <t>4</t>
    </r>
    <r>
      <rPr>
        <rFont val="&quot;맑은 고딕&quot;"/>
        <color rgb="FF000000"/>
        <sz val="11.0"/>
      </rPr>
      <t>조</t>
    </r>
  </si>
  <si>
    <t>9조</t>
  </si>
  <si>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</si>
  <si>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</si>
  <si>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</si>
  <si>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t>Layer
각각의 계층이 독립적으로 개발, 유지보수 및 배치가 될 수 있다.기능/역할 분리(+)
하위 레이어의 수정이 상위에 영향을 준다 (-)
VM
플랫폼 의존적인 부분을 감춤으로 다른 플랫폼으로의 이식성이 좋다.
Microkernel 
새로운 Plug-in 의 추가/변경이 다른 요소에 영향을 주지 않는다.</t>
  </si>
  <si>
    <r>
      <rPr>
        <rFont val="Calibri"/>
        <color rgb="FF000000"/>
        <sz val="11.0"/>
      </rPr>
      <t>2</t>
    </r>
    <r>
      <rPr>
        <rFont val="&quot;맑은 고딕&quot;"/>
        <color rgb="FF000000"/>
        <sz val="11.0"/>
      </rPr>
      <t>조</t>
    </r>
  </si>
  <si>
    <t>Multi-Tier
 티어 단위의 배포는 가능하나, 티어 간의 계약 변경시 연쇄 배포가 필요함
 Client Server
 Client–Server에서 클라이언트 업데이트가 필요해지는 순간,  ‘사용자 디바이스 전체’로 확장되어 급격히 악화된다.(--)
 서버 중심의 배포는 비교적 단순하다(+)</t>
  </si>
  <si>
    <r>
      <rPr>
        <rFont val="Calibri"/>
        <color rgb="FF000000"/>
        <sz val="11.0"/>
      </rPr>
      <t>7</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</si>
  <si>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</si>
  <si>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</si>
  <si>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</si>
  <si>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</si>
  <si>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</si>
  <si>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</si>
  <si>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</si>
  <si>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</si>
  <si>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t>Main-subroutine
강한 결합으로 인한 오류 또는 결함은 시스템 전반에 영향을 준다
Master-Slave
슬래이브의 불안 요소는 마스터에 의해 차단 가능-복제된슬레이브로 작업 이전 (+)
마스터가 단일 장애 지점이 되면시스템 전반에 영향을 미친다(-)</t>
  </si>
  <si>
    <r>
      <rPr>
        <rFont val="Calibri"/>
        <color rgb="FF000000"/>
        <sz val="11.0"/>
      </rPr>
      <t>8</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</si>
  <si>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</si>
  <si>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</si>
  <si>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</si>
  <si>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</si>
  <si>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</si>
  <si>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1</t>
    </r>
    <r>
      <rPr>
        <rFont val="&quot;맑은 고딕&quot;"/>
        <color rgb="FF000000"/>
        <sz val="11.0"/>
      </rPr>
      <t>조</t>
    </r>
  </si>
  <si>
    <t>Broker</t>
  </si>
  <si>
    <t>Dispatcher</t>
  </si>
  <si>
    <r>
      <rPr>
        <rFont val="Calibri"/>
        <color rgb="FF000000"/>
        <sz val="11.0"/>
      </rPr>
      <t>6</t>
    </r>
    <r>
      <rPr>
        <rFont val="&quot;맑은 고딕&quot;"/>
        <color rgb="FF000000"/>
        <sz val="11.0"/>
      </rPr>
      <t>조</t>
    </r>
  </si>
  <si>
    <t>Layer
레이어가 많아질수록 호출/반환의 오버해드 및 지연 증가
VM
인터프리터 방식으로 하나의 추가적인 단계를 두기 때문에 오버헤드가 발생.
Microkernel 
"Monolithic" 구조에 비해서 느리다. (IPC/컨텍스트 스위칭 오버해드)</t>
  </si>
  <si>
    <r>
      <rPr>
        <rFont val="Calibri"/>
        <color rgb="FF000000"/>
        <sz val="11.0"/>
      </rPr>
      <t>2</t>
    </r>
    <r>
      <rPr>
        <rFont val="&quot;맑은 고딕&quot;"/>
        <color rgb="FF000000"/>
        <sz val="11.0"/>
      </rPr>
      <t>조</t>
    </r>
  </si>
  <si>
    <r>
      <rPr>
        <rFont val="Calibri"/>
        <color rgb="FF000000"/>
        <sz val="11.0"/>
      </rPr>
      <t>7</t>
    </r>
    <r>
      <rPr>
        <rFont val="&quot;맑은 고딕&quot;"/>
        <color rgb="FF000000"/>
        <sz val="11.0"/>
      </rPr>
      <t>조</t>
    </r>
  </si>
  <si>
    <t>Multi-Tier
 Presentation / Application / Data 등 역할별 계층 경계가 명확하여, 특정 계층(API·Service Tier)을 통합 지점으로 삼으면 외부 연동이 수월함
 다만 계층 규칙을 반드시 경유해야 하므로, 비정형·횡단 통합에는 유연성이 떨어질 수 있음
 Client Server
 서버가 명확한 서비스 인터페이스(API) 를 제공하므로, 새로운 클라이언트 추가는 비교적 쉬움(+)
 단, 서버 변경 시 다수 클라이언트에 영향이 발생(-)</t>
  </si>
  <si>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</si>
  <si>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</si>
  <si>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t>Broker
Broker에 장애 발생 시 연관된 모든 서비스에 영향(-). 단, 서버나 Broker의 이중화로 보완 가능
 Dispatcher
 Dispatcher의 장애는 전체 시스템이 정상적인 동작을 방해한다. (-)
  -&gt; Broker 보다 이중화의 방식이 복잡하다(이미 연결된 세션의 복구가 필요해짐) 
서버 쪽이 장애발생시 신속하게 정상 서버로 연결 가능(+)</t>
  </si>
  <si>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</si>
  <si>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</si>
  <si>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</si>
  <si>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</si>
  <si>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</si>
  <si>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t>Main-subroutine
Global Data의 노출은 명확한 공격 포인트.
Master-Slave
슬래이브에 대한 공격을 마스터에서 차단  (+)
마스터가 공격 받으면 시스템 전반에 영향을 미친다(-)</t>
  </si>
  <si>
    <r>
      <rPr>
        <rFont val="Calibri"/>
        <color rgb="FF000000"/>
        <sz val="11.0"/>
      </rPr>
      <t>7</t>
    </r>
    <r>
      <rPr>
        <rFont val="&quot;맑은 고딕&quot;"/>
        <color rgb="FF000000"/>
        <sz val="11.0"/>
      </rPr>
      <t>조</t>
    </r>
  </si>
  <si>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</si>
  <si>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</si>
  <si>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</si>
  <si>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</si>
  <si>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</si>
  <si>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t>Multi-Tier
 다중 티어의 운용에 따른 리소스 증가와 티어 간의 통신 비용 증가로 인해 에너지 효율이 낮음
 Client Server
 서버 집중으로 클라이언트 에너지(특히 모바일)를 줄일 수 있지만, 요청/응답 트래픽이 많으면 통신 에너지가 커져 전체 효율이 떨어질 수 있음</t>
  </si>
  <si>
    <t xml:space="preserve">Broker, Dispatcher
Client와 서버 간 결합을 효과적으로 분리하여 독립 배포를 가능하다(+),
Broker, Dispatcher 자체의 (재)배포는 전체 서비스의 중단을 야기시킨다.(-)
 </t>
  </si>
  <si>
    <r>
      <rPr>
        <rFont val="Calibri"/>
        <color rgb="FF000000"/>
        <sz val="11.0"/>
      </rPr>
      <t>5</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</si>
  <si>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</si>
  <si>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</si>
  <si>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t>Layer
계층 경계가 명확해 안전 검증/차단이 용이하여 결함 전파를 줄이기 유리함(+)
단, 차단 실패시 하위 레이어의 불안오소가 시스템 전반에 미치는 영향이 커진다(-)
VM
격리로 오류 전파 차단(+)
가상화 계층(Hypervisor)의 결함/오버헤드가  시스템 전체의 안전을 저해할 수 있다.(-)
Microkernel 
플러그인의 불안요소는 시스템 전체의 영향이 작다(+)
단, 커널·IPC 경로에 문제가 생기거나 전파되면 시스템 전체가 영향을 받을 수 있다(-)</t>
  </si>
  <si>
    <r>
      <rPr>
        <rFont val="Calibri"/>
        <color rgb="FF000000"/>
        <sz val="11.0"/>
      </rPr>
      <t>2</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</si>
  <si>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</si>
  <si>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</si>
  <si>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</si>
  <si>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</si>
  <si>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</si>
  <si>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</si>
  <si>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</si>
  <si>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</si>
  <si>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</si>
  <si>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t>Main-subroutine
분할로인한 단위  테스트 용이성(+)
강한 결합. 동기 방식으로인한 통합 테스트 구조가 간단(+) 
Master-Slave
동시성으로 인하 통합 테스트 복잡성 및 슬래이브간 작업 시퀀스가 존재할 경우 통합 테스트 구조는 더 복잡해진다</t>
  </si>
  <si>
    <t xml:space="preserve">Broker
 서비스 제공자와 소비자가 Broker를 통해 간접 연결되어 서로를 몰라도 통합 가능
 Dispatcher
 클라이언트와 서버 간의 상호작용을 표준화된 인터페이스와 프로토콜을 통해서 제공하므로, 새로운 컴포넌트의 추가는 용이하다. (+)
다만, 외부 시스템 통합시, Dispatcher 규칙과 인터페이스에 강하게 종속(-)
</t>
  </si>
  <si>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</si>
  <si>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</si>
  <si>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</si>
  <si>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</si>
  <si>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t>Multi-Tier
양간결합 구조로 분리되어 서로의 수정에 영향을 덜 받는다(+)
단 의미적 결합이 강한 경우 의존성 발생의 영향을 받는다(-)
 Client Server
 Client와 Server의 책임 분리로 인해서, Clinet와 서버는 독립적으로 변경될 수 있다.</t>
  </si>
  <si>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</si>
  <si>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</si>
  <si>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</si>
  <si>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</si>
  <si>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7</t>
    </r>
    <r>
      <rPr>
        <rFont val="&quot;맑은 고딕&quot;"/>
        <color rgb="FF000000"/>
        <sz val="11.0"/>
      </rPr>
      <t>조</t>
    </r>
  </si>
  <si>
    <t>Layer
각 계층의 내부 정보를 다른 계층에 감추는 경우 유리. 정보분산(+)
데이터 레이어로 통합하는 경우 명확한 공격 포인트. 정보 집중(-)
VM
정보의 분산. 물리적인 시스템과 분리된 여러 개의 VM 인스턴스를 구성, 한 VM에서 발생하는 보안 위협이 다른 VM에 영향을 미치는 것을 방지할 수 있다.
Microkernel 
정보(흐름)의 집중구간이 커널이됨. 커널 공격시 위험</t>
  </si>
  <si>
    <r>
      <rPr>
        <rFont val="Calibri"/>
        <color rgb="FF000000"/>
        <sz val="11.0"/>
      </rPr>
      <t>2</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</si>
  <si>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</si>
  <si>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</si>
  <si>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</si>
  <si>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</si>
  <si>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</si>
  <si>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t xml:space="preserve">Broker
 브로커를 통한 라우팅으로 유연성은 크지만 추가 메시지 처리로 통신·대기 오버헤드가 늘어 에너지 소모가 증가함
 Dispatcher
부하를 효율적으로 분산하여 효율 개선이 가능하다(+)
세션에 대한 지속적 모니터링 과전에서 자원의 소모가 발생한다(-)
</t>
  </si>
  <si>
    <r>
      <rPr>
        <rFont val="Calibri"/>
        <color rgb="FF000000"/>
        <sz val="11.0"/>
      </rPr>
      <t>1</t>
    </r>
    <r>
      <rPr>
        <rFont val="&quot;맑은 고딕&quot;"/>
        <color rgb="FF000000"/>
        <sz val="11.0"/>
      </rPr>
      <t>조</t>
    </r>
  </si>
  <si>
    <r>
      <rPr>
        <rFont val="Calibri"/>
        <color rgb="FF000000"/>
        <sz val="11.0"/>
      </rPr>
      <t>6</t>
    </r>
    <r>
      <rPr>
        <rFont val="&quot;맑은 고딕&quot;"/>
        <color rgb="FF000000"/>
        <sz val="11.0"/>
      </rPr>
      <t>조</t>
    </r>
  </si>
  <si>
    <t>Multi-Tier
동시성에 의한 병렬 처리(+)
티어 간에 통신 오버헤드 (-)
 단, 서버 확충을 통한 처리량 개선 (+) 
Client Server
Client 가 증가하면 시스템 응담 지연이 발생한다(-)
서버 확장(Scale Up/Out)을 통해 성능을 향상시킬 수 있다.</t>
  </si>
  <si>
    <t xml:space="preserve">공통
사용자와 상호작용 할만한 시나리오가 없다
</t>
  </si>
  <si>
    <r>
      <rPr>
        <rFont val="Calibri"/>
        <color rgb="FF000000"/>
        <sz val="11.0"/>
      </rPr>
      <t>2</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</si>
  <si>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</si>
  <si>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</si>
  <si>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</si>
  <si>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</si>
  <si>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9</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</si>
  <si>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</si>
  <si>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</si>
  <si>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</si>
  <si>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1</t>
    </r>
    <r>
      <rPr>
        <rFont val="&quot;맑은 고딕&quot;"/>
        <color rgb="FF000000"/>
        <sz val="11.0"/>
      </rPr>
      <t>조</t>
    </r>
  </si>
  <si>
    <r>
      <rPr>
        <rFont val="Calibri"/>
        <color rgb="FF000000"/>
        <sz val="11.0"/>
      </rPr>
      <t>8</t>
    </r>
    <r>
      <rPr>
        <rFont val="&quot;맑은 고딕&quot;"/>
        <color rgb="FF000000"/>
        <sz val="11.0"/>
      </rPr>
      <t>조</t>
    </r>
  </si>
  <si>
    <t>Layer
레이어별 단위 테스트 용이. 통합 테스트 구성도 비교적 단순해짐
VM
재난 및 위험 상황에 대한 시뮬레이션을 수행할 수 있다.
Microkernel 
Plug-in 별로 단위 테스트가 용이하다.(+)
통합 테스트 구조가 다소 복장(Monolithic대비)</t>
  </si>
  <si>
    <r>
      <rPr>
        <rFont val="Calibri"/>
        <color rgb="FF000000"/>
        <sz val="11.0"/>
      </rPr>
      <t>2</t>
    </r>
    <r>
      <rPr>
        <rFont val="&quot;맑은 고딕&quot;"/>
        <color rgb="FF000000"/>
        <sz val="11.0"/>
      </rPr>
      <t>조</t>
    </r>
  </si>
  <si>
    <r>
      <rPr>
        <rFont val="Calibri"/>
        <color rgb="FF000000"/>
        <sz val="11.0"/>
      </rPr>
      <t>9</t>
    </r>
    <r>
      <rPr>
        <rFont val="&quot;맑은 고딕&quot;"/>
        <color rgb="FF000000"/>
        <sz val="11.0"/>
      </rPr>
      <t>조</t>
    </r>
  </si>
  <si>
    <t>Multi-Tier
 티어 분리로 통제는 가능하나 네트워크/계층 간 장애가 안전 기능의 지연·부분 실패를 유발할 수 있다.
 Client Server
 서버 집중으로 통제가 쉬운 반면 서버 장애/통신 장애가 안전 관련 서비스 상실로 이어질 수 있다.</t>
  </si>
  <si>
    <r>
      <rPr>
        <rFont val="Calibri"/>
        <color rgb="FF000000"/>
        <sz val="11.0"/>
      </rPr>
      <t>3</t>
    </r>
    <r>
      <rPr>
        <rFont val="&quot;맑은 고딕&quot;"/>
        <color rgb="FF000000"/>
        <sz val="11.0"/>
      </rPr>
      <t>조</t>
    </r>
  </si>
  <si>
    <t>Broker
Client와 서버의 인터페이스가 유지된다면 서로에게 영향을 주지 않는다. (+)
Clinet는 서버의 위치에 대해서도 몰라도 된다.(+)
Broker 내부가 수정되어도 API가 동일하면 Client 나 Server는 영향을 받지 않는다.(+-)
 Dispatcher
Client와 서버의 인터페이스가 유지된다면 서로에게 영향을 주지 않는다. (+)
Clinet는 서버의 위치에 대해서도 몰라도 된다.(+)
Dispatcher 수정되어도 인터페이스가 유지 되면 영향을 받지 않는다(+-)</t>
  </si>
  <si>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</si>
  <si>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</si>
  <si>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</si>
  <si>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</si>
  <si>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</si>
  <si>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r>
      <rPr>
        <rFont val="Calibri"/>
        <color rgb="FF000000"/>
        <sz val="11.0"/>
      </rPr>
      <t>9</t>
    </r>
    <r>
      <rPr>
        <rFont val="&quot;맑은 고딕&quot;"/>
        <color rgb="FF000000"/>
        <sz val="11.0"/>
      </rPr>
      <t>조</t>
    </r>
  </si>
  <si>
    <t>Multi-Tier
 Tier의 분리로 인해 중요한 자원의 접근을 제한할 수 있다.
 Client Server
 서버에 대한 외부 공격 가능성이 높다.</t>
  </si>
  <si>
    <t>Broker
 프록시, Broker를 통한 indirection으로 인해 성능 저하
 Dispatcher
Dispatcher를 통한 오버헤드 존재</t>
  </si>
  <si>
    <r>
      <rPr>
        <rFont val="Calibri"/>
        <color rgb="FF000000"/>
        <sz val="11.0"/>
      </rPr>
      <t>1</t>
    </r>
    <r>
      <rPr>
        <rFont val="&quot;맑은 고딕&quot;"/>
        <color rgb="FF000000"/>
        <sz val="11.0"/>
      </rPr>
      <t>조</t>
    </r>
  </si>
  <si>
    <t xml:space="preserve"> Layer
사용자 상호작용(UX)개선을 위한 레이어를 추가 하여기 용이함
VM
물리적인 시스템의 제약을 벗어나, 다양한 플랫폼 하에서 동작하는 애플리케이션을 사용 가능 
Microkernel 
사용자가 원하는 서비스만을 로딩하여 사용 할 수 있다.</t>
  </si>
  <si>
    <r>
      <rPr>
        <rFont val="Calibri"/>
        <color rgb="FF000000"/>
        <sz val="11.0"/>
      </rPr>
      <t>2</t>
    </r>
    <r>
      <rPr>
        <rFont val="&quot;맑은 고딕&quot;"/>
        <color rgb="FF000000"/>
        <sz val="11.0"/>
      </rPr>
      <t>조</t>
    </r>
  </si>
  <si>
    <r>
      <rPr>
        <rFont val="Calibri"/>
        <color rgb="FF000000"/>
        <sz val="11.0"/>
      </rPr>
      <t>3</t>
    </r>
    <r>
      <rPr>
        <rFont val="&quot;맑은 고딕&quot;"/>
        <color rgb="FF000000"/>
        <sz val="11.0"/>
      </rPr>
      <t>조</t>
    </r>
  </si>
  <si>
    <r>
      <rPr>
        <rFont val="Calibri"/>
        <color rgb="FF000000"/>
        <sz val="11.0"/>
      </rPr>
      <t>4</t>
    </r>
    <r>
      <rPr>
        <rFont val="&quot;맑은 고딕&quot;"/>
        <color rgb="FF000000"/>
        <sz val="11.0"/>
      </rPr>
      <t>조</t>
    </r>
  </si>
  <si>
    <r>
      <rPr>
        <rFont val="Calibri"/>
        <color rgb="FF000000"/>
        <sz val="11.0"/>
      </rPr>
      <t>5</t>
    </r>
    <r>
      <rPr>
        <rFont val="&quot;맑은 고딕&quot;"/>
        <color rgb="FF000000"/>
        <sz val="11.0"/>
      </rPr>
      <t>조</t>
    </r>
  </si>
  <si>
    <r>
      <rPr>
        <rFont val="Calibri"/>
        <color rgb="FF000000"/>
        <sz val="11.0"/>
      </rPr>
      <t>6</t>
    </r>
    <r>
      <rPr>
        <rFont val="&quot;맑은 고딕&quot;"/>
        <color rgb="FF000000"/>
        <sz val="11.0"/>
      </rPr>
      <t>조</t>
    </r>
  </si>
  <si>
    <t>Multi-Tier
 분산 시스템에서의 테스팅 환경 구성이 용이하지 않다.
 Client Server
 분산 시스템에서의 테스팅 환경 구성이 용이하지 않다.</t>
  </si>
  <si>
    <r>
      <rPr>
        <rFont val="Calibri"/>
        <color rgb="FF000000"/>
        <sz val="11.0"/>
      </rPr>
      <t>7</t>
    </r>
    <r>
      <rPr>
        <rFont val="&quot;맑은 고딕&quot;"/>
        <color rgb="FF000000"/>
        <sz val="11.0"/>
      </rPr>
      <t>조</t>
    </r>
  </si>
  <si>
    <r>
      <rPr>
        <rFont val="Calibri"/>
        <color rgb="FF000000"/>
        <sz val="11.0"/>
      </rPr>
      <t>8</t>
    </r>
    <r>
      <rPr>
        <rFont val="&quot;맑은 고딕&quot;"/>
        <color rgb="FF000000"/>
        <sz val="11.0"/>
      </rPr>
      <t>조</t>
    </r>
  </si>
  <si>
    <t>Broker
 중개자가 병목/단일 장애 지점이 되기 쉬워 메시지 전달 실패가 안전 이벤트 처리 실패로 직결될 수 있다.
 Dispatcher
 디스패처가 라우팅을 독점하면 오동작 시 전체 요청/이벤트가 잘못 분배되어 안전 기능이 광범위하게 깨질 수 있다.</t>
  </si>
  <si>
    <r>
      <rPr>
        <rFont val="Calibri"/>
        <color rgb="FF000000"/>
        <sz val="11.0"/>
      </rPr>
      <t>9</t>
    </r>
    <r>
      <rPr>
        <rFont val="&quot;맑은 고딕&quot;"/>
        <color rgb="FF000000"/>
        <sz val="11.0"/>
      </rPr>
      <t>조</t>
    </r>
  </si>
  <si>
    <t>Multi-Tier
 Client 부분을 독립적인 티어로 분리하므로, 사용성이 좋은 UI를 다양하게 제공 가능
 Client Server
 Client 부분을 독립적인 티어로 분리하므로, 사용성이 좋은 UI를 다양하게  제공 가능</t>
  </si>
  <si>
    <t xml:space="preserve">Broker
정보의 흐름이 집중되는 구간이 명확하다.  
 Dispatcher
정보의 흐름이 집중되는 구간이 명확하다. (-)
중계리후에는 비교적 이문제를 회피 할 수 있다(+) </t>
  </si>
  <si>
    <t>Broker
 여러 프록시와 Broker의 분산된 통신으로 인한 테스팅이 어려움
 Dispatcher
 분산된 통신으로 인한 테스팅이 어려움</t>
  </si>
  <si>
    <t>Broker
 해당사항 없음
 Dispatcher
 해당사항 없음</t>
  </si>
  <si>
    <t>SOA</t>
  </si>
  <si>
    <t>Micro-service</t>
  </si>
  <si>
    <t>SOA
 개별 서비스의 장애가 전체 시스템의 장애로 이어지지는 않는다. 단, 대규모 서비스인 경우 복구의 시간이 길어 질 수 있다
 Micro Service
 개별 마이크로 서비스의 장애가 전체 서비스로 전파되는 것을 효과적으로 차단 가능. Redundency를 이용하여 빠르게 복구 가능</t>
  </si>
  <si>
    <t>Deployment</t>
  </si>
  <si>
    <t>Container-based</t>
  </si>
  <si>
    <t>Cloud-based</t>
  </si>
  <si>
    <t>Edge-based</t>
  </si>
  <si>
    <t>중앙 장애에 대한 독립성을 얻을 수 있음</t>
  </si>
  <si>
    <t>SOA
 서비스 단위의 부분 배포를 런타임에 진행 할 수 있다. 단, 대규모 서비스인 경우, 서비스 배포시 부분적인 시스템 정지 가 발생 할 수 있다.
 Micro Service
 단위서비스를 런타임에 신속하게 배포 가능하다</t>
  </si>
  <si>
    <t>Edge-based Deployment는 물리적으로 분산된 환경으로 인해 배포 범위와 복잡성이 증가하여 Deployability가 상대적으로 낮아진다</t>
  </si>
  <si>
    <t>SOA, Micro Service
 서비스간 인터페이스를 준수 한다면 유연한 확장이 가능하다</t>
  </si>
  <si>
    <t>SOA
 동시성을 가진 대규모 서비스의 구동 및 서비스 사용 요청이 빈번해지는 경우 자원의 소비가 급증한다
 Micro Service
서비스 간 호출시 오버헤드가 커서 같은 기능 대비 에너지 효율이 낮아진다. (-)
많은 서비스가 대기 상태에서 자원을 소비 할 수 있다(-)
. 단, 필요한 서비스만 스케일/슬립시키면 개선 여지가 있다(+)</t>
  </si>
  <si>
    <t>Edge-based는 환경 이질성으로 인해 상호운용성이 낮고, 중개 계층 없이는 통합이 어렵다</t>
  </si>
  <si>
    <t>Data Flow</t>
  </si>
  <si>
    <t>SOA
 각 서비스이 변경이 다름 서비스에 영향을 미치지 않는다. (+)
 다만, 서비스가 다른 서비스에 의존하는 경우, 서비스의 변경이 다른 서비스에 영향을 줄 수 있다(-)
 Micro Service
 독립적으로 개발,배포되어 수정 사항이 타 서비스에 영향을 주기 않는다(+)
 데이터를 공유하지 않기 때문에 기능 추가가 용이하다 (+)
 다만, 서비스가 다른 서비스에 의존하는 경우, 서비스의 변경이 다른 서비스에 영향을 줄 수 있다(-)</t>
  </si>
  <si>
    <t>Shared Respository</t>
  </si>
  <si>
    <t>SOA
 통신, 서비스간 의존성 체인이 있는 경우 통신 오버해드의 영향을 받는다
 Micro Service
 통신, 서비스간 의존성 체인이 있는 경우 통신 오버해드의 영향이 크다</t>
  </si>
  <si>
    <t>데이터 전송을 줄이고 로컬에서 처리해 네트워크 에너지를 크게 절감할 수 있다</t>
  </si>
  <si>
    <t>SOA, Micro Service
 서비스 단위 격리로 국소 장애 제한이 가능하지만, 단, 분산 호출·일관성·관측성 부족이 안전 검증을 어렵게 만든다.</t>
  </si>
  <si>
    <t>Multi-tier</t>
  </si>
  <si>
    <t>-</t>
  </si>
  <si>
    <t>[+] 기능 분리: 처리 단계가 구분되어 있어 장애가 발생한 단계와 원인을 파악하기 쉽고, 수정·복구 대상을 좁힐 수 있다.
[--] 순차적 실행 의존: 앞 단계가 완료되지 않으면 모든 후속 단계가 진행되지 못하므로, 한 단계의 장애가 전체 처리 결과의 제공을 막을 수 있다.
[-] 실시간 장애 복구 불가: 배치 작업 중단 시 즉시 서비스 재개가 어려움.</t>
  </si>
  <si>
    <t>[+] 역할 분리: 필터를 별도 실행 단위로 구성하면 장애가 발생한 필터를 구분하고 개별적으로 복구·재시작할 수 있는 경계가 생긴다. 다만 해당 필터의 재시작만으로 전체 처리 상태까지 자동 복구되는 것은 아니다.
[--] 필수 처리 경로의 의존: 최종 결과 생성에 필요한 필터나 연결 파이프가 중단되고 대체 경로가 없으면, 해당 경로의 정상 결과를 계속 생성하기 어렵다. 따라서 개별 필터의 독립성이 전체 처리의 무중단을 보장하지는 않는다.</t>
  </si>
  <si>
    <t>[+] 피드백에 의한 정상 상태 유지: 외부 교란으로 상태가 목표값에서 벗어나면 측정값을 바탕으로 조정하므로, 정상 운전 상태를 유지하는 데 도움이 된다.
[--] 핵심 제어 요소 의존: 제어부나 처리부가 고장 나면 피드백 루프를 정상적으로 수행하지 못하므로, 전체 제어 기능이 중단될 수 있다.</t>
  </si>
  <si>
    <t>단계별 레리어 규약이 시스템 종속적이어서 시스템간 연동이 어렵다
 (Layer 개념으로 보면 하위 의존성이 존재)</t>
  </si>
  <si>
    <t>0</t>
  </si>
  <si>
    <t>[+] 단계별 교체: 입출력 데이터 형식이 유지되면 변경된 처리 단계를 교체하기 쉬워, 변경 사항을 반영할 대상을 구분하기 쉽다.
[-] 데이터 형식 의존: 단계 사이의 데이터 형식이 바뀌면 데이터를 생성하는 단계와 사용하는 단계의 버전을 함께 맞춰 배포해야 한다.</t>
  </si>
  <si>
    <t>+</t>
  </si>
  <si>
    <t>[+] 개별 배포 단위: 필터를 별도 배포 단위로 구성하면 변경된 필터를 중심으로 배포·교체할 수 있어 전체 시스템을 함께 교체해야 하는 범위를 줄일 수 있다.
[+] 입출력 계약 유지: 필터의 입출력 형식과 의미가 유지되면 연결된 필터의 구현을 수정하지 않고 해당 필터의 새 버전을 반영하기 쉽다.
[-] 계약 변경의 배포 조정: 입출력 계약이 바뀌면 연결된 필터들의 버전 호환성을 확인하고 배포를 조정해야 한다. 필터가 독립적이라는 사실만으로 실행 중 무중단 교체가 보장되지는 않는다.</t>
  </si>
  <si>
    <t>[-] 의미적·시간적 계약의 결합 — 해석: 제어 변수의 의미나 전달 시점이 바뀌면 제어부와 처리부가 함께 맞춰져야 하므로, 관련 변경을 조정하여 배포해야 한다.
[-] 제어 중단의 영향 — 해석: 실행 중인 제어 요소를 교체하면서 루프가 중단되면 목표 상태 유지에 영향을 줄 수 있어, 배포 시 운영 중단의 영향을 고려해야 한다.</t>
  </si>
  <si>
    <t>[+] 데이터 규격 공유: 중간 파일/DB 포맷만 맞추면 타 시스템과 연동 가능함.
[-] 상호작용 방식의 제약: 처리 도중 요청과 응답을 반복해야 하는 구성요소는 단계 전체가 완료된 후 다음 단계로 넘어가는 방식에 맞추기 어렵다.</t>
  </si>
  <si>
    <t>[++] 명확한 연결 계약: 필터의 입력·출력 포트와 스트림 계약이 구분되어 있어, 계약이 맞는 새로운 필터를 기존 처리 흐름에 연결하기 쉽다.
[+] 필터 재사용: 기존 필터의 내부 구현을 변경하지 않고 다른 처리 흐름에 조합하여 사용할 수 있어, 새로운 기능을 통합할 때의 구현 노력을 줄일 수 있다.
[-] 데이터 계약 정합성: 데이터 형식이나 의미, 점진적 처리 방식이 맞지 않는 구성요소는 그대로 연결할 수 없으므로, 계약을 맞추는 변환 기능의 구현과 통합 검증이 필요하다.</t>
  </si>
  <si>
    <t>[-] 시간적 결합: 연결된 요소의 응답 시점이 전체 피드백 동작에 영향을 주므로, 기능적으로 연결되는 것 외에 시간적인 적합성도 검토해야 한다.</t>
  </si>
  <si>
    <t>[+] 자원 집약 처리: 특정 시간에 컴퓨팅 자원을 100% 활용하고 유휴 시간에는 끄기 쉬움.
[-] 디스크 I/O 소모: 중간 결과를 디스크/파일로 저장하는 과정에서 전력 소모가 발생함."</t>
  </si>
  <si>
    <t>[-] 실행 단위 유지 비용: 필터를 별도 프로세스로 실행하는 구성에서는 각 프로세스의 기본 자원과 실행 전환에 필요한 비용이 발생한다.
[-] 데이터 전달 비용: 필터 사이의 데이터 전달과 프로세스 간 통신에 추가 자원이 필요하며, 필터와 연결이 많아지면 이러한 비용이 누적될 수 있다.
[+] 조기 완료 후 유휴 전환 — 조건부: 동시 처리로 전체 작업을 일찍 완료하고 실제로 유휴 상태로 전환할 수 있다면 에너지 절감에 도움이 될 수 있다. 다만 점진적 처리 자체가 절전 동작을 보장하지는 않는다.</t>
  </si>
  <si>
    <t>[N/A] 목표값 유지와 에너지 최소화의 구분: 이 스타일의 직접적인 목적은 원하는 상태를 유지하는 것이며, 그 목표가 곧 에너지 소비의 최소화를 의미하지는 않는다.</t>
  </si>
  <si>
    <t>Microservice</t>
  </si>
  <si>
    <t>[+] 기능 분리: 처리 책임이 단계별로 구분되어 있어, 특정 단계의 내부 처리 방식 변경을 해당 단계에 국소화하기 쉽다.
[-] 연쇄적 변경: 중간 데이터 포맷 변경 시 앞뒤 모든 배치 단계에 영향이 파급됨.</t>
  </si>
  <si>
    <t>[++] 필터 내부 변경의 국소화: 필터가 서로의 내부 구현에 직접 의존하지 않으므로, 입출력 계약을 유지하는 변환 로직의 변경은 해당 필터에 국소화하기 쉽다.
[+] 구성 확장: 기존 필터를 재사용하고 필요한 필터를 추가·교체하여 처리 기능을 확장하기 쉽다.
[-] 계약과 처리 순서의 제약 — 구조 해석: 데이터의 형식·의미가 바뀌면 연결된 필터도 수정해야 한다. 필터 순서를 바꾸는 경우에도 각 단계의 입력 조건과 전체 처리 의미가 유지되는지 검증해야 한다.</t>
  </si>
  <si>
    <t>[-] 제어 변수의 의미적 결합: 측정값이나 조작값의 의미가 바뀌면 이를 계산하고 사용하는 제어부와 처리부를 함께 수정해야 할 수 있다.
[-] 피드백 전체의 영향 — 해석: 한 요소의 처리 특성이나 응답 시간이 바뀌면 이후 측정값과 다음 제어 동작도 달라질 수 있어, 변경 영향을 루프 전체에서 확인해야 한다.</t>
  </si>
  <si>
    <t>--</t>
  </si>
  <si>
    <t>[+] 일괄 처리 적합성: 대규모 데이터를 정해진 처리 단계에 따라 일괄 변환하는 용도에 효율적이다.
[--] 완료 대기에 따른 지연: 앞 단계의 전체 작업이 끝날 때까지 다음 단계가 기다리므로, 대규모 입력에서는 다음 단계의 시작과 최종 결과 제공이 크게 지연될 수 있다.
[-] 단계 간 동시성 부족: 여러 단계가 서로 다른 데이터를 동시에 처리하지 못하므로, 단계 간 처리를 겹치는 구조에 비해 처리량 향상이 제한된다.</t>
  </si>
  <si>
    <t>[++] 파이프라인 동시 처리: 여러 필터가 서로 다른 데이터 부분을 동시에 처리할 수 있어, 연속적으로 입력되는 데이터의 처리량을 높이는 데 유리하다.
[+] 점진적 처리: 앞 필터가 입력 전체를 처리하기 전에 후속 필터가 도착한 데이터를 처리할 수 있어, 전체 입력의 완료를 기다리는 시간을 줄일 수 있다.
[-] 전달 비용과 처리 속도 차이 — 구조 해석: 필터 간 데이터 전달에 부가 비용이 발생하고, 필터별 처리 속도가 다르면 대기가 생길 수 있다. 따라서 처리량이 높아져도 데이터 한 건의 최종 완료 시간이 반드시 짧아지는 것은 아니다.</t>
  </si>
  <si>
    <t>SOA
 서비스간 데이터를 공유 한도록 구성 하는 경우 명확한 공격 포인트 발생으로 취약점을 가진다
 Micro Service
 각 서비스마다 data가 isolation되어 있으므로 위험이 분산된다</t>
  </si>
  <si>
    <t>[+] 목표 성능 유지의 활용: 교안의 미들웨어 품질 제어 사례처럼 계산·통신 자원을 조정하는 구성에서는, 상태 변화에 대응하여 목표 성능 수준을 유지하는 데 활용할 수 있다.
[-] 반복 연산 비용 — 해석: 측정값의 해석·비교·제어 판단을 반복하므로, 실제 처리 기능 외에 제어를 위한 연산 비용이 발생한다.</t>
  </si>
  <si>
    <t>[+] 순차적 동작: 처리 순서가 정해져 있어 실행 흐름을 분석하기 쉽고, 순서와 상태 변화에 따른 위험을 검토하기 쉽다.
[-] 오류 전파: 잘못된 중간 결과가 후속 단계의 입력으로 사용되면 오류가 뒤 단계로 이어질 수 있다. 그 결과가 안전 관련 동작에 사용되는 경우에는 피해로 연결될 가능성도 검토해야 한다.</t>
  </si>
  <si>
    <t>[+] 검증 책임의 분리: 필터별 변환 책임이 구분되어 있어, 안전과 관련된 처리 로직을 특정 필터 단위로 나누어 검증하기 쉽다.
[-] 잘못된 출력의 전파 — 구조 해석: 필터가 내부 상태를 직접 공유하지 않더라도 잘못된 출력 데이터는 파이프를 통해 후속 필터에 전달될 수 있다. 해당 결과가 안전 관련 동작에 사용되는 경우 위험이 이어질 수 있다.
[-] 동시 실행의 분석 부담: 필터의 실행 시점과 데이터 도착 시점에 따른 동작을 함께 검토해야 하므로, 순차 실행에 비해 시간 의존 오류와 위험 상황의 분석이 복잡해질 수 있다.</t>
  </si>
  <si>
    <t>[++] 안전 관련 상태 유지 — 조건부 해석: 안전과 관련된 상태를 목표값으로 제어하는 경우, 외부 교란으로 상태가 벗어났을 때 이를 되돌리는 동작을 지속적으로 수행하므로 위험 상태를 억제하는 데 도움이 된다.
[--] 잘못된 제어의 전체 영향: 측정값이나 제어부가 잘못 동작하면 부적절한 조작이 처리부에 전달될 수 있으며, 안전 관련 시스템에서는 전체 제어 실패가 위험한 동작으로 이어질 수 있다.</t>
  </si>
  <si>
    <t>[+] 순차성: 같은 처리 흐름에서 여러 단계가 동시에 공유 상태를 변경하는 상황을 줄여, 동시 실행의 경쟁 상태에 따른 보안 위험을 줄일 수 있다.
[-] 강한 데이터 의존: 한 단계의 출력이 변조되어도 후속 단계가 이를 그대로 사용하면, 침해의 영향이 전체 처리 결과까지 전파될 수 있다.</t>
  </si>
  <si>
    <t>[+] 통제 경계의 식별: 필터별 책임과 입출력 경계가 구분되어 있어, 접근 통제나 입력 검증을 적용할 지점을 특정하기 쉽다. 실제 보안 효과는 해당 기능을 구현했을 때 발생한다.
[-] 보호 대상의 증가: 필터가 여러 실행 단위나 장비로 분리된 구성에서는 보호해야 하는 인터페이스와 데이터 전달 경로가 늘어나 보안 설정·검토 부담이 커진다.
[N/A] 구체적인 보호 수준: 기본 스타일만으로 샌드박싱·암호화·인증이 제공되지는 않는다. 실제 통신 환경과 보안 통제가 제시되지 않았으므로 보안 수준의 향상 또는 저하가 우세하다고 확정하기 어렵다.</t>
  </si>
  <si>
    <t>[--] 핵심 요소 침해의 영향: 공격으로 제어부나 처리부가 조작되면 목표 상태를 유지하는 전체 제어 동작이 무너질 수 있다.</t>
  </si>
  <si>
    <t>[++] 순차적 실행의 재현성: 입력과 초기 상태를 동일하게 준비하면 정해진 단계 순서를 따라 실행되므로, 동시 실행 구조에 비해 결함을 재현하고 실행 경로를 추적하기 쉽다.
[+] 단계별 검증: 각 단계의 입력과 출력을 기준으로 동작을 검증할 수 있어, 최종 결과에 오류가 있을 때 어느 단계에서 잘못되었는지 좁혀 가기 쉽다.</t>
  </si>
  <si>
    <t>[++] 독립 필터 시험: 정해진 입력을 필터에 제공하고 실제 출력을 기대 결과와 비교할 수 있어, 다른 필터의 구체 구현과 분리하여 변환 기능을 시험하기 쉽다.
[-] 시간 의존 결함의 재현: 데이터 도착 시점과 필터별 실행 속도에 따라 발생하는 결함은 동일한 실행 조건을 다시 만들기 어려울 수 있다.
[-] 전체 흐름의 통합 시험: 여러 필터의 상태와 전달 중인 데이터를 함께 고려해야 하므로, 전체 처리 경로의 시험 준비와 결함 추적은 개별 필터 시험보다 복잡하다.</t>
  </si>
  <si>
    <t>[-] 피드백 상태의 재현 — 해석: 이전 출력이 다음 입력과 제어 판단에 영향을 주므로, 결함을 재현하려면 초기 상태뿐 아니라 이전 제어 동작과 측정 흐름도 맞춰야 한다.</t>
  </si>
  <si>
    <t>[--] 대화형 처리의 제약: 사용자 입력과 즉각적인 응답을 반복하는 작업에는 적합하지 않으므로, 사용자가 처리 도중 결과를 확인하면서 작업을 조정하기 어렵다.
[-] 결과 대기: 사용자가 최종 결과를 필요로 하는 경우 전체 처리 단계가 완료될 때까지 기다려야 하므로, 작업 완료까지의 대기 부담이 커질 수 있다.</t>
  </si>
  <si>
    <t>[+] 부분 결과 활용 — 조건부: 부분 결과를 사용자에게 제공하고 활용할 수 있는 작업에서는 전체 데이터 처리가 끝나기 전에 결과를 전달하여 대기 부담을 줄일 수 있다.
[-] 대화형 작업의 제약: 스트림의 단계별 변환을 중심으로 하므로, 사용자 입력에 따라 요청과 응답을 반복하고 처리 흐름을 조정하는 대화형 입출력에는 적합하지 않다.
[N/A] 사용자 지원 기능: 점진적으로 데이터를 출력한다는 사실만으로 진행률 표시·취소·오류 안내가 제공되는 것은 아니므로, 이러한 사용자 지원 기능은 별도로 설계해야 한다.</t>
  </si>
  <si>
    <t>[+] 자동 조정에 따른 부담 감소 — 해석: 사용자가 원하는 목표값을 설정하고 시스템이 이를 자동으로 유지하는 사용 방식에서는, 사용자가 상태를 계속 확인하며 직접 조작해야 하는 부담을 줄일 수 있다.</t>
  </si>
  <si>
    <t>[+] 역할 분리: 클라이언트를 별도 실행 단위로 구성하면 장애 원인을 해당 클라이언트로 좁히고 개별적으로 복구할 수 있다. 다른 클라이언트가 반드시 함께 중단되어야 하는 구조는 아니다.
[--] 저장소 의존: 공유 저장소가 중단되고 대체 저장소가 없다면, 이를 사용하는 모든 클라이언트의 데이터 접근이 막혀 관련 기능이 함께 중단될 수 있다.</t>
  </si>
  <si>
    <t>[-] Controller와 Blackboard 간 의존성 때문에 부분 장애 시 전체가 일관되게 동작하기 어렵다.
[--] 중앙 Blackboard 또는 Controller의 장애는 전체 추론 진행을 중단시킬 수 있다.</t>
  </si>
  <si>
    <t>[+] 클라이언트별 교체: 공유 데이터 구조와 접근 계약이 유지되면, 별도 배포 단위인 클라이언트의 구현을 다른 클라이언트와 분리하여 교체하기 쉽다.
[-] 공통 스키마 의존: 저장소의 자료구조가 바뀌면 이를 사용하는 클라이언트들의 호환성을 함께 확인하고 배포 시점을 조정해야 한다.</t>
  </si>
  <si>
    <t>[+] 지식원별 교체: 공유 데이터와 호출 계약이 유지되면, 별도 배포 단위인 KS의 내부 구현을 다른 KS와 분리하여 교체하기 쉽다.
[-] 공통 자료구조 의존: Blackboard의 자료구조를 바꾸면 이를 사용하는 여러 KS의 버전과 호환성을 함께 조정해야 한다.</t>
  </si>
  <si>
    <t>[++] 공통 데이터 모델: 새로운 클라이언트가 공통 데이터 모델과 접근 계약을 따르면 기존 클라이언트 각각과 직접 연결하지 않고 시스템에 참여할 수 있다.
[+] 클라이언트 재사용: 기존 클라이언트의 기능을 유지하면서 같은 데이터 구조를 사용하는 다른 구성에 재사용하기 쉽다.</t>
  </si>
  <si>
    <t>사용자/데이터 근접 처리로 지연시간을 크게 줄이고 실시간/대역폭 제약 환경에 강함</t>
  </si>
  <si>
    <t>[+] 공통 데이터 기반 통합: 새로운 KS가 공통 데이터 모델에 맞게 결과를 읽고 쓰면, 다른 KS와 직접 연결하지 않고 협력에 참여할 수 있다.
[+] 지식원 재사용: KS들이 서로 독립적이므로 기존 지식원을 재사용하거나 새로운 판단·처리 기능을 추가하기 쉽다.</t>
  </si>
  <si>
    <t>[+] 중간 데이터 교환 감소 — 해석: 클라이언트끼리 임시 데이터를 반복해서 전달하는 비용이 줄어들면, 그 전달에 필요한 연산·통신의 에너지 비용도 줄일 수 있다.
[-] 실행 단위 유지 비용: 클라이언트와 저장소를 별도 프로세스 등으로 실행하면 각 실행 단위의 기본 자원과 저장소 접근 통신에 비용이 발생한다.</t>
  </si>
  <si>
    <t>[0]병렬적인 Knowledge Source 동작으로 효율을 얻을 수 있으나 Controller의 중재 오버헤드가 존재한다.</t>
  </si>
  <si>
    <t>[++] 클라이언트 간 직접 의존 감소: 공유 데이터 계약이 유지되는 내부 기능 변경은 해당 클라이언트에 국소화할 수 있어 다른 클라이언트의 수정을 줄일 수 있다.
[+] 구성요소 추가: 기존 클라이언트의 내부 구현을 수정하지 않고 새로운 데이터 처리 클라이언트를 추가하기 쉽다.
[--] 공통 자료구조 변경: 저장소의 자료구조나 데이터 의미가 바뀌면 이에 의존하는 여러 클라이언트에 변경이 전파된다. 이 평가의 +는 공통 계약을 유지하는 클라이언트 기능 변경을 중심으로 한 판단이다.</t>
  </si>
  <si>
    <t>[-] 데이터 구조의 변경 전파: Blackboard의 자료구조나 가설 표현 방식이 바뀌면 이를 사용하는 여러 KS를 함께 수정해야 한다.
[+] 데이터·실행 계약이 유지되면 특정 KS의 내부 알고리즘을 독립적으로 변경하기 쉽다.</t>
  </si>
  <si>
    <t>[+] 동시 처리: 독립적인 클라이언트가 각자의 작업을 동시에 수행할 수 있어 처리량과 자원 활용에 유리하다.
[-] 중앙 저장소 병목: 여러 클라이언트의 접근이 같은 저장소에 집중되므로, 저장소 처리 능력이나 동시 접근 조정이 전체 성능의 한계가 될 수 있다.</t>
  </si>
  <si>
    <t>[-] 중앙 접근·조정 비용 — 해석: 여러 KS의 데이터 접근이 Blackboard에 집중되고 Controller가 실행을 조정하므로, 저장소 접근과 제어 작업이 성능을 제한할 수 있다.</t>
  </si>
  <si>
    <t>SOA
서비스의 단위 테스트는 용이하다(+)
서비스간 의존성 체인이 있는 경우 테스트 환경이 복잡해진다(-)
Micro Service
서비스의 단위 테스트는 용이하다(+)
서비스간 의존성 체인이 있는 경우 테스트 환경이 복잡해진다(-)</t>
  </si>
  <si>
    <t>[-] 동시 갱신의 위험: 여러 클라이언트의 데이터 변경이 적절히 조정되지 않으면 실행 순서에 따른 상태 오류가 발생할 수 있어 안전 분석과 검증이 복잡해진다.</t>
  </si>
  <si>
    <t>[+] 책임 분리: 필터별 변환 책임이 구분되어 있어, 안전과 관련된 변환 로직의 검증 범위를 특정 필터로 좁히기 쉽다.
[-] 동시 실행의 분석 부담: 필터들의 실행 시점과 데이터 도착 시점에 따라 나타나는 동작을 함께 검토해야 하므로, 순차 실행에 비해 안전 분석이 복잡해질 수 있다.</t>
  </si>
  <si>
    <t>[--] 공격 대상 집중: 공유 저장소가 명확한 공격 지점이 되며, 침해되면 여러 클라이언트가 사용하는 데이터가 함께 노출되거나 변조될 수 있다.
[-] 침해 영향의 공유 — 해석: 침해된 클라이언트가 공유 데이터를 변경할 권한까지 가지고 있다면, 다른 클라이언트의 동작에도 영향을 줄 수 있다.</t>
  </si>
  <si>
    <t>[-] 보호 대상의 증가: 필터가 여러 실행 단위나 장비에 분산된 구성에서는 보호해야 하는 실행 지점과 데이터 전달 경로가 증가하여 보안 검토·설정 부담이 커진다.
[-] 다수의 Knowledge Source가 공용 Blackboard에 접근하므로 접근 통제 지점이 늘어나 보안 관리가 어렵다.</t>
  </si>
  <si>
    <t>[+] 클라이언트별 시험: 특정 클라이언트에 필요한 저장소 상태를 준비하고 수행 결과를 확인하여, 해당 클라이언트의 기능을 구분해서 시험하기 쉽다.
[-] 동시 접근에 따른 재현 부담: 여러 클라이언트가 공유 데이터를 동시에 변경하는 결함은 실행 순서와 시점을 함께 재현해야 하므로 통합 시험이 어려워질 수 있다.</t>
  </si>
  <si>
    <t>[--]Knowledge Source들이 부분적(partial)으로 동작하고 Controller 구현이 어려워 결정적인 테스트 시나리오를 만들기 어렵다.</t>
  </si>
  <si>
    <t>[+] 정보의 일관성: 여러 기능이 같은 데이터 원천을 기준으로 정보를 제공하므로, 사용자에게 기능마다 서로 다른 기준의 정보를 보여 주는 문제를 줄이는 데 유리하다.
[N/A] 화면·조작 방식의 직접 영향: 공유 저장소 구조 자체는 화면 구성, 입력 절차, 도움말 등을 정의하지 않으므로 해당 사용성은 별도 사용자 인터페이스 설계에 따라 달라진다.</t>
  </si>
  <si>
    <t>[+] 점진적 결과 제공 — 조건부 해석: 부분 결과를 활용할 수 있는 사용자 작업에서는 전체 데이터의 처리가 끝나기 전에 결과를 전달할 수 있어 대기 부담을 줄일 수 있다.
[-] 대화형 입출력의 제약: 데이터 스트림의 변환에 초점을 둔 구조이므로, 사용자 입력에 따라 요청과 응답을 반복하는 복잡한 대화형 작업에는 적합하지 않다.</t>
  </si>
  <si>
    <t>[+] 송수신자 분리: Event Publisher와 Subscriber가 분리되어 특정 Subscriber의 장애가 Publisher나 다른 Subscriber에 직접 영향을 주지 않는다.
[-] Event 유실: Subscriber가 장애 상태이거나 Event를 처리할 수 없는 경우 Buffer가 없기 때문에 Event가 유실될 수 있다.</t>
  </si>
  <si>
    <t>[+] 장애 격리: Producer와 Consumer가 분리되어 Consumer의 일시적인 장애가 Producer에 직접 영향을 주지 않는다.
[+] 재처리 가능: 처리에 실패한 Message를 다시 처리하도록 구성할 수 있어 장애 복구에 유리하다.
[-] Broker 장애: 중앙 Message Broker 자체에 장애가 발생하면 Message 전달에 영향을 줄 수 있다.</t>
  </si>
  <si>
    <t>[+] 컴포넌트 독립성: Publisher와 Subscriber가 직접 연결되지 않아 개별적으로 변경·배포하기 쉽다.
[+] Subscriber 추가: 기존 Publisher를 변경하지 않고 새로운 Subscriber를 추가하여 배포할 수 있다.</t>
  </si>
  <si>
    <t>[+] 독립 배포: Producer와 Consumer가 Message Queue를 통해 분리되어 각각 독립적으로 배포하기 쉽다.
[-] Broker 관리: Message Broker 자체에 대한 별도의 배포와 운영이 필요하다.</t>
  </si>
  <si>
    <t>++</t>
  </si>
  <si>
    <t>[+] 낮은 결합도: Publisher는 Event를 누가 처리하는지 알 필요가 없어 새로운 Subscriber를 쉽게 통합할 수 있다.
[+] 확장 용이: 기존 Publisher를 수정하지 않고 새로운 Event Subscriber를 추가할 수 있다.</t>
  </si>
  <si>
    <t>[+] 낮은 결합도: Producer와 Consumer가 Message를 통해 간접적으로 연결되어 새로운 시스템을 통합하기 쉽다.
[+] 독립적 추가: 기존 Producer를 변경하지 않고 새로운 Consumer를 추가할 수 있다.</t>
  </si>
  <si>
    <t>앞 단계가 끝나야 다음이 시작되므로 한 단계가 멈추면 전체가 멈춘다. 교안( "가용성이 제한된다")</t>
  </si>
  <si>
    <t>[+] Event 기반 실행: Event가 발생했을 때만 Subscriber가 동작하도록 구성할 수 있어 불필요한 Polling을 줄일 수 있다.
[+] 저장 비용 없음: 별도의 Buffer에 Event를 저장하고 관리하는 자원이 필요하지 않다.</t>
  </si>
  <si>
    <t>Filter 하나가 죽으면 그 뒤 흐름이 끊긴다. 교안이 fault tolerance 가 낮다는 것을 약점으로 든다</t>
  </si>
  <si>
    <t>[+] 비동기 처리: Consumer가 자신의 처리 능력에 맞게 Message를 가져가 처리하여 자원 사용을 조절할 수 있다.
[-] Broker 운영: Message Broker를 지속적으로 운영하기 위한 추가적인 에너지가 필요하다.</t>
  </si>
  <si>
    <t>AI2에서 "Closed Loop 피드백을 통해 시스템을 정상 운용 상태로 자동 복구·지속 유지시킴." 라고 표현하였는데, 애초에 복구 수단이 해당 Architecture Style 정의 안에 없음. 자동차의 크루즈 기능을 Process Control Architecture Style의 대표 예로 볼 수 있는데, 정상 동작 중에는 외란이 와도 목표값을 지켜내지만, 부품이 고장 났을 때는 대응 수단이 없다. 그래서 Availability가 낮다고 평가한 AI1을 따랐다. (크루즈 기능 자체로만 보면 Availability가 낮은것이 맞고 (센서 하나가 이상이면 기능이 즉시 해제되고 돌아오지 않음), 자동차 전체로 보면 가용성은 멀쩡하다. 크루즈가 풀려도 차는 그대로 굴러가기 때문.)</t>
  </si>
  <si>
    <t>개별 프로그램 단위 빌드/배포는 가능하나, 데이터 포맷 변경 시 관련 배치 프로그램을 일괄 배포해야 함.</t>
  </si>
  <si>
    <t>Filter 가 독립적이라 하나씩 따로 배포·교체할 수 있다</t>
  </si>
  <si>
    <t>[+] 낮은 결합도: Publisher가 Subscriber의 구현을 알 필요가 없어 Subscriber 변경이 Publisher에 미치는 영향이 작다.
[+] 기능 추가: 새로운 Subscriber를 추가하여 기존 기능을 변경하지 않고 새로운 기능을 확장할 수 있다.</t>
  </si>
  <si>
    <t>제어 루프가 돌고 있는 상태에서 일부만 바꿔 올리기 어렵다. 설계가 복잡해 배포 절차도 무겁다</t>
  </si>
  <si>
    <t>[+] 낮은 결합도: Producer와 Consumer가 직접 의존하지 않아 각각 독립적으로 변경하기 쉽다.
[+] Consumer 추가/교체: 동일 Message를 처리할 수 있는 Consumer를 쉽게 추가하거나 교체할 수 있다.
[-] Message Schema 변경: 공통 Message 형식의 변경은 관련 Producer와 Consumer에 영향을 줄 수 있다.</t>
  </si>
  <si>
    <t>입출력 데이터 형식만 맞으면 처리 단계를 쉽게 교체·연결할 수 있다</t>
  </si>
  <si>
    <t>표준 입출력 스트림 규격(예: Unix Pipe)을 준수하는 외부 서드파티 도구나 기존 컴포넌트를 파이프라인 사이에 어댑터 없이 즉시 결합할 수 있어 상호운용성(Interoperability)이 탁월함.</t>
  </si>
  <si>
    <t>센서·구동기·제어기가 특정 물리 환경에 맞춰져 있어 다른 시스템과 붙이기 어렵다</t>
  </si>
  <si>
    <t>[+] 즉시 전달: Buffer에 저장하는 과정 없이 Event 발생 시 Subscriber에게 즉시 전달할 수 있어 응답시간이 짧다.
[+] 비동기 처리: 여러 Subscriber가 Event를 독립적으로 처리하여 병렬성을 활용할 수 있다.
[-] 부하 조절 어려움: Event가 처리 능력보다 빠르게 발생하면 Subscriber에 과부하가 발생할 수 있다.</t>
  </si>
  <si>
    <t>한 번에 한 단계만 돌아 자원을 몰아 쓰지 않는다. 대규모 데이터 처리에 효율적이다</t>
  </si>
  <si>
    <t>[+] 비동기 처리: Producer가 Consumer의 처리를 기다릴 필요가 없어 Producer의 응답시간을 줄일 수 있다.
[+] 부하 완화: 순간적으로 Message가 많이 발생해도 Queue에 저장하여 Consumer의 처리 능력에 맞게 처리할 수 있다.
[-] Broker 오버헤드: Message의 저장·관리·전달에 추가적인 처리 비용이 발생한다.</t>
  </si>
  <si>
    <t>독립 Filter 가 많아지면 데이터를 주고받는 계산 overhead 가 크게 늘어난다</t>
  </si>
  <si>
    <t>현장(물리 세계)에서 직접 동작해 장애가 즉시 위험으로 이어질 수 있고, 분산된 업데이트/관리로 안전성 통제가 어렵다</t>
  </si>
  <si>
    <t>이 스타일의 에너지 절약은 목표가 아니라 덤이다. 그래서 ++을 주기는 그렇다. 목표값(set point)을 유지하도록 조절하므로 필요 이상으로 자원을 쓰지 않는다.</t>
  </si>
  <si>
    <t>단계가 데이터 형식으로만 묶여 있어 한 단계를 고쳐도 다른 단계에 영향이 적다</t>
  </si>
  <si>
    <t>Filter 를 재사용·교체하기 쉬워 유지보수와 확장이 쉽다</t>
  </si>
  <si>
    <t>[-] Event 유실: 중요한 Event가 Subscriber의 장애나 과부하로 유실되면 위험한 상태에 적절히 대응하지 못할 수 있다.
[-] 처리 보장 어려움: 중요한 Event가 반드시 처리되었다는 것을 보장하기 어렵다.</t>
  </si>
  <si>
    <t>제어 변수·목표값·제어 논리가 서로 얽혀 있어 한 곳을 바꾸면 조율을 다시 해야 한다</t>
  </si>
  <si>
    <t>[+] 재처리: 실패한 Message를 다시 처리하도록 구성하여 Fault에 대응할 수 있다.
[-] 중복 처리: 재전송 과정에서 동일 Message가 중복 처리되면 잘못된 동작이 발생할 수 있어 별도의 대응이 필요하다.</t>
  </si>
  <si>
    <t>동시성이 없고 단계마다 전체 데이터를 기다리므로 지연이 늘고 처리량이 낮다</t>
  </si>
  <si>
    <t>입력 전체를 기다리지 않고 점진적으로 처리하며, 독립 Filter 를 분산·병렬로 돌려 성능을 높일 수 있다</t>
  </si>
  <si>
    <t>외란(disturbance)에 즉시 반응해 목표 상태를 유지한다. 응답 자체가 이 스타일의 목적이다</t>
  </si>
  <si>
    <t>SOA
사용자가 원하는 서비스만 구독하여 사용 할 수 있다
Micro Service
사용자가  원하는 Microservier만을 사용하여 원하는 뷰를 구성하기에 용이하다.
(Microfrontend)</t>
  </si>
  <si>
    <t>[-] 다중 수신: Event가 여러 Subscriber에게 전달되는 구조에서는 권한이 없는 Subscriber가 정보를 수신하지 않도록 관리해야 한다.
[-] Event 위·변조: Event의 출처와 무결성을 별도로 검증하지 않으면 악의적인 Event가 전달될 수 있다.</t>
  </si>
  <si>
    <t>단계마다 중간 결과가 파일로 남아 어디서 잘못됐는지 되짚고 그 지점부터 다시 돌릴 수 있다</t>
  </si>
  <si>
    <t>[+] 중앙 통제: Message Broker에서 인증, 권한 관리 등의 보안 정책을 적용하기 용이하다.
[-] Broker 공격: Broker가 공격받으면 다수의 Producer와 Consumer에 영향을 줄 수 있다.</t>
  </si>
  <si>
    <t>다수의 필터가 비동기 동시 실행되므로 스트림 동기화, 배압(Backpressure) 조절 실패, 버퍼 고갈 등 비결정적(Non-deterministic) 런타임 오류 가능성이 있어 안전성 검증이 까다로움.</t>
  </si>
  <si>
    <t>최적 process 조건을 계속 유지해 신뢰성과 견고성을 높인다 — 위험 상태로 벗어나는 것을 막는 구조다</t>
  </si>
  <si>
    <t>외부 노출 인터페이스가 없는 폐쇄적·정적 환경에서 배치 실행되므로 공격 표면(Attack Surface)이 최소화됨. 파일 시스템 수준의 접근 제어와 감사가 단순함.</t>
  </si>
  <si>
    <t>[+] 컴포넌트 분리: Publisher와 Subscriber를 각각 독립적으로 단위 테스트할 수 있다.
[-] 비동기 동작: Event의 발생과 처리 시점이 비동기적이어서 실행 순서와 결과를 예측하기 어려울 수 있다.
[-] Event 추적: 하나의 Event가 여러 Subscriber를 호출하면 전체 실행 흐름과 오류 발생 위치를 추적하기 어렵다.</t>
  </si>
  <si>
    <t>Filter 사이가 단순한 데이터 흐름이라 특별히 강해지지도 약해지지도 않는다</t>
  </si>
  <si>
    <t>제어 유닛에 대한 사이버 공격이 시스템 전체를 무너뜨릴 수 있다고 교안이 명시한다</t>
  </si>
  <si>
    <t>[+] Message 확인: Queue에 저장된 Message를 확인할 수 있어 송수신 과정을 추적하기 쉽다.
[+] 재현 가능: 동일한 Message를 다시 전달하여 테스트 상황을 재현하기 용이하다.
[-] 비동기성: Message 처리 시점과 순서에 따라 결과가 달라질 수 있어 통합 테스트가 복잡해질 수 있다.</t>
  </si>
  <si>
    <t>각 단계가 입력과 출력이 분명한 독립 단위라 단계별로 따로 시험하기 쉽다</t>
  </si>
  <si>
    <t>Filter 는 상태를 공유하지 않고 입력→출력만 있으므로 하나씩 떼어 시험하기 쉽지만, 동시성 환경에서의 타이밍/버퍼 통합 테스트는 복잡성 증가한다.</t>
  </si>
  <si>
    <t>외부 환경과 시간에 따라 거동이 달라져 같은 조건을 재현하기 어렵다. 설계도 복잡하다</t>
  </si>
  <si>
    <t>대화형(interactive) 처리가 불가능하다 — 결과를 다 만들 때까지 사용자가 개입할 수 없다</t>
  </si>
  <si>
    <t>[+] 빠른 반응: Event가 즉시 전달되므로 사용자 행동에 대한 시스템 반응을 빠르게 제공할 수 있다.
[-] Event 유실: 사용자 요청과 관련된 Event가 유실되면 예상한 동작이 수행되지 않을 수 있다.</t>
  </si>
  <si>
    <t>단방향 데이터 스트림 처리에 특화되어 있어 양방향 사용자 인터랙션이나 실시간 이벤트-응답이 필수적인 대화형 UI 시스템 구현에는 적합하지 않음.</t>
  </si>
  <si>
    <t>[+] 안정적인 요청 처리: 일시적으로 Consumer가 처리하지 못해도 Message를 보관하여 사용자의 요청이 유실될 가능성을 줄일 수 있다.
[-] 응답 지연: Queue에 Message가 쌓이면 사용자가 결과를 받기까지 시간이 길어질 수 있다.</t>
  </si>
  <si>
    <t>사람이 직접 쓰는 화면이 아니라 목표값을 주고 맡기는 구조다 — 사용성 자체를 좌우하지 않는다</t>
  </si>
  <si>
    <t/>
  </si>
  <si>
    <t>중앙의 Shared Data Store가 전체 시스템의 단일 장애점(SPOF)으로 작용하여, 저장소에 장애가 발생하면 이에 의존하는 모든 클라이언트의 서비스가 일시에 정지됨</t>
  </si>
  <si>
    <t>Blackboard와 Controller가 공통 데이터·실행 선택의 중심이므로 이들의 고장은 전체 추론을 멈출 수 있다. Knowledge Source의 독립성만으로 중앙 장애를 견디지는 못한다. [설계 PDF p.62–67]</t>
  </si>
  <si>
    <t>client 를 하나씩 따로 올릴 수 있다. 다만 저장소 스키마를 바꾸는 배포는 무겁다</t>
  </si>
  <si>
    <t>개별 KS는 모듈화된 지식 단위이므로 독립적인 빌드 및 플러그인 형태의 개별 배포가 용이함. (단, 블랙보드 공통 데이터 구조 변경 시 예외)</t>
  </si>
  <si>
    <t>새 data client 나 data store 를 추가하기 쉽다(Scalability). 같은 저장소에 붙이기만 하면 된다</t>
  </si>
  <si>
    <t>규칙 기반(Rule-based), 머신러닝(ML), 휴리스틱 등 이종의 추론 기법을 가진 서로 다른 엔진들을 독립된 KS 형태로 블랙보드에 유연하게 결합·통합할 수 있음.</t>
  </si>
  <si>
    <t>client 사이에 임시 데이터를 주고받는 overhead 가 줄어 중복 전송·중복 저장이 적다</t>
  </si>
  <si>
    <t>가설이 수렴할 때까지 다수의 KS가 활성화되어 연산을 반복하고, Controller가 Blackboard를 상시 감시·평가(Loop)하므로 CPU 및 메모리 연산 자원 소모가 매우 큼.</t>
  </si>
  <si>
    <t>특정 client 의 기능을 바꾸기는 쉽지만, data store 의 자료구조를 바꾸면 의존하는 모든 client 가 영향을 받는다</t>
  </si>
  <si>
    <t>Knowledge Source가 서로 독립적이어서 개별 알고리즘의 추가·교체가 쉽다. 공통 데이터 구조나 Controller의 선택 정책 변경은 다른 구성 요소에도 영향을 준다. [설계 PDF p.62–67]</t>
  </si>
  <si>
    <t>중앙에서 한 번에 읽어 좋을 때도 있으나, 접근이 몰리면 저장소가 병목이 되고 분산 시 전송 비용이 든다</t>
  </si>
  <si>
    <t>knowledge source 를 모두 병렬로 돌릴 수 있어 유리하지만, 언제 끝날지 정해지지 않아 응답 시간을 보장하기 어렵다</t>
  </si>
  <si>
    <t>모든 것이 한 저장소에 걸려 있어, 그 데이터가 오염되면 피해가 시스템 전체로 번진다</t>
  </si>
  <si>
    <t>근사해(approximate solution)만 기대되므로 결과가 항상 옳다고 보장할 수 없다</t>
  </si>
  <si>
    <t>중앙 저장소 한 곳에 인증, 인가(ACL), 암호화, 감사 로그를 집중 적용하기 용이하나(+), 침해 시 전체 데이터가 일시에 유출되는 명확한 단일 표적(Target)이 됨(-).</t>
  </si>
  <si>
    <t>중앙 Blackboard 가 공격 지점이 되고, 모든 knowledge source 가 같은 데이터를 본다</t>
  </si>
  <si>
    <t>client 가 공유 상태에 의존해, 시험할 때마다 저장소 상태를 만들어 줘야 하고 서로 간섭한다</t>
  </si>
  <si>
    <t>KS의 실행 순서와 활성화가 런타임 블랙보드 상태와 Controller 정책에 따라 동적으로 달라지므로, 동일한 결함 시나리오를 재현하고 디버깅하기가 극히 어려움 (교안 72쪽).</t>
  </si>
  <si>
    <t>사용자 접점과 직접 관계가 없다 — 화면 구성은 이 스타일이 정하지 않는다</t>
  </si>
  <si>
    <t>여러 Knowledge Source의 결과를 결합할 수 있지만 근사 결과와 완료 시점의 불확실성은 사용자 혼란을 줄 수 있다. 직접적인 UI 개선을 보장하지 않아 중립으로 평가한다. [설계 PDF p.62–67]</t>
  </si>
  <si>
    <t>listener 가 없거나 죽으면 그 event 는 처리되지 않고 사라진다 — 버퍼가 없어 되돌릴 수 없다</t>
  </si>
  <si>
    <t>producer 와 consumer 가 시간으로 분리되어(time independence) 한쪽이 멈춰도 message 가 buffer 에 남아 있다</t>
  </si>
  <si>
    <t>대개 단일 애플리케이션(UI 프레임워크, IDE 도구 등) 내부 모듈 단위로 빌드 및 패키징되므로 배포 용이성에 미치는 직접적 영향은 중립적임.</t>
  </si>
  <si>
    <t>consumer 를 내렸다 올려도 그 사이 message 가 쌓여 있어 무중단 배포가 쉽다</t>
  </si>
  <si>
    <t>기존 event listener 를 나머지 부분에 영향 없이 끼워 넣기 쉽고, Framework(Java AWT·Swing 등)가 풍부하다</t>
  </si>
  <si>
    <t>consumer 는 누가·어디서·언제 만들었는지 몰라도 된다(익명성) — 붙이는 비용이 가장 낮다</t>
  </si>
  <si>
    <t>메시지 브로커 상시 구동, 디스크 큐 I/O, 패킷 전송 오버헤드가 전혀 없으므로 불필요한 시스템 자원 낭비가 없어 에너지 소비 관점에서 가장 우수함.</t>
  </si>
  <si>
    <t>buffer 저장과 전달에 자원이 들고, 간접 호출 overhead 가 있다</t>
  </si>
  <si>
    <t>event source 와 listener 를 각각 갱신하기 쉬워 유지보수와 진화가 쉽다</t>
  </si>
  <si>
    <t>producer 와 consumer 가 서로를 모르므로 한쪽을 바꿔도 다른 쪽에 영향이 없다</t>
  </si>
  <si>
    <t>직접 호출보다 간접 호출 overhead 가 있지만, 버퍼를 거치지 않아 message 방식보다는 빠르다</t>
  </si>
  <si>
    <t>비동기 큐잉을 통해 피크 부하를 완충하고 다수 컨슈머 병렬 확장으로 처리량(Throughput)이 대폭 향상되나(+), 브로커 큐 I/O, 직렬화, 네트워크 홉으로 인한 지연(Latency)은 증가함(--)</t>
  </si>
  <si>
    <t>event 가 유실되어도 알 수 없고, 처리 순서가 보장되지 않아 위험 상황 대응을 맡기기 어렵다</t>
  </si>
  <si>
    <t>비동기 큐잉 특성상 메시지 전달 타이밍의 비결정성, 메시지 도착 순서 역전, 큐 오버플로우로 인한 메시지 유실 위험이 존재하여 엄격한 시간 제약의 안전 필수 시스템에는 부적합함.</t>
  </si>
  <si>
    <t>등록만 하면 event 를 받을 수 있어 통제가 필요하지만, 스타일 자체가 보안을 좌우하지는 않는다</t>
  </si>
  <si>
    <t>중앙 메시지 브로커/큐 채널에서 토픽별 접근 제어(ACL), TLS 암호화, 발행자/구독자 인증 및 메시지 무결성 검증을 중앙 집중식으로 일관되게 적용할 수 있음.</t>
  </si>
  <si>
    <t>listener 의 응답과 응답 순서를 예측·검증하기 어려워 테스트와 디버깅이 어렵다</t>
  </si>
  <si>
    <t>비동기라 언제 처리될지 정해지지 않아 디버깅이 어렵다. 다만 message 를 기록해 재현할 수는 있다</t>
  </si>
  <si>
    <t>GUI 애플리케이션(Java Swing 등)에서 사용자의 버튼 클릭, 입력 이벤트에 대해 화면 제어기가 즉시 반응하여 지연 없는 매끄러운 사용자 경험을 제공함.</t>
  </si>
  <si>
    <t>요청이 즉시 처리된다는 보장이 없어, 사용자에게 결과를 바로 보여주기 어렵다</t>
  </si>
  <si>
    <t>데이터 로컬 처리로 정보를 숨길수  있지다(+) 
악의적 의도를 가진 데이터가유입되면 문제가 생긴다(-)</t>
  </si>
  <si>
    <t>[+] 구조가 단순하여 단일 모듈 오류 수정 및 복구 용이
[--] 메인 루틴 장애 시 전체 프로그램이 즉시 마비됨 (SPOF)</t>
  </si>
  <si>
    <t>[+] 장애가 발생한 Slave의 작업을 대체 가능한 Slave에 재할당하여 처리를 지속할 수 있다
[-] Master 단일점 장애(SPOF) 발생 시 전체 분산 처리 마비</t>
  </si>
  <si>
    <t>[+] 단일 실행 파일 빌드로 초기에 단순 배포 가능
[-] 부분 모듈 수정 시 전체 시스템 재컴파일 및 재배포 필요</t>
  </si>
  <si>
    <t>[+] Slave 노드의 동적 추가 및 독립적 개별 배포 용이
[-] Master와 Slave 간 버전 동기화 배포 관리 필요</t>
  </si>
  <si>
    <t>[+] 표준 라이브러리 및 서브루틴 연동이 직관적임
[-] 강한 결합(Tight Coupling)으로 외부 시스템과의 연동 어려움</t>
  </si>
  <si>
    <t>[+] 표준 분산 인터페이스를 통한 신규 Slave 확장 용이</t>
  </si>
  <si>
    <t>요청이 여러 계층을 거치면서 추가적인 호출과 데이터 전달·변환이 발생할 수 있어 자원 사용과 에너지 소비가 증가할 수 있다.</t>
  </si>
  <si>
    <t>[-] Master의 지속적 상태 모니터링 및 통신으로 전력 소모 발생</t>
  </si>
  <si>
    <t>[+] 개별 서브루틴 내부 로직 수정은 비교적 단순함</t>
  </si>
  <si>
    <t>[+] Master 로직 영향 없이 Slave 알고리즘 독립 교체 가능
[-] Master-Slave 간 제어 프로토콜 변경 시 수정 파급력 큼</t>
  </si>
  <si>
    <t>절차적 호출로 인한 오버헤드가 적고 데이터 교환이 메인 메모리 내 직접 호출 방식으로 이루어져 응답 속도가 빠릅니다.</t>
  </si>
  <si>
    <t>[-] Master의 작업 분배 및 결과 합산 시간 오버헤드 발생</t>
  </si>
  <si>
    <t>[-] 런타임 예외 발생 시 전체 프로세스 정지 위험</t>
  </si>
  <si>
    <t>[+] Master가 Slave 작업 결과를 검증하여 결함 허용(Fault Tolerance) 구현
[-] Master 오작동 시 전체 Slave에 잘못된 명령 하달 위험</t>
  </si>
  <si>
    <t>[+] 단일 프로세스 메모리 영역 내부에서 보안 제어 용이
[-] 모듈 간 세부적 접근 제어 경계 설정 불가능</t>
  </si>
  <si>
    <t>[+] Master 단일 관문에서 보안 통제 및 권한 검증 일괄 수행
[-] Master-Slave 간 네트워크 통신 구간 노출 위험</t>
  </si>
  <si>
    <t>독립적인 서브루틴 단위로 입출력(Parameter/Return Value) 기반의 단위 테스트(Unit Testing) 작성이 매우 용이합니다.</t>
  </si>
  <si>
    <t>(+) 제어 흐름이 단순하여 오류 분석 용이. / (-) 단일 스레드 구조로 하위 서브루틴 실패 시 전체 프로세스 중단.</t>
  </si>
  <si>
    <t>[+] 개별 Slave 로직 단독 단위 테스트 가능
[-] 병렬 동기화, 타이밍 이슈로 인한 분산 통합 테스트 어려움</t>
  </si>
  <si>
    <t>(+) Slave 실패 시 Master가 작업을 타 Slave에 재할당하여 중단 없이 지속(Fault tolerance). / (-) Master가 SPOF.</t>
  </si>
  <si>
    <t>(+) 패키징 구조 단순. / (-) 모듈 간 강결합으로 작은 수정에도 전체를 다시 빌드하고 일괄 재배포해야 함.</t>
  </si>
  <si>
    <t>시스템의 내부 아키텍처 스타일로, 사용자 인터페이스나 사용자 경험에 직접적인 직접적인 영향은 미미합니다.</t>
  </si>
  <si>
    <t>(+) Slave 컴포넌트의 독립적인 추가, 확장 및 교체 배포 용이. / (-) Master-Slave 간 프로토콜 호환성 유지 필요.</t>
  </si>
  <si>
    <t>[0] 내부 작업 배분 구조이므로 사용자 화면과 조작 방식에 직접적인 영향은 작다</t>
  </si>
  <si>
    <t>(+) 동일 언어 내 라이브러리 연동 용이. / (-) 강한 결합 및 플랫폼 종속성으로 외부 이기종 시스템 통합 어려움.</t>
  </si>
  <si>
    <t>slave 를 추가하면 되므로 확장이 쉽다. master 의 작업 분배 약속만 맞추면 된다</t>
  </si>
  <si>
    <t>중간 계층이나 통신이 없어 군더더기가 가장 적다. 직접 호출이라 낭비가 없다</t>
  </si>
  <si>
    <t>병렬 처리로 작업 시간 단축 후 유휴 전환 가능하나  다수 Slave 동시 구동 및 통신 비용 증가.</t>
  </si>
  <si>
    <t>강한 결합 때문에 변경의 파급효과(ripple effect)가 크고, 전역 공유 데이터가 취약하다</t>
  </si>
  <si>
    <t>slave 하나를 바꾸긴 쉽지만, 작업 분배 방식을 바꾸려면 master 를 고쳐야 한다</t>
  </si>
  <si>
    <t>직접 호출이라 중간 비용이 없다. 제어 흐름이 선형이라 예측 가능하다</t>
  </si>
  <si>
    <t xml:space="preserve">모든 slave 를 병렬로 실행할 수 있다. 다만 master-slave 통신 overhead 가 그 이득을 상쇄할 수 있다 </t>
  </si>
  <si>
    <t xml:space="preserve"> (+) 단일 제어 흐름의 결정적 실행으로 동작 예측 및 정적 안전성 검증/인증 용이.(-)전역으로 공유되는 데이터를 아무 데서나 건드릴 수 있어 잘못된 상태가 퍼지기 쉽다</t>
  </si>
  <si>
    <t>다수 Slave 결과를 다수결 투표(Voting)로 검증하여 부정확한 결과를 걸러내고 계산 정확성 극대화.</t>
  </si>
  <si>
    <t>전역 데이터에 경계가 없어 한 곳이 뚫리면 전부 노출된다</t>
  </si>
  <si>
    <t>master 가 뚫리면 모든 slave 에 잘못된 작업을 내려보낼 수 있다</t>
  </si>
  <si>
    <t>[+] 계층별 오류 격리 적용 가능
[-] 하위 핵심 레이어 실패 시 전체 중단</t>
  </si>
  <si>
    <t>모듈 구조 덕분에 각 subroutine 을 독립적으로 단위 시험할 수 있다. 교안이 장점으로 든다</t>
  </si>
  <si>
    <t>slave 는 같은 일을 하는 독립 단위라 하나만 시험하면 된다. 재할당 동작은 시험하기 어렵다</t>
  </si>
  <si>
    <t>사용자 접점을 규정하지 않는다</t>
  </si>
  <si>
    <t>[+] 인접 인터페이스 유지 시 개별 레이어 배포 용이
[-] 전 계층 변경 시 전체 동시 배포 필요</t>
  </si>
  <si>
    <t>[+] 상단 API를 통한 이종 시스템 통합 용이
[-] 계층 스킵이 불가능하여 연동 제약 발생</t>
  </si>
  <si>
    <t>(+) 계층 경계에서 결함 격리 및 개별 계층 복구 용이. / (-) 하위 기반 계층 장애 시 상위 계층 전체 정지.</t>
  </si>
  <si>
    <t>(+) 계층별 인터페이스만 유지되면 특정 계층만 독립 배포·업데이트 가능. / (-) 의존 방향에 따른 배포 순서 제약.</t>
  </si>
  <si>
    <t>계층별로 관심사와 책임이 분리되고 내부 구현이 은닉되어 있어 인터페이스를 유지하는 변경은 해당 계층 내부로 영향 범위를 제한하기 쉽다.</t>
  </si>
  <si>
    <t>실제 네트워크/센서/현장 조건 재현이 어렵고 디바이스 다양성 때문에 테스트 가 복잡해짐</t>
  </si>
  <si>
    <t>[-] 요청의 다중 레이어 통과로 Latency 저하</t>
  </si>
  <si>
    <t>layer 가 응집도가 높고 아래 layer 에만 결합되어 재사용·교체·대체가 쉽다</t>
  </si>
  <si>
    <t>계층별 책임이 분리되어 검증이나 제어 기능을 특정 계층에 일관되게 적용할 수 있고, 계층 경계에서 오류를 검증하여 잘못된 동작의 전파를 제한할 수 있다.</t>
  </si>
  <si>
    <t>인접 계층 간 메모리 호출 시 효율적이지만, layer 를 하나 지날 때마다 호출과 변환이 생겨 층이 많을수록 오버헤드 발생함.</t>
  </si>
  <si>
    <t>계층 응집도가 높고, 하위 계층에만 결합(Allowed-to-use)되어 계층 단위 교체 및 수정이 극히 용이하다</t>
  </si>
  <si>
    <t xml:space="preserve">[++] 계층별 다중 보안 정책 단계적 적용 우수
</t>
  </si>
  <si>
    <t>layer 가 너무 많으면 성능이 떨어진다고 교안이 명시한다 — 매 layer을 거쳐야 한다. 다만, Relaxed Layering으로 일부 보완 가능하다.</t>
  </si>
  <si>
    <t>층마다 검사와 경계를 둘 수 있어 잘못된 값이 아래로 그대로 흘러가지 않고, 단방향 의존성으로 예측 가능성 확보함</t>
  </si>
  <si>
    <t>계층별 역할과 인터페이스가 명확하게 분리되어 있어 각 계층을 독립적으로 시험하고 하위 계층을 Mock이나 Stub으로 대체하여 결함을 확인하기 쉽다.</t>
  </si>
  <si>
    <t>각 layer별 내부 구현과 데이터를 숨기며, 계층 경계마다 다층 방어(Defense in depth) 적용 가능하다</t>
  </si>
  <si>
    <t>component 를 서로 독립적으로 시험할 수 있고, 아래 layer 를 가짜로 바꿔 끼우기 쉽지만, 계층 전체 관통 통합 테스트 복잡하다</t>
  </si>
  <si>
    <t>사용자 인터페이스를 별도 계층으로 분리하여 변경하기는 쉽지만 Layered Style 자체가 화면 구성이나 사용자 조작 방식을 정의하지 않으므로 사용성에 직접적인 영향은 크지 않다.</t>
  </si>
  <si>
    <t>UI 계층 분리로 다양한 클라이언트 지원 용이하지만, 층이 깊으면 계층 통과 지연으로 대화형 실시간 응답성에 간접 영향 가능하다.</t>
  </si>
  <si>
    <t>Server 가 여러 대로 늘어나면 각 server 의 reliability 와 availability 가 더욱 중요해진다고 교안이 약점으로 든다. 한 tier 가 멈추면 그 위 tier 의 요청이 모두 막힌다</t>
  </si>
  <si>
    <t>클라이언트와 서버의 분리로 장애 파악이 국소화되긴 하지만, 중앙 집중식 서버가 단일 장애점(SPOF)이 되어 서버 장애 시 연결된 모든 클라이언트의 서비스가 일시에 정지된다.</t>
  </si>
  <si>
    <t>(+) 물리적 인프라 수준에서 티어가 분리되어 있어 Presentation, Application, Data 티어 단위로 독립 배포 및 롤백이 가능함. / (-) 티어 간 인터페이스 및 데이터 스키마 변경 시 전체 티어의 동시 배포가 강제됨</t>
  </si>
  <si>
    <t>표준 Request/Reply 프로토콜만 유지하면 클라이언트와 독립적으로 서버 컴포넌트만을 교체·배포할 수 있지만, Thick Client 환경의 경우 클라이언트 배포 및 버전 동기화 부담이 크긴 함.</t>
  </si>
  <si>
    <t>[-] 티어 수가 많아짐에 따라 전체 장애 포인트(SPOF) 증가</t>
  </si>
  <si>
    <t>tier 경계가 request/reply connector 하나로 정해져 있어 붙이는 지점이 분명하다. middleware 를 통해 기존 시스템을 뒤에 둘 수도 있다</t>
  </si>
  <si>
    <t>[-] 중앙 Server 장애 시 연결된 모든 Client 서비스 중단</t>
  </si>
  <si>
    <t>API, HTTP, ODBC 등 표준화된 Request/Reply 통신 프로토콜을 사용하여 다양한 형태의 클라이언트 및 외부 시스템과 용이하게 연동 가능하며, 서버 컴포넌트의 재사용성이 우수함.</t>
  </si>
  <si>
    <t>요청 처리 시 프레젠테이션-애플리케이션-데이터 티어를 넘나드는 다중 네트워크 홉 및 직렬화/역직렬화로 인해 시스템 자원과 전력 소비 오버헤드가 증가함</t>
  </si>
  <si>
    <t>서버 과부하 시 전력 효율 저하되긴 하지만, 다수의 클라이언트가 단일 고성능 서버에 집중 접근할 때 유휴 자원을 최소화하고 하드웨어 자원을 매우 효과적으로 활용함</t>
  </si>
  <si>
    <t>[+] 각 티어를 독립 물리 서버/컨테이너에 분리 배포 극대화</t>
  </si>
  <si>
    <t>[+] Server 단독 기능 업데이트 및 배포 단순함</t>
  </si>
  <si>
    <t>(+) 비즈니스 로직과 관련된 모든 변경은 중간 계층(Middle Tier)에만 국소화되므로 클라이언트나 DB 변경 없이 수정 가능하며, 관심사의 분리가 탁월하여 수정 용이성이 극히 우수함</t>
  </si>
  <si>
    <t>사용자 인터페이스(UI) 표현과 비즈니스 로직 처리가 분리되어 있어, 서버의 비즈니스 로직을 변경해도 클라이언트 인터페이스에 미치는 영향이 적음</t>
  </si>
  <si>
    <t>(+) 중간 티어에서 멀티스레딩 지원 및 로드 밸런싱을 통해 동시성과 확장성을 높여 대규모 처리량(Throughput)을 확보할 수 있음
(-) 반면 티어 간 네트워크 통신 지연(Latency)과 직렬화 오버헤드가 누적됨</t>
  </si>
  <si>
    <t>[+] 미들웨어 티어를 통해 다양한 외부 시스템 통합 용이</t>
  </si>
  <si>
    <t>고성능 서버 활용 및 동시성 처리를 통해 높은 처리량 달성 가능하지만, 클라이언트 요청이 집중될 경우 단일 서버가 성능 병목(Bottleneck)이 되어 전체 응답 지연이 급증할 수 있음</t>
  </si>
  <si>
    <t>공통 서버가 제공하는 요청·응답 서비스를 여러 클라이언트가 재사용할 수 있어 별도로 개발한 화면·도구를 연결하기 쉽다.</t>
  </si>
  <si>
    <t>(+) 티어 간 경계에서 데이터 유효성 검사 및 격리가 가능함. / (-) 위험 상태를 제어하는 아키텍처는 아니며, 다중 서버 간 네트워크 단절 및 분산 트랜잭션 실패로 인한 불일치 위험이 상존함.</t>
  </si>
  <si>
    <t>(+) 핵심 데이터 처리를 중앙 서버에 집중시켜 데이터 상태 일관성 제어가 용이함. 
(-) 안전 필수 제어 구조를 규정하지 않으며, 서버 다운 시 제어 루프가 즉각 중단될 수 있음.</t>
  </si>
  <si>
    <t>User interface·application·data tier 를 분리하면 민감한 business logic 과 데이터를 최종 사용자의 직접 접근에서 보호할 수 있다</t>
  </si>
  <si>
    <t>통신 네트워크 경계가 외부에 노출되어 도청, 변조 위험이 증가하고 분산 환경의 인증·권한 관리가 복잡해짐</t>
  </si>
  <si>
    <t>(+) 각 티어별 모듈 단위 테스트는 가능함. / (-) 분산 환경에서 테스트 도구가 부족하고 종단 간(E2E) 테스트를 위해 모든 티어 서버를 동시에 구동·연계해야 하므로 시험 복잡도가 매우 높음</t>
  </si>
  <si>
    <t>독립적인 클라이언트 UI 로직 단위 테스트는 가능하긴 하지만, 클라이언트를 실제 테스트하려면 항상 실행 중인 서버 환경이 필요하며, 네트워크 환경 모의 및 상태 재현이 까다로워 테스트 용이성이 제한됨</t>
  </si>
  <si>
    <t>[-] 다중 서버 간 지속적 네트워크 통신으로 전력 소모 가중</t>
  </si>
  <si>
    <t>(+) 프레젠테이션 티어가 독립되어 다양한 사용자 인터페이스(웹, 앱)를 맞춤형으로 제공 가능. / (-) 물리적 티어 분리 구조 자체는 사용자 경험을 직접 규정하지 않으며 네트워크 지연 발생 시 체감 응답성이 저하될 수 있음</t>
  </si>
  <si>
    <t>[+] 연산 부하를 Client와 Server로 분산 가능
[-] Server 측 상시 대기 및 소켓 유지 전력 소모 발생</t>
  </si>
  <si>
    <t>(+) Thin/Thick Client 설계를 통해 인터랙티브한 UI 구현이 가능함. 
(-) 클라이언트-서버 구조 자체는 사용자 인터페이스 사용성을 직접 결정하지 않으며 서버 응답 지연에 종속적임.</t>
  </si>
  <si>
    <t>[+] 티어 간 역할 분리로 한 티어 수정의 타 티어 영향 최소화</t>
  </si>
  <si>
    <t>낮은 fault tolerance 가 약점이다 — server 나 broker 가 실행 중 죽으면 이에 의존하는 모든 application 이 계속 진행할 수 없다.</t>
  </si>
  <si>
    <t>[+] Server 측 비즈니스 로직 수정이 자유로움
[-] Client-Server 간 밀접한 결합 시 인터페이스 변경 제약</t>
  </si>
  <si>
    <t>(+) 네트워크나 서버 장애 발생 시 디스패처가 다른 장비에서 새로운 서버를 동적으로 탐색 및 활성화(Failover)할 수 있어 결함 허용성(Fault tolerance)과 고가용성을 보장함 (교안 장점 명시). / (-) 디스패처 자체 이중화 필요</t>
  </si>
  <si>
    <t>실행 중에 server component 를 추가·제거할 수 있다.(runtime changes) 무중단 배포가 된다.</t>
  </si>
  <si>
    <t>(+) 디스패처나 클라이언트를 수정하지 않고 서버를 추가·교체할 수 있으며(Exchangeability), 어떤 서버를 어디에 배치할지 런타임에 동적으로 결정(Re-configuration)할 수 있어 배포 유연성이 탁월함 (교안 장점 명시)</t>
  </si>
  <si>
    <t>[+] 티어별 수평 확장(Scale-out)으로 대규모 처리량 확보
[-] 네트워크 Hop 증가 및 직렬화 오버헤드로 Latency 증가</t>
  </si>
  <si>
    <t>[+] 단 1단계 네트워크 Hop으로 응답 속도 매우 빠름
[-] Server 측 부하 집중 시 전체 시스템 성능 급격히 저하</t>
  </si>
  <si>
    <t>bridge 가 공통 프로토콜을 구현하면 서로 다른 Broker 시스템끼리 상호운용할 수 있고, 기존 서비스를 재사용해 새 application 을 구성할 수 있다.</t>
  </si>
  <si>
    <t>server 는 dispatcher 에 등록만 하면 붙는다. 다만 dispatcher 의 interface 변경에 민감하다는 것이 교안의 약점이다</t>
  </si>
  <si>
    <t>모든 통신이 프록시와 브로커를 경유하는 다단계 간접 호출로 이루어져 데이터 직렬화, 패킷 포워딩 및 네트워크 왕복에 따른 자원 낭비가 매우 심함.</t>
  </si>
  <si>
    <t>(+) 디스패처는 초기 연결 채널 수립만 지원하고 이후 데이터 통신은 클라이언트-서버 간 직접 수행되므로, 브로커 방식 대비 불필요한 중계 통신 오버헤드가 없어 자원 소비가 효율적임 (교안 장점 명시)</t>
  </si>
  <si>
    <t>[+] 비즈니스 티어에서 잘못된 데이터 2차 검증 및 차단
[-] 분산 통신 지연으로 실시간 안전 제어에 부적합</t>
  </si>
  <si>
    <t>server 가 바뀌어도 interface 가 같으면 client 에는 기능적 영향이 없고, broker 내부를 바꿔도 API 가 같으면 성능 외에는 영향이 없다</t>
  </si>
  <si>
    <t>[+] 중앙 서버 중심의 일관된 안전 상태 제어 가능
[-] 서버 연결 단절 시 안전 제어 신호 상실 위험</t>
  </si>
  <si>
    <t>server 를 바꿔 끼우기 쉽다. 다만 dispatcher 의 interface 를 바꾸면 client 와 server 가 함께 영향을 받는다</t>
  </si>
  <si>
    <t>지연 감소와 오프라인/로컬 연속성으로 반응성·끊김 없는 경험을 제공해 UX 개선 효과가 큼</t>
  </si>
  <si>
    <t>모든 통신이 broker 를 경유하는 간접 호출이라 직접 호출보다 느리다.</t>
  </si>
  <si>
    <t>(+) 초기 채널 형성 이후에는 클라이언트와 서버가 직접(Direct) 고속 통신을 수행하므로 브로커 대비 지연이 매우 낮고 높은 처리 성능을 유지함. / (-) 초기 연결 시 디스패처 조회 오버헤드가 발생함 (교안 약점).</t>
  </si>
  <si>
    <t>broker 가 죽으면 의존하는 모든 application 이 멈춘다.</t>
  </si>
  <si>
    <t>[+] DMZ(Web)와 내부 망(WAS/DB) 격리로 다중 보안 방어 우수</t>
  </si>
  <si>
    <t>장애가 나면 다른 장비의 server 를 활성화해 서비스가 끊기지 않게 할 수 있다</t>
  </si>
  <si>
    <t>[-] Client 단 리버스 엔지니어링 및 Server에 공격 집중 위험</t>
  </si>
  <si>
    <t>모든 통신이 중앙 브로커를 경유하므로 단일 지점에서 인증, 인가, 트래픽 감사를 일괄 적용하기 용이함 (교안 장점). / (-) 반면 브로커가 뚫리면 시스템 전체의 통신 내용이 노출되는 명확한 표적이 됨.</t>
  </si>
  <si>
    <t>등록과 연결을 dispatcher 한 곳에서 통제할 수 있으나, 연결 뒤 통신은 스타일이 관여하지 않는다</t>
  </si>
  <si>
    <t>[-] 분산 네트워크, 다중 서버, DB 동기화로 통합 테스트 극도로 어려움</t>
  </si>
  <si>
    <t>클라이언트, 서버, 프록시, 브로커, 브리지 등 수많은 분산 컴포넌트가 얽혀 있어 전체 시스템의 테스트와 디버깅이 지루하고 대단히 번거로움</t>
  </si>
  <si>
    <t>[+] Client와 Server 간 인터페이스 단독 테스트 용이
[-] 다양한 Client OS/환경별 통합 테스트 구성 필요</t>
  </si>
  <si>
    <t>어느 server 가 응답할지 실행 시점에 정해져(load balancer 처럼 매번 달라질 수 있다) 같은 조건을 재현하기 어렵다</t>
  </si>
  <si>
    <t>(+) 위치 투명성으로 인해 사용자가 서버의 물리적 위치나 주소 변경을 전혀 의식할 필요가 없음. / (-) 사용자 인터페이스 자체를 다루는 스타일이 아니며, 간접 호출 지연으로 인해 화면 반응성에 부정적일 수 있음.</t>
  </si>
  <si>
    <t>사용자 접점을 규정하지 않는다.</t>
  </si>
  <si>
    <t>물리적 Tier 분리는 사용자 화면이나 조작 편의성을 직접 결정하지 않는다.</t>
  </si>
  <si>
    <t>요청·응답 구조 자체는 사용자의 작업 편의성을 결정하지 않는다.</t>
  </si>
  <si>
    <t>Mico-Service</t>
  </si>
  <si>
    <t>(+) 서비스들이 서로 다른 프로세스/컴퓨터로 분산 실행되어 부분 장애 격리가 가능함. / (-) 외부 벤더나 타 조직이 운영하는 서비스에 의존할 경우 해당 서비스 장애 시 전체 비즈니스 프로세스가 중단됨 (교안 약점 명시).</t>
  </si>
  <si>
    <t>(+) 결함 격리(Fault Isolation)가 완벽하여 특정 마이크로서비스 인스턴스가 다운되더라도 서킷 브레이커 등을 통해 전체 애플리케이션으로 장애가 번지지 않고 독립 복구됨</t>
  </si>
  <si>
    <t>(+) 비상태(Stateless) 서비스 특성상 공개 인터페이스만 유지되면 개별 서비스 구현을 독립 배포 가능. / (-) 전사적(Enterprise) 엔드-투-엔드 구축 및 서비스 버스 연계가 복잡하여 배포 절차가 무거움 (교안 약점 명시)</t>
  </si>
  <si>
    <t>애자일성(Agility): 서비스별 코드베이스가 완전히 분리되어 있어 전체 애플리케이션 재빌드/재배포 없이 개별 서비스 단위로 독립적인 빠른 배포, 버그 수정, 롤백이 가능함</t>
  </si>
  <si>
    <t>(+) 플랫폼, 기술, 벤더, 언어 구현에 완전히 독립적인 표준 인터페이스(WSDL, SOAP/REST)로 서비스가 공개되어 있어, 이기종 시스템 간 조합 및 전사적 상호운용성(Interoperability)이 극대화됨 (교안 장점 핵심 명시)</t>
  </si>
  <si>
    <t xml:space="preserve">(+) 코드와 데이터 저장소를 공유하지 않고 잘 정의된 API로만 통신하므로 신규 기능 결합이 용이함 (-) 다수 서비스 간 backward/forward API 버전 호환성(Versioning) 유지가 어려움 </t>
  </si>
  <si>
    <t>(-) middleware 로 인한 성능 overhead 가 있다고 교안이 약점으로 명시한다 — 같은 일에 중개 비용이 더 든다</t>
  </si>
  <si>
    <t>서비스 간 통신이 늘어 network congestion 과 latency 가 생긴다고 교안이 약점으로 든다 — 같은 일에 통신 자원을 훨씬 더 쓴다</t>
  </si>
  <si>
    <t>(+) 비상태성(Stateless)과 느슨한 결합 덕분에 공개된 표준 인터페이스만 유지되면 서비스 내부 비즈니스 로직을 자유롭게 수정·진화시킬 수 있어 수정 용이성이 극히 우수함 (교안 장점 첫 줄 명시)</t>
  </si>
  <si>
    <t>[-] 중앙 Broker 장애 시 전체 분산 시스템 마비 (SPOF)</t>
  </si>
  <si>
    <t xml:space="preserve"> 데이터 격리(Data Isolation): 서비스별로 독립된 DB를 소유하므로 스키마 변경이 단 하나의 서비스에만 영향을 미치며, 코드베이스 분리로 새로운 비즈니스 기능을 추가하기 극히 용이함</t>
  </si>
  <si>
    <t>[+] 장애 우회: 노드 상태 감시를 통해 장애 발생 시 정상 작업 노드로 즉시 요청을 재라우팅(Failover)함.</t>
  </si>
  <si>
    <t>(+) 서비스를 여러 물리 장비로 분산하여 대규모 작업 부하 분산 가능. / (-) 미들웨어 오버헤드가 크고 통신 병목이 발생할 수 있으며, 서비스 제공자가 엄격한 성능 보장(Guarantee)을 제공하지 못함 (교안 약점 명시)</t>
  </si>
  <si>
    <t>(+) 부하가 많은 서브시스템만 독립적으로 수평 확장(Scale-out)하여 처리량을 높일 수 있음 (-) 그러나 미세한 서비스 간 긴 호출 체인으로 네트워크 정체 및 응답 지연(Latency)이 크게 증가함</t>
  </si>
  <si>
    <t>(-) 독립적인 서비스의 진화를 내가 통제할 수 없다고 교안이 약점으로 든다 — 남의 변경이 예고 없이 내 시스템에 들어온다</t>
  </si>
  <si>
    <t>[+] 위치 투명성으로 클라이언트 영향 없이 서버 독립 배포 가능</t>
  </si>
  <si>
    <t>서비스마다 데이터를 따로 저장해 일관성(data integrity) 유지가 어렵다고 교안이 약점으로 든다</t>
  </si>
  <si>
    <t>[+] 동적 노드 추가: 기존 시스템 중단 없이 신규 처리 노드(Worker)를 동적으로 추가 및 배포할 수 있음.</t>
  </si>
  <si>
    <t>(+) 표준 엔터프라이즈 인터페이스(ESB/Gateway) 앞단에서 보안 정책, 인증, 암호화를 일괄 집행 가능 (교안 장점). / (-) 전사적 네트워크에 서비스를 공개하는 만큼 외부 공격 노출 지점이 크게 증가함</t>
  </si>
  <si>
    <t>(+) 각 서비스마다 네트워크/프로세스 경계가 형성되어 특정 서비스 침해 시 피해가 시스템 전체로 확산되지 않음 (-) 서비스 간 통신 인터페이스가 폭증하여 보호해야 할 공격 표면이 대폭 확대됨</t>
  </si>
  <si>
    <t>[++] 이종 언어/플랫폼 간 표준 규격을 통한 통합 극대화</t>
  </si>
  <si>
    <t>(+) 개별 독립 서비스의 기능 단위 테스트는 용이함. / (-) 외부 서드파티 서비스나 타 부서 서비스의 가용성, 데이터 상태에 의존하므로 동일한 테스트 환경 재현 및 E2E 테스트가 대단히 어려움 (교안 약점 명시)</t>
  </si>
  <si>
    <t>[+] 워커 확장: 동일한 작업 인터페이스 규격을 갖춘 신규 노드를 쉽게 라우팅 대상으로 통합함.</t>
  </si>
  <si>
    <t>(+) 단일 마이크로서비스 자체의 단위 테스트는 단순함. / (-) 서비스 간 의존성이 복잡하고 분산 환경을 위한 전용 도구 지원이 부족하며, 언어/프레임워크 난립(Lack of governance)으로 통합 테스트 난도가 극히 높음</t>
  </si>
  <si>
    <t>(-) 사용자 인터페이스 자체를 정의하는 스타일이 아니며 백엔드 통신 아키텍처에 해당함 (교안 관점)</t>
  </si>
  <si>
    <t>사용자 접점을 규정하지 않는다. API Gateway 뒤 구성은 사용자에게 보이지 않는다</t>
  </si>
  <si>
    <t>[-] 메시지 마샬링 및 네트워크 중계 연산으로 전력 소비 증가</t>
  </si>
  <si>
    <t>[+] 부하 평형: 작업 부하를 균등하게 분산시켜 특정 노드의 과부하 및 자원 낭비를 방지함.
[-] 모니터링 소모: Dispatcher의 상시 모니터링 및 라우팅 연산으로 인한 지속적인 전력 소모가 발생함.</t>
  </si>
  <si>
    <t>[++] 클라이언트-서버 간 완벽한 느슨한 결합으로 변경 매우 용이</t>
  </si>
  <si>
    <t>[+] 라우팅 유연성: 백엔드 작업 노드의 내부 구현 변경이나 부하 분산 알고리즘 교체가 매우 용이함.</t>
  </si>
  <si>
    <t>[+] 분산 배치를 통한 서버 부하 분산 가능
[--] 브로커 경유(Hop) 및 데이터 직렬화로 Latency 대폭 증가</t>
  </si>
  <si>
    <t>[++] 로드밸런싱 극대화: 작업 요청을 최적의 노드로 병렬 분산 처리하여 전체 시스템 처리량(Throughput)을 극대화함.</t>
  </si>
  <si>
    <t>[+] 결함 노드의 브로커 수준 즉시 격리 가능
[-] 통신 지연으로 실시간 제어 요구 안전 시스템에 부적합</t>
  </si>
  <si>
    <t>[+] 비정상 격리: 오류를 일으키는 워커 노드를 라우팅 대상에서 즉시 제외하여 잘못된 처리를 방지함.</t>
  </si>
  <si>
    <t>로컬 네트워크에서 연산을 수행하므로 중앙 site 가 멈춰도 지역 site 는 독립적으로 계속 운영된다고 교안이 장점으로 명시한다.</t>
  </si>
  <si>
    <t>[-] 브로커 자체가 주요 보안 공격 표적이 됨</t>
  </si>
  <si>
    <t>[-] 주요 공격 표적: Dispatcher 노드가 외부 공격자에게 노출될 경우 전체 시스템이 위협받음.</t>
  </si>
  <si>
    <t>지역마다 흩어진 하드웨어에 올려야 해 한 번에 배포하기 어렵다. 로컬 하드웨어가 더 많이 필요해 초기 투자도 크다(investment cost)</t>
  </si>
  <si>
    <t>[--] 비동기 메시징 및 네트워크 지연으로 통합 테스트 극도로 어려움</t>
  </si>
  <si>
    <t>(+) 로컬 센서 및 액추에이터와의 하드웨어 수준 직접 통합은 우수함.
(-) 중앙 클라우드와 엣지 계층 간의 이기종 통신 규격, 지역별 환경 차이로 인해 범용 시스템 통합 비용이 발생함 (교안 관점).</t>
  </si>
  <si>
    <t>[--] 분산 동기화 난제: 복수의 분산 노드 간 작업 동기화, 타임아웃, 비동기 응답 통합 테스트가 극도로 복잡함.</t>
  </si>
  <si>
    <t>데이터를 중앙까지 보내지 않아 전송이 줄고 전체 효율은 높아질 수 있다. 다만 상당한 초기 투자가 필요하다고 교안이 덧붙인다</t>
  </si>
  <si>
    <t>사용자가 서버 위치를 몰라도 서비스를 사용할 수 있도록 만드는 기반은 있지만, 위치 투명성은 우선 구성 요소의 연결 특성이다. 실제 UI·피드백·오류 복구 경험을 정의하지 않으므로 직접적인 사용성 영향은 중립이다.</t>
  </si>
  <si>
    <t>서버 위치를 사용자가 관리하지 않도록 할 기반은 있지만 Dispatcher는 주로 내부 연결을 해결한다. 사용자 화면과 작업 절차를 정의하지 않으므로 사용성에 직접 높은 점수를 부여하지 않는다.</t>
  </si>
  <si>
    <t>널리 분산된 물리적 엣지 장비들의 펌웨어, OS, AI 모델을 현장 방문 없이 일괄 수정하고 갱신하는 유지보수 복잡도가 매우 높음</t>
  </si>
  <si>
    <t>데이터 발생원(센서, 사용자) 바로 옆에서 실시간 연산 및 AI 추론을 수행하므로, 클라우드 왕복 네트워크 지연을 없애 초저지연(Low Latency) 및 즉각적 고속 응답을 달성함.</t>
  </si>
  <si>
    <t>통신 두절이나 중앙 클라우드 마비 상황에서도 엣지 노드가 자율적으로 판단하여 현장 기기를 안전하게 제어하고 사고를 방지함.</t>
  </si>
  <si>
    <t>통제된 데이터센터 외부의 물리적으로 취약한 엣지 환경에 데이터가 분산되므로 도난, 유출, 사이버 침해 위험이 극도로 증가함</t>
  </si>
  <si>
    <t>로컬 디바이스 단위의 기능 테스트는 가능하지만, 각 지역의 상이한 현장 네트워크 환경, 하드웨어 편차, 물리적 센서 교란 요소를 개발실 환경에서 일관되게 재현하여 통합 테스트하기가 매우 어려움.</t>
  </si>
  <si>
    <t>[+] Stateless Service는 상태 의존을 줄이고 서로 다른 Process·컴퓨터에 분산할 수 있어 서비스별 장애 대응 단위를 제공한다.
 [-] Intermediary와 필수 외부 Service Provider의 장애는 연계 업무를 중단시킬 수 있으며, 강의 자료는 자동 복구를 기본 제약으로 두지 않는다.</t>
  </si>
  <si>
    <t>독립된 실행·데이터 소유 경계로 비관련 서비스의 동작과 개별 복구를 분리할 기반이 있다. 교안의 역할·정보 분산에 따른 가용성 이점을 반영한다. 그러나 필수 서비스를 연쇄 호출하는 임무까지 모두 계속된다는 뜻은 아니다.</t>
  </si>
  <si>
    <t>통신 지연이 전혀 없는 즉각적인 실시간 반응을 제공하여 체감 사용성을 대폭 개선하고, 데이터의 로컬 보관을 통해 사용자 데이터 프라이버시와 소유권을 보장함.</t>
  </si>
  <si>
    <t>[+] 공개 Interface가 유지되면 Service Provider의 구현을 독립적으로 갱신할 수 있다.</t>
  </si>
  <si>
    <t>[++] 각 Service가 별도 Codebase·데이터·배포 단위를 가지므로 전체 Application 재배포 없이 기능별 Release와 Rollback이 가능하다.</t>
  </si>
  <si>
    <t>[++] Platform·기술·Vendor·언어와 무관한 표준 통신과 공개 Interface로 서비스 재사용·조합·외부 시스템 연동이 매우 쉽다.</t>
  </si>
  <si>
    <t>[+] 잘 정의된 API와 내부 구현 은닉, 서로 다른 기술 Stack 허용으로 별도 개발 Service를 연결하기 쉽다.</t>
  </si>
  <si>
    <t>[-] Middleware의 라우팅·변환, 원격 통신, 직렬화와 분산 Process의 유지에 추가 자원을 사용한다.</t>
  </si>
  <si>
    <t>[-] 다수 Service·Data Store·Gateway·Orchestration의 상시 유지와 서비스 간 Network 통신·직렬화가 자원을 소비한다.</t>
  </si>
  <si>
    <t>[++] Stateless Service와 공개 Interface를 유지하면 내부 구현 변경이 Application에 영향을 주지 않아 진화·갱신이 매우 쉽다.
 [-] 공개 Interface나 공통 업무 의미의 변경은 여러 Consumer에 전파될 수 있다.</t>
  </si>
  <si>
    <t>[++] Business Capability별 독립 Codebase와 Data Store로 새 기능 추가와 내부 Logic·Schema 변경을 단일 Service에 국소화하기 매우 쉽다.</t>
  </si>
  <si>
    <t>여러 업무 서비스를 네트워크로 조합하면 로컬 호출 대비 왕복·직렬화·실패 처리 시간이 추가된다. 특히 짧은 기능을 잘게 나누어 연쇄 호출하면 연결 비용의 비중이 커진다. 서비스 재사용을 응답 시간의 자동 개선으로 해석하지 않는다.</t>
  </si>
  <si>
    <t>하나의 업무를 여러 원격 서비스에 걸쳐 처리하면 호출·직렬화·인증·데이터 조회의 왕복이 누적될 수 있다. 교안이 마이크로서비스의 지연 비용을 약점으로 설명한 점을 반영한다. 서비스별 확장에 따른 처리량 이점과 분리한 평가이다.</t>
  </si>
  <si>
    <t>업무 책임이 서비스로 나뉘면 위해 관련 규칙을 검토할 위치를 정하기 쉽다. 그러나 부분 성공·응답 손실·재시도·여러 상태의 불일치에서 안전한 행동을 보장하는 정책은 교안 개요가 정하지 않는다. 안전성은 중립으로 평가한다.</t>
  </si>
  <si>
    <t>서비스 경계는 위험한 책임을 분리할 기회를 주지만, 여러 상태의 불일치·부분 성공·재시도에서 위해를 막는 동작을 자동 보장하지 않는다. 분산으로 오류 영향을 줄일 수도 있고 새 조합 위험을 만들 수도 있어 안전성은 중립이다.</t>
  </si>
  <si>
    <t>서비스 경계에서 인증·권한·감사를 적용할 지점이 생기지만, 보호할 원격 접점과 자격 증명도 늘어난다. 개요의 독립성과 표준 인터페이스는 보안 정책을 자동 제공하지 않으므로 일반적인 보안 순효과를 확정하지 않는다.</t>
  </si>
  <si>
    <t>서비스별 최소 권한을 적용할 경계가 생기는 반면, 노출 API·서비스 자격 증명·데이터 저장소·통신 접점이 늘어난다. 독립 서비스라는 구조만으로 보안의 순효과를 확정할 수 없다.</t>
  </si>
  <si>
    <t>서비스 내부 규칙은 따로 시험할 수 있지만, 전체 임무에서는 여러 서비스 버전·데이터 상태·네트워크 실패를 함께 재현해야 한다. 원격 서비스 조합의 통합 검증과 원인 추적 부담을 반영하여 부정적으로 평가한다.</t>
  </si>
  <si>
    <t>서비스 내부는 작게 시험하기 쉽지만 종단 동작은 다수 서비스·버전·저장 상태·통신 오류의 조합을 재현해야 한다. 교안이 정보 분산의 상태 재현과 통합 시험 부담을 지적하므로 전체 시스템의 시험 용이성은 부정적으로 평가한다.</t>
  </si>
  <si>
    <t>[0] Service 재사용·상호운용성은 개발과 시스템 통합의 이점이며 최종 사용자의 작업 편의성을 직접 결정하지 않는다.</t>
  </si>
  <si>
    <t>[0] Application을 작은 Service로 나누는 내부 구조는 사용자의 화면·업무 흐름을 직접 결정하지 않는다. 부분 실패를 사용자에게 어떻게 안내하는지는 별도 UX 설계 사항이다.</t>
  </si>
  <si>
    <t>[+] 중앙 Site가 멈추거나 연결이 끊겨도 Edge Node가 Local Network에서 연산·제어를 독립적으로 계속할 수 있다.</t>
  </si>
  <si>
    <t>분산된 여러 현장 장치의 환경과 연결 상태가 다르면 새 버전 배포·검증·되돌리기를 일관되게 끝내기 어렵다.</t>
  </si>
  <si>
    <t>로컬 장치·중간 처리·중앙 서비스의 서로 다른 데이터와 통신 조건을 맞추어야 한다.</t>
  </si>
  <si>
    <t>각 처리 단계가 완전 종료(Run to completion)되어야 다음 단계가 실행되므로, 중간 프로세싱 스텝 하나만 실패해도 전체 파이프라인이 정지되는 단일 실패 취약 구조입니다.</t>
  </si>
  <si>
    <t>현장에서 필터링·집계하면 중앙으로 보내는 데이터와 원격 왕복을 줄일 여지가 있다. 반면 여러 장치의 연산·저장·동기화와 유휴 전력을 함께 부담하므로 네트워크 절감만으로 총에너지 감소를 확정할 수 없다. 작업과 장치 구성에 따른 양면성을 반영해 0으로 평가한다.</t>
  </si>
  <si>
    <t>Pipe and Filter는 Filter들이 독립적이지만 전체 결과는 Data Source→Pipe→Filter→Data Sink 흐름이 유지되어야 나온다. 특정 Filter나 Pipe가 멈추면 downstream 처리가 막히고, 자료에서도 fault tolerance가 낮다고 하므로 availability에는 불리하게 본다.</t>
  </si>
  <si>
    <t>Process Control은 Set Point와 Controlled Variable의 차이를 feedback으로 계산해 Manipulated Variable을 계속 조정하는 closed loop 구조이다. 외부 disturbance가 있어도 목표 상태를 유지하도록 설계되므로 availability/reliability 측면에 유리하다.</t>
  </si>
  <si>
    <t>각 단계가 파일 규격 및 배치 실행 흐름에 강하게 묶여 있어 개별 단계를 독립적으로 분리 배포하거나 무중단 롤백하기 어렵습니다.</t>
  </si>
  <si>
    <t>로컬 처리 책임을 분리하면 특정 현장의 정책을 다른 현장과 독립적으로 바꿀 여지가 있다. 그러나 장치별 하드웨어·런타임 조건과 중앙 동기화 계약에 의존하면 같은 변경을 여러 환경에 맞추어야 한다. 배치 위치만으로 소스 코드의 변경 격리가 보장되지 않으므로 종합 평가는 0이다.</t>
  </si>
  <si>
    <t>Pipe and Filter는 Filter가 독립적인 component이고 Pipe의 입출력 형식만 맞으면 Filter를 교체·추가할 수 있다. 따라서 특정 처리 단계 단위로 수정·교체·배포하기 쉬워 deployability에 유리하다.</t>
  </si>
  <si>
    <t>Process Control은 Controller, Processing Unit, Sensor/Actuator, 제어 변수들이 feedback loop로 함께 동작한다. 한 요소 변경이 제어 안정성·timing·전체 loop에 영향을 주므로 독립 배포가 어렵다.</t>
  </si>
  <si>
    <t>표준 입출력 파일(Batch File, CSV, DB 덤프 등)을 매개로 단계가 연결되므로, 이기종 도구 간 파일 연동 관점의 통합은 비교적 단순합니다.</t>
  </si>
  <si>
    <t>[+] 연산을 데이터와 사용자 가까이에서 수행하여 원격 왕복 Latency를 크게 줄이고, 원시 데이터 대신 요약 정보만 전송해 Bandwidth를 절약한다.</t>
  </si>
  <si>
    <t>표준 데이터 포맷과 일관된 파이프 커넥터 인터페이스를 지원하므로, 새로운 외부 필터를 기존 파이프라인 사이에 끼워 넣는 통합이 매우 뛰어납니다.</t>
  </si>
  <si>
    <t>Process Control에서 새 센서·actuator·제어 알고리즘을 추가하면 Set Point, Controlled Variable, Manipulated Variable의 관계와 feedback 안정성을 함께 재검토해야 한다. 단순 연결이 아니라 제어 모델 통합이 필요하므로 integrability에 불리하다.</t>
  </si>
  <si>
    <t>Batch Sequential은 동시 실행 자원은 적게 쓰지만, 각 단계가 끝날 때까지 다음 단계가 대기하므로 전체 처리 시간이 길어질 수 있다. 에너지 효율을 직접 개선하는 구조적 메커니즘은 아니므로 0으로 본다.</t>
  </si>
  <si>
    <t>Pipe and Filter는 동시·점진 처리로 자원 활용을 높일 수 있으나, 독립 Filter가 많아지면 계산 overhead와 buffering/데이터 변환 비용이 커진다. 자료의 약점도 overhead 증가를 언급하므로 energy efficiency에는 다소 불리하게 본다.</t>
  </si>
  <si>
    <t>Process Control은 Set Point와 Controlled Variable의 차이를 줄이도록 Manipulated Variable을 조정해 최적의 process 조건을 유지하는 closed-loop 구조이다. 이 구조가 자원 사용을 조정할 수는 있지만, 에너지 절감을 직접 보장하는 스타일은 아니므로 energy efficiency에 대한 직접 효과는 중립으로 본다. (p.53~58)</t>
  </si>
  <si>
    <t>로컬 반응으로 원격 지연을 줄일 수 있지만 빠른 반응이 올바른 안전 동작이라는 뜻은 아니다. 오래된 정책·모델·센서 정보와 장치 오류가 위해로 이어질 수 있으며 중앙과의 상태 불일치도 검토해야 한다. 교안에는 위해 차단 구성의 상세 본문이 없으므로 안전성은 0이다.</t>
  </si>
  <si>
    <t>Batch Sequential은 처리 단계가 독립 program으로 나뉘고, 단계 사이 관계가 file input/output으로 명확하다. 특정 processing step만 수정하거나 재사용할 수 있으므로 modifiability에 유리하다.</t>
  </si>
  <si>
    <t>필터 간 독립성이 철저히 보장되므로 필터의 교체, 재배치, 새로운 필터 삽입이 시스템의 다른 부분에 영향을 주지 않습니다.</t>
  </si>
  <si>
    <t>Process Control은 feedback loop 안에서 Controller와 Processing Unit이 제어 변수로 상호 의존한다. 제어 알고리즘이나 변수 정의를 바꾸면 전체 안정성과 결과에 영향을 주므로 변경 영향 분석이 어렵다.</t>
  </si>
  <si>
    <t>Batch Sequential은 각 단계가 run-to-completion으로 끝난 뒤 다음 단계로 넘어간다. 동시성이 없고 latency가 늘며 throughput이 낮다고 자료에 명시되어 있어 performance에는 강하게 불리하다.</t>
  </si>
  <si>
    <t>보호해야 할 실행·저장 지점이 여러 현장으로 분산되면 장치 접근·자격 정보·업데이트 신뢰성·감사 일관성을 관리해야 한다.</t>
  </si>
  <si>
    <t>Pipe and Filter는 입력 전체를 기다리지 않고 데이터 stream을 점진적으로 변환하며, 독립 Filter를 분산·병렬 처리할 수 있다. 따라서 pipeline 병렬성으로 throughput을 높일 수 있어 performance에 유리하다.</t>
  </si>
  <si>
    <t>Process Control은 Sensor가 상태를 관찰하고 Controller가 차이를 계산해 즉시 control action을 적용한다. 외부 disturbance에 빠르게 대응해 목표 상태로 수렴하게 하므로 performance/QoS 유지에 유리하다.</t>
  </si>
  <si>
    <t>Batch Sequential은 단계별 검증은 쉽지만, 위험 상태를 자동으로 감지·차단·복구하는 safety mechanism을 구조적으로 제공하지 않는다. 따라서 safety에 대한 직접 효과는 제한적이다.</t>
  </si>
  <si>
    <t>다중 필터의 동시 실행 특성상 버퍼 오버플로우, 배압(Backpressure) 불균형, 비결정적 타이밍 문제로 인해 제어 한계를 벗어날 위험이 있습니다.</t>
  </si>
  <si>
    <t>Process Control은 Controlled Variable을 계속 측정하고 Set Point에 가깝게 유지하는 제어 loop이다. 온도 제어·Cruise Control처럼 허용 범위를 벗어난 상태를 지속적으로 보정하는 구조이므로 safety에는 강하게 유리하다.</t>
  </si>
  <si>
    <t xml:space="preserve"> [--] 다수 Device·Sensor 입력·통신 단절·재연결·상태 동기화와 실제 현장 환경의 조합을 반복 재현하기 매우 어렵다.</t>
  </si>
  <si>
    <t>Batch Sequential은 file 기반 단계 경계를 만들 수 있지만, 인증·인가·암호화 같은 보안 기능을 스타일 자체가 제공하지는 않는다. 중간 file 보호를 별도로 설계해야 하므로 직접 효과는 0이다.</t>
  </si>
  <si>
    <t>데이터 이동 경로(Pipe)가 다수 노출되어 도청 및 데이터 변조 위험이 증가하며, 각 필터마다 보안 통제를 개별 적용해야 하므로 공격 표면이 넓어집니다.</t>
  </si>
  <si>
    <t>Process Control은 센서값·제어명령·Controller가 공격받으면 전체 제어 결과가 무너질 수 있다고 자료에 제시된다. cyber attack이 제어 시스템 전체를 무너뜨릴 수 있으므로 security에는 강하게 불리하다.</t>
  </si>
  <si>
    <t>Batch Sequential은 입력 file과 출력 file이 단계별로 남고 실행 순서가 결정적이다. 각 program을 고정된 입력과 기대 출력으로 테스트할 수 있어 testability가 높다.</t>
  </si>
  <si>
    <t>필요한 기능을 가까운 장치에서 완료하면 사용자에게 더 빠른 피드백을 주고 연결이 불안정할 때도 일부 작업을 유지할 수 있다.</t>
  </si>
  <si>
    <t>Pipe and Filter는 Filter가 독립 component이고 각 Filter의 input/output port가 명확하다. Filter 단위 테스트와 mock Pipe 구성이 쉬워 testability에 유리하다.</t>
  </si>
  <si>
    <t>Process Control은 시간, 상태, feedback loop, 외부 disturbance가 함께 작용한다. 단일 입력-출력 테스트보다 동적 시나리오와 안정성 검증이 필요하므로 testability에 불리하다.</t>
  </si>
  <si>
    <t>처리 도중 사용자와 상호작용하는 대화형(Interactive) 작업이 완전히 불가능하며, 작업 종료 시까지 시스템이 블로킹됩니다.</t>
  </si>
  <si>
    <t>Pipe and Filter는 stream 처리에는 강하지만 자료에서 interactive I/O 처리에는 적합하지 않다고 제시된다. 사용자 interaction 중심 시스템보다는 내부 데이터 변환에 적합하므로 usability에는 불리하게 본다.</t>
  </si>
  <si>
    <t>Process Control은 내부 자동 제어 구조이며 사용자 UI나 작업 흐름을 직접 개선하는 스타일은 아니다. 목표 상태 유지가 간접적으로 사용자 경험을 안정화할 수는 있지만 직접 효과는 제한적이다.</t>
  </si>
  <si>
    <t>중앙 데이터 저장소가 명확한 단일 장애점(SPOF)가 되므로, 저장소가 고장나면 전체 component가 데이터를 읽고 쓸 수 없다</t>
  </si>
  <si>
    <t>Blackboard/Controller가 KS 실행의 중심이므로, 이 부분이 멈추면 여러 KS 협업도 함께 중단된다.</t>
  </si>
  <si>
    <t>client 기능은 따로 배포할 수 있지만, 중앙 데이터 저장소 구조 의존성은 높다</t>
  </si>
  <si>
    <t>KS는 직접 연결되지 않고 Blackboard를 통해 협력하므로 KS 단위 추가·교체는 비교적 쉽다. 단, Blackboard/Controller 변경은 영향이 크다.</t>
  </si>
  <si>
    <t>Repository는 여러 data client가 동일한 중앙 data store와 공통 데이터 모델을 통해 연결된다. 새 client도 data access/procedure call 규약만 맞추면 기존 client와 직접 연결 없이 통합할 수 있다.</t>
  </si>
  <si>
    <t>새 알고리즘을 KS로 추가해 Blackboard를 읽고 쓰게 하면, 기존 KS와 직접 연결하지 않고도 통합할 수 있다.</t>
  </si>
  <si>
    <t>데이터가 중앙에 한 번만 저장되어 중복 복제 및 동기화 통신 비용이 발생하지 않으므로 자원 소비 효율이 우수합니다.</t>
  </si>
  <si>
    <t>상태 감시 loop, 반복 추론, 여러 가설 탐색이 계속 필요해 CPU·메모리 사용이 크게 늘 수 있다.</t>
  </si>
  <si>
    <t>client 기능 변경에는 유리하지만, data store 구조 변경은 어렵다</t>
  </si>
  <si>
    <t>KS들이 독립적으로 동작하므로 특정 KS의 알고리즘 변경·교체가 다른 KS에 미치는 영향이 작다.</t>
  </si>
  <si>
    <t>중앙 저장소에 직접 접근하여 (단순한 접근 경로) 임시 데이터 전달 overhead가 적다</t>
  </si>
  <si>
    <t>독립 KS를 병렬로 실행할 수 있어 추론 처리량을 높일 수 있다. 다만 Controller와 Blackboard 갱신 비용은 남는다.</t>
  </si>
  <si>
    <t>단일 data 저장소로 상태 일관성을 관리하기 쉬워 안전 판단의 기준을 통일할 수 있지만, data store 오류가 전체 안전 상태 판단에 영향을 줄 수도 있다.</t>
  </si>
  <si>
    <t>Blackboard는 복잡한 판단을 돕는 내부 협업 구조일 뿐, 위험 상태 차단·복구를 직접 제공하지는 않는다.</t>
  </si>
  <si>
    <t>데이터가 집중되어 있어 명확한 공격 포인트가 있음</t>
  </si>
  <si>
    <t>공유 Blackboard가 공격되면 KS들이 사용하는 가설과 결과가 함께 오염될 수 있어 보안에는 크게 불리하다.</t>
  </si>
  <si>
    <t>시스템의 전체 상태가 중앙 저장소 하나에 모여 있으므로, 테스트 시나리오를 위한 상태 셋업(Setup)과 결과 상태 단언(Assert)이 직관적입니다.</t>
  </si>
  <si>
    <t>Controller가 상태에 따라 KS를 반복 선택하고 가설이 계속 바뀌므로 실행 경로 재현과 검증이 어렵다.</t>
  </si>
  <si>
    <t>모든 클라이언트가 일관된 최신 데이터를 조회하므로 데이터 정합성에 기반한 사용자 경험의 일관성이 보장됩니다.</t>
  </si>
  <si>
    <t>Blackboard는 내부 추론 구조라 UI나 사용자 작업 흐름을 직접 개선하는 스타일은 아니다.</t>
  </si>
  <si>
    <t>Buffer 없이 Listener를 동기적으로 호출하므로 Listener의 장애나 지연이 Event 처리 흐름에 직접 영향을 미치며, Receiver 장애 시 Event를 저장하여 나중에 처리하는 기능도 제공하지 않는다.</t>
  </si>
  <si>
    <t>producer와 consumer가 decouple 되어 동시에 살아 있지 않아도 되고, 메시지 신뢰성 설정도 가능하므로 Availiability에 유리함</t>
  </si>
  <si>
    <t>Listener를 추가·교체하기는 쉽지만 일반적으로 Event Source와 Listener가 동일 프로세스/배포 단위에 포함되므로 독립 배포 효과는 제한적이다.</t>
  </si>
  <si>
    <t>producer와 consumer가 decouple 되어, 각각 개별적으로 배포, 업그레이드가 가능하므로 deployability에 유리함</t>
  </si>
  <si>
    <t>표준 Event/Listener 인터페이스를 이용하면 기존 Event Source의 변경을 최소화하면서 새로운 Listener를 연결할 수 있어 컴포넌트 통합이 용이하다.</t>
  </si>
  <si>
    <t>Queue가 poducer와 consumer를 중재하므로, 여러 이기종 consumer를 podcuer에 변경업이 통합 가능하다.</t>
  </si>
  <si>
    <t>Event 발생 시에만 Listener가 실행되어 polling을 줄일 수 있지만 indirect invocation의 추가 overhead도 존재하므로 Energy Efficiency에 대한 전반적인 영향은 구현에 따라 달라진다.</t>
  </si>
  <si>
    <t>Queue 관리를 위해, 네트워크, 디스크 I/O 등 에너지를 추가적으로 사용하므로, energy efficiency에 불리하다.</t>
  </si>
  <si>
    <t>Event Source와 Listener가 Event 인터페이스를 통해 분리되고 Listener를 동적으로 등록·해제할 수 있어 기존 구조에 미치는 영향을 최소화하면서 기능을 추가·변경하기 쉽다.</t>
  </si>
  <si>
    <t>약한 결합을 바탕으로, producer와 consumer 별 수정이 용이하다.</t>
  </si>
  <si>
    <t>Buffer나 네트워크 없이 동일 프로세스에서 즉시 호출하므로 전달 latency는 낮지만, synchronous Listener 실행과 indirect invocation overhead가 전체 처리 시간을 증가시킬 수 있어 장단점이 공존한다.</t>
  </si>
  <si>
    <t>비동기 병력 처리를 통해, conccurrency 및 througput을 향상 시킬수 있다.</t>
  </si>
  <si>
    <t>Listener의 반응과 실행 순서를 예측·검증하기 어려우며 Listener 장애가 동기 호출 경로에 영향을 줄 수 있어 safety-critical 동작의 결정성과 검증 가능성이 낮아진다.</t>
  </si>
  <si>
    <t>메시지 큐 내에서 priority,expiration 등을 설정해서 서비스 reliablity를 향상 시킬수 있다.</t>
  </si>
  <si>
    <t>Event-Based Style 자체는 인증·인가·Event 무결성 등의 보안 메커니즘을 제공하지 않으며 실제 Security 수준은 Event 등록 및 전달 메커니즘의 구현에 좌우된다.</t>
  </si>
  <si>
    <t>메시지 큐가 공격 포인트가 될수 있지만, 보안 통제 지점이 될수 있다.</t>
  </si>
  <si>
    <t>암시적 호출로 인해 어떤 Listener가 반응하는지와 Listener의 응답 순서를 예측·검증하기 어렵고 제어 흐름이 명시적으로 드러나지 않아 테스트와 디버깅이 어렵다.</t>
  </si>
  <si>
    <t>비동기 방식 처리, 큐 용량, 다양한 정책 지원으로 인해 테스트를 진행하기 어렵다.</t>
  </si>
  <si>
    <t>사용자 입력이나 상태 변화 Event에 즉시 반응하는 구조를 구성하기 쉬워 interactive UI의 responsiveness를 지원할 수 있다.</t>
  </si>
  <si>
    <t>비동기 처리를 지원하여, UI lantency를 향상시킬수 있다.</t>
  </si>
  <si>
    <t>단일 제어 흐름으로 인해, 상위 호출 흐름 실패시 전체 실행이 실패한다.</t>
  </si>
  <si>
    <t>특정 Slave 장애 시 Master가 타 Slave에 작업을 재할당해 서비스가 지속(Fault Tolerance)됩니다. 단, Master 자체는 단일 장애점(SPOF)이 될 수 있습니다.</t>
  </si>
  <si>
    <t>강하게 결합되어 있어,  subroutine만 독립적으로 배포가 어렵다.</t>
  </si>
  <si>
    <t>Master-Slave 간 서비스 규격이 분리되어 있어, 시스템 가동 중에도 신규 Slave 인스턴스를 수평 확장(Scale-out) 배포하기 용이합니다.</t>
  </si>
  <si>
    <t>함수 호출 구조와 공유 데이터에 의존하기 쉬워 외부 컴포넌트와 느슨하게 통합하기 어렵다.</t>
  </si>
  <si>
    <t>Slave 추가는 가능하지만 Master가 호출 방식과 결과 선택을 통제하므로 통합 자유도는 제한적이다.</t>
  </si>
  <si>
    <t>단일 흐름의 직접 procedure call 구조라 별도 통신, 직렬화, 동기화 비용이 작다.</t>
  </si>
  <si>
    <t>여러 Slave 실행, Master-Slave 통신, 결과 수집과 선택 과정이 추가되어 자원 사용량이 커질 수 있다.</t>
  </si>
  <si>
    <t>강한 결합과 전역 공유 데이터(Globally shared data)로 인해 특정 모듈 수정 시 시스템 전반으로 번지는 파급 효과</t>
  </si>
  <si>
    <t>Master의 규격만 충족하면 개별 Slave의 내부 로직을 수정하거나 새 Slave를 추가해도 시스템의 다른 부분에 영향이 없음</t>
  </si>
  <si>
    <t>직접 함수 호출과 단순 제어 흐름으로 실행 overhead가 작다.</t>
  </si>
  <si>
    <t>여러 Slave를 병렬 실행할 수 있으나, master과 slave 사이의 통신에서 overhead 발생 가능하여 성능 상쇄</t>
  </si>
  <si>
    <t>순차적이고 비교적 결정론적인 제어 흐름은 분석과 검증에는 유리하지만, 장애 발생 시 안전 상태를 보장하거나 오류를 차단하는 Safety mechanism을 구조적으로 제공하지는 않는다.</t>
  </si>
  <si>
    <t>동일 작업을 여러 Slave가 중복 수행하고 결과 비교나 다수결을 적용하는 경우 단일 Slave의 오류를 탐지·차단할 수 있어 Safety에 유리하지만, 모든 Master-Slave 구현이 이러한 redundancy를 사용하는 것은 아니다.</t>
  </si>
  <si>
    <t>Subroutine들이 동일 프로세스와 권한 경계를 공유하는 경우가 많아 하나의 취약점이나 메모리 오류가 다른 모듈과 전체 실행 흐름에 영향을 미칠 수 있어 보안 격리에 불리하다.</t>
  </si>
  <si>
    <t>Slave를 독립 실행 단위로 분리하면 침해 범위를 제한할 수 있지만, Master가 중앙 통제 지점이 되어 공격이 집중될 수 있고 스타일 자체가 인증·인가·암호화 등의 보안 메커니즘을 제공하지는 않는다.</t>
  </si>
  <si>
    <t>선형적으로 동작하는 구조 및 분리된 main/subroutine별 단위/통합테스트 용이함</t>
  </si>
  <si>
    <t>다중/병렬 slave,  선택전략의 검증 등 테스트가 어려움</t>
  </si>
  <si>
    <t>main routine이 종료될때까지 ineteraction이 지연되기 떄문에 usability가 낮다.</t>
  </si>
  <si>
    <t>다중/병렬 검증으로 데이터정합성은 증가할 수 있으나, usability관점에서의 영향성은 적음</t>
  </si>
  <si>
    <t>계층화는 장애 복구 구조를 직접 제공하지 않아 availability 효과는 제한적이다.</t>
  </si>
  <si>
    <t>각 layer를 독립적으로 배포·유지보수·갱신할 수 있어 deployability에 유리하다.</t>
  </si>
  <si>
    <t>Layer 간 서비스 사용 관계가 명확해, 정해진 인터페이스를 기준으로 상하 계층을 통합하기 쉽다.</t>
  </si>
  <si>
    <t>여러 layer를 거치며 호출과 데이터 전달 overhead가 생겨 자원 사용이 늘 수 있다.</t>
  </si>
  <si>
    <t>단방향 의존과 layer별 책임 분리로 변경 영향 범위를 줄이고 재사용·교체가 쉽다.</t>
  </si>
  <si>
    <t>계층 순차 통과 오버헤드(Sinkhole)로 직접 호출보다 느리다</t>
  </si>
  <si>
    <t>엄격한 단방향 호출 규칙을 통해 컴포넌트 간 무분별한 참조를 차단하고 단계별 상태 검증을 수행하기 용이합니다.</t>
  </si>
  <si>
    <t>각 layer가 내부 정보를 숨길 수 있어 보안 경계를 만들기 쉽다.</t>
  </si>
  <si>
    <t>Layer별 mock등 테스트환경 구성이 용이하여 testability높음</t>
  </si>
  <si>
    <t>user interaction과 관련없는 항목으로, usabiltiy영향성이 적음</t>
  </si>
  <si>
    <t>Tier 역할별로 분리되어, 특정 Tier 장애를 격리 및 복구하기 쉽다. 다만 핵심 Tier 장애는 전체 서비스에 영향을 줄수 있다.</t>
  </si>
  <si>
    <t>Server가 요청 처리의 중심이므로 Server 장애 시 여러 Client가 함께 영향을 받는다.</t>
  </si>
  <si>
    <t>UI, Business, Data Tier처럼 배포 단위가 나뉘어 특정 Tier만 갱신하거나 확장 배포하기 쉽다.</t>
  </si>
  <si>
    <t>Client와 Server를 분리 배포할 수는 있지만, Server 변경이 여러 Client 호환성에 영향을 줄 수 있다.</t>
  </si>
  <si>
    <t>Tier 간 인터페이스와 책임 경계가 명확하므로, 외부 시스템이나 신규 컴포넌트를 특정 Tier에 연결해 기존 구조에 통합하기 쉽다. 다만 여러 Tier 간 데이터 흐름과 호출 규약을 맞춰야 한다.</t>
  </si>
  <si>
    <t>Client는 Server가 제공하는 명확한 인터페이스를 통해 기능을 사용하므로, 규약만 맞으면 여러 Client를 Server에 통합하기 쉽다.</t>
  </si>
  <si>
    <t>여러 Tier를 거치며 네트워크 통신, 데이터 변환, 직렬화, 중간 처리 overhead가 발생해 자원 사용량이 늘 수 있다.</t>
  </si>
  <si>
    <t>처리를 Server에 집중시켜 Client의 자원 사용을 줄일 수 있고, 중간 Tier가 적어 호출 경로도 비교적 단순하다. 다만 Server 부하는 커질 수 있다.</t>
  </si>
  <si>
    <t>기능과 책임이 Tier별로 분리되어 특정 Tier 변경이 다른 Tier로 전파되는 범위를 줄일 수 있다.</t>
  </si>
  <si>
    <t>Client와 Server 책임은 분리되지만, Server API 변경 시 여러 Client 수정이 필요할 수 있어 장단점이 상쇄된다.</t>
  </si>
  <si>
    <t>Tier별 병렬 처리와 확장은 가능하지만, 여러 Tier를 거치는 latency와 overhead가 있어 장단점이 상쇄된다.</t>
  </si>
  <si>
    <t>여러 Client 요청이 Server에 집중되어 Server 병목과 네트워크 지연이 발생할 수 있다.</t>
  </si>
  <si>
    <t>Tier 분리를 통해 오류 영향 범위를 일부 제한할 수 있지만, 위험 상태를 감지하거나 안전 상태로 전환하는 Safety mechanism을 구조적으로 제공하지는 않는다.</t>
  </si>
  <si>
    <t>중앙 Server 중심의 요청·응답 구조는 상태 관리를 단순화할 수 있지만, 위험 상태 감지·회피·복구 같은 Safety mechanism을 직접 제공하지는 않는다.</t>
  </si>
  <si>
    <t>Presentation/Application/Data tier를 분리하면 민감한 business logic과 data에 대한 직접 접근을 제한하고 tier별 인증·인가·접근 제어 경계를 적용하기 쉬워 Security에 유리하다.</t>
  </si>
  <si>
    <t>Server가 다수 Client의 요청을 받는 중앙 네트워크 진입점이 되어 공격이 집중될 수 있고, 인증·인가·통신 보호 등 분산 환경의 Security 관리 복잡도가 증가한다.</t>
  </si>
  <si>
    <t>layerd구조와 유사하게 단위테스트 구성은 쉬우나, 통합테스트 구성은 어려울 수 있음</t>
  </si>
  <si>
    <t>server/client 분리 테스트구성이 쉬움</t>
  </si>
  <si>
    <t>사용자 입장에서 usability 영향은 적다</t>
  </si>
  <si>
    <t>Broker가 중개와 라우팅의 중심이므로 Broker 장애 시 서비스 연결 전체가 영향을 받을 수 있다.</t>
  </si>
  <si>
    <t>통신 채널을 맺는 시점에만 디스패처를 사용하고, 데이터 송수신은 직접 수행하므로, 디스 패처 장애시에도 채널 유지 및 동적 재연결이 가능함</t>
  </si>
  <si>
    <t>client와 서버가 느슨하게 연결되어, 서비스 추가 교체 배포가 용이하다.</t>
  </si>
  <si>
    <t>서버 추가 수정 및 Migration이 용이하므로, 런타임에 서버 배포가 용이함</t>
  </si>
  <si>
    <t>Broker가 위치, 호출 방식, 프로토콜 차이를 중개하므로 Client와 Server가 직접 알지 않아도 이기종 서비스를 통합하기 쉽다.</t>
  </si>
  <si>
    <t>Dispatcher가 요청을 적절한 처리 대상으로 전달하므로 여러 서비스나 서버를 하나의 진입점 뒤에 통합하기 쉽다</t>
  </si>
  <si>
    <t>Broker를 거치면서 중개, 라우팅, 등록 정보 조회, 메시지 변환 등의 추가 처리와 통신 overhead가 발생한다.</t>
  </si>
  <si>
    <t>직접 호출보다 Dispatcher를 통한 요청 전달 단계가 추가되므로 통신과 처리 overhead가 늘 수 있다.</t>
  </si>
  <si>
    <t>Client와 Server가 완전히 분리되어 있어 표준 인터페이스만 유지하면 Component 내부 설계 및 구현 변경이 상대방에게 전혀 영향을 주지 않음</t>
  </si>
  <si>
    <t>Server 교체 및 재구성이 수월하지만, Dispatcher 인터페이스 변경에는 민감</t>
  </si>
  <si>
    <t>다중 간접 호출과 데이터 변환 오버헤드로 인해 지연 시간(Latency) 증가</t>
  </si>
  <si>
    <t>직접 연결보다 전달 overhead는 있지만, 요청 분배로 부하를 나눌 수 있어 장단점이 상쇄된다.</t>
  </si>
  <si>
    <t>Broker는 Client와 Server 간 통신을 중개하는 구조로, 위험 상태를 감지·차단하거나 안전 상태로 전환하는 Safety mechanism을 직접 제공하지는 않는다.</t>
  </si>
  <si>
    <t>Dispatcher는 Server 장애 시 다른 Server를 선택하거나 활성화해 가용성을 높일 수 있지만, 위험 상태 제어를 위한 Safety mechanism 자체를 제공하지는 않는다.</t>
  </si>
  <si>
    <t>Broker를 중앙 인증·인가·감사 지점으로 활용할 수 있지만, 동시에 모든 통신이 집중되는 공격 지점이 될 수 있어 Security 측면의 장단점이 상쇄된다.</t>
  </si>
  <si>
    <t>Dispatcher에서 초기 접근 통제를 적용할 수 있지만 연결 이후 보안은 개별 Client·Server에 의존하고, Dispatcher 자체도 중앙 탐색·등록 지점으로서 공격 대상이 될 수 있다.</t>
  </si>
  <si>
    <t>프록시, 브로커, 브리지 등 연관된 간접 계층이 많아 런타임 오류 추적이 매우 복잡하고 디버깅이 까다로움.</t>
  </si>
  <si>
    <t>동적 바인딩(Dynamic Binding) 및 네트워크 타이밍 의존성으로 인해 정적 테스트 환경에서 통신 결함을 일관되게 재현하기 까다로움.</t>
  </si>
  <si>
    <t>서비스가 분리되어 일부 장애 격리는 가능하지만, service intermediary나 공통 서비스 의존이 장애 지점이 될 수 있다.</t>
  </si>
  <si>
    <t>서비스가 독립 실행 단위라 일부 서비스 장애가 전체로 전파되는 범위를 줄일 수 있다.</t>
  </si>
  <si>
    <t>서비스 단위로 배포·교체할 수 있어 전체 시스템을 한 번에 배포하지 않아도 된다.</t>
  </si>
  <si>
    <t>작은 독립 서비스 단위로 개별 배포와 scale-out이 가능해 배포 용이성이 매우 높다.</t>
  </si>
  <si>
    <t>표준화된 서비스 계약과 Service Registry/Intermediary를 통해 기술, 플랫폼, 언어가 다른 이기종 시스템과 서비스를 통합하기 쉽다.</t>
  </si>
  <si>
    <t>각 서비스가 API를 통해 기능을 제공하므로 서비스 단위 통합은 쉽다. 다만 서비스 수가 많아질수록 API 의존성과 연동 관리가 복잡해진다.</t>
  </si>
  <si>
    <t>서비스 호출, 메시지 변환, Intermediary를 통한 라우팅 등 분산 처리 overhead가 발생해 CPU, 네트워크 자원 사용량이 늘 수 있다.</t>
  </si>
  <si>
    <t>많은 소규모 서비스가 각각 독립 런타임이나 컨테이너에서 동작하고, 서비스 간 네트워크 호출도 많아져 자원 소비가 크게 증가할 수 있다.</t>
  </si>
  <si>
    <t>Stateless 서비스 특성과 공개 인터페이스 준수를 통해 서비스 내부 구현 변경이 클라이언트 애플리케이션에 영향을 주지 않아 기능 진화(Evolution)가 쉬움</t>
  </si>
  <si>
    <t>서비스별 독립적인 데이터 저장소(Data Store)와 코드베이스를 유지하여 의존성이 최소화되고, 개별 서비스 수정·교체가 매우 쉽다</t>
  </si>
  <si>
    <t>Middleware로 인해 서비스 간 네트워크 호출이 많아져 성능 overhead 발생</t>
  </si>
  <si>
    <t>서비스 간 네트워크 호출이 많아지면 latency와 serialization overhead가 발생한다.</t>
  </si>
  <si>
    <t>표준화된 Service Contract와 독립 서비스 구조는 오류 격리에 일부 도움을 줄 수 있지만, 위험 상태를 감지·회피하거나 안전 상태로 전환하는 Safety mechanism을 직접 제공하지는 않는다.</t>
  </si>
  <si>
    <t>서비스 단위 Fault isolation은 오류 확산을 줄일 수 있지만, 분산 데이터의 consistency 문제와 부분 장애가 존재하며 Safety를 위한 별도 감지·회피·복구 설계가 필요하다.</t>
  </si>
  <si>
    <t>Intermediary를 통해 인증·인가·감사 정책을 중앙 적용할 수 있지만, 여러 독립 Service와 네트워크 인터페이스 때문에 공격 표면과 보안 관리 복잡도도 증가하므로 전체 Security 효과는 중립적이다.</t>
  </si>
  <si>
    <t>많은 Service/API 경계와 Service-to-Service 통신으로 인증·인가·Secret 관리·통신 보호가 분산되어 공격 표면과 보안 운영 복잡도가 증가한다.</t>
  </si>
  <si>
    <t>여러 계층으로 나눠져있어 통합 테스트 구성이 복잡함</t>
  </si>
  <si>
    <t>서비스 수가 많고 비동기·분산 호출이 많아 E2E 테스트와 장애 재현이 어렵다.</t>
  </si>
  <si>
    <t>무중단 배포와 부분 장애 격리로 시스템 다운타임이 최소화되며, 비즈니스 기능별 독립 스케일 아웃이 가능해 사용자에게 쾌적한 인터랙션을 보장함.</t>
  </si>
  <si>
    <t>Edge 노드가 사용자 가까이에서 일부 처리를 담당하므로 Cloud 장애나 네트워크 지연 시에도 제한적인 서비스 지속이 가능하다. 다만 개별 Edge 노드 장애 관리는 필요하다.</t>
  </si>
  <si>
    <t>여러 지역의 Edge 노드에 기능을 배포·갱신해야 하므로 중앙 Cloud보다 버전 관리와 운영 배포가 복잡하다.</t>
  </si>
  <si>
    <t>Cloud, Edge, Device를 연결해 통합할 수 있지만, 현장 장치와 원격 Cloud 간 프로토콜·환경 차이를 맞춰야 하므로 장단점이 상쇄된다.</t>
  </si>
  <si>
    <t>데이터를 Edge에서 전처리해 Cloud로 보내는 데이터량과 원거리 통신을 줄일 수 있어 전체 자원 사용을 낮출 수 있다.</t>
  </si>
  <si>
    <t>Edge 모듈 자체는 변경 가능하나, 하드웨어 리소스와 분산 환경으로 인해 디자인 타임의 아키텍처적 재설계나 대규모 수정을 적용하기 어려움</t>
  </si>
  <si>
    <t>Client 가까운 Edge 노드에서 데이터를 처리하므로 Cloud 왕복 지연을 줄이고 실시간 응답성을 크게 높일 수 있다.</t>
  </si>
  <si>
    <t>현장 가까이에서 데이터를 감지·처리해 위험 상황에 더 빠르게 반응할 수 있으므로 safety에 유리하다. 단, 안전 모드 자체는 별도 설계가 필요하다.</t>
  </si>
  <si>
    <t>Edge 노드가 여러 현장에 분산되고 물리적으로 노출될 수 있어 공격 표면과 관리 지점이 증가한다.</t>
  </si>
  <si>
    <t>Cloud, Edge, Device가 함께 동작하고 현장 환경 차이가 있어 테스트 환경 재현과 통합 테스트가 어렵다.</t>
  </si>
  <si>
    <t>사용자 가까이에서 처리해 응답 지연을 줄일 수 있으므로 실시간성이 중요한 기능의 사용자 경험에 유리하다.</t>
  </si>
  <si>
    <t>한 단계에서 장애가 발생하면 뒤 단계가 모두 진행되지 못한다. 전체 처리 흐름이 직렬로 연결되어 있어 특정 단계의 실패가 전체 서비스 중단으로 이어지기 쉽다.</t>
  </si>
  <si>
    <t>Filter들이 독립적이라 일부를 교체·복구하기는 쉽지만, 파이프라인 중 하나의 Filter가 멈추면 전체 흐름이 막힐 수 있다. 장단점이 모두 존재한다.</t>
  </si>
  <si>
    <t>시스템 상태를 지속적으로 감시하고 피드백을 통해 이상 상태를 보정할 수 있다. 다만 센서나 Controller 같은 핵심 요소가 고장 나면 전체 제어에 영향을 줄 수 있다.</t>
  </si>
  <si>
    <t>각 처리 단계를 별도의 프로그램/모듈로 구성할 수 있어 단계별 배포가 비교적 쉽다. 다만 단계 간 데이터 형식이 바뀌면 연쇄적인 수정이 필요할 수 있다.</t>
  </si>
  <si>
    <t>Filter가 독립된 처리 단위이므로 개별 Filter를 수정·배포하기 비교적 쉽다. 단, Pipe의 데이터 형식 호환성은 유지해야 한다.</t>
  </si>
  <si>
    <t>센서·Controller·Actuator 등 실제 장비와 밀접하게 연결되어 있어 단순 소프트웨어처럼 독립적으로 배포하기 어렵다. 배포 후 보정이나 Calibration도 필요할 수 있다.</t>
  </si>
  <si>
    <t>단계 사이의 입력/출력이 파일이나 명확한 데이터 형식으로 정의되므로 다른 시스템이나 모듈을 연결하기 비교적 쉽다.</t>
  </si>
  <si>
    <t>Filter 간 연결이 명확한 입출력 인터페이스로 이루어져 새로운 Filter를 추가하거나 기존 Filter를 다른 컴포넌트로 교체하기 쉽다.</t>
  </si>
  <si>
    <t>센서, 액추에이터, 제어 장치마다 통신 방식이나 데이터 형식이 다를 수 있어 외부 시스템을 추가하거나 교체하기 어렵다.</t>
  </si>
  <si>
    <t>실시간으로 계속 동작할 필요 없이 필요한 시점에 배치 단위로 실행할 수 있어 유휴 시간의 자원 사용을 줄일 수 있다.</t>
  </si>
  <si>
    <t>스트리밍과 병렬 처리로 자원을 효율적으로 사용할 수 있지만, 여러 Filter의 동시 실행과 Pipe/Buffer 관리에 추가 자원이 필요하다.</t>
  </si>
  <si>
    <t>현재 상태를 계속 측정하면서 필요한 만큼만 제어할 수 있기 때문에 에너지나 자원을 효율적으로 사용할 수 있다. 예를 들어 목표 온도에 도달하면 히터 출력을 줄일 수 있다.</t>
  </si>
  <si>
    <t>각 처리 단계가 비교적 독립되어 있어 특정 단계의 알고리즘을 수정하거나 교체하기 쉽다. 단, 입출력 형식 변경 시 주변 단계에도 영향이 갈 수 있다.</t>
  </si>
  <si>
    <t>각 Filter가 특정 기능만 담당하고 서로 직접 의존하지 않으므로 Filter 추가·삭제·교체가 쉽다. Pipe and Filter의 대표적인 장점이다.</t>
  </si>
  <si>
    <t>Controller의 제어 알고리즘이나 센서 특성을 변경하면 전체 제어 안정성에 영향을 줄 수 있다. 하나를 수정하면 제어 파라미터를 다시 조정해야 할 가능성이 크다.</t>
  </si>
  <si>
    <t>앞 단계가 완전히 끝나야 다음 단계가 시작되므로 병렬 처리가 어렵고 전체 처리 지연시간이 길어진다. 특히 대용량 데이터에서는 단점이 커진다.</t>
  </si>
  <si>
    <t>여러 Filter가 동시에 서로 다른 데이터를 처리하는 Pipeline Parallelism이 가능하여 처리량이 높아질 수 있다. 다만 Filter 간 데이터 전달 비용이 발생한다.</t>
  </si>
  <si>
    <t>각 제어 주기 안에서 예측 가능한 유계 응답 시간을 목표로 설계된다. 다만 높은 처리량을 노리는 스타일은 아니다.</t>
  </si>
  <si>
    <t>처리 과정이 순차적이고 결정적이어서 처리 순서와 결과를 추적하기 쉽지만, 오류가 긴 실행이 끝난 뒤에야 발견되어 대응이 늦어진다.</t>
  </si>
  <si>
    <t>각 처리 단계가 분리되어 있어 데이터 검증이나 오류 탐지 Filter를 독립적으로 둘 수 있고, 문제가 발생한 단계를 추적하기 쉽다.</t>
  </si>
  <si>
    <t>위험 상태를 지속적으로 감지하고 자동으로 보정하거나 안전한 상태로 제어할 수 있다. 과열, 압력 초과 등의 상황에 즉각 대응할 수 있어 Safety에 매우 유리하다.</t>
  </si>
  <si>
    <t>단계별 접근통제를 적용하기 쉽다.</t>
  </si>
  <si>
    <t>인증·검증·필터링 단계를 별도로 추가할 수 있다는 장점이 있지만, Filter와 Pipe가 많아질수록 데이터 전달 구간과 공격 지점도 늘어날 수 있다.</t>
  </si>
  <si>
    <t>센서값이나 제어 명령이 공격자에게 조작되면 실제 장비의 동작까지 영향을 받을 수 있다. 센서·네트워크·액추에이터 등 보호해야 할 지점도 많다.</t>
  </si>
  <si>
    <t>각 단계에 정해진 입력을 넣고 출력을 확인할 수 있어 단위 테스트와 단계별 검증이 매우 쉽다. 중간 결과도 확인할 수 있어 오류 위치 추적도 쉽다.</t>
  </si>
  <si>
    <t>각 Filter에 독립적으로 입력을 넣고 출력을 확인할 수 있어 단위 테스트가 매우 쉽다. Pipe별 중간 데이터도 확인할 수 있다.</t>
  </si>
  <si>
    <t>센서값, 시간, 환경 변화, Actuator의 실제 반응까지 함께 테스트해야 해서 단순한 입력-출력 테스트가 어렵다. 실제 장비나 시뮬레이터가 필요한 경우도 많다.</t>
  </si>
  <si>
    <t>사용자 요청에 즉시 응답하는 구조가 아니라 전체 배치 처리를 기다려야 하므로 실시간·대화형 시스템에 매우 부적합하다.</t>
  </si>
  <si>
    <t>스트림 처리 지향이라 처리 도중 상호작용이나 사용자 피드백이 거의 불가능하다.</t>
  </si>
  <si>
    <t>Process Control은 내부 제어 방식에 관한 구조라 사용자 인터페이스와 직접적인 관계는 크지 않다. 자동 제어로 편리해질 수 있지만 구조 자체가 Usability를 크게 결정하지는 않는다.</t>
  </si>
  <si>
    <t>중앙 Repository에 장애가 발생하면 이를 사용하는 여러 컴포넌트가 동시에 영향을 받는다. 저장소가 Single Point of Failure가 되기 쉽다.</t>
  </si>
  <si>
    <t>중앙 Blackboard가 핵심 공유 지점이므로 Blackboard에 장애가 발생하면 여러 Knowledge Source가 동시에 영향을 받는다. 중앙 저장소 의존성이 크다.</t>
  </si>
  <si>
    <t>각 컴포넌트는 독립적으로 배포할 수 있지만, DB Schema나 Repository 구조가 변경되면 여러 컴포넌트를 함께 수정·배포해야 할 수 있다.</t>
  </si>
  <si>
    <t>Knowledge Source는 비교적 독립적으로 추가·배포할 수 있지만, Blackboard의 데이터 표현 방식이나 제어 로직과의 호환성을 맞춰야 한다.</t>
  </si>
  <si>
    <t>여러 컴포넌트가 동일한 저장소를 통해 데이터를 공유하므로 시스템 간 데이터 통합이 매우 쉽다. 공통 데이터 모델만 맞으면 새로운 컴포넌트도 데이터를 쉽게 활용할 수 있다.</t>
  </si>
  <si>
    <t>새 지식원은 블랙보드 상태에 반응하는 방식으로 통합되며, 다른 지식원에 대한 직접 의존이나 지식이 필요 없다.</t>
  </si>
  <si>
    <t>데이터를 한곳에 집중시켜 중복 저장을 줄일 수 있지만, 모든 컴포넌트의 읽기·쓰기가 중앙 저장소에 집중되므로 DB 처리 비용도 커질 수 있다.</t>
  </si>
  <si>
    <t>기회주의적 활성화 방식이라 많은 지식원이 블랙보드를 계속 살피며 중복 연산을 수행하고, 그 결과 상당수가 버려진다.</t>
  </si>
  <si>
    <t>컴포넌트끼리 분리되어 각자 독립적으로 바뀔 수 있지만, Repository의 데이터 구조나 Schema를 변경하면 이를 사용하는 여러 컴포넌트에 연쇄적인 변경이 발생할 수 있다.</t>
  </si>
  <si>
    <t>지식원들이 완전히 분리되어 있어 다른 지식원을 고치지 않고 추가·제거·교체할 수 있다.</t>
  </si>
  <si>
    <t>모든 컴포넌트가 중앙 저장소에 접근하기 때문에 요청이 많아지면 Repository가 병목이 될 수 있다. 네트워크·DB I/O 비용도 발생한다.</t>
  </si>
  <si>
    <t>Blackboard에 대한 반복적인 읽기/쓰기와 여러 Knowledge Source의 추론 과정 때문에 오버헤드가 발생한다. 어떤 모듈을 실행할지 결정하는 Control 비용도 있다.</t>
  </si>
  <si>
    <t>중요한 데이터를 중앙에서 일관되게 관리하고 무결성 제약, 트랜잭션 등을 적용하기 쉬워 데이터 오류를 줄이는 데 유리하다.</t>
  </si>
  <si>
    <t>중간 결과를 중앙에서 확인하고 검증할 수 있다는 장점은 있지만, 잘못된 Knowledge Source가 잘못된 정보를 Blackboard에 기록하면 다른 모듈에도 영향을 줄 수 있다.</t>
  </si>
  <si>
    <t>접근 권한, 인증, 감사 로그 등을 중앙 Repository에서 일관되게 적용할 수 있다. 다만 Repository가 침해되면 영향 범위가 매우 크다는 단점도 있다.</t>
  </si>
  <si>
    <t>여러 Knowledge Source가 하나의 Blackboard에 접근하므로 접근 지점과 권한 관리가 복잡하다. Blackboard가 침해되면 공유되는 지식 전체에 영향을 줄 수 있다.</t>
  </si>
  <si>
    <t>공통 데이터 상태를 기준으로 테스트하기는 쉽지만, 여러 컴포넌트가 같은 Repository를 사용하면 테스트 간 데이터 간섭이 생길 수 있고 DB 환경을 별도로 구성해야 할 수 있다.</t>
  </si>
  <si>
    <t>결과가 활성화 순서와 누적된 부분해에 의존하므로 테스트에서 동작을 결정적으로 재현하기 매우 어렵다.</t>
  </si>
  <si>
    <t>Shared Repository는 내부 데이터 관리 구조이므로 사용자의 UI나 사용 편의성에 직접적인 영향은 크지 않다.</t>
  </si>
  <si>
    <t>Blackboard는 내부 문제 해결 구조이므로 사용자 인터페이스나 사용 편의성에 직접적인 영향은 크지 않다.</t>
  </si>
  <si>
    <t>받는 기능이 멈춰 있으면 이벤트를 놓칠 수 있고, 복구 후 다시 전달하기 어렵다.</t>
  </si>
  <si>
    <t>큐가 송수신자를 시간적으로 분리해 소비자가 죽어도 메시지가 유실되지 않고 복구 후 처리가 이어진다. 대신 브로커 자체가 이중화가 필요한 핵심 요소가 된다.</t>
  </si>
  <si>
    <t>기능을 분리하기는 좋지만, 각각 따로 배포할 수 있는지는 구현에 따라 다르다.</t>
  </si>
  <si>
    <t>버퍼가 다운타임을 흡수하므로 생산자와 소비자를 독립적으로 배포·재시작·롤백할 수 있다.</t>
  </si>
  <si>
    <t>같은 이벤트 규칙을 따르면 새로운 기능을 연결하기 쉽다.</t>
  </si>
  <si>
    <t>새 소비자가 생산자 변경 없이 기존 큐나 토픽에 붙을 수 있고, 이기종 시스템도 메시지 계약으로 통합된다.</t>
  </si>
  <si>
    <t>이벤트를 저장하는 비용은 없지만, 실제 전력 소모는 실행되는 작업량에 따라 달라진다.</t>
  </si>
  <si>
    <t>배치 처리와 부하 평준화로 자원 사용이 고르게 되어 과잉 프로비저닝을 피하지만, 메시지 영속화와 복제에 추가 저장·I/O 비용이 든다.</t>
  </si>
  <si>
    <t>이벤트 규칙을 유지하면, 보내는 쪽을 크게 수정하지 않고 받는 기능을 추가하거나 바꾸기 쉽다.</t>
  </si>
  <si>
    <t>메시지 스키마만이 결합점이라 생산자와 소비자 내부는 자유롭게 바꿀 수 있다.</t>
  </si>
  <si>
    <t>메모리 내 직접 디스패치라 큐잉 오버헤드 없이 지연이 매우 낮다. 반면 동기 전달이라 느린 구독자가 발행자를 막을 위험이 있다.</t>
  </si>
  <si>
    <t>트래픽이 몰릴 때 요청을 큐에 저장해 서버 과부하를 막을 수 있지만, 대기 시간이 생기므로 처리 자체가 빨라지는 것은 아니다.</t>
  </si>
  <si>
    <t>중요한 위험 알림을 놓치거나 늦게 처리하면 안전 문제가 생길 수 있다.</t>
  </si>
  <si>
    <t>영속화와 확인응답으로 재시도와 최소 1회 전달이 가능해 중요한 작업이 조용히 사라지지 않는다. 다만 중복 전달은 소비자가 처리해야 한다.</t>
  </si>
  <si>
    <t>이 방식 자체가 보안을 높여주지는 않는다. 인증과 접근 권한은 따로 설계해야 한다.</t>
  </si>
  <si>
    <t>중앙 브로커에서 인증·인가를 일괄 적용할 수 있지만, 큐에 쌓인 메시지 자체에 대한 보호가 따로 필요하다.</t>
  </si>
  <si>
    <t>개별 기능은 시험하기 쉽지만, 여러 이벤트가 이어지는 전체 흐름은 확인하기 어렵다.</t>
  </si>
  <si>
    <t>비동기성과 타이밍 때문에 종단 간 테스트가 비결정적이다. 다만 양쪽 모두 가짜 큐를 두고 개별 테스트는 가능하다.</t>
  </si>
  <si>
    <t>사용자 입력에 맞춰 화면이나 기능이 반응하도록 만들기 좋다. 단, 처리가 오래 걸리면 장점이 줄어든다.</t>
  </si>
  <si>
    <t>사용자는 즉시가 아닌 최종적 결과를 보게 되므로 UI가 처리 중 상태를 알려줘야 한다.</t>
  </si>
  <si>
    <t>이중화 없는 단일 프로세스다. 서브루틴 하나가 실패하면 프로그램 전체가 죽고 부분 동작도 불가능하다.</t>
  </si>
  <si>
    <t>작업을 나누어 일부 작업자의 장애 영향을 줄일 수 있지만 Master 장애는 남는다.</t>
  </si>
  <si>
    <t>함수들이 같은 실행 프로그램에 묶여 있어 일부만 따로 배포하기 어렵다.</t>
  </si>
  <si>
    <t>작업자를 분리해 교체하기 좋지만 Master와 주고받는 규칙은 유지해야 한다.</t>
  </si>
  <si>
    <t>함수별 연결은 쉽지만 호출 규칙과 공통 데이터에 대한 의존성이 있다.</t>
  </si>
  <si>
    <t>같은 규칙의 작업자는 추가하기 쉽지만 다른 방식의 시스템을 연결하려면 조정이 필요하다.</t>
  </si>
  <si>
    <t>직접 호출하고 정보를 함께 사용하므로 통신과 데이터 복사 비용이 적다.</t>
  </si>
  <si>
    <t>여러 작업자를 동시에 실행하고 결과를 모으는 데 추가 자원이 든다.</t>
  </si>
  <si>
    <t>기능은 나뉘어 있지만 호출 관계와 공통 데이터 변경이 다른 함수에도 영향을 준다.</t>
  </si>
  <si>
    <t>작업자는 따로 수정하기 쉽지만 Master의 작업 배분 방식과는 맞춰야 한다.</t>
  </si>
  <si>
    <t>직접 호출은 빠르지만 순차 실행 때문에 앞 작업이 끝날 때까지 기다려야 한다.</t>
  </si>
  <si>
    <t>슬레이브에 작업을 병렬 분산해 처리량과 읽기 확장성이 올라간다. 반면 마스터가 쓰기·조정 병목이 되고, 복제 지연으로 슬레이브 데이터가 낡는다.</t>
  </si>
  <si>
    <t>부분 간 격리가 전혀 없어 서브루틴 하나의 결함이 프로세스 전체를 오염시키고 그대로 중단시킨다. 결함 격리나 복구 수단이 없다.</t>
  </si>
  <si>
    <t>작업을 나누어 오류 영향을 줄일 수 있지만 동시 실행과 결과 결합 오류는 점검해야 한다.</t>
  </si>
  <si>
    <t>순서대로 접근을 점검하기 쉽지만 공통 정보가 노출되면 피해가 커질 수 있다.</t>
  </si>
  <si>
    <t>역할별 권한을 나누기 좋지만 여러 작업자와 통신 경로를 함께 보호해야 한다.</t>
  </si>
  <si>
    <t>입력과 실행 순서를 재현하기 쉽지만 연결된 함수를 따로 시험하기는 불편하다.</t>
  </si>
  <si>
    <t>여러 작업자의 실행 순서와 분산된 결과를 똑같이 재현하기 어렵다.</t>
  </si>
  <si>
    <t>공통 정보를 일관되게 보여줄 수 있지만 긴 작업이 사용자 응답을 늦출 수 있다.</t>
  </si>
  <si>
    <t>병렬 처리로 대기를 줄일 수 있지만 작업자별 상태를 사용자에게 일관되게 보여줘야 한다.</t>
  </si>
  <si>
    <t>하위 계층의 장애가 위로 전파되어 그 위에 쌓인 모든 것을 무력화한다. 상위 계층이 하위를 우회할 수 없기 때문이다.</t>
  </si>
  <si>
    <t>계층을 나누어도 각각 따로 배포할 수 있는지는 구현에 따라 달라진다.</t>
  </si>
  <si>
    <t>계층 사이의 연결 규칙이 명확하면 새로운 기능을 연결하기 쉽다.</t>
  </si>
  <si>
    <t>계층 수와 호출 방식에 따라 추가 처리 비용이 달라진다.</t>
  </si>
  <si>
    <t>인터페이스만 안정적이면 다른 계층에 영향을 주지 않고 한 계층을 재구현하거나 교체할 수 있다.</t>
  </si>
  <si>
    <t>계층 통과와 계층별 표현 간 반복 변환이 모든 연산에 지연을 더한다.</t>
  </si>
  <si>
    <t>계층 구분만으로 오류 전파나 위험한 동작을 막는다고 보기는 어렵다.</t>
  </si>
  <si>
    <t>계층이 자연스러운 다층 방어 경계가 되어 검증·인증·접근 제어를 단계적으로 강제할 수 있다.</t>
  </si>
  <si>
    <t>계층 사이의 연결 규칙이 명확하면 각 계층을 따로 시험하기 쉽다(단위 테스트). 다만 통합 테스트의 경우 어려움이 존재한다.</t>
  </si>
  <si>
    <t>계층 구조 자체가 화면의 편리함이나 사용자 응답을 직접 결정하지는 않는다.</t>
  </si>
  <si>
    <t>역할별 장애를 나누기 좋지만 공통 데이터 계층이 멈추면 여러 기능이 영향을 받는다.</t>
  </si>
  <si>
    <t>Client의 장애는 분리하기 좋지만 공통 Server가 멈추면 여러 사용자가 영향을 받는다.</t>
  </si>
  <si>
    <t>티어별로 별도 인프라에서 독립적으로 배포·확장·업그레이드할 수 있다.</t>
  </si>
  <si>
    <t>서버 측 변경은 한 번 배포하면 모든 클라이언트에 즉시 반영된다. 별도 배포가 필요한 것은 진짜 클라이언트 측 변경뿐이다.</t>
  </si>
  <si>
    <t>Tier 사이의 연결 규칙이 정해져 있어 새로운 기능을 연결하기 좋다.</t>
  </si>
  <si>
    <t>공개된 서버 API가 잘 문서화된 자연스러운 통합 지점이 되어 다양한 종류의 클라이언트가 붙을 수 있다.</t>
  </si>
  <si>
    <t>여러 Tier를 운영하고 서로 통신하는 데 추가 자원이 든다.</t>
  </si>
  <si>
    <t>무거운 연산을 효율적인 공용 서버에 집중시키고 씬 클라이언트는 전력을 거의 쓰지 않는다. 다만 상시 네트워크 통신 자체가 에너지를 소모한다.</t>
  </si>
  <si>
    <t>화면·업무·데이터 역할을 나누어 특정 역할의 기능을 따로 수정하기 좋다.</t>
  </si>
  <si>
    <t>화면과 서버 처리를 나누어 한쪽 기능을 비교적 독립적으로 수정하기 좋다.</t>
  </si>
  <si>
    <t>Tier별 동시 처리로 처리량을 높일 수 있지만 통신 지연과 데이터 병목이 생길 수 있다.</t>
  </si>
  <si>
    <t>여러 요청을 동시에 처리할 수 있지만 통신 지연과 Server 병목이 생길 수 있다.</t>
  </si>
  <si>
    <t>티어 격리가 결함 전파를 제한해 한 티어의 장애가 다른 티어를 직접 손상시키지 않는다.</t>
  </si>
  <si>
    <t>역할별 검증은 쉽지만 잘못된 서버 데이터가 여러 Client에 영향을 줄 수 있다.</t>
  </si>
  <si>
    <t>티어 경계에 방화벽과 DMZ를 두고 데이터 티어로 갈수록 권한을 점진적으로 줄일 수 있다.</t>
  </si>
  <si>
    <t>Server에서 권한을 관리하기 쉽지만 정보 집중과 통신 경로의 위험도 있다.</t>
  </si>
  <si>
    <t>Tier별 시험은 쉽지만 여러 Tier가 동시에 연결된 동작을 재현하기는 어렵다.</t>
  </si>
  <si>
    <t>양쪽을 따로 시험하기 쉽지만 통신 장애와 동시 요청까지 재현해야 한다.</t>
  </si>
  <si>
    <t>사용자에게 직접적인 영향은 없으나, 누적된 티어 간 지연이 체감 응답성을 좌우한다.</t>
  </si>
  <si>
    <t>공통 Server의 정보를 여러 Client에서 일관되게 보여주기 좋다.</t>
  </si>
  <si>
    <t>요청자와 처리자를 분리해 교체하기 좋지만 Broker 자체의 장애는 대비해야 한다.</t>
  </si>
  <si>
    <t>여러 처리기로 작업을 나눌 수 있지만 Dispatcher 장애가 전체 요청에 영향을 줄 수 있다.</t>
  </si>
  <si>
    <t>서버가 런타임에 브로커에 등록되므로 클라이언트 설정을 바꾸지 않고 인스턴스를 추가·이동·교체할 수 있다.</t>
  </si>
  <si>
    <t>처리기 역할은 나뉘지만 강한 연결 때문에 Dispatcher와 함께 배포해야 할 수 있다.</t>
  </si>
  <si>
    <t>Broker가 연결을 중개하므로 서로 다른 구성요소를 추가·연결하기 매우 좋다.</t>
  </si>
  <si>
    <t>새 처리기를 연결할 때 Dispatcher의 배분 규칙과 직접 연결을 함께 맞춰야 한다.</t>
  </si>
  <si>
    <t>역할을 나누어 운영하는 비용에 중개와 데이터 변환 비용까지 더해진다.</t>
  </si>
  <si>
    <t>직접 연결 비용은 적지만 여러 처리기를 동시에 운영하는 비용이 있다.</t>
  </si>
  <si>
    <t>상대의 내부 구현을 직접 알 필요가 없어 각 기능을 따로 수정하기 좋다.</t>
  </si>
  <si>
    <t>처리기나 배분 방식을 바꾸면 강하게 연결된 Dispatcher도 수정해야 할 수 있다.</t>
  </si>
  <si>
    <t>브로커를 거치는 간접 호출이 매번 지연을 더하고, 브로커가 처리량 병목이 된다.</t>
  </si>
  <si>
    <t>요청을 여러 처리기로 나누고 직접 전달하므로 처리량을 높이기 좋다.</t>
  </si>
  <si>
    <t>기능 분리는 오류 격리에 유리하지만 중개 오류와 동시 처리 순서는 점검해야 한다.</t>
  </si>
  <si>
    <t>동시 처리 오류와 강한 연결로 인한 오류 전파가 위험한 동작으로 이어질 수 있다.</t>
  </si>
  <si>
    <t>중개 지점에서 접근 규칙을 관리하기 좋지만 실제 인증과 권한 설정은 필요하다.</t>
  </si>
  <si>
    <t>여러 처리 경로를 보호해야 하며 강한 연결로 침해 영향이 번질 수 있다.</t>
  </si>
  <si>
    <t>Broker를 거치는 여러 기능의 동시 실행을 따라가며 재현하기 어렵다.</t>
  </si>
  <si>
    <t>여러 처리기의 실행 순서를 재현하기 어렵고 직접 연결된 기능을 따로 시험하기도 불편하다.</t>
  </si>
  <si>
    <t>여러 처리를 동시에 진행해 응답성을 높이기 좋지만 중개 지연은 관리해야 한다.</t>
  </si>
  <si>
    <t>여러 요청을 나누어 처리하므로 한 작업 때문에 다른 사용자가 기다리는 일을 줄이기 좋다.</t>
  </si>
  <si>
    <t>서비스별 역할을 나누고 의존성을 줄여 한 서비스의 장애가 다른 서비스로 번지는 것을 줄이기 좋다.</t>
  </si>
  <si>
    <t>역할과 정보를 나누고 약하게 연결해 일부 서비스의 장애 영향을 제한하기 매우 좋다.</t>
  </si>
  <si>
    <t>서비스 간 연결 규칙을 유지하면 개별 서비스를 따로 교체하거나 배포하기 좋다.</t>
  </si>
  <si>
    <t>서비스별 책임과 데이터가 나뉘어 필요한 서비스만 따로 배포하기 매우 좋다.</t>
  </si>
  <si>
    <t>공통 서비스 규칙을 통해 서로 다른 시스템의 기능을 연결하기 쉽다.</t>
  </si>
  <si>
    <t>서비스 계약으로 새 기능을 연결하기 좋지만 분산된 데이터의 형식과 의미를 맞춰야 한다.</t>
  </si>
  <si>
    <t>여러 서비스를 따로 실행하고 서로 통신하는 데 추가 자원이 든다.</t>
  </si>
  <si>
    <t>많은 서비스를 따로 운영하고 분산된 데이터를 주고받아 자원 소모가 커진다.</t>
  </si>
  <si>
    <t>서비스 간 연결 규칙을 유지하면 다른 서비스를 크게 바꾸지 않고 내부 기능을 수정하기 쉽다.</t>
  </si>
  <si>
    <t>서비스별 책임과 데이터가 분리되어 한 서비스의 기능을 독립적으로 바꾸기 매우 쉽다.</t>
  </si>
  <si>
    <t>서비스를 원격으로 호출하고 데이터를 변환하는 과정에서 지연이 늘어날 수 있다.</t>
  </si>
  <si>
    <t>동시 처리는 가능하지만 여러 서비스 호출과 데이터 조정으로 개별 요청의 지연이 늘 수 있다.</t>
  </si>
  <si>
    <t>서비스 분리로 오류 영향을 줄이기 좋지만 여러 서비스의 처리 순서는 따로 검증해야 한다.</t>
  </si>
  <si>
    <t>작은 서비스별로 중요한 동작을 검증하고 오류 영향을 제한하기 좋다.</t>
  </si>
  <si>
    <t>서비스별 접근 권한을 나누기 좋지만 보호해야 할 통신 지점도 늘어난다.</t>
  </si>
  <si>
    <t>서비스별 세분화된 인가가 가능하지만, 네트워크 엔드포인트가 많아져 공격 표면이 크게 넓어진다.</t>
  </si>
  <si>
    <t>여러 서비스에 걸친 처리 순서와 통신 상태를 같은 조건으로 재현하기 어렵다.</t>
  </si>
  <si>
    <t>여러 서비스의 실행 순서와 분산된 데이터 상태를 함께 재현하기 매우 어렵다.</t>
  </si>
  <si>
    <t>서비스 연결 방식 자체가 화면의 편리함에 미치는 직접적인 영향은 적다.</t>
  </si>
  <si>
    <t>각 기능은 독립적으로 반응하기 좋지만 화면에 보이는 데이터 상태가 서로 다를 수 있다.</t>
  </si>
  <si>
    <t>정보와 처리를 현장에 나누면 일부 연결 장애 중에도 현장 기능을 유지하기 좋다.</t>
  </si>
  <si>
    <t>이기종이고 간헐적으로만 연결되는 대규모 기기 집합을 갱신하는 일은 느리고 위험하며 롤백도 어렵다.</t>
  </si>
  <si>
    <t>현장마다 데이터와 장치 환경이 달라 전체 시스템과 연결할 때 조정이 필요하다.</t>
  </si>
  <si>
    <t>분산된 장치를 계속 운영하고 데이터를 맞추는 비용이 있어 에너지 효율에 불리할 수 있다.</t>
  </si>
  <si>
    <t>로직이 다수 기기에 분산되어 있어 모든 변경을 전체 기기 집합에 배포하고 검증해야 한다.</t>
  </si>
  <si>
    <t>데이터 발생 지점 옆에서 처리해 네트워크 왕복이 사라지고 지연이 매우 낮다. 다만 개별 엣지 노드의 연산 능력은 제한적이다.</t>
  </si>
  <si>
    <t>연결이 끊겨도 로컬 제어가 계속되므로 실시간·안전 필수 기능에 필수적인 특성이다.</t>
  </si>
  <si>
    <t>여러 현장 장치와 통신 경로를 각각 보호해야 하므로 관리할 지점이 많다.</t>
  </si>
  <si>
    <t>여러 현장의 장치 상태와 통신 상황을 같은 조건으로 재현하기 매우 어렵다.</t>
  </si>
  <si>
    <t>낮은 지연과 오프라인에서도 이어지는 동작 덕분에 사용자가 시스템을 빠르고 믿음직하게 느낀다.</t>
  </si>
  <si>
    <t>한 단계가 실패하면 중간부터 재시작 가능하다고 하더라도 뒤 단계가 모두 대기하거나 재시작 해야 하는 것이 치명적</t>
  </si>
  <si>
    <t>Filter별 독립적 행동이 보장되므로 문제가 발생하더라도 전체 system에 영향성 적으나 Pipe에 고장이 나면 뒤에 연결된 Filter도 사용할 수 없게 되므로 좋진 않음</t>
  </si>
  <si>
    <t>피드백 루프가 상태 변화를 감지해 보정할 수 있어 일부 환경 변화나 구성요소 편차에 대응하기 쉽다.</t>
  </si>
  <si>
    <t>구조가 단순한 것이 가장 큰 이점, 배포 시 개발자들에게 porting 등의 O/H가 적을 것으로 예상.</t>
  </si>
  <si>
    <t>필터는 서로 독립적인 개체이므로 개별 구성요소 별로 배포하기 쉬운 편이다.</t>
  </si>
  <si>
    <t>개별 구성요소를 독립 배포하기 어렵다.</t>
  </si>
  <si>
    <t>별도의 개발 자체는 쉽지만, 각 컴포넌트간 Input / Output 일관성이 필요하여 상쇄</t>
  </si>
  <si>
    <t>표준화된 connector를 사용해서, 새로운 필터를 연결하기 매우 쉽다.</t>
  </si>
  <si>
    <t>componenet에 따라 인터페이스가 달라 통합이 어렵다.</t>
  </si>
  <si>
    <t>1. 에너지, 혹은 처리량 총량의 차이가 있지, 총량 / Energy 값인 효율적 측면은 영향이 없다</t>
  </si>
  <si>
    <t>데이터 처리 자체는 에너지 효율과 직접적인 연관성이 적다.</t>
  </si>
  <si>
    <t>필요한 시점에만 동작하므로 자원을 효율적으로 쓸 수 있다.</t>
  </si>
  <si>
    <t>각 단계가 독립적으로, processing step간 대체가 용이하고 reusing이 가능한 것이 장점</t>
  </si>
  <si>
    <t>필터는 서로 독립적인 개체이므로 개별 구성요소 별로 추가,삭체, 교체하기 쉬운 편이다.</t>
  </si>
  <si>
    <t>Component가 변경 되면 시스템 전체에 영향을 주게 된다.</t>
  </si>
  <si>
    <t>병렬 구조가 불가능함에 따라 성능이 좋지 못함.</t>
  </si>
  <si>
    <t>Filter의 수가 많아질수록 Computational O/H가 증가하나, 병렬성이 존재하므로 장점이 더 큼</t>
  </si>
  <si>
    <t>출력값을 다시 입력에 사용해야 하는 loop구조로 latency가 오히려 추가된다.</t>
  </si>
  <si>
    <t>직렬로 이루어져 있으므로 단일 장애가 전체 안전에 영향이 큰 점도 있으나, 오류 분석이 쉬운 장점도 있음</t>
  </si>
  <si>
    <t>단계별 검증과 오류 격리를 통해 안전성에 간접적으로 기여할 수 있지만, 물리적 위험을 직접 감지·제어하는 아키텍처는 아니므로 Safety에 대한 직접적인 영향은 제한적이다.</t>
  </si>
  <si>
    <t>짧은 제어 주기와 즉각적인 피드백을 목표로 하므로 실시간 응답 성능에 매우 유리하다.</t>
  </si>
  <si>
    <t>병렬로 동작하는 시스템 대비 공격받기 쉬운 구조이나, 영향성이 크진 않음</t>
  </si>
  <si>
    <t>필터별 보안 검증을 분리해 적용할 수 있다는 장점은 있지만, 다수의 데이터 전달 경로가 추가적인 공격면이 될 수 있음</t>
  </si>
  <si>
    <t>공격받으면 전체적인 제어에 직접 영향을 준다.</t>
  </si>
  <si>
    <t>각 컴포넌트의 역할이 매우 잘 정의되어 있으므로 Test하기에도 용이</t>
  </si>
  <si>
    <t>각 필터별 독립 테스트 용이</t>
  </si>
  <si>
    <t>물리적인 테스트 환경이 필요하여 테스트하기 어렵다.</t>
  </si>
  <si>
    <t>interactive한 UI 구성이 불가능하고, 병렬적이지 않으므로 Performance가 종합적으로 나빠 UX도 좋지 않다.</t>
  </si>
  <si>
    <t>처리 성능이나 응답 속도를 통해 사용자 경험에 간접적인 영향을 줄 수는 있지만, Pipe and Filter 자체는 사용자 인터페이스나 조작 방식을 결정하지 않으므로 Usability에 대한 직접 영향은 중립적이다.</t>
  </si>
  <si>
    <t>자동으로 타겟에 가까워지므로 사용자가 원하는 작업을 쉽게 완수할 수 있다.</t>
  </si>
  <si>
    <t>공유 저장소 장애 시 의존하는 모든 Client에 영향</t>
  </si>
  <si>
    <t>중앙 블랙보드와 컨트롤러가 다운되면 모든 KS가 동작을 멈추지만, KS의 다운은 전체 시스템에 영향을 미치지 않는다.</t>
  </si>
  <si>
    <t>스키마 변경 시 관련 Client의 배포 조율 필요</t>
  </si>
  <si>
    <t>KS는 쉽게 변경 가능하나, 중앙 블랙보드와 컨트롤러는 모든 KS와 맞물려있어 제한적이다.</t>
  </si>
  <si>
    <t>공통 스키마를 따르는 Client를 저장소에 연결하여 통합 가능</t>
  </si>
  <si>
    <t>각각의 KS들이 중앙 블랙보드의 데이터만 바라보므로 중앙 블랙보드 형식만 맞추면 되어 통합하기 쉽다.</t>
  </si>
  <si>
    <t>중복 데이터 복제와 여러 저장소 운영을 줄여 자원 사용을 집중</t>
  </si>
  <si>
    <t>컨트롤러가 지속적으로 블랙보드를 모니터링하고 KS를 제어하므로 오버헤드가 크다.</t>
  </si>
  <si>
    <t>컴포넌트 추가에는 유리하지만, 공통 스키마 변경에는 불리하기에 0로 선택</t>
  </si>
  <si>
    <t>각각의 KS들이 중앙 블랙보드의 데이터만 바라보므로 중앙 블랙보드 형식만 맞추면 되어 수정하기 쉽다.</t>
  </si>
  <si>
    <t>공유 저장소에 동시 접근이 집중되면 병목 발생 가능</t>
  </si>
  <si>
    <t>공유 상태 접근, 스케줄링 등 협업 오버헤드 때문에 단순 직접 호출보다 느리다.</t>
  </si>
  <si>
    <t>데이터 집중 자체는 안전한 동작을 보장하지 않음</t>
  </si>
  <si>
    <t>여러 지식 소스의 상호 검증은 도움이 되지만, 비결정적 추론/우선순위 충돌은 안전 검증을 어렵게 한다.</t>
  </si>
  <si>
    <t>Store와 Client에 따라 중요도가 달라질 수 있음</t>
  </si>
  <si>
    <t>많은 KS가 공용 블랙보드 하나에 의존하므로 위험 지점이 하나여서 크다고 할 수도 있고, 작다고 할 수도 있다.</t>
  </si>
  <si>
    <t>공유 상태로 인해 Client 시험 간 간섭 발생 가능</t>
  </si>
  <si>
    <t>여러 지식 소스의 실행 순서와 공유 상태에 따라 결과가 달라질 수 있어 재현 및 테스트가 어렵다.</t>
  </si>
  <si>
    <t>데이터 공유 구조 자체는 사용자 조작 편의성을 결정하지 않음</t>
  </si>
  <si>
    <t>내부 구조이므로 최종 사용자에 영향이 없다.</t>
  </si>
  <si>
    <t>수신 측이 다운되어 있을 동안 발생한 이벤트가 손실될 가능성이 있다.</t>
  </si>
  <si>
    <t xml:space="preserve">수신 측이 다운되어 있더라도 메시지가 버퍼에 보존되기 때문에 이벤트 손실의 가능성이 적다. </t>
  </si>
  <si>
    <t>이벤트 발행자와 구독자가 상호독립적이므로 개별 배포가 용이하다.</t>
  </si>
  <si>
    <t>이벤트 발행자와 이벤트 구독자가 상호독립적이므로 배포에 서로 영향 받지 않는다.</t>
  </si>
  <si>
    <t>이벤트 발행의 수정 없이도 새로운 구독자를 추가적으로 등록하여 기능 통합에 용이하다.</t>
  </si>
  <si>
    <t>서로 다른 시스템일지라도 메시지 브로커의 프로토콜만 맞는다면 통합하기 용이하다.</t>
  </si>
  <si>
    <t>메시지 저장·영속화에 따른 오버헤드는 적지만 이벤트가 발생할 때마다 즉시 처리되므로 Batch 처리나 자원 활성화 횟수 감소 등의 에너지 절감 효과는 보장되지 않아 전체적으로는 중립적이다.</t>
  </si>
  <si>
    <t>비동기 처리로 component가 항시 대기 필요없고, 메시지 queue도 일괄 처리 가능</t>
  </si>
  <si>
    <t>순차적 파이프라인 구조상 특정 단계에서 장애나 에러가 발생하면 후속 단계가 진행되지 못하고 전체 데이터 흐름이 중단되며, 오류 복구 및 재수행에도 오랜 시간이 소요됨.</t>
  </si>
  <si>
    <t>이벤트 인터페이스가 유지되는 한 발행자와 소비자를 독립적으로 추가·수정·교체할 수 있어 변경 파급 범위가 작고 시스템 확장이 용이하다.</t>
  </si>
  <si>
    <t>publisher와 subscriber가 서로에 영향을 주지 않는 구조이기 때문에 시스템 수정 및 확장이 용이하다.</t>
  </si>
  <si>
    <t>Pipe에 Buffer/Queue를 적용하면 장애 격리 및 재처리 가능</t>
  </si>
  <si>
    <t>간접호출(indirect invocation)의 overhead 가 문제가될수있다</t>
  </si>
  <si>
    <t>장애시 피드백 루프 자체는 동작 가능하지만, 컨트롤러 장애 시 제어 불능 상태가 됨</t>
  </si>
  <si>
    <t>단계별 경계와 중간 산출물이 명확하여 결합도가 낮을 경우 개별 배치 프로그램을 독립적으로 배포·교체하기 용이함. 다만 전체 파이프라인이 하나로 묶여 관리되는 환경에서는 부분 배포 및 롤백이 어려울 수 있음.</t>
  </si>
  <si>
    <t>일반 시스템에서는 Safety와 직접적인 연관이 크지 않음.</t>
  </si>
  <si>
    <t>각 필터가 독립적인 컴포넌트로 분리되어 있고, 파이프의 표준 인터페이스를 준수하므로 특정 필터만 개별적으로 무중단 배포하기 용이함</t>
  </si>
  <si>
    <t>중요 이벤트의 손실 방지와 재처리를 통해 안전성에 간접적으로 기여할 수 있지만, 시스템의 물리적 위험을 직접 제어하거나 Safety를 보장하는 구조는 아니므로 일반적인 영향은 중립적이다.</t>
  </si>
  <si>
    <t>하드웨어(센서/액추에이터)와 제어 로직이 긴밀히 결합되어 있어 독립 배포가 어려움</t>
  </si>
  <si>
    <t>각 단계 간 입력/출력 데이터 파일 포맷만 표준화되어 있으면 새로운 컴포넌트를 연계하거나 교체하기 용이함. 반면, 강한 실행 순서 및 데이터 의존성 때문에 파이프라인 중간에 임의의 컴포넌트를 동적으로 삽입하기는 까다롭다는 지적도 존재함.</t>
  </si>
  <si>
    <t>파이프를 흐르는 데이터의 인터페이스가 표준화되어 있어, 
 서로 다른 언어/기술로 작성된 새로운 필터나 외부 시스템을 파이프라인 중간에 쉽게 끼워 넣을 수 있음</t>
  </si>
  <si>
    <t>이벤트 전달 경로와 참여 컴포넌트가 분산되어 있어 중앙 집중식 접근 제어와 모니터링이 어렵고, 비인가 이벤트 발행·구독을 방지하기 위한 추가적인 보안 메커니즘이 필요하다</t>
  </si>
  <si>
    <t>중앙 Broker를 통해 인증·인가와 보안 정책을 일관되게 적용할 수 있다는 장점이 있지만, Broker 및 저장된 메시지가 추가적인 공격면과 중요한 보안 자산이 되므로 전체적인 영향은 구성에 따라 달라진다.</t>
  </si>
  <si>
    <t>하드웨어(센서/액추에이터)가 표준 인터페이스를 따르면 교체 가능하나, 제어 루프의 재구성은 쉽지 않음</t>
  </si>
  <si>
    <t>특정 시점에 대량 데이터를 한 번에 처리하므로 유휴 상태 없이 컴퓨팅 자원 활용률을 높일 수 있다는 긍정적 측면과, 선행 작업 종료 시까지 후속 작업이 대기하고 순차 실행으로 인해 전체 소요 시간이 늘어나 총 에너지 절감에는 불리하다는 관점이 상충함.</t>
  </si>
  <si>
    <t>Filter 병렬화로 처리시간 단축 가능하지만 동시 실행으로 자원 소비 증가</t>
  </si>
  <si>
    <t>지속적인 센싱과 연산이 필요한 구조라 유휴 상태 없이 상시 자원 소모함</t>
  </si>
  <si>
    <t>프로그램이 단계별로 분리되어 있어 특정 단계의 알고리즘이나 내부 로직을 수정하는 것은 쉬움. 그러나 중간 파일의 데이터 구조(포맷)가 변경되면 이후의 모든 후속 시퀀스에 영향(Ripple effect)을 미침.</t>
  </si>
  <si>
    <t>필터 간 직접적인 의존성이 없고 오직 파이프와만 통신하므로, 
 파이프라인에 새로운 필터를 추가·제거·재배치하기가 매우 쉬우나 데이터 공통구조(형태)가 수정되는 경우 전체 필터에 영향이 있음</t>
  </si>
  <si>
    <t>제어 로직 변경 시 전체 의존성 변경으로 변경 범위가 큼</t>
  </si>
  <si>
    <t>이전 단계가 완전히 종료되어 디스크에 파일 저장이 끝나야 다음 단계가 시작되므로, 파이프라인 병렬 처리가 불가능하여 응답/대기 시간(Latency)이 매우 긺. 단, 실시간성이 필요 없는 대용량 데이터의 일괄 처리량(Throughput) 측면에서는 여전히 유효함.</t>
  </si>
  <si>
    <t>Filter 병렬화 및 Pipeline Processing 가능하지만 파이프간 데이터가 이동할 때 오버헤드가 많을 수도 있음.</t>
  </si>
  <si>
    <t>비동기적이고 암시적인 이벤트 흐름으로 인해 실행 순서 제어, 테스트 재현, 장애 원인 추적이 어려워 전체적으로 Testability에 불리하다.</t>
  </si>
  <si>
    <t>전체 비동기 흐름의 추적은 별도 Tracing이 필요.</t>
  </si>
  <si>
    <t>실행 순서와 주기 제어로 빠른응답, 실시간 제어, 성능 예측 가능함</t>
  </si>
  <si>
    <t>이벤트 기반 구조가 빠른 피드백을 통해 사용성을 간접적으로 향상시킬 수는 있지만, 사용성은 주로 UI/UX 설계에 의해 결정되므로 아키텍처 스타일 자체의 직접적인 영향은 제한적이</t>
  </si>
  <si>
    <t>실행 흐름이 예측 가능하고 단계별로 중간 결과를 검증(Gate/Validation)하여 오류가 있을 경우 다음 단계로의 전파를 사전에 차단할 수 있음. 외부 연동(Outbound)이 마지막에 집중되어 통제가 수월함.</t>
  </si>
  <si>
    <t>비동기 처리로 사용자 체감 응답성을 개선할 수 있지만, Buffered Message-Based 자체는 UI나 조작성에 직접 영향을 주는 구조가 아니므로 Usability에 대한 직접적인 영향은 제한</t>
  </si>
  <si>
    <t>Filter별 Validation 및 오류 격리가 가능하지만 잘못된 데이터가 Pipeline을 따라 전파될 수 있음</t>
  </si>
  <si>
    <t>상태 감시와 제한 조건 설정으로 위험한 동작 방지 가능함</t>
  </si>
  <si>
    <t>단계별/시퀀스별 권한 분리 및 감사 추적은 유리하지만, 단계 간 주고받는 중간 저장 파일(디스크/스토리지)이 공격에 노출되거나 탈취·변조될 위험(공격 표면 증가)이 상대적으로 큼.</t>
  </si>
  <si>
    <t>Filter별 접근통제 및 데이터 보호 가능하지만 Pipe 구간과 중간 데이터 보호 필요</t>
  </si>
  <si>
    <t>Processing Unit, Control Unit으로의 보안 공격으로 시스템 전체가 위험해질 수 있음</t>
  </si>
  <si>
    <t>각 컴포넌트의 입력과 출력이 명확한 파일/데이터셋 형태로 규격화되어 있어, 전체 시스템을 구동하지 않고도 독립적인 단위 테스트(Mock/Sample 입력 검증) 및 결과 재현이 매우 쉬움.</t>
  </si>
  <si>
    <t>표준 입출력을 가지므로 특정 필터만 떼어내어 Mock 데이터로 단위 테스트(Unit Test)를 수행하기가 쉬우나 비동기/동기가 섞여있으므로 전체 파이프라인 레이스 조건/타임아웃 테스트는 재현이 어려움</t>
  </si>
  <si>
    <t>Processing Unit, Control Unit의 단위테스트는 용이하나, 실시간 피드백과 타이밍 의존성 때문에 전체 통합테스트는 쉽지 않음</t>
  </si>
  <si>
    <t>사용자와의 실시간 상호작용(Interactive)이 없고 긴 대기 시간이 발생하여 최종 사용자 경험 측면에서는 불리함. 다만 순차적 실행 특성상 배치 진행 상태나 장애 단계 파악이 쉬워 시스템 운영자 관점의 사용성은 일부 충족됨.</t>
  </si>
  <si>
    <t>입력이나 변경 발생 시 밀리초~초 단위로 결과가 대시보드나 화면에 반영되므로 대기 시간이 없어 최상의 사용자 경험을 제공</t>
  </si>
  <si>
    <t>사람이 직접 조작하는 구조가 아님</t>
  </si>
  <si>
    <t>Repository에 문제가 생기면 모든 client의 동작이 마비된다.</t>
  </si>
  <si>
    <t>Orchestrator / Blackboard 마비 시에 모든 Knowledge Source 동작이 마비됨</t>
  </si>
  <si>
    <t>한 component의 변경이 시스템 전체에 영향을 미칠 수 있고 배포 용이성에 영향을 미친다.</t>
  </si>
  <si>
    <t>모든 Knowledge Source가 블랙보드/제어 컴포넌트에 강하게 결합</t>
  </si>
  <si>
    <t>repository의 있는 그대로를 사용하는 client가 추가되는 것이 쉽기 때문에
통합 용이성은 좋다.</t>
  </si>
  <si>
    <t>외부 컴포넌트도 또다른 Knowledge Source로 추가하기 용이</t>
  </si>
  <si>
    <t>repository 하나를 공유하며 각 client가 독립적이기 때문에
낭비가 적어 에너지 효율성은 좋을 것 같다.</t>
  </si>
  <si>
    <t>Orchestrator(Controller)의 모니터링 오버헤드로 인한 자원 소모</t>
  </si>
  <si>
    <t>deployability와 마찬가지로 한 component의 변경이 시스템 전체에 영향을 미칠 수 있음</t>
  </si>
  <si>
    <t>인터페이스만 맞추면 Knowledge source 추가/제거 용이</t>
  </si>
  <si>
    <t>component간의 호출 없이 repo와만 소통하기 때문에 성능에서 장점을 취할 수 있다.
하지만 repo가 병목인 상황이라면 좋지 않을 수 있다</t>
  </si>
  <si>
    <t>공유 자원 접근 경합 + 스케줄링 오버헤드로 병목 발생 가능</t>
  </si>
  <si>
    <t>repo의 오류가 전체 시스템에 영향을 미치고 데이터 유실 가능성이 있기 때문에
safety 측면에서 안좋을 것 같음</t>
  </si>
  <si>
    <t>Orchestrator / Blackboard의 fault가 시스템 전체 fault로 이어지기 쉽다.</t>
  </si>
  <si>
    <t>repository의 수정이 여러 client에 의해 가능하다는 점에서 보안 측면에서 안좋을 것 같음(권한 관리 문제 등)</t>
  </si>
  <si>
    <t>Orchestrator / Blackboard가 공격당할 경우 시스템 전체를 마비시키기 쉽다.</t>
  </si>
  <si>
    <t>각 client의 테스트 시 repository가 포함되어야 하기 때문에 test가 어려움</t>
  </si>
  <si>
    <t>답이 정해져 있지 않기 때문에 단위 테스트 만들기가 난해</t>
  </si>
  <si>
    <t>client가 원하는 동작을 repo 대상으로 그냥 하면 되기 때문에 사용성이 좋다</t>
  </si>
  <si>
    <t>내부 구조 스타일이라 사용자 인터페이스와 무관</t>
  </si>
  <si>
    <t>producer가 어느 한 custormer에 잡혀있을 경우 producer 가 블로킹된다.</t>
  </si>
  <si>
    <t>메시지가 버퍼에 저장되므로 Consumer가 일시적으로 중단되어도 복구 후 처리를 계속할 수 있다.</t>
  </si>
  <si>
    <t>customer 확장이 자유롭다</t>
  </si>
  <si>
    <t>Producer와 Consumer를 독립적으로 배포·교체할 수 있다.</t>
  </si>
  <si>
    <t>producer/consumer가 서로의 신원을 몰라도 되는 익명성 덕분에 새로운 서비스를 붙이기 쉽다</t>
  </si>
  <si>
    <t>prooducer 동작 시 customer 가 통신을 받지 않는 이상은 이벤트가 낭비된다.</t>
  </si>
  <si>
    <t>메시지 저장과 전달, 직렬화·역직렬화, Broker 운영 및 재시도 처리에 추가적인 계산·저장·통신 자원이 필요하다.</t>
  </si>
  <si>
    <t>producer및 customer 확장이 자유롭다</t>
  </si>
  <si>
    <t>Producer와 Consumer가 서로의 구현을 알지 않는 약한 결합 구조이므로 한쪽의 변경이 다른 쪽에 미치는 영향이 작다.</t>
  </si>
  <si>
    <t>중앙 main과 Subroutine간의 강한 coupling으로 인해 main의 장애가 전체 프로그램의 중단으로 이어질 수 있다.</t>
  </si>
  <si>
    <t>동기 실행이라 producer의 응답 시간이 모든 consumer 처리 시간의 합이 되어 고빈도·저지연 상황에서 병목이 된다.</t>
  </si>
  <si>
    <t>비동기 처리로 동시성은 높지만 큐를 거치는 간접 전달이라 즉시 응답이 필요한 요청엔 지연이 생길 수 있다.</t>
  </si>
  <si>
    <t>일부 Slave에 장애가 발생해도 다른 Slave가 대신 처리하거나 Master가 해당 Slave만 재시작할 수 있어 가용성이 높음</t>
  </si>
  <si>
    <t>이벤트가 저장되지 않고 실행 순서도 보장되지 않아, 유실·중복·순서 역전이 조용히 발생하며 검출 수단이 없다.</t>
  </si>
  <si>
    <t>메시지 저장과 재처리는 오류 전파를 줄이지만, 메시지의 중복·순서 변경·지연 처리로 인해 잘못된 상태가 발생할 수도 있다.</t>
  </si>
  <si>
    <t>Procedure끼리의 tight coupling으로 인하여 작은 변경도 재배포가 필요한 경우가 생긴다.</t>
  </si>
  <si>
    <t>producer 가 타겟 전송 범위를 지정하기 힘들다.</t>
  </si>
  <si>
    <t>익명성이 오히려 인가되지 않은 구독자를 걸러내기 어렵게 만들 수 있으면서도 Broker가 인증·인가·감사와 메시지 접근 통제를 집중적으로 적용할 수 있다.</t>
  </si>
  <si>
    <t>노드/프로세스를 독립적으로 배포하거나 동적으로 노드를  추가/제거할 수 있다</t>
  </si>
  <si>
    <t>관계성이 명시되어있지 않아 파악이 힘들다</t>
  </si>
  <si>
    <t>메시지가 비동기로 큐를 거쳐 도착하는 타이밍에 의존해 시나리오 재현이 어렵다.</t>
  </si>
  <si>
    <t>강한 결합 기반으로 외부 시스템을 통합 할 때의 flexibility가 떨어진다.</t>
  </si>
  <si>
    <t>sync 관계이며, customer 가 producer 를 잡고있으면 그동안은 불가용상태이다.</t>
  </si>
  <si>
    <t>Slave가 Master의 작업·결과 규약에 맞아야 함</t>
  </si>
  <si>
    <t>긴 작업을 비동기로 처리할 수 있어 사용자 요청을 차단하지 않고 화면의 응답성을 유지할 수 있다.</t>
  </si>
  <si>
    <t>직접 호출되는 방식으로 procedure간 메시지 전송 등 추가 런타임 오버헤드가 매우 작다.</t>
  </si>
  <si>
    <t>작업 분배·결과 수집의 통신과 조정에 추가 에너지 소비</t>
  </si>
  <si>
    <t>강한 결합으로 특정 procedure의 변경에 대한 연쇄 변경 side effect가 일어날 수 있다.</t>
  </si>
  <si>
    <t>작업·결과 계약 유지 시 Slave 내부 처리 방식 변경 용이</t>
  </si>
  <si>
    <t>여러 서브루틴이 동일한 전역 데이터에 접근할 경우 데이터 동기화 및 경쟁 조건 처리 과정에서 처리 속도가 저하될 수 있습니다.</t>
  </si>
  <si>
    <t>분할 가능한 작업을 Slave가 병렬 처리하여 완료 시간 단축 가능</t>
  </si>
  <si>
    <t>제어 흐름이 명시적이여서 실행 경로 분석과 검증이 쉽다.</t>
  </si>
  <si>
    <t>Master가 종료될 시, 서비스 전체가 동작하지 않음</t>
  </si>
  <si>
    <t>컴포넌트간 직접 호출로 공격 접점이 적음.</t>
  </si>
  <si>
    <t>Master, Slave간 통신 시 위험 존재</t>
  </si>
  <si>
    <t>입출력이 명확하여 단위 테스트가 용이하다.</t>
  </si>
  <si>
    <t>여러 Slave가 병렬로 실행되므로 타이밍 문제, 레이스 조건(Race Condition), 데드락(Deadlock) 등 실행 시점마다 달라지는 비동기적 결함을 테스트하고 재현하기 어려움</t>
  </si>
  <si>
    <t>프로그램 내부 제어 구조이므로 직접적인 영향은 거의 없다.</t>
  </si>
  <si>
    <t xml:space="preserve">특정 계층 장애가 전체 서비스에 부정적인 영향을 미칠 수 있다. </t>
  </si>
  <si>
    <t>계층이 분리되어있으므로 특정 계층 독립적으로 배포 가능하다.</t>
  </si>
  <si>
    <t>명확한 계층 인터페이스로 인하여 외부 모듈의 연동이 수월하다.</t>
  </si>
  <si>
    <t>여러 계층을 통과하는 과정에서 호출 및 데이터 변환에 의한 오버헤드가 발생한다.</t>
  </si>
  <si>
    <t>Main이 여러 subroutine을 순차적으로 호출하는 구조라서 한  subroutine에 장애가 발생하면 전체 실행 흐름에 영향을 줄 가능성이 높음</t>
  </si>
  <si>
    <t>Fault Tolerence 특징이 있지만 Master 단일 포인트 Fail 시 가용성이 훼손될 수 있다.</t>
  </si>
  <si>
    <t xml:space="preserve">Main과 subroutine이 하나의 바이너리로 강하게 묶여있어 특정 서브루틴만 독립적 배포 불가. 특정 서브루틴 고치면 전체 시스템 재빌드 및 재배포 필요. 배포시 무중단 배포가 불가능하다. </t>
  </si>
  <si>
    <t>특정 계층에 변경을 국소화할 수 있으므로 상위 계층에 대한 파급이 적을 수 있다.</t>
  </si>
  <si>
    <t xml:space="preserve">Slave를 교체할 때는 배포에 장점이 있지만, Slave-Master와의 호환성 문제가 생길 시 혹은 Master 교체 시 배포용이성이 떨어진다. </t>
  </si>
  <si>
    <t>Subroutine 간 interface를 통해 통합할 수 있지만, 기본적으로 호출 관계가 강하게 결합되어 있다.
새로운 외부 시스템이나 component를 추가하려면 기존 main/subroutine 구조를 수정해야 할 가능성이 있다.</t>
  </si>
  <si>
    <t>다른 component를 slave로 추가할 componet의 인터페이스, 프로토콜 호환성이 중요하게 작용한다.
같은 규약을 가진 componet의 경우 통합용이성이 좋다.</t>
  </si>
  <si>
    <t>계층 누적에 따른 오버헤드 발생</t>
  </si>
  <si>
    <t>불필요한 communication이나 middleware layer가 거의 없기 때문에 효율적</t>
  </si>
  <si>
    <t>master-slave간 통신에서 overhead가 발생하여 추가적인 에너지 소모가 있을 수 있다.</t>
  </si>
  <si>
    <t>하위 계층에만 결합되어 있어 변경/장애의 확산을 일부 제한할 수 있으나, 최하위 핵심 계층(예: DB/Infra Layer)에 오류가 발생하면 상위 계층 전체에 영향을 줄 수 있어 제어 범위가 제한적임.</t>
  </si>
  <si>
    <t>Main이 subroutine의 구조와 호출 순서를 강하게 알고 있기 때문에 변경의 영향이 상위 구조까지 전파될 수 있다.</t>
  </si>
  <si>
    <t>component의 수정이 master에 영향을 주지 않는 한 다른 component에 영향을 미치지 않기 때문에 변경 용이성이 좋다.</t>
  </si>
  <si>
    <t>Main이 Subroutime을 함수 호출하므로 네트워크, IPC보다 처리속도가 매우 빠름</t>
  </si>
  <si>
    <t>Slave를 늘리면 읽기 작업에 대한 시스템 응답시간을 줄임으로 인해 퍼포먼스를 증가시킬 수 있다. 단 쓰기 작업의 경우에는 마스터 업데이트 및 슬레이브 업데이트까지 데이터 무결성을 위한 동시성 작업이 요구되기 때문에 쓰기 작업에 대한 응답시간은 지연될 수 있다.</t>
  </si>
  <si>
    <t>예외 처리가 호출 스택을 타고 상위로 전파되는 구조라 발생한 오류가 상위로 쉽게 전파됨</t>
  </si>
  <si>
    <t>하나의 Slave에서 fault가 발생하더라도 다른 Slave에서 응답하면 되기 때문에 전체 시스템 fault를 야기하지 않을 수 있다.</t>
  </si>
  <si>
    <t>프로세스 내부에 보안 경계가 없어 한 Subroutine이 다른 메모리와 자원에 접근 가능</t>
  </si>
  <si>
    <t>Master가 공격당할 경우 시스템 failure를 야기시킬 수 있다. (a single point of failure)</t>
  </si>
  <si>
    <t>Subroutine 단위테스트는 쉬우나, 통합테스트의 어려움이 있음</t>
  </si>
  <si>
    <t>분산된 환경에 대한 통합 테스트가 어려워진다.</t>
  </si>
  <si>
    <t>구조 자체가 사용자 경험을 직접 결정하지 않음</t>
  </si>
  <si>
    <t>layer별 private정보를 다른 layer에서 확인 어렵기 때문에 security 좋음</t>
  </si>
  <si>
    <t>대부분의 경우 쓰기 작업보다 읽기 작업이 일반적으로 더 많이 발생하기 때문에 읽기 작업에 대한 응답시간 향상은 사용자 경험을 증대시킬 수 있다.</t>
  </si>
  <si>
    <t>독립된 layer별 test에 용이</t>
  </si>
  <si>
    <t>Layered 패턴은 시스템의 내부 책임 분리와 소프트웨어 구조화에 초점을 맞추므로, 엔드 유저의 UI/UX 반응성이나 사용성에 직접적인 긍정/부정적 영향을 미치지 않음</t>
  </si>
  <si>
    <t>계층 분리는 결함의 위치 파악과 복구에 도움이 되지만, 하위 Layer에 장애가 발생하면 이를 사용하는 모든 상위 Layer가 영향을 받는다.</t>
  </si>
  <si>
    <t>Tier가 증가할 수록 위험성이 증가하여 관리 요소가 늘어날 수 있음.</t>
  </si>
  <si>
    <t>서버가 단일 실패점이 될 수 있어 서버 장애 시 전체 시스템 중단될 수 있다.</t>
  </si>
  <si>
    <t>각 Tier별 기능이 나누어져 있으므로 Tier에 해당하는 시스템의 단독 배포가 용이하다.</t>
  </si>
  <si>
    <t>클라이언트와 서버를 각각 독립적으로 배포가 가능하다.</t>
  </si>
  <si>
    <t>계층별 책임과 인터페이스가 분리되어 있어 변경된 Layer를 비교적 독립적으로 배포·교체할 수 있다. 다만 하위 인터페이스 변경 시 상위 Layer도 함께 배포해야 할 수 있다.</t>
  </si>
  <si>
    <t>Tier마다 서로 다른 기능 및 책임을 부여하여 외부 서비스의 확장에 용이하다.</t>
  </si>
  <si>
    <t>서버가 API를 제공한다면 표준화된 요청-응답 구조로 클라이언트를 연결하기 쉽다.</t>
  </si>
  <si>
    <t>여러 서버 tier를 유지해야 하며, middle tier의 다중화가 적용된다면 Energy 소모량이 많아진다.</t>
  </si>
  <si>
    <t>많은 client가 고성능 server에 접근할 때 자원을 효과적으로 사용한다.</t>
  </si>
  <si>
    <t>각 layer가 정의된 인터페이스로 서비스를 제공하므로(약한 결합), 그 인터페이스만 유지되면 아래 구현을 새 컴포넌트로 교체하거나 다른 시스템과 연동하기 쉽다</t>
  </si>
  <si>
    <t>각 Tier간 책임이 분산되어 있으므로 재사용성이 높고 수정에 용이하다.</t>
  </si>
  <si>
    <t>UI표현과  business logic 처리 같은 책임이 분리되어 있고 서버 컴포넌트 재사용할 수 있다.</t>
  </si>
  <si>
    <t>Multithread, 다중화를 시키는 것으로 Performance의 확장이 가능하나, tier간 통신에 의한 O/H, tier가 너무 많아지면 추가로 O/H가 증가할 위험성이 있다.</t>
  </si>
  <si>
    <t>Layer 수가 많을수록 요청이 여러 Layer를 순차적으로 통과하면서 반복적인 호출, 데이터 변환 및 중간 처리에 추가 자원이 소모된다.</t>
  </si>
  <si>
    <t>동시성과 확정성의 가능성이 있으나 서버가 bottleneck이 될 수 있다.</t>
  </si>
  <si>
    <t>Tier 분리를 통해 오류를 검증·격리할 수 있어 Safety에 긍정적이지만, Tier가 많아지거나 계층 간 장애 전파 가능성이 존재할 경우 상쇄된다.</t>
  </si>
  <si>
    <t>서버와 클라이언트가 분리되어 있어 장애의 직접적인 전파 및 영향 범위를 제한할 수 있다.</t>
  </si>
  <si>
    <t>layer 내 한 모듈이 연결된 범위가 최대 한 layer 로, 영향범위 파악이 쉽고 수정 쉬움</t>
  </si>
  <si>
    <t>Tier들 간 security 권한, data access를 따로 부여하는 것으로 보안 위험을 줄일 수 있다.</t>
  </si>
  <si>
    <t>Network를 통한 통신이 필요하기 때문에 보안 취약점이 존재한다.</t>
  </si>
  <si>
    <t>분산된 환경을 고려한 test도구가 필요하며, 각 물리적 tier의 특성을 고려해야 하기 때문에 통합 testability가 떨어짐</t>
  </si>
  <si>
    <t>layer 구성으로 인해 불필요한 indirect 파이프라인 사용 필수적이게 됨</t>
  </si>
  <si>
    <t>서버의 설정을 모두 고려해야 하기 때문에 test용이성이 떨어짐</t>
  </si>
  <si>
    <t>Presentation tier가 존재한다면, User experience 향상을 위한 다양한 지원 기능을 추가할 수 있다. 그러나 해당 tier가 없을 경우 아키텍쳐적인 이득은 없다.</t>
  </si>
  <si>
    <t>이 아키텍처 스타일이 해당 품질속성을 직접 좌우하지 않음.</t>
  </si>
  <si>
    <t xml:space="preserve">layer 내 한 모듈이 죽더라도, 전체 layer 및 architecture 영향 적음 </t>
  </si>
  <si>
    <t>layer 기준으로 security access control 용이</t>
  </si>
  <si>
    <t>layered 내 모듈화 구성 , 영향범위는 한 layer 내로 예측 난이도 쉬움</t>
  </si>
  <si>
    <t>필요한 layer 에 대해서만 접근. UI 탭은 UX 친화 지향적일 것</t>
  </si>
  <si>
    <t>Server나 Broker에 장애가 발생하면 이에 의존하는 모든 application이 중단될 수 있다.</t>
  </si>
  <si>
    <t>네트워크나 서버 장애 시 다른 머신에서 새 서버를 활성화할 수 있다.</t>
  </si>
  <si>
    <t>간접 계층이 OS와 네트워크 세부 사항을 Client와 Server로부터 숨겨, 다른 운영 환경으로 시스템을 이식하고 배포하기 용이하다.</t>
  </si>
  <si>
    <t>어떤 서버를 어디에 둘지 시작 시점 또는 이후에 결정할 수 있고, 서버를 dispatcher·client 수정 없이 추가·변경할 수 있다.</t>
  </si>
  <si>
    <t>Broker가 위치·통신 세부사항을 중개하여 이기종 서비스 연결이 용이하다.</t>
  </si>
  <si>
    <t>서버 교환성(exchangeability of servers), 위치·이관 투명성(location and migration transparency)으로 서버를 다른 머신으로 동적 이주할 수 있다.</t>
  </si>
  <si>
    <t>Proxy 및 Broker를 거치는 간접 호출 단계가 많아 자원 소모가 크다.</t>
  </si>
  <si>
    <t>dispatcher를 거치는 오버헤드(dispatcher overhead)가 있다.</t>
  </si>
  <si>
    <t>Component를 교체하거나 기능을 추가할 때 다른 컴포넌트에 미치는 영향이 적어 runtime changes가 가능하다.</t>
  </si>
  <si>
    <t>서버를 dispatcher나 client 수정 없이 추가·변경할 수 있지만, Dispatcher interface 변경은 어렵다</t>
  </si>
  <si>
    <t>Tier별로 서버를 분리하고 여러 인스턴스를 운영하면 장애를 격리하고 이중화하기 좋다. 특히 Application Tier를 여러 대로 구성하면 일부 서버 장애에도 서비스 지속이 가능하다. 다만 특정 Tier가 단일 장애점(SPOF)이 되면 전체 서비스가 영향을 받을 수 있다.</t>
  </si>
  <si>
    <t>서버 이중화로 개선 가능하나, 기본 구조는 서버가 단일 장애점이라서 문제 가능성 있음</t>
  </si>
  <si>
    <t>Proxy와 Broker를 거치는 간접 호출 때문에  비효율성이 크고 응답 지연이 발생한다.</t>
  </si>
  <si>
    <t>dispatcher 오버헤드가 있다.</t>
  </si>
  <si>
    <t>각 Tier가 독립적으로 배포될 수 있어 변경 범위를 제한하기 쉽다. 예를 들어 Presentation Tier와 Data Tier를 별도로 배포할 수 있다. 반면 Tier 간 인터페이스나 버전 의존성이 있으면 동시 배포가 필요할 수 있다.</t>
  </si>
  <si>
    <t>특정 Server나 Broker 의 장애가 연쇄 중단으로 이어질 위험이 존재한다.</t>
  </si>
  <si>
    <t>장애 시 대체 Server 동적 활성화 및 이동 투명성을 통해 시스템 전체의 안전성을 유지하기 수월함.</t>
  </si>
  <si>
    <t>클라이언트와 서버가 독립 배포 가능함</t>
  </si>
  <si>
    <t>Bridge 및 분산 통신 경로로 인해 Component의 보안 검증과 정책 적용이 복잡하다.</t>
  </si>
  <si>
    <t>단일 진입점에 인증/권한/라우팅 제한을 적용하기 쉬우나 Dispatcher 인터페이스 단일점에 대한 관리 포인트가 존재</t>
  </si>
  <si>
    <t>Tier 사이에 명확한 인터페이스/API를 두기 때문에 외부 시스템이나 다른 컴포넌트와 통합하기 좋다.</t>
  </si>
  <si>
    <t>여러 Component 간 상호작용을 확인해야 하므로 결함 발견과 원인 추적이 어렵다.</t>
  </si>
  <si>
    <t>표준 프로토콜로 통신하므로 새 클라이언트와 서버 추가가 비교적 쉬움</t>
  </si>
  <si>
    <t>Dispatcher 의존성 및 서버 동적 이동에 따른 시나리오 테스트 난이도가 존재하나 Broker보다는 단순</t>
  </si>
  <si>
    <t>물리적으로 분리된 노드 간 네트워크 통신이 빈번하게 발생하여, 단일 프로세스 기반 아키텍처에 비해 네트워크 장비 및 서버의 전력 소모량이 큼.</t>
  </si>
  <si>
    <t>서비스 중개 구조 자체는 사용자 조작 편의성을 결정하지 않는다.</t>
  </si>
  <si>
    <t>네트워크 통신 오버헤드가 발생하나, 클라이언트가 가벼우면 전체적으로 효율적임</t>
  </si>
  <si>
    <t>관심사를 Tier별로 분리하기 때문에 한 영역의 변경이 다른 영역에 미치는 영향을 줄일 수 있다. 다만 Tier 간 인터페이스/API 변경은 연쇄적인 수정이 필요할 수 있다.</t>
  </si>
  <si>
    <t>클라이언트와 서버 경계가 명확해 서버 로직 변경이 클라이언트에 영향 적음</t>
  </si>
  <si>
    <t>Tier 간 네트워크 호출이 증가하고 데이터 serialization/deserialization 등의 비용이 발생하므로 단일 프로세스 구조보다 latency가 증가할 수 있다</t>
  </si>
  <si>
    <t>서버의 중앙 처리 효율은 높지만 네트워크 지연 발생함</t>
  </si>
  <si>
    <t>데이터 계층과 비즈니스 로직이 분리되어 있어 특정 계층의 장애나 오류가 전체 시스템의 치명적인 붕괴로 이어지는 것을 막는 격리(Fault Isolation) 능력이 우수함.</t>
  </si>
  <si>
    <t>서버 측에서 중앙 집중적으로 검증과 통제 가능하지만 통신장애 발생함</t>
  </si>
  <si>
    <t xml:space="preserve">오케스트레이션 의존성은 추가되나 각 서비스를 격리하기 때문에 부하가 분산되어 availability가 높다. </t>
  </si>
  <si>
    <t>계층화된 방어(Defense in Depth)가 가능함. 프레젠테이션 계층은 DMZ에 배치하고, 데이터 계층은 내부망에 격리하며, 계층 간 방화벽 및 접근 제어 정책을 강력하게 적용할 수 있음</t>
  </si>
  <si>
    <t>서비스가 독립적일 경우, 하나의 장애가 전체를 멈추지 않음</t>
  </si>
  <si>
    <t>서버가 중앙 집중식 인증과 접근 제어로 보안 관리 용이함</t>
  </si>
  <si>
    <t>서비스 단위 배포는 가능하나 Intermediary에 관한 영향을 고려해야 한다.</t>
  </si>
  <si>
    <t>각 Tier의 책임이 비교적 명확하므로 Presentation, Business, Data 계층을 개별적으로 테스트하기 쉽다. Mock/Stub을 이용해 Tier 간 의존성을 대체할 수도 있다. 다만 실제 분산 환경에서의 통합 테스트는 복잡해진다.</t>
  </si>
  <si>
    <t>독립배포로 bugfix,release,roll back이 쉬움</t>
  </si>
  <si>
    <t>클라이언트와 서버를 독립적으로 각각 격리 테스트 가능함</t>
  </si>
  <si>
    <t>기술적으로 어떤 client 나 서비스든 platform, 기술, vendor, 언어와 무관하게 다른 서비스에 접근할 수 있다</t>
  </si>
  <si>
    <t>Multi-tier 자체가 사용자 경험을 직접 향상시키는 Architecture Style은 아니다. 다만 Presentation Tier를 독립적으로 발전시키고 Backend와 분리할 수 있어 UI/UX 개선에는 유리하다. 반면 추가적인 네트워크 latency가 UX에 영향을 줄 수 있다</t>
  </si>
  <si>
    <t>코드, data store 비공유로 의존성 최소화</t>
  </si>
  <si>
    <t>클라이언트가 사용자 인터페이스를 제공함</t>
  </si>
  <si>
    <t xml:space="preserve">중개 기능과 분산 환경으로 인해 에너지 소모가 크다. </t>
  </si>
  <si>
    <t>서비스 수에 비례하여 overhead커짐</t>
  </si>
  <si>
    <t>각 서비스 component가 독립적이므로 공개된 interface만 바뀌지 않는다면 서비스 구현 변경이 application에 영향을 주지 않는다.</t>
  </si>
  <si>
    <t>서비스별 독립적이여서 수정에 용이함</t>
  </si>
  <si>
    <t xml:space="preserve">세분화된 원격 호출과 서비스 조합으로 인해 비용이 발생한다. </t>
  </si>
  <si>
    <t>서비스간 통신 증가로 latency증가</t>
  </si>
  <si>
    <t xml:space="preserve">서비스 경계로 나누어져 있어 잘못된 동작의 통제가 용이하다. </t>
  </si>
  <si>
    <t>broker의 장애가 모든 client-server간의 통신에 영향을 주기 때문에 전체 시스템이 먹통이 될 수 있다.
또한 특정 server에 장애가 생길 경우에도 전체 application이 영향을 받을 수 있다.</t>
  </si>
  <si>
    <t>독립적인 시스템으로 하나의 서비스에 문제가 되더라도 타 서비스에 영향이 적음</t>
  </si>
  <si>
    <t>기본적으로 동등한 대상에 대해서 이중화가 이루어지기 때문에 장애로부터 복구되기 용이하기 때문에 장애 복구 시간이 짧다.</t>
  </si>
  <si>
    <t xml:space="preserve">중앙에서 보안 정책 적용이 용이하나 gateway에 대한 보안 위험성이 존재한다. </t>
  </si>
  <si>
    <t>runtime 중 server의 추가/삭제가 용이하다.</t>
  </si>
  <si>
    <t>서비스가 많아질수록 공격받을 포인트가 많아질 수 있음</t>
  </si>
  <si>
    <t>클라이언트가 연결되어 있지 않은 상황에서 다른 머신에 배포시키기가 수월.</t>
  </si>
  <si>
    <t xml:space="preserve">분산 환경에 대한 통합 테스트 구성의 복잡도가 증가한다. </t>
  </si>
  <si>
    <t>서비스 의존성으로 테스트 어려움</t>
  </si>
  <si>
    <t>bridge를 통해 다른 format의 protocol을 사용하는 여러 broker를 연결할 수 있다.</t>
  </si>
  <si>
    <t>동일 인터페이스인 인스턴스를 추가하는 비용은 거의 없지만 호환되지 않는 인터페이스라면 통합되기 어려움 (이건 브로커의 역할)</t>
  </si>
  <si>
    <t xml:space="preserve">백엔드 구조 스타일로 End-User Usability에 대한 직접적 영향이 없다. </t>
  </si>
  <si>
    <t>usability와 연관성 없음</t>
  </si>
  <si>
    <t xml:space="preserve">동시성을 띄고 broker와의 통신 overhead 때문에 에너지 소모가 높다. </t>
  </si>
  <si>
    <t>Dispatcher와 발생되는 통신비용이 오버헤드가 될 수 있지만 누구와 통신을 할지 식별이 된 이후에는 Dispatcher를 거치지 않음</t>
  </si>
  <si>
    <t>broker의 구현이 바뀌더라도 api의 변경이 없으면 server와 client에 영향을 
주지 않아 수정이 용이하다.</t>
  </si>
  <si>
    <t>클라이언트 코드는 서버가 얼마나 되는지 어디에 위치하는지 알 필요없이 오직 Dispatcher와 통신하면 되기 때문에 변경이 파급되지 않는다. 다만 인터페이스가 변경되면 모든 서버로 파급될 수 있음.</t>
  </si>
  <si>
    <t>client-server 간 통신이 broker를 거쳐야 하기 때문에 overhead가 발생한다.</t>
  </si>
  <si>
    <t>병렬 처리로 처리량과 수평 확장성은 좋아지지만 요청 초기마다 홉이 하나 추가된다는 점은 마이너스가 될 수 있음.</t>
  </si>
  <si>
    <t>broker 오류/장애 시 saftey와 관련된 기능에 문제가 발생할 수 있다.</t>
  </si>
  <si>
    <t>위협/상태를 감지하는 메커니즘이 없고 매 요청마다 처리 주체가 달라져서 재현성 등이 보장되지 않기 때문에 결함 재현과 안정성 논증이 어려움</t>
  </si>
  <si>
    <t>broker 에 모든 정보가 몰리기 때문에 명확한 attack point가 존재한다.</t>
  </si>
  <si>
    <t>dispatcher가 최우선 공격 표적이 될 수 있으며 공격당할 시 시스템 전체가 마비될 수 있음.</t>
  </si>
  <si>
    <t>동시성을 띄며 약한 결합이기 떄문에 통합 테스트가 힘들다.</t>
  </si>
  <si>
    <t>서버 각각은 stateless에 동등하므로 단위 테스트는 쉽지만 어느 인스턴스에서 처리할지 비결정적이라 통합 테스팅할 때 결함 재현이 어려움</t>
  </si>
  <si>
    <t>복잡한 distribute 구조를 UI에 드러내지 않기 때문에 사용성이 좋은 측면도 있지만 사용자가 broker를 공유하기 때문에 UX는 좋지 않을 수 있다.</t>
  </si>
  <si>
    <t>사용자에게 안정적인 응답을 제공해줄 수는 있으나 구조 자체가 사용성을 개선시키는 구조는 아님.</t>
  </si>
  <si>
    <t>중앙 site가 멈춰도 지역 site에서 독립운영하여 가용성을 높일 수 있음, edge node가 1개로 구성시 가용성이 낮아질 수 있음</t>
  </si>
  <si>
    <t>지리적으로 분산된 edge별 환경 및 버전 차이로 런타임 시 배포에 어려울 수 있음</t>
  </si>
  <si>
    <t>intermediary가 연결을 해줄뿐이지 실 availability 가 service provider에 영향을 받는 경우가 많음</t>
  </si>
  <si>
    <t>각 서비스가 독립 프로세스로 격리되어 있어, 하나의 microservice가 죽어도 upstream 서비스가 장애를 올바르게 처리하도록 설계되어 있다면 전체는 계속 동작한다</t>
  </si>
  <si>
    <t>다양한 레거시 파편화 프로토콜(IoT, 산업용 현장 버스 등) 및 제한된 하드웨어 스펙으로 인해 통합 난이도가 높음</t>
  </si>
  <si>
    <t>중앙 intermediary에 의존하는 시스템은 이중화 보장이 되어있지 않은 이상 deployability 가 좋다고 볼 수 없음</t>
  </si>
  <si>
    <t>서비스별로 별도 독립 배포가 가능해, 전체 application을 재배포하지 않고 서비스 하나만 갱신·롤백할 수 있다</t>
  </si>
  <si>
    <t xml:space="preserve">표준화된 통신이 보장되기 때문에 service provider, service customer 확장이 용이함. </t>
  </si>
  <si>
    <t>현장에서 데이터 처리 후 필터링하여 전달하기에 효율 높으나, 별도의 조건 없이 항시 데이터 처리가 필요하여 효율 떨어질수 있어 0</t>
  </si>
  <si>
    <t>서비스마다 기술 스택·언어·프레임워크를 자유롭게 선택할 수 있어, 서비스 일관성 유지와 버저닝 관리가 어려움</t>
  </si>
  <si>
    <t xml:space="preserve">middleware의 존재로 성능 효율이 좋은 편이라고 볼 수 없음 </t>
  </si>
  <si>
    <t>edge별 환경 및 버전 차이로 수정에 어려울 수 있음</t>
  </si>
  <si>
    <t>서비스 수만큼 프로세스/컨테이너가 늘어나고 서비스 간 네트워크 통신이 잦아져, 인프라·통신 오버헤드가 커진다</t>
  </si>
  <si>
    <t>표준화된 통신 보장으로 intermediary 수정 없이 service provider 및 customer 변경이 용이. 단 intermediary 변경은 아려움</t>
  </si>
  <si>
    <t>코드와 data store를 서비스 간 공유하지 않아 의존성이 최소화되므로, 한 서비스의 기능 변경·추가가 다른 서비스에 영향을 주지 않는다</t>
  </si>
  <si>
    <t xml:space="preserve">middleware의 존재로 시간효율 및 자원효율이 좋은 편이라고 볼 수 없음 </t>
  </si>
  <si>
    <t>분석용 자원을 최종 사용자 가까이에 두기에 속도 측면 좋음</t>
  </si>
  <si>
    <t>세분화된 서비스가 많아질수록 서비스 간 원격 통신이 늘고, 의존 체인이 길어지면 누적 latency가 커져 응답 성능이 저하되기 쉽다</t>
  </si>
  <si>
    <t>표준화된 통신으로 output 이 명확한 편으로 fault dealing이 용이함</t>
  </si>
  <si>
    <t>장애 격리로 오류 확산을 줄일 수 있지만, 분산된 만큼 실패 지점이 늘어날 수도 있다.</t>
  </si>
  <si>
    <t>로컬에서 즉각적인 대응 가능하여 safety 높음</t>
  </si>
  <si>
    <t>표준화된 통신에서 기본적인 authentication 절차를 거침</t>
  </si>
  <si>
    <t>서비스별 인증·권한 분리가 가능하지만, 외부에 노출되는 API와 통신 경로 및 관리 대상이 증가하여 공격 표면이 넓어진다.</t>
  </si>
  <si>
    <t>많은 데이터가 core 밖에서 처리되어 유출, 도난 침해 가능</t>
  </si>
  <si>
    <t>테스트 단위 명문화가 가능하고 (e.g. service provider-intermediary) 표준화된 통신으로 expected output이 명확함</t>
  </si>
  <si>
    <t>여러 서비스를 함께 검증하려면 네트워크, 데이터 저장소, 메시지 시스템 등의 실행 환경이 필요하며 비동기·분산 동작의 재현도 어렵다.</t>
  </si>
  <si>
    <t>service customer 및 provider 반영이 유연하고 빠름</t>
  </si>
  <si>
    <t>Micro-Service 구조 자체는 사용자 인터페이스와 직접적인 관계가 없다.</t>
  </si>
  <si>
    <t>각 edge별 test는 용이하나 중앙과 연결된 전체 test시 복잡해짐</t>
  </si>
  <si>
    <t>연관성 없다고 판단</t>
  </si>
  <si>
    <t>중앙 서버에 모든 처리를 의존하지 않고 여러 Edge에서 서비스를 제공할 수 있어 장애 격리에 유리하다. 하지만 특정 Edge 장비가 고장나면 해당 지역 사용자가 영향을 받을 수 있다.</t>
  </si>
  <si>
    <t>수많은 분산 엣지 디바이스에 업데이트를 배포하고 관리하는 것이 매우 복잡함</t>
  </si>
  <si>
    <t>interface가 표준화 되어 있다는 전제 하에 edge node를 추가하기 용이하기 때문에 다른 시스템과의 통합이 용이하다.</t>
  </si>
  <si>
    <t>클라우드와 엣지에서 수행되어야 할 요청 종류별 분산을 통해 연산의 효율성이 증대</t>
  </si>
  <si>
    <t>중앙 site 는 여러 결합으로 수정 어렵지만, 로컬 site는 변경 용이</t>
  </si>
  <si>
    <t>데이터가 발생하거나 사용되는 위치와 가까운 Edge 장치에서 처리하므로 중앙 서버까지의 왕복 통신을 줄여 응답 지연과 네트워크 트래픽을 크게 감소시킨다.</t>
  </si>
  <si>
    <t>네트워크 연결이 일시적으로 끊겨도 Edge에서 로컬 처리를 계속할 수 있어 안전성/연속성에 유리할 수 있다. 다만 분산된 Edge 장비를 안전하게 관리해야 한다.</t>
  </si>
  <si>
    <t>물리적으로 노출된 다수의 디바이스가 공격 대상이 됨</t>
  </si>
  <si>
    <t>여러 edge device/node와 network 환경이 맞물려있기 떄문에 통합 테스트가 어렵다.</t>
  </si>
  <si>
    <t>실시간 응답성이 필요한 연산들은 실제 서버까지 갈 필요없이 엣지에서 이루어지고 응답이 돌아오기 때문에 응답시간 단축으로 인한 사용자 경험 증대 기대</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</si>
</sst>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b/>
      <sz val="11.0"/>
      <color rgb="FFFFFFFF"/>
      <name val="Calibri"/>
    </font>
    <font/>
    <font>
      <color theme="1"/>
      <name val="Calibri"/>
      <scheme val="minor"/>
    </font>
    <font>
      <b/>
      <sz val="11.0"/>
      <color rgb="FF000000"/>
      <name val="Calibri"/>
    </font>
    <font>
      <sz val="11.0"/>
      <color rgb="FF000000"/>
      <name val="Calibri"/>
    </font>
    <font>
      <sz val="11.0"/>
      <color theme="1"/>
      <name val="Calibri"/>
    </font>
    <font>
      <sz val="11.0"/>
      <color rgb="FFA61C00"/>
      <name val="Calibri"/>
    </font>
    <font>
      <sz val="11.0"/>
      <color theme="8"/>
      <name val="Calibri"/>
    </font>
    <font>
      <sz val="11.0"/>
      <color rgb="FF000000"/>
      <name val="&quot;맑은 고딕&quot;"/>
    </font>
    <font>
      <sz val="11.0"/>
      <color theme="1"/>
      <name val="Arial"/>
    </font>
    <font>
      <sz val="11.0"/>
      <color theme="1"/>
      <name val="Malgun Gothic"/>
    </font>
    <font>
      <sz val="11.0"/>
      <color rgb="FF121F3C"/>
      <name val="Calibri"/>
    </font>
    <font>
      <sz val="11.0"/>
      <color rgb="FF121F3C"/>
      <name val="Apple SD Gothic Neo"/>
    </font>
    <font>
      <sz val="11.0"/>
      <color rgb="FF121F3C"/>
      <name val="Arial"/>
    </font>
    <font>
      <sz val="11.0"/>
      <color theme="1"/>
      <name val="Noto Sans CJK SC"/>
    </font>
    <font>
      <b/>
      <sz val="11.0"/>
      <color theme="1"/>
      <name val="Calibri"/>
    </font>
    <font>
      <sz val="11.0"/>
      <color theme="1"/>
      <name val="Noto Sans"/>
    </font>
    <font>
      <sz val="11.0"/>
      <color theme="1"/>
      <name val="Segoe UI"/>
    </font>
    <font>
      <sz val="12.0"/>
      <color theme="1"/>
      <name val="Arial"/>
    </font>
    <font>
      <sz val="11.0"/>
      <color theme="1"/>
      <name val="-apple-system-body"/>
    </font>
  </fonts>
  <fills count="7">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FFFF00"/>
        <bgColor rgb="FFFFFF00"/>
      </patternFill>
    </fill>
    <fill>
      <patternFill patternType="solid">
        <fgColor rgb="FFFFFFFF"/>
        <bgColor rgb="FFFFFFFF"/>
      </patternFill>
    </fill>
    <fill>
      <patternFill patternType="solid">
        <fgColor theme="0"/>
        <bgColor theme="0"/>
      </patternFill>
    </fill>
  </fills>
  <borders count="25">
    <border/>
    <border>
      <left style="thin">
        <color rgb="FFBFBFBF"/>
      </left>
      <right style="thin">
        <color rgb="FFBFBFBF"/>
      </right>
      <top style="thin">
        <color rgb="FFBFBFBF"/>
      </top>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bottom style="thin">
        <color rgb="FFBFBFBF"/>
      </bottom>
    </border>
    <border>
      <left style="thin">
        <color rgb="FFBFBFBF"/>
      </left>
      <right style="thin">
        <color rgb="FFBFBFBF"/>
      </right>
      <top style="thin">
        <color rgb="FFBFBFBF"/>
      </top>
      <bottom style="thin">
        <color rgb="FFBFBFBF"/>
      </bottom>
    </border>
    <border>
      <left style="thin">
        <color rgb="FFBFBFBF"/>
      </left>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ttom/>
    </border>
    <border>
      <left style="thin">
        <color rgb="FF000000"/>
      </left>
      <right style="thin">
        <color rgb="FF000000"/>
      </right>
      <top/>
      <bottom/>
    </border>
    <border>
      <right style="thin">
        <color rgb="FF000000"/>
      </right>
    </border>
    <border>
      <left style="thin">
        <color rgb="FF000000"/>
      </left>
      <right style="thin">
        <color rgb="FF000000"/>
      </right>
      <top/>
      <bottom style="thin">
        <color rgb="FF000000"/>
      </bottom>
    </border>
    <border>
      <left/>
      <top style="thin">
        <color rgb="FF000000"/>
      </top>
      <bottom style="thin">
        <color rgb="FF000000"/>
      </bottom>
    </border>
    <border>
      <left/>
      <right/>
      <top/>
      <bottom/>
    </border>
    <border>
      <left style="thin">
        <color rgb="FF000000"/>
      </left>
      <top style="thin">
        <color rgb="FF000000"/>
      </top>
    </border>
    <border>
      <left style="thin">
        <color rgb="FF000000"/>
      </left>
      <bottom style="thin">
        <color rgb="FF000000"/>
      </bottom>
    </border>
    <border>
      <left style="thin">
        <color rgb="FF000000"/>
      </left>
      <top style="thin">
        <color rgb="FF000000"/>
      </top>
      <bottom/>
    </border>
    <border>
      <top style="thin">
        <color rgb="FF000000"/>
      </top>
      <bottom style="thin">
        <color rgb="FF000000"/>
      </bottom>
    </border>
    <border>
      <left style="thin">
        <color rgb="FF000000"/>
      </left>
      <right style="thin">
        <color rgb="FF000000"/>
      </right>
    </border>
    <border>
      <bottom style="thin">
        <color rgb="FF000000"/>
      </bottom>
    </border>
  </borders>
  <cellStyleXfs count="1">
    <xf borderId="0" fillId="0" fontId="0" numFmtId="0" applyAlignment="1" applyFont="1"/>
  </cellStyleXfs>
  <cellXfs count="19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ill="1" applyFont="1">
      <alignment horizontal="center" shrinkToFit="0" vertical="center" wrapText="1"/>
    </xf>
    <xf borderId="3" fillId="0" fontId="2" numFmtId="0" xfId="0" applyBorder="1" applyFont="1"/>
    <xf borderId="0" fillId="0" fontId="3" numFmtId="0" xfId="0" applyAlignment="1" applyFont="1">
      <alignment shrinkToFit="0" wrapText="1"/>
    </xf>
    <xf borderId="4" fillId="0" fontId="2" numFmtId="0" xfId="0" applyBorder="1" applyFont="1"/>
    <xf borderId="5" fillId="2" fontId="1" numFmtId="0" xfId="0" applyAlignment="1" applyBorder="1" applyFill="1" applyFont="1">
      <alignment horizontal="center" shrinkToFit="0" vertical="center" wrapText="1"/>
    </xf>
    <xf borderId="5" fillId="3" fontId="4" numFmtId="0" xfId="0" applyAlignment="1" applyBorder="1" applyFill="1" applyFont="1">
      <alignment horizontal="center" shrinkToFit="0" vertical="center" wrapText="1"/>
    </xf>
    <xf borderId="5" fillId="3" fontId="4" numFmtId="49" xfId="0" applyAlignment="1" applyBorder="1" applyFill="1" applyFont="1" applyNumberFormat="1">
      <alignment horizontal="center" shrinkToFit="0" vertical="center" wrapText="1"/>
    </xf>
    <xf borderId="5" fillId="0" fontId="5" numFmtId="0" xfId="0" applyAlignment="1" applyBorder="1" applyFont="1">
      <alignment horizontal="left" shrinkToFit="0" vertical="center" wrapText="1"/>
    </xf>
    <xf borderId="5" fillId="0" fontId="6" numFmtId="49" xfId="0" applyAlignment="1" applyBorder="1" applyFont="1" applyNumberFormat="1">
      <alignment horizontal="center" shrinkToFit="0" vertical="center" wrapText="1"/>
    </xf>
    <xf borderId="5" fillId="0" fontId="6" numFmtId="0" xfId="0" applyAlignment="1" applyBorder="1" applyFont="1">
      <alignment horizontal="left" shrinkToFit="0" vertical="center" wrapText="1"/>
    </xf>
    <xf borderId="0" fillId="0" fontId="3" numFmtId="0" xfId="0" applyAlignment="1" applyFont="1">
      <alignment readingOrder="0" shrinkToFit="0" wrapText="1"/>
    </xf>
    <xf borderId="5" fillId="0" fontId="6" numFmtId="49" xfId="0" applyAlignment="1" applyBorder="1" applyFont="1" applyNumberFormat="1">
      <alignment horizontal="left" shrinkToFit="0" vertical="center" wrapText="1"/>
    </xf>
    <xf borderId="5" fillId="0" fontId="6" numFmtId="0" xfId="0" applyAlignment="1" applyBorder="1" applyFont="1">
      <alignment horizontal="center" shrinkToFit="0" vertical="center" wrapText="1"/>
    </xf>
    <xf borderId="0" fillId="0" fontId="3" numFmtId="0" xfId="0" applyAlignment="1" applyFont="1">
      <alignment readingOrder="0" shrinkToFit="0" vertical="center" wrapText="1"/>
    </xf>
    <xf borderId="5" fillId="0" fontId="7" numFmtId="0" xfId="0" applyAlignment="1" applyBorder="1" applyFont="1">
      <alignment horizontal="left" shrinkToFit="0" vertical="center" wrapText="1"/>
    </xf>
    <xf borderId="5" fillId="0" fontId="7" numFmtId="49" xfId="0" applyAlignment="1" applyBorder="1" applyFont="1" applyNumberFormat="1">
      <alignment horizontal="left" shrinkToFit="0" vertical="center" wrapText="1"/>
    </xf>
    <xf borderId="5" fillId="0" fontId="8" numFmtId="0" xfId="0" applyAlignment="1" applyBorder="1" applyFont="1">
      <alignment horizontal="left" shrinkToFit="0" vertical="center" wrapText="1"/>
    </xf>
    <xf borderId="5" fillId="0" fontId="8" numFmtId="49" xfId="0" applyAlignment="1" applyBorder="1" applyFont="1" applyNumberFormat="1">
      <alignment horizontal="left" shrinkToFit="0" vertical="center" wrapText="1"/>
    </xf>
    <xf borderId="5" fillId="0" fontId="6" numFmtId="49" xfId="0" applyAlignment="1" applyBorder="1" applyFont="1" applyNumberFormat="1">
      <alignment horizontal="left" readingOrder="0" shrinkToFit="0" vertical="center" wrapText="1"/>
    </xf>
    <xf borderId="5" fillId="0" fontId="5" numFmtId="0" xfId="0" applyAlignment="1" applyBorder="1" applyFont="1">
      <alignment shrinkToFit="0" vertical="center" wrapText="1"/>
    </xf>
    <xf borderId="5" fillId="0" fontId="6" numFmtId="49" xfId="0" applyAlignment="1" applyBorder="1" applyFont="1" applyNumberFormat="1">
      <alignment shrinkToFit="0" vertical="center" wrapText="1"/>
    </xf>
    <xf borderId="5" fillId="0" fontId="6" numFmtId="0" xfId="0" applyAlignment="1" applyBorder="1" applyFont="1">
      <alignment shrinkToFit="0" vertical="center" wrapText="1"/>
    </xf>
    <xf borderId="0" fillId="0" fontId="5" numFmtId="0" xfId="0" applyAlignment="1" applyFont="1">
      <alignment shrinkToFit="0" vertical="bottom" wrapText="1"/>
    </xf>
    <xf borderId="6" fillId="0" fontId="5" numFmtId="0" xfId="0" applyAlignment="1" applyBorder="1" applyFont="1">
      <alignment horizontal="left" readingOrder="0" shrinkToFit="0" vertical="bottom" wrapText="1"/>
    </xf>
    <xf borderId="6" fillId="0" fontId="2" numFmtId="0" xfId="0" applyBorder="1" applyFont="1"/>
    <xf borderId="5" fillId="0" fontId="7" numFmtId="0" xfId="0" applyAlignment="1" applyBorder="1" applyFont="1">
      <alignment shrinkToFit="0" vertical="center" wrapText="1"/>
    </xf>
    <xf borderId="7" fillId="2" fontId="1" numFmtId="0" xfId="0" applyAlignment="1" applyBorder="1" applyFill="1" applyFont="1">
      <alignment horizontal="center" shrinkToFit="0" wrapText="1"/>
    </xf>
    <xf borderId="8" fillId="2" fontId="1" numFmtId="0" xfId="0" applyAlignment="1" applyBorder="1" applyFill="1" applyFont="1">
      <alignment horizontal="center" shrinkToFit="0" wrapText="1"/>
    </xf>
    <xf borderId="9" fillId="0" fontId="2" numFmtId="0" xfId="0" applyBorder="1" applyFont="1"/>
    <xf borderId="10" fillId="0" fontId="2" numFmtId="0" xfId="0" applyBorder="1" applyFont="1"/>
    <xf borderId="11" fillId="2" fontId="1" numFmtId="0" xfId="0" applyAlignment="1" applyBorder="1" applyFill="1" applyFont="1">
      <alignment horizontal="center" shrinkToFit="0" wrapText="1"/>
    </xf>
    <xf borderId="11" fillId="3" fontId="4" numFmtId="0" xfId="0" applyAlignment="1" applyBorder="1" applyFill="1" applyFont="1">
      <alignment horizontal="center" shrinkToFit="0" wrapText="1"/>
    </xf>
    <xf borderId="11" fillId="0" fontId="6" numFmtId="0" xfId="0" applyAlignment="1" applyBorder="1" applyFont="1">
      <alignment shrinkToFit="0" wrapText="1"/>
    </xf>
    <xf borderId="11" fillId="0" fontId="6" numFmtId="49" xfId="0" applyAlignment="1" applyBorder="1" applyFont="1" applyNumberFormat="1">
      <alignment shrinkToFit="0" wrapText="1"/>
    </xf>
    <xf borderId="12" fillId="0" fontId="5" numFmtId="0" xfId="0" applyAlignment="1" applyBorder="1" applyFont="1">
      <alignment horizontal="left" readingOrder="0" shrinkToFit="0" vertical="bottom" wrapText="1"/>
    </xf>
    <xf borderId="12" fillId="0" fontId="2" numFmtId="0" xfId="0" applyBorder="1" applyFont="1"/>
    <xf borderId="12" fillId="0" fontId="9" numFmtId="0" xfId="0" applyAlignment="1" applyBorder="1" applyFont="1">
      <alignment horizontal="left" readingOrder="0" shrinkToFit="0" vertical="bottom" wrapText="1"/>
    </xf>
    <xf borderId="7" fillId="4" fontId="10" numFmtId="0" xfId="0" applyAlignment="1" applyBorder="1" applyFill="1" applyFont="1">
      <alignment horizontal="center" shrinkToFit="0" wrapText="1"/>
    </xf>
    <xf borderId="8" fillId="4" fontId="10" numFmtId="0" xfId="0" applyAlignment="1" applyBorder="1" applyFill="1" applyFont="1">
      <alignment horizontal="center" shrinkToFit="0" wrapText="1"/>
    </xf>
    <xf borderId="11" fillId="0" fontId="10" numFmtId="0" xfId="0" applyAlignment="1" applyBorder="1" applyFont="1">
      <alignment horizontal="center" shrinkToFit="0" wrapText="1"/>
    </xf>
    <xf borderId="11" fillId="0" fontId="10" numFmtId="0" xfId="0" applyAlignment="1" applyBorder="1" applyFont="1">
      <alignment shrinkToFit="0" wrapText="1"/>
    </xf>
    <xf borderId="11" fillId="0" fontId="11" numFmtId="0" xfId="0" applyAlignment="1" applyBorder="1" applyFont="1">
      <alignment horizontal="center" shrinkToFit="0" wrapText="1"/>
    </xf>
    <xf borderId="11" fillId="0" fontId="11" numFmtId="0" xfId="0" applyAlignment="1" applyBorder="1" applyFont="1">
      <alignment shrinkToFit="0" wrapText="1"/>
    </xf>
    <xf borderId="11" fillId="0" fontId="11" numFmtId="49" xfId="0" applyAlignment="1" applyBorder="1" applyFont="1" applyNumberFormat="1">
      <alignment horizontal="center" shrinkToFit="0" wrapText="1"/>
    </xf>
    <xf borderId="11" fillId="0" fontId="11" numFmtId="49" xfId="0" applyAlignment="1" applyBorder="1" applyFont="1" applyNumberFormat="1">
      <alignment shrinkToFit="0" wrapText="1"/>
    </xf>
    <xf borderId="0" fillId="0" fontId="10" numFmtId="0" xfId="0" applyAlignment="1" applyFont="1">
      <alignment shrinkToFit="0" wrapText="1"/>
    </xf>
    <xf borderId="11" fillId="0" fontId="10" numFmtId="49" xfId="0" applyAlignment="1" applyBorder="1" applyFont="1" applyNumberFormat="1">
      <alignment shrinkToFit="0" wrapText="1"/>
    </xf>
    <xf borderId="0" fillId="0" fontId="6" numFmtId="0" xfId="0" applyFont="1"/>
    <xf borderId="13" fillId="4" fontId="10" numFmtId="0" xfId="0" applyAlignment="1" applyBorder="1" applyFill="1" applyFont="1">
      <alignment horizontal="center" shrinkToFit="0" wrapText="1"/>
    </xf>
    <xf borderId="14" fillId="4" fontId="6" numFmtId="0" xfId="0" applyBorder="1" applyFill="1" applyFont="1"/>
    <xf borderId="15" fillId="0" fontId="10" numFmtId="0" xfId="0" applyAlignment="1" applyBorder="1" applyFont="1">
      <alignment horizontal="center" shrinkToFit="0" wrapText="1"/>
    </xf>
    <xf borderId="16" fillId="4" fontId="6" numFmtId="0" xfId="0" applyBorder="1" applyFill="1" applyFont="1"/>
    <xf borderId="0" fillId="0" fontId="11" numFmtId="0" xfId="0" applyFont="1"/>
    <xf borderId="0" fillId="0" fontId="11" numFmtId="49" xfId="0" applyFont="1" applyNumberFormat="1"/>
    <xf borderId="0" fillId="0" fontId="6" numFmtId="49" xfId="0" applyFont="1" applyNumberFormat="1"/>
    <xf borderId="8" fillId="4" fontId="10" numFmtId="49" xfId="0" applyAlignment="1" applyBorder="1" applyFill="1" applyFont="1" applyNumberFormat="1">
      <alignment horizontal="center" shrinkToFit="0" wrapText="1"/>
    </xf>
    <xf borderId="11" fillId="0" fontId="10" numFmtId="49" xfId="0" applyAlignment="1" applyBorder="1" applyFont="1" applyNumberFormat="1">
      <alignment horizontal="center" shrinkToFit="0" wrapText="1"/>
    </xf>
    <xf borderId="7" fillId="4" fontId="10" numFmtId="0" xfId="0" applyAlignment="1" applyBorder="1" applyFill="1" applyFont="1">
      <alignment horizontal="center" shrinkToFit="0" vertical="center" wrapText="1"/>
    </xf>
    <xf borderId="17" fillId="4" fontId="10" numFmtId="0" xfId="0" applyAlignment="1" applyBorder="1" applyFill="1" applyFont="1">
      <alignment horizontal="center" shrinkToFit="0" vertical="center" wrapText="1"/>
    </xf>
    <xf borderId="0" fillId="0" fontId="3" numFmtId="0" xfId="0" applyAlignment="1" applyFont="1">
      <alignment vertical="center"/>
    </xf>
    <xf borderId="11" fillId="0" fontId="10" numFmtId="0" xfId="0" applyAlignment="1" applyBorder="1" applyFont="1">
      <alignment horizontal="center" shrinkToFit="0" vertical="center" wrapText="1"/>
    </xf>
    <xf borderId="11" fillId="0" fontId="10" numFmtId="0" xfId="0" applyAlignment="1" applyBorder="1" applyFont="1">
      <alignment shrinkToFit="0" vertical="center" wrapText="1"/>
    </xf>
    <xf quotePrefix="1" borderId="11" fillId="5" fontId="6" numFmtId="49" xfId="0" applyAlignment="1" applyBorder="1" applyFill="1" applyFont="1" applyNumberFormat="1">
      <alignment vertical="center"/>
    </xf>
    <xf borderId="11" fillId="5" fontId="6" numFmtId="0" xfId="0" applyAlignment="1" applyBorder="1" applyFill="1" applyFont="1">
      <alignment vertical="center"/>
    </xf>
    <xf borderId="5" fillId="0" fontId="6" numFmtId="0" xfId="0" applyAlignment="1" applyBorder="1" applyFont="1">
      <alignment vertical="center"/>
    </xf>
    <xf borderId="18" fillId="5" fontId="6" numFmtId="0" xfId="0" applyAlignment="1" applyBorder="1" applyFill="1" applyFont="1">
      <alignment vertical="center"/>
    </xf>
    <xf borderId="12" fillId="0" fontId="6" numFmtId="0" xfId="0" applyBorder="1" applyFont="1"/>
    <xf borderId="0" fillId="0" fontId="6" numFmtId="0" xfId="0" applyAlignment="1" applyFont="1">
      <alignment vertical="center"/>
    </xf>
    <xf borderId="0" fillId="0" fontId="6" numFmtId="49" xfId="0" applyAlignment="1" applyFont="1" applyNumberFormat="1">
      <alignment vertical="center"/>
    </xf>
    <xf borderId="13" fillId="4" fontId="10" numFmtId="0" xfId="0" applyAlignment="1" applyBorder="1" applyFill="1" applyFont="1">
      <alignment horizontal="center" shrinkToFit="0" vertical="center" wrapText="1"/>
    </xf>
    <xf borderId="17" fillId="4" fontId="10" numFmtId="49" xfId="0" applyAlignment="1" applyBorder="1" applyFill="1" applyFont="1" applyNumberFormat="1">
      <alignment horizontal="center" shrinkToFit="0" vertical="center" wrapText="1"/>
    </xf>
    <xf borderId="14" fillId="4" fontId="6" numFmtId="0" xfId="0" applyAlignment="1" applyBorder="1" applyFill="1" applyFont="1">
      <alignment vertical="center"/>
    </xf>
    <xf borderId="15" fillId="0" fontId="10" numFmtId="0" xfId="0" applyAlignment="1" applyBorder="1" applyFont="1">
      <alignment horizontal="center" shrinkToFit="0" vertical="center" wrapText="1"/>
    </xf>
    <xf borderId="15" fillId="0" fontId="10" numFmtId="49" xfId="0" applyAlignment="1" applyBorder="1" applyFont="1" applyNumberFormat="1">
      <alignment horizontal="center" shrinkToFit="0" vertical="center" wrapText="1"/>
    </xf>
    <xf quotePrefix="1" borderId="11" fillId="5" fontId="6" numFmtId="49" xfId="0" applyAlignment="1" applyBorder="1" applyFill="1" applyFont="1" applyNumberFormat="1">
      <alignment readingOrder="0" vertical="center"/>
    </xf>
    <xf borderId="11" fillId="5" fontId="6" numFmtId="0" xfId="0" applyAlignment="1" applyBorder="1" applyFill="1" applyFont="1">
      <alignment readingOrder="0" vertical="center"/>
    </xf>
    <xf borderId="16" fillId="4" fontId="6" numFmtId="0" xfId="0" applyAlignment="1" applyBorder="1" applyFill="1" applyFont="1">
      <alignment vertical="center"/>
    </xf>
    <xf borderId="11" fillId="0" fontId="10" numFmtId="49" xfId="0" applyAlignment="1" applyBorder="1" applyFont="1" applyNumberFormat="1">
      <alignment horizontal="center" shrinkToFit="0" vertical="center" wrapText="1"/>
    </xf>
    <xf borderId="17" fillId="4" fontId="10" numFmtId="0" xfId="0" applyAlignment="1" applyBorder="1" applyFill="1" applyFont="1">
      <alignment horizontal="center" shrinkToFit="0" wrapText="1"/>
    </xf>
    <xf borderId="11" fillId="6" fontId="6" numFmtId="49" xfId="0" applyAlignment="1" applyBorder="1" applyFill="1" applyFont="1" applyNumberFormat="1">
      <alignment readingOrder="0"/>
    </xf>
    <xf borderId="11" fillId="6" fontId="6" numFmtId="0" xfId="0" applyAlignment="1" applyBorder="1" applyFill="1" applyFont="1">
      <alignment readingOrder="0"/>
    </xf>
    <xf quotePrefix="1" borderId="11" fillId="6" fontId="6" numFmtId="49" xfId="0" applyAlignment="1" applyBorder="1" applyFill="1" applyFont="1" applyNumberFormat="1">
      <alignment readingOrder="0"/>
    </xf>
    <xf borderId="18" fillId="6" fontId="6" numFmtId="0" xfId="0" applyAlignment="1" applyBorder="1" applyFill="1" applyFont="1">
      <alignment readingOrder="0"/>
    </xf>
    <xf borderId="17" fillId="4" fontId="10" numFmtId="49" xfId="0" applyAlignment="1" applyBorder="1" applyFill="1" applyFont="1" applyNumberFormat="1">
      <alignment horizontal="center" shrinkToFit="0" wrapText="1"/>
    </xf>
    <xf borderId="15" fillId="0" fontId="10" numFmtId="49" xfId="0" applyAlignment="1" applyBorder="1" applyFont="1" applyNumberFormat="1">
      <alignment horizontal="center" shrinkToFit="0" wrapText="1"/>
    </xf>
    <xf borderId="0" fillId="0" fontId="11" numFmtId="0" xfId="0" applyAlignment="1" applyFont="1">
      <alignment vertical="center"/>
    </xf>
    <xf borderId="11" fillId="6" fontId="6" numFmtId="49" xfId="0" applyAlignment="1" applyBorder="1" applyFill="1" applyFont="1" applyNumberFormat="1">
      <alignment vertical="center"/>
    </xf>
    <xf borderId="11" fillId="6" fontId="6" numFmtId="0" xfId="0" applyAlignment="1" applyBorder="1" applyFill="1" applyFont="1">
      <alignment vertical="center"/>
    </xf>
    <xf borderId="0" fillId="0" fontId="11" numFmtId="49" xfId="0" applyAlignment="1" applyFont="1" applyNumberFormat="1">
      <alignment vertical="center"/>
    </xf>
    <xf borderId="11" fillId="6" fontId="6" numFmtId="49" xfId="0" applyBorder="1" applyFill="1" applyFont="1" applyNumberFormat="1"/>
    <xf quotePrefix="1" borderId="11" fillId="5" fontId="6" numFmtId="49" xfId="0" applyBorder="1" applyFill="1" applyFont="1" applyNumberFormat="1"/>
    <xf borderId="11" fillId="6" fontId="6" numFmtId="0" xfId="0" applyBorder="1" applyFill="1" applyFont="1"/>
    <xf borderId="11" fillId="5" fontId="6" numFmtId="0" xfId="0" applyBorder="1" applyFill="1" applyFont="1"/>
    <xf borderId="18" fillId="5" fontId="6" numFmtId="0" xfId="0" applyBorder="1" applyFill="1" applyFont="1"/>
    <xf borderId="0" fillId="0" fontId="6" numFmtId="0" xfId="0" applyAlignment="1" applyFont="1">
      <alignment vertical="bottom"/>
    </xf>
    <xf quotePrefix="1" borderId="11" fillId="5" fontId="6" numFmtId="49" xfId="0" applyAlignment="1" applyBorder="1" applyFill="1" applyFont="1" applyNumberFormat="1">
      <alignment vertical="bottom"/>
    </xf>
    <xf borderId="11" fillId="5" fontId="6" numFmtId="0" xfId="0" applyAlignment="1" applyBorder="1" applyFill="1" applyFont="1">
      <alignment vertical="bottom"/>
    </xf>
    <xf borderId="0" fillId="5" fontId="6" numFmtId="0" xfId="0" applyAlignment="1" applyFill="1" applyFont="1">
      <alignment vertical="bottom"/>
    </xf>
    <xf quotePrefix="1" borderId="11" fillId="0" fontId="6" numFmtId="49" xfId="0" applyAlignment="1" applyBorder="1" applyFont="1" applyNumberFormat="1">
      <alignment vertical="bottom"/>
    </xf>
    <xf borderId="11" fillId="0" fontId="6" numFmtId="0" xfId="0" applyAlignment="1" applyBorder="1" applyFont="1">
      <alignment vertical="bottom"/>
    </xf>
    <xf borderId="0" fillId="0" fontId="10" numFmtId="0" xfId="0" applyAlignment="1" applyFont="1">
      <alignment vertical="bottom"/>
    </xf>
    <xf borderId="18" fillId="6" fontId="6" numFmtId="0" xfId="0" applyAlignment="1" applyBorder="1" applyFill="1" applyFont="1">
      <alignment vertical="center"/>
    </xf>
    <xf borderId="18" fillId="6" fontId="6" numFmtId="0" xfId="0" applyBorder="1" applyFill="1" applyFont="1"/>
    <xf borderId="11" fillId="5" fontId="6" numFmtId="49" xfId="0" applyAlignment="1" applyBorder="1" applyFill="1" applyFont="1" applyNumberFormat="1">
      <alignment vertical="bottom"/>
    </xf>
    <xf borderId="11" fillId="5" fontId="6" numFmtId="0" xfId="0" applyAlignment="1" applyBorder="1" applyFill="1" applyFont="1">
      <alignment shrinkToFit="0" vertical="bottom" wrapText="1"/>
    </xf>
    <xf borderId="0" fillId="0" fontId="12" numFmtId="0" xfId="0" applyAlignment="1" applyFont="1">
      <alignment vertical="bottom"/>
    </xf>
    <xf borderId="11" fillId="5" fontId="11" numFmtId="0" xfId="0" applyAlignment="1" applyBorder="1" applyFill="1" applyFont="1">
      <alignment shrinkToFit="0" wrapText="1"/>
    </xf>
    <xf borderId="11" fillId="5" fontId="13" numFmtId="0" xfId="0" applyAlignment="1" applyBorder="1" applyFill="1" applyFont="1">
      <alignment vertical="bottom"/>
    </xf>
    <xf borderId="11" fillId="5" fontId="14" numFmtId="0" xfId="0" applyAlignment="1" applyBorder="1" applyFill="1" applyFont="1">
      <alignment vertical="bottom"/>
    </xf>
    <xf borderId="19" fillId="4" fontId="10" numFmtId="0" xfId="0" applyAlignment="1" applyBorder="1" applyFill="1" applyFont="1">
      <alignment horizontal="center" shrinkToFit="0" wrapText="1"/>
    </xf>
    <xf borderId="17" fillId="4" fontId="10" numFmtId="0" xfId="0" applyAlignment="1" applyBorder="1" applyFill="1" applyFont="1">
      <alignment horizontal="center" shrinkToFit="0" vertical="bottom" wrapText="0"/>
    </xf>
    <xf borderId="20" fillId="0" fontId="2" numFmtId="0" xfId="0" applyBorder="1" applyFont="1"/>
    <xf borderId="11" fillId="0" fontId="10" numFmtId="0" xfId="0" applyAlignment="1" applyBorder="1" applyFont="1">
      <alignment horizontal="center" shrinkToFit="0" vertical="bottom" wrapText="0"/>
    </xf>
    <xf quotePrefix="1" borderId="11" fillId="5" fontId="6" numFmtId="49" xfId="0" applyAlignment="1" applyBorder="1" applyFill="1" applyFont="1" applyNumberFormat="1">
      <alignment shrinkToFit="0" vertical="bottom" wrapText="0"/>
    </xf>
    <xf borderId="11" fillId="0" fontId="10" numFmtId="0" xfId="0" applyAlignment="1" applyBorder="1" applyFont="1">
      <alignment shrinkToFit="0" vertical="bottom" wrapText="0"/>
    </xf>
    <xf borderId="11" fillId="5" fontId="6" numFmtId="49" xfId="0" applyAlignment="1" applyBorder="1" applyFill="1" applyFont="1" applyNumberFormat="1">
      <alignment shrinkToFit="0" vertical="top" wrapText="0"/>
    </xf>
    <xf borderId="11" fillId="5" fontId="6" numFmtId="0" xfId="0" applyAlignment="1" applyBorder="1" applyFill="1" applyFont="1">
      <alignment shrinkToFit="0" vertical="top" wrapText="0"/>
    </xf>
    <xf quotePrefix="1" borderId="11" fillId="5" fontId="6" numFmtId="49" xfId="0" applyAlignment="1" applyBorder="1" applyFill="1" applyFont="1" applyNumberFormat="1">
      <alignment shrinkToFit="0" vertical="top" wrapText="0"/>
    </xf>
    <xf borderId="11" fillId="0" fontId="10" numFmtId="0" xfId="0" applyAlignment="1" applyBorder="1" applyFont="1">
      <alignment vertical="bottom"/>
    </xf>
    <xf borderId="0" fillId="0" fontId="6" numFmtId="49" xfId="0" applyAlignment="1" applyFont="1" applyNumberFormat="1">
      <alignment vertical="bottom"/>
    </xf>
    <xf borderId="21" fillId="4" fontId="10" numFmtId="0" xfId="0" applyAlignment="1" applyBorder="1" applyFill="1" applyFont="1">
      <alignment horizontal="center" shrinkToFit="0" wrapText="1"/>
    </xf>
    <xf borderId="17" fillId="4" fontId="10" numFmtId="49" xfId="0" applyAlignment="1" applyBorder="1" applyFill="1" applyFont="1" applyNumberFormat="1">
      <alignment horizontal="center" shrinkToFit="0" vertical="bottom" wrapText="0"/>
    </xf>
    <xf borderId="15" fillId="0" fontId="10" numFmtId="0" xfId="0" applyAlignment="1" applyBorder="1" applyFont="1">
      <alignment horizontal="center" shrinkToFit="0" vertical="bottom" wrapText="0"/>
    </xf>
    <xf borderId="15" fillId="0" fontId="10" numFmtId="49" xfId="0" applyAlignment="1" applyBorder="1" applyFont="1" applyNumberFormat="1">
      <alignment horizontal="center" shrinkToFit="0" vertical="bottom" wrapText="0"/>
    </xf>
    <xf borderId="11" fillId="5" fontId="6" numFmtId="0" xfId="0" applyAlignment="1" applyBorder="1" applyFill="1" applyFont="1">
      <alignment shrinkToFit="0" vertical="bottom" wrapText="0"/>
    </xf>
    <xf borderId="11" fillId="5" fontId="6" numFmtId="49" xfId="0" applyAlignment="1" applyBorder="1" applyFill="1" applyFont="1" applyNumberFormat="1">
      <alignment vertical="top"/>
    </xf>
    <xf quotePrefix="1" borderId="11" fillId="5" fontId="6" numFmtId="49" xfId="0" applyAlignment="1" applyBorder="1" applyFill="1" applyFont="1" applyNumberFormat="1">
      <alignment vertical="top"/>
    </xf>
    <xf borderId="11" fillId="5" fontId="6" numFmtId="0" xfId="0" applyAlignment="1" applyBorder="1" applyFill="1" applyFont="1">
      <alignment vertical="top"/>
    </xf>
    <xf borderId="11" fillId="0" fontId="10" numFmtId="49" xfId="0" applyAlignment="1" applyBorder="1" applyFont="1" applyNumberFormat="1">
      <alignment horizontal="center" shrinkToFit="0" vertical="bottom" wrapText="0"/>
    </xf>
    <xf borderId="11" fillId="0" fontId="6" numFmtId="0" xfId="0" applyAlignment="1" applyBorder="1" applyFont="1">
      <alignment shrinkToFit="0" vertical="bottom" wrapText="0"/>
    </xf>
    <xf quotePrefix="1" borderId="11" fillId="0" fontId="6" numFmtId="49" xfId="0" applyAlignment="1" applyBorder="1" applyFont="1" applyNumberFormat="1">
      <alignment horizontal="center" readingOrder="0"/>
    </xf>
    <xf borderId="11" fillId="0" fontId="6" numFmtId="49" xfId="0" applyAlignment="1" applyBorder="1" applyFont="1" applyNumberFormat="1">
      <alignment readingOrder="0"/>
    </xf>
    <xf borderId="11" fillId="0" fontId="6" numFmtId="49" xfId="0" applyAlignment="1" applyBorder="1" applyFont="1" applyNumberFormat="1">
      <alignment horizontal="center" readingOrder="0"/>
    </xf>
    <xf borderId="11" fillId="0" fontId="6" numFmtId="49" xfId="0" applyBorder="1" applyFont="1" applyNumberFormat="1"/>
    <xf borderId="11" fillId="0" fontId="10" numFmtId="0" xfId="0" applyAlignment="1" applyBorder="1" applyFont="1">
      <alignment horizontal="center" readingOrder="0" shrinkToFit="0" wrapText="1"/>
    </xf>
    <xf borderId="11" fillId="0" fontId="10" numFmtId="49" xfId="0" applyAlignment="1" applyBorder="1" applyFont="1" applyNumberFormat="1">
      <alignment horizontal="center" readingOrder="0" shrinkToFit="0" wrapText="1"/>
    </xf>
    <xf borderId="7" fillId="4" fontId="10" numFmtId="0" xfId="0" applyAlignment="1" applyBorder="1" applyFill="1" applyFont="1">
      <alignment horizontal="center" readingOrder="0" shrinkToFit="0" wrapText="1"/>
    </xf>
    <xf borderId="22" fillId="4" fontId="10" numFmtId="49" xfId="0" applyAlignment="1" applyBorder="1" applyFill="1" applyFont="1" applyNumberFormat="1">
      <alignment horizontal="center" readingOrder="0" shrinkToFit="0" wrapText="1"/>
    </xf>
    <xf borderId="9" fillId="4" fontId="10" numFmtId="49" xfId="0" applyAlignment="1" applyBorder="1" applyFill="1" applyFont="1" applyNumberFormat="1">
      <alignment horizontal="center" shrinkToFit="0" wrapText="1"/>
    </xf>
    <xf borderId="10" fillId="4" fontId="10" numFmtId="0" xfId="0" applyAlignment="1" applyBorder="1" applyFill="1" applyFont="1">
      <alignment horizontal="center" shrinkToFit="0" wrapText="1"/>
    </xf>
    <xf borderId="11" fillId="0" fontId="10" numFmtId="0" xfId="0" applyAlignment="1" applyBorder="1" applyFont="1">
      <alignment readingOrder="0" shrinkToFit="0" wrapText="1"/>
    </xf>
    <xf borderId="22" fillId="4" fontId="10" numFmtId="0" xfId="0" applyAlignment="1" applyBorder="1" applyFill="1" applyFont="1">
      <alignment horizontal="center" readingOrder="0" shrinkToFit="0" wrapText="1"/>
    </xf>
    <xf borderId="9" fillId="4" fontId="10" numFmtId="0" xfId="0" applyAlignment="1" applyBorder="1" applyFill="1" applyFont="1">
      <alignment horizontal="center" shrinkToFit="0" wrapText="1"/>
    </xf>
    <xf borderId="7" fillId="4" fontId="10" numFmtId="0" xfId="0" applyAlignment="1" applyBorder="1" applyFill="1" applyFont="1">
      <alignment horizontal="center" shrinkToFit="0" vertical="bottom" wrapText="1"/>
    </xf>
    <xf borderId="17" fillId="4" fontId="10" numFmtId="0" xfId="0" applyAlignment="1" applyBorder="1" applyFill="1" applyFont="1">
      <alignment horizontal="center" shrinkToFit="0" vertical="bottom" wrapText="1"/>
    </xf>
    <xf borderId="0" fillId="0" fontId="6" numFmtId="0" xfId="0" applyAlignment="1" applyFont="1">
      <alignment vertical="bottom"/>
    </xf>
    <xf borderId="11" fillId="0" fontId="10" numFmtId="0" xfId="0" applyAlignment="1" applyBorder="1" applyFont="1">
      <alignment horizontal="center" shrinkToFit="0" vertical="bottom" wrapText="1"/>
    </xf>
    <xf borderId="11" fillId="5" fontId="6" numFmtId="49" xfId="0" applyAlignment="1" applyBorder="1" applyFill="1" applyFont="1" applyNumberFormat="1">
      <alignment horizontal="center" vertical="bottom"/>
    </xf>
    <xf borderId="11" fillId="5" fontId="10" numFmtId="0" xfId="0" applyAlignment="1" applyBorder="1" applyFill="1" applyFont="1">
      <alignment shrinkToFit="0" vertical="top" wrapText="1"/>
    </xf>
    <xf borderId="11" fillId="5" fontId="15" numFmtId="0" xfId="0" applyAlignment="1" applyBorder="1" applyFill="1" applyFont="1">
      <alignment vertical="top"/>
    </xf>
    <xf quotePrefix="1" borderId="11" fillId="5" fontId="6" numFmtId="49" xfId="0" applyAlignment="1" applyBorder="1" applyFill="1" applyFont="1" applyNumberFormat="1">
      <alignment horizontal="center" vertical="bottom"/>
    </xf>
    <xf borderId="11" fillId="5" fontId="15" numFmtId="0" xfId="0" applyAlignment="1" applyBorder="1" applyFill="1" applyFont="1">
      <alignment shrinkToFit="0" vertical="top" wrapText="1"/>
    </xf>
    <xf borderId="0" fillId="5" fontId="15" numFmtId="0" xfId="0" applyAlignment="1" applyFill="1" applyFont="1">
      <alignment vertical="top"/>
    </xf>
    <xf borderId="7" fillId="4" fontId="10" numFmtId="0" xfId="0" applyAlignment="1" applyBorder="1" applyFill="1" applyFont="1">
      <alignment horizontal="center" vertical="bottom"/>
    </xf>
    <xf borderId="22" fillId="4" fontId="10" numFmtId="49" xfId="0" applyAlignment="1" applyBorder="1" applyFill="1" applyFont="1" applyNumberFormat="1">
      <alignment horizontal="center" vertical="bottom"/>
    </xf>
    <xf borderId="23" fillId="4" fontId="6" numFmtId="0" xfId="0" applyAlignment="1" applyBorder="1" applyFill="1" applyFont="1">
      <alignment vertical="bottom"/>
    </xf>
    <xf borderId="11" fillId="0" fontId="10" numFmtId="0" xfId="0" applyAlignment="1" applyBorder="1" applyFont="1">
      <alignment horizontal="center" vertical="bottom"/>
    </xf>
    <xf borderId="11" fillId="0" fontId="10" numFmtId="49" xfId="0" applyAlignment="1" applyBorder="1" applyFont="1" applyNumberFormat="1">
      <alignment horizontal="center" vertical="bottom"/>
    </xf>
    <xf borderId="11" fillId="0" fontId="16" numFmtId="0" xfId="0" applyAlignment="1" applyBorder="1" applyFont="1">
      <alignment horizontal="center" vertical="bottom"/>
    </xf>
    <xf borderId="11" fillId="0" fontId="16" numFmtId="49" xfId="0" applyAlignment="1" applyBorder="1" applyFont="1" applyNumberFormat="1">
      <alignment horizontal="center" vertical="bottom"/>
    </xf>
    <xf quotePrefix="1" borderId="11" fillId="0" fontId="6" numFmtId="49" xfId="0" applyAlignment="1" applyBorder="1" applyFont="1" applyNumberFormat="1">
      <alignment horizontal="center" vertical="bottom"/>
    </xf>
    <xf borderId="11" fillId="0" fontId="6" numFmtId="49" xfId="0" applyAlignment="1" applyBorder="1" applyFont="1" applyNumberFormat="1">
      <alignment horizontal="center" vertical="bottom"/>
    </xf>
    <xf borderId="22" fillId="4" fontId="10" numFmtId="0" xfId="0" applyAlignment="1" applyBorder="1" applyFill="1" applyFont="1">
      <alignment horizontal="center" vertical="bottom"/>
    </xf>
    <xf borderId="11" fillId="0" fontId="6" numFmtId="49" xfId="0" applyAlignment="1" applyBorder="1" applyFont="1" applyNumberFormat="1">
      <alignment vertical="bottom"/>
    </xf>
    <xf borderId="10" fillId="4" fontId="6" numFmtId="0" xfId="0" applyAlignment="1" applyBorder="1" applyFill="1" applyFont="1">
      <alignment vertical="bottom"/>
    </xf>
    <xf borderId="11" fillId="5" fontId="17" numFmtId="0" xfId="0" applyAlignment="1" applyBorder="1" applyFill="1" applyFont="1">
      <alignment vertical="top"/>
    </xf>
    <xf quotePrefix="1" borderId="11" fillId="5" fontId="6" numFmtId="49" xfId="0" applyAlignment="1" applyBorder="1" applyFill="1" applyFont="1" applyNumberFormat="1">
      <alignment horizontal="center" readingOrder="0" vertical="bottom"/>
    </xf>
    <xf quotePrefix="1" borderId="11" fillId="5" fontId="5" numFmtId="49" xfId="0" applyAlignment="1" applyBorder="1" applyFill="1" applyFont="1" applyNumberFormat="1">
      <alignment horizontal="center" readingOrder="0" shrinkToFit="0" wrapText="0"/>
    </xf>
    <xf borderId="11" fillId="5" fontId="6" numFmtId="49" xfId="0" applyAlignment="1" applyBorder="1" applyFill="1" applyFont="1" applyNumberFormat="1">
      <alignment horizontal="center" readingOrder="0" vertical="bottom"/>
    </xf>
    <xf borderId="11" fillId="0" fontId="10" numFmtId="0" xfId="0" applyAlignment="1" applyBorder="1" applyFont="1">
      <alignment shrinkToFit="0" vertical="bottom" wrapText="1"/>
    </xf>
    <xf borderId="18" fillId="5" fontId="6" numFmtId="0" xfId="0" applyAlignment="1" applyBorder="1" applyFill="1" applyFont="1">
      <alignment vertical="bottom"/>
    </xf>
    <xf borderId="11" fillId="5" fontId="6" numFmtId="49" xfId="0" applyAlignment="1" applyBorder="1" applyFill="1" applyFont="1" applyNumberFormat="1">
      <alignment readingOrder="0" vertical="bottom"/>
    </xf>
    <xf borderId="11" fillId="5" fontId="6" numFmtId="0" xfId="0" applyAlignment="1" applyBorder="1" applyFill="1" applyFont="1">
      <alignment readingOrder="0" vertical="bottom"/>
    </xf>
    <xf borderId="13" fillId="4" fontId="10" numFmtId="0" xfId="0" applyAlignment="1" applyBorder="1" applyFill="1" applyFont="1">
      <alignment horizontal="center" shrinkToFit="0" vertical="bottom" wrapText="1"/>
    </xf>
    <xf borderId="17" fillId="4" fontId="10" numFmtId="49" xfId="0" applyAlignment="1" applyBorder="1" applyFill="1" applyFont="1" applyNumberFormat="1">
      <alignment horizontal="center" shrinkToFit="0" vertical="bottom" wrapText="1"/>
    </xf>
    <xf borderId="14" fillId="4" fontId="6" numFmtId="0" xfId="0" applyAlignment="1" applyBorder="1" applyFill="1" applyFont="1">
      <alignment vertical="bottom"/>
    </xf>
    <xf borderId="15" fillId="0" fontId="10" numFmtId="0" xfId="0" applyAlignment="1" applyBorder="1" applyFont="1">
      <alignment horizontal="center" shrinkToFit="0" vertical="bottom" wrapText="1"/>
    </xf>
    <xf borderId="15" fillId="0" fontId="10" numFmtId="49" xfId="0" applyAlignment="1" applyBorder="1" applyFont="1" applyNumberFormat="1">
      <alignment horizontal="center" shrinkToFit="0" vertical="bottom" wrapText="1"/>
    </xf>
    <xf borderId="5" fillId="0" fontId="6" numFmtId="49" xfId="0" applyAlignment="1" applyBorder="1" applyFont="1" applyNumberFormat="1">
      <alignment vertical="bottom"/>
    </xf>
    <xf borderId="5" fillId="0" fontId="6" numFmtId="49" xfId="0" applyBorder="1" applyFont="1" applyNumberFormat="1"/>
    <xf borderId="5" fillId="0" fontId="6" numFmtId="0" xfId="0" applyBorder="1" applyFont="1"/>
    <xf borderId="16" fillId="4" fontId="6" numFmtId="0" xfId="0" applyAlignment="1" applyBorder="1" applyFill="1" applyFont="1">
      <alignment vertical="bottom"/>
    </xf>
    <xf borderId="11" fillId="0" fontId="10" numFmtId="49" xfId="0" applyAlignment="1" applyBorder="1" applyFont="1" applyNumberFormat="1">
      <alignment horizontal="center" shrinkToFit="0" vertical="bottom" wrapText="1"/>
    </xf>
    <xf quotePrefix="1" borderId="22" fillId="5" fontId="6" numFmtId="49" xfId="0" applyAlignment="1" applyBorder="1" applyFill="1" applyFont="1" applyNumberFormat="1">
      <alignment vertical="bottom"/>
    </xf>
    <xf borderId="11" fillId="5" fontId="10" numFmtId="0" xfId="0" applyAlignment="1" applyBorder="1" applyFill="1" applyFont="1">
      <alignment vertical="bottom"/>
    </xf>
    <xf quotePrefix="1" borderId="11" fillId="5" fontId="6" numFmtId="49" xfId="0" applyAlignment="1" applyBorder="1" applyFill="1" applyFont="1" applyNumberFormat="1">
      <alignment readingOrder="0" vertical="bottom"/>
    </xf>
    <xf quotePrefix="1" borderId="24" fillId="5" fontId="6" numFmtId="49" xfId="0" applyAlignment="1" applyBorder="1" applyFill="1" applyFont="1" applyNumberFormat="1">
      <alignment vertical="bottom"/>
    </xf>
    <xf borderId="24" fillId="5" fontId="6" numFmtId="49" xfId="0" applyAlignment="1" applyBorder="1" applyFill="1" applyFont="1" applyNumberFormat="1">
      <alignment vertical="bottom"/>
    </xf>
    <xf borderId="11" fillId="5" fontId="18" numFmtId="0" xfId="0" applyAlignment="1" applyBorder="1" applyFill="1" applyFont="1">
      <alignment vertical="bottom"/>
    </xf>
    <xf borderId="0" fillId="0" fontId="6" numFmtId="0" xfId="0" applyAlignment="1" applyFont="1">
      <alignment readingOrder="0" vertical="bottom"/>
    </xf>
    <xf borderId="11" fillId="0" fontId="18" numFmtId="0" xfId="0" applyAlignment="1" applyBorder="1" applyFont="1">
      <alignment vertical="bottom"/>
    </xf>
    <xf borderId="0" fillId="5" fontId="19" numFmtId="0" xfId="0" applyAlignment="1" applyFill="1" applyFont="1">
      <alignment vertical="bottom"/>
    </xf>
    <xf borderId="0" fillId="5" fontId="19" numFmtId="0" xfId="0" applyAlignment="1" applyFill="1" applyFont="1">
      <alignment shrinkToFit="0" vertical="bottom" wrapText="1"/>
    </xf>
    <xf borderId="11" fillId="5" fontId="20" numFmtId="0" xfId="0" applyAlignment="1" applyBorder="1" applyFill="1" applyFont="1">
      <alignment vertical="bottom"/>
    </xf>
    <xf borderId="11" fillId="5" fontId="6" numFmtId="0" xfId="0" applyAlignment="1" applyBorder="1" applyFill="1" applyFont="1">
      <alignment vertical="bottom"/>
    </xf>
    <xf borderId="0" fillId="5" fontId="10" numFmtId="0" xfId="0" applyAlignment="1" applyFill="1" applyFont="1">
      <alignment vertical="bottom"/>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1"/></Relationships>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53.14"/>
    <col customWidth="1" min="4" max="4" width="7.71"/>
    <col customWidth="1" min="5" max="5" width="53.29"/>
    <col customWidth="1" min="6" max="6" width="7.71"/>
    <col customWidth="1" min="7" max="7" width="49.57"/>
  </cols>
  <sheetData>
    <row r="1">
      <c r="A1" s="1"/>
      <c r="B1" s="2" t="s">
        <v>0</v>
      </c>
      <c r="C1" s="3"/>
      <c r="D1" s="2" t="s">
        <v>1</v>
      </c>
      <c r="E1" s="3"/>
      <c r="F1" s="2" t="s">
        <v>2</v>
      </c>
      <c r="G1" s="3"/>
      <c r="H1" s="4"/>
      <c r="I1" s="4"/>
      <c r="J1" s="4"/>
      <c r="K1" s="4"/>
      <c r="L1" s="4"/>
      <c r="M1" s="4"/>
      <c r="N1" s="4"/>
      <c r="O1" s="4"/>
      <c r="P1" s="4"/>
      <c r="Q1" s="4"/>
      <c r="R1" s="4"/>
      <c r="S1" s="4"/>
      <c r="T1" s="4"/>
      <c r="U1" s="4"/>
      <c r="V1" s="4"/>
      <c r="W1" s="4"/>
      <c r="X1" s="4"/>
      <c r="Y1" s="4"/>
      <c r="Z1" s="4"/>
    </row>
    <row r="2">
      <c r="A2" s="5"/>
      <c r="B2" s="6" t="s">
        <v>11</v>
      </c>
      <c r="C2" s="6" t="s">
        <v>12</v>
      </c>
      <c r="D2" s="6" t="s">
        <v>11</v>
      </c>
      <c r="E2" s="6" t="s">
        <v>12</v>
      </c>
      <c r="F2" s="6" t="s">
        <v>11</v>
      </c>
      <c r="G2" s="6" t="s">
        <v>12</v>
      </c>
      <c r="H2" s="4"/>
      <c r="I2" s="4"/>
      <c r="J2" s="4"/>
      <c r="K2" s="4"/>
      <c r="L2" s="4"/>
      <c r="M2" s="4"/>
      <c r="N2" s="4"/>
      <c r="O2" s="4"/>
      <c r="P2" s="4"/>
      <c r="Q2" s="4"/>
      <c r="R2" s="4"/>
      <c r="S2" s="4"/>
      <c r="T2" s="4"/>
      <c r="U2" s="4"/>
      <c r="V2" s="4"/>
      <c r="W2" s="4"/>
      <c r="X2" s="4"/>
      <c r="Y2" s="4"/>
      <c r="Z2" s="4"/>
    </row>
    <row r="3">
      <c r="A3" s="7" t="s">
        <v>14</v>
      </c>
      <c r="B3" s="7" t="str">
        <f>'Detailed Reasoning'!B$3</f>
        <v/>
      </c>
      <c r="C3" s="7" t="str">
        <f>'Detailed Reasoning'!C$3</f>
        <v/>
      </c>
      <c r="D3" s="7" t="str">
        <f>'Detailed Reasoning'!D$3</f>
        <v/>
      </c>
      <c r="E3" s="7" t="str">
        <f>'Detailed Reasoning'!E$3</f>
        <v/>
      </c>
      <c r="F3" s="8" t="str">
        <f>'Detailed Reasoning'!F$3</f>
        <v/>
      </c>
      <c r="G3" s="8" t="str">
        <f>'Detailed Reasoning'!G$3</f>
        <v/>
      </c>
      <c r="H3" s="4"/>
      <c r="I3" s="4"/>
      <c r="J3" s="4"/>
      <c r="K3" s="4"/>
      <c r="L3" s="4"/>
      <c r="M3" s="4"/>
      <c r="N3" s="4"/>
      <c r="O3" s="4"/>
      <c r="P3" s="4"/>
      <c r="Q3" s="4"/>
      <c r="R3" s="4"/>
      <c r="S3" s="4"/>
      <c r="T3" s="4"/>
      <c r="U3" s="4"/>
      <c r="V3" s="4"/>
      <c r="W3" s="4"/>
      <c r="X3" s="4"/>
      <c r="Y3" s="4"/>
      <c r="Z3" s="4"/>
    </row>
    <row r="4">
      <c r="A4" s="9" t="s">
        <v>16</v>
      </c>
      <c r="B4" s="10" t="str">
        <f>'1조'!B$3</f>
        <v>-</v>
      </c>
      <c r="C4" s="11" t="str">
        <f>'1조'!C3</f>
        <v>[+] 기능 분리: 처리 단계가 구분되어 있어 장애가 발생한 단계와 원인을 파악하기 쉽고, 수정·복구 대상을 좁힐 수 있다.
[--] 순차적 실행 의존: 앞 단계가 완료되지 않으면 모든 후속 단계가 진행되지 못하므로, 한 단계의 장애가 전체 처리 결과의 제공을 막을 수 있다.
[-] 실시간 장애 복구 불가: 배치 작업 중단 시 즉시 서비스 재개가 어려움.</v>
      </c>
      <c r="D4" s="10" t="str">
        <f>'1조'!D$3</f>
        <v>-</v>
      </c>
      <c r="E4" s="11" t="str">
        <f>'1조'!E3</f>
        <v>[+] 역할 분리: 필터를 별도 실행 단위로 구성하면 장애가 발생한 필터를 구분하고 개별적으로 복구·재시작할 수 있는 경계가 생긴다. 다만 해당 필터의 재시작만으로 전체 처리 상태까지 자동 복구되는 것은 아니다.
[--] 필수 처리 경로의 의존: 최종 결과 생성에 필요한 필터나 연결 파이프가 중단되고 대체 경로가 없으면, 해당 경로의 정상 결과를 계속 생성하기 어렵다. 따라서 개별 필터의 독립성이 전체 처리의 무중단을 보장하지는 않는다.</v>
      </c>
      <c r="F4" s="10" t="str">
        <f>'1조'!F$3</f>
        <v>-</v>
      </c>
      <c r="G4" s="11" t="str">
        <f>'1조'!G3</f>
        <v>[+] 피드백에 의한 정상 상태 유지: 외부 교란으로 상태가 목표값에서 벗어나면 측정값을 바탕으로 조정하므로, 정상 운전 상태를 유지하는 데 도움이 된다.
[--] 핵심 제어 요소 의존: 제어부나 처리부가 고장 나면 피드백 루프를 정상적으로 수행하지 못하므로, 전체 제어 기능이 중단될 수 있다.</v>
      </c>
      <c r="H4" s="4"/>
      <c r="I4" s="4"/>
      <c r="J4" s="4"/>
      <c r="K4" s="4"/>
      <c r="L4" s="4"/>
      <c r="M4" s="4"/>
      <c r="N4" s="4"/>
      <c r="O4" s="4"/>
      <c r="P4" s="4"/>
      <c r="Q4" s="4"/>
      <c r="R4" s="4"/>
      <c r="S4" s="4"/>
      <c r="T4" s="4"/>
      <c r="U4" s="4"/>
      <c r="V4" s="4"/>
      <c r="W4" s="4"/>
      <c r="X4" s="4"/>
      <c r="Y4" s="4"/>
      <c r="Z4" s="4"/>
    </row>
    <row r="5">
      <c r="A5" s="9" t="s">
        <v>20</v>
      </c>
      <c r="B5" s="10" t="str">
        <f>'2조'!B$3</f>
        <v>--</v>
      </c>
      <c r="C5" s="11" t="str">
        <f>'2조'!C$3</f>
        <v>앞 단계가 끝나야 다음이 시작되므로 한 단계가 멈추면 전체가 멈춘다. 교안( "가용성이 제한된다")</v>
      </c>
      <c r="D5" s="10" t="str">
        <f>'2조'!D$3</f>
        <v>-</v>
      </c>
      <c r="E5" s="13" t="str">
        <f>'2조'!E$3</f>
        <v>Filter 하나가 죽으면 그 뒤 흐름이 끊긴다. 교안이 fault tolerance 가 낮다는 것을 약점으로 든다</v>
      </c>
      <c r="F5" s="10" t="str">
        <f>'2조'!F$3</f>
        <v>-</v>
      </c>
      <c r="G5" s="13" t="str">
        <f>'2조'!G$3</f>
        <v>AI2에서 "Closed Loop 피드백을 통해 시스템을 정상 운용 상태로 자동 복구·지속 유지시킴." 라고 표현하였는데, 애초에 복구 수단이 해당 Architecture Style 정의 안에 없음. 자동차의 크루즈 기능을 Process Control Architecture Style의 대표 예로 볼 수 있는데, 정상 동작 중에는 외란이 와도 목표값을 지켜내지만, 부품이 고장 났을 때는 대응 수단이 없다. 그래서 Availability가 낮다고 평가한 AI1을 따랐다. (크루즈 기능 자체로만 보면 Availability가 낮은것이 맞고 (센서 하나가 이상이면 기능이 즉시 해제되고 돌아오지 않음), 자동차 전체로 보면 가용성은 멀쩡하다. 크루즈가 풀려도 차는 그대로 굴러가기 때문.)</v>
      </c>
      <c r="H5" s="4"/>
      <c r="I5" s="4"/>
      <c r="J5" s="4"/>
      <c r="K5" s="4"/>
      <c r="L5" s="4"/>
      <c r="M5" s="4"/>
      <c r="N5" s="4"/>
      <c r="O5" s="4"/>
      <c r="P5" s="4"/>
      <c r="Q5" s="4"/>
      <c r="R5" s="4"/>
      <c r="S5" s="4"/>
      <c r="T5" s="4"/>
      <c r="U5" s="4"/>
      <c r="V5" s="4"/>
      <c r="W5" s="4"/>
      <c r="X5" s="4"/>
      <c r="Y5" s="4"/>
      <c r="Z5" s="4"/>
    </row>
    <row r="6">
      <c r="A6" s="9" t="s">
        <v>24</v>
      </c>
      <c r="B6" s="10" t="str">
        <f>'3조'!B$3</f>
        <v>--</v>
      </c>
      <c r="C6" s="13" t="str">
        <f>'3조'!C$3</f>
        <v>각 처리 단계가 완전 종료(Run to completion)되어야 다음 단계가 실행되므로, 중간 프로세싱 스텝 하나만 실패해도 전체 파이프라인이 정지되는 단일 실패 취약 구조입니다.</v>
      </c>
      <c r="D6" s="10" t="str">
        <f>'3조'!D$3</f>
        <v>-</v>
      </c>
      <c r="E6" s="13" t="str">
        <f>'3조'!E$3</f>
        <v>Pipe and Filter는 Filter들이 독립적이지만 전체 결과는 Data Source→Pipe→Filter→Data Sink 흐름이 유지되어야 나온다. 특정 Filter나 Pipe가 멈추면 downstream 처리가 막히고, 자료에서도 fault tolerance가 낮다고 하므로 availability에는 불리하게 본다.</v>
      </c>
      <c r="F6" s="10" t="str">
        <f>'3조'!F$3</f>
        <v>+</v>
      </c>
      <c r="G6" s="13" t="str">
        <f>'3조'!G$3</f>
        <v>Process Control은 Set Point와 Controlled Variable의 차이를 feedback으로 계산해 Manipulated Variable을 계속 조정하는 closed loop 구조이다. 외부 disturbance가 있어도 목표 상태를 유지하도록 설계되므로 availability/reliability 측면에 유리하다.</v>
      </c>
      <c r="H6" s="4"/>
      <c r="I6" s="4"/>
      <c r="J6" s="4"/>
      <c r="K6" s="4"/>
      <c r="L6" s="4"/>
      <c r="M6" s="4"/>
      <c r="N6" s="4"/>
      <c r="O6" s="4"/>
      <c r="P6" s="4"/>
      <c r="Q6" s="4"/>
      <c r="R6" s="4"/>
      <c r="S6" s="4"/>
      <c r="T6" s="4"/>
      <c r="U6" s="4"/>
      <c r="V6" s="4"/>
      <c r="W6" s="4"/>
      <c r="X6" s="4"/>
      <c r="Y6" s="4"/>
      <c r="Z6" s="4"/>
    </row>
    <row r="7">
      <c r="A7" s="9" t="s">
        <v>28</v>
      </c>
      <c r="B7" s="10" t="str">
        <f>'4조'!B$3</f>
        <v>-</v>
      </c>
      <c r="C7" s="13" t="str">
        <f>'4조'!C$3</f>
        <v>한 단계에서 장애가 발생하면 뒤 단계가 모두 진행되지 못한다. 전체 처리 흐름이 직렬로 연결되어 있어 특정 단계의 실패가 전체 서비스 중단으로 이어지기 쉽다.</v>
      </c>
      <c r="D7" s="10" t="str">
        <f>'4조'!D$3</f>
        <v>0</v>
      </c>
      <c r="E7" s="13" t="str">
        <f>'4조'!E$3</f>
        <v>Filter들이 독립적이라 일부를 교체·복구하기는 쉽지만, 파이프라인 중 하나의 Filter가 멈추면 전체 흐름이 막힐 수 있다. 장단점이 모두 존재한다.</v>
      </c>
      <c r="F7" s="10" t="str">
        <f>'4조'!F$3</f>
        <v>+</v>
      </c>
      <c r="G7" s="13" t="str">
        <f>'4조'!G$3</f>
        <v>시스템 상태를 지속적으로 감시하고 피드백을 통해 이상 상태를 보정할 수 있다. 다만 센서나 Controller 같은 핵심 요소가 고장 나면 전체 제어에 영향을 줄 수 있다.</v>
      </c>
      <c r="H7" s="4"/>
      <c r="I7" s="4"/>
      <c r="J7" s="4"/>
      <c r="K7" s="4"/>
      <c r="L7" s="4"/>
      <c r="M7" s="4"/>
      <c r="N7" s="4"/>
      <c r="O7" s="4"/>
      <c r="P7" s="4"/>
      <c r="Q7" s="4"/>
      <c r="R7" s="4"/>
      <c r="S7" s="4"/>
      <c r="T7" s="4"/>
      <c r="U7" s="4"/>
      <c r="V7" s="4"/>
      <c r="W7" s="4"/>
      <c r="X7" s="4"/>
      <c r="Y7" s="4"/>
      <c r="Z7" s="4"/>
    </row>
    <row r="8">
      <c r="A8" s="9" t="s">
        <v>33</v>
      </c>
      <c r="B8" s="10" t="str">
        <f>'5조'!B$3</f>
        <v>-</v>
      </c>
      <c r="C8" s="13" t="str">
        <f>'5조'!C$3</f>
        <v>한 단계가 실패하면 중간부터 재시작 가능하다고 하더라도 뒤 단계가 모두 대기하거나 재시작 해야 하는 것이 치명적</v>
      </c>
      <c r="D8" s="10" t="str">
        <f>'5조'!D$3</f>
        <v>-</v>
      </c>
      <c r="E8" s="13" t="str">
        <f>'5조'!E$3</f>
        <v>Filter별 독립적 행동이 보장되므로 문제가 발생하더라도 전체 system에 영향성 적으나 Pipe에 고장이 나면 뒤에 연결된 Filter도 사용할 수 없게 되므로 좋진 않음</v>
      </c>
      <c r="F8" s="10" t="str">
        <f>'5조'!F$3</f>
        <v>+</v>
      </c>
      <c r="G8" s="13" t="str">
        <f>'5조'!G$3</f>
        <v>피드백 루프가 상태 변화를 감지해 보정할 수 있어 일부 환경 변화나 구성요소 편차에 대응하기 쉽다.</v>
      </c>
      <c r="H8" s="4"/>
      <c r="I8" s="4"/>
      <c r="J8" s="4"/>
      <c r="K8" s="4"/>
      <c r="L8" s="4"/>
      <c r="M8" s="4"/>
      <c r="N8" s="4"/>
      <c r="O8" s="4"/>
      <c r="P8" s="4"/>
      <c r="Q8" s="4"/>
      <c r="R8" s="4"/>
      <c r="S8" s="4"/>
      <c r="T8" s="4"/>
      <c r="U8" s="4"/>
      <c r="V8" s="4"/>
      <c r="W8" s="4"/>
      <c r="X8" s="4"/>
      <c r="Y8" s="4"/>
      <c r="Z8" s="4"/>
    </row>
    <row r="9">
      <c r="A9" s="9" t="s">
        <v>38</v>
      </c>
      <c r="B9" s="10" t="str">
        <f>'6조'!B$3</f>
        <v>--</v>
      </c>
      <c r="C9" s="13" t="str">
        <f>'6조'!C$3</f>
        <v>순차적 파이프라인 구조상 특정 단계에서 장애나 에러가 발생하면 후속 단계가 진행되지 못하고 전체 데이터 흐름이 중단되며, 오류 복구 및 재수행에도 오랜 시간이 소요됨.</v>
      </c>
      <c r="D9" s="10" t="str">
        <f>'6조'!D$3</f>
        <v>+</v>
      </c>
      <c r="E9" s="13" t="str">
        <f>'6조'!E$3</f>
        <v>Pipe에 Buffer/Queue를 적용하면 장애 격리 및 재처리 가능</v>
      </c>
      <c r="F9" s="10" t="str">
        <f>'6조'!F$3</f>
        <v>0</v>
      </c>
      <c r="G9" s="13" t="str">
        <f>'6조'!G$3</f>
        <v>장애시 피드백 루프 자체는 동작 가능하지만, 컨트롤러 장애 시 제어 불능 상태가 됨</v>
      </c>
      <c r="H9" s="4"/>
      <c r="I9" s="4"/>
      <c r="J9" s="4"/>
      <c r="K9" s="4"/>
      <c r="L9" s="4"/>
      <c r="M9" s="4"/>
      <c r="N9" s="4"/>
      <c r="O9" s="4"/>
      <c r="P9" s="4"/>
      <c r="Q9" s="4"/>
      <c r="R9" s="4"/>
      <c r="S9" s="4"/>
      <c r="T9" s="4"/>
      <c r="U9" s="4"/>
      <c r="V9" s="4"/>
      <c r="W9" s="4"/>
      <c r="X9" s="4"/>
      <c r="Y9" s="4"/>
      <c r="Z9" s="4"/>
    </row>
    <row r="10">
      <c r="A10" s="9" t="s">
        <v>44</v>
      </c>
      <c r="B10" s="10" t="str">
        <f>'7조'!B$3</f>
        <v/>
      </c>
      <c r="C10" s="13" t="str">
        <f>'7조'!C$3</f>
        <v>7조 - Batch Sequential - Availability</v>
      </c>
      <c r="D10" s="10" t="str">
        <f>'7조'!D$3</f>
        <v/>
      </c>
      <c r="E10" s="13" t="str">
        <f>'7조'!E$3</f>
        <v>7조 - Pipe and Filter - Availability</v>
      </c>
      <c r="F10" s="10" t="str">
        <f>'7조'!F$3</f>
        <v/>
      </c>
      <c r="G10" s="13" t="str">
        <f>'7조'!G$3</f>
        <v>7조 - Process Control - Availability</v>
      </c>
      <c r="H10" s="4"/>
      <c r="I10" s="4"/>
      <c r="J10" s="4"/>
      <c r="K10" s="4"/>
      <c r="L10" s="4"/>
      <c r="M10" s="4"/>
      <c r="N10" s="4"/>
      <c r="O10" s="4"/>
      <c r="P10" s="4"/>
      <c r="Q10" s="4"/>
      <c r="R10" s="4"/>
      <c r="S10" s="4"/>
      <c r="T10" s="4"/>
      <c r="U10" s="4"/>
      <c r="V10" s="4"/>
      <c r="W10" s="4"/>
      <c r="X10" s="4"/>
      <c r="Y10" s="4"/>
      <c r="Z10" s="4"/>
    </row>
    <row r="11">
      <c r="A11" s="9" t="s">
        <v>51</v>
      </c>
      <c r="B11" s="10" t="str">
        <f>'8조'!B$3</f>
        <v/>
      </c>
      <c r="C11" s="13" t="str">
        <f>'8조'!C$3</f>
        <v>8조 - Batch Sequential - Availability</v>
      </c>
      <c r="D11" s="10" t="str">
        <f>'8조'!D$3</f>
        <v/>
      </c>
      <c r="E11" s="13" t="str">
        <f>'8조'!E$3</f>
        <v>8조 - Pipe and Filter - Availability</v>
      </c>
      <c r="F11" s="10" t="str">
        <f>'8조'!F$3</f>
        <v/>
      </c>
      <c r="G11" s="13" t="str">
        <f>'8조'!G$3</f>
        <v>8조 - Process Control - Availability</v>
      </c>
      <c r="H11" s="4"/>
      <c r="I11" s="4"/>
      <c r="J11" s="4"/>
      <c r="K11" s="4"/>
      <c r="L11" s="4"/>
      <c r="M11" s="4"/>
      <c r="N11" s="4"/>
      <c r="O11" s="4"/>
      <c r="P11" s="4"/>
      <c r="Q11" s="4"/>
      <c r="R11" s="4"/>
      <c r="S11" s="4"/>
      <c r="T11" s="4"/>
      <c r="U11" s="4"/>
      <c r="V11" s="4"/>
      <c r="W11" s="4"/>
      <c r="X11" s="4"/>
      <c r="Y11" s="4"/>
      <c r="Z11" s="4"/>
    </row>
    <row r="12">
      <c r="A12" s="9" t="s">
        <v>56</v>
      </c>
      <c r="B12" s="10" t="str">
        <f>'9조'!B$3</f>
        <v/>
      </c>
      <c r="C12" s="13" t="str">
        <f>'9조'!C$3</f>
        <v>9조 - Batch Sequential - Availability</v>
      </c>
      <c r="D12" s="10" t="str">
        <f>'9조'!D$3</f>
        <v/>
      </c>
      <c r="E12" s="13" t="str">
        <f>'9조'!E$3</f>
        <v>9조 - Pipe and Filter - Availability</v>
      </c>
      <c r="F12" s="10" t="str">
        <f>'9조'!F$3</f>
        <v/>
      </c>
      <c r="G12" s="13" t="str">
        <f>'9조'!G$3</f>
        <v>9조 - Process Control - Availability</v>
      </c>
      <c r="H12" s="4"/>
      <c r="I12" s="4"/>
      <c r="J12" s="4"/>
      <c r="K12" s="4"/>
      <c r="L12" s="4"/>
      <c r="M12" s="4"/>
      <c r="N12" s="4"/>
      <c r="O12" s="4"/>
      <c r="P12" s="4"/>
      <c r="Q12" s="4"/>
      <c r="R12" s="4"/>
      <c r="S12" s="4"/>
      <c r="T12" s="4"/>
      <c r="U12" s="4"/>
      <c r="V12" s="4"/>
      <c r="W12" s="4"/>
      <c r="X12" s="4"/>
      <c r="Y12" s="4"/>
      <c r="Z12" s="4"/>
    </row>
    <row r="13">
      <c r="A13" s="11"/>
      <c r="B13" s="14"/>
      <c r="C13" s="11"/>
      <c r="D13" s="14"/>
      <c r="E13" s="11"/>
      <c r="F13" s="14"/>
      <c r="G13" s="11"/>
      <c r="H13" s="4"/>
      <c r="I13" s="4"/>
      <c r="J13" s="4"/>
      <c r="K13" s="4"/>
      <c r="L13" s="4"/>
      <c r="M13" s="4"/>
      <c r="N13" s="4"/>
      <c r="O13" s="4"/>
      <c r="P13" s="4"/>
      <c r="Q13" s="4"/>
      <c r="R13" s="4"/>
      <c r="S13" s="4"/>
      <c r="T13" s="4"/>
      <c r="U13" s="4"/>
      <c r="V13" s="4"/>
      <c r="W13" s="4"/>
      <c r="X13" s="4"/>
      <c r="Y13" s="4"/>
      <c r="Z13" s="4"/>
    </row>
    <row r="14">
      <c r="A14" s="7" t="s">
        <v>47</v>
      </c>
      <c r="B14" s="7" t="str">
        <f>'Detailed Reasoning'!B$4</f>
        <v/>
      </c>
      <c r="C14" s="7" t="str">
        <f>'Detailed Reasoning'!C$4</f>
        <v/>
      </c>
      <c r="D14" s="7" t="str">
        <f>'Detailed Reasoning'!D$4</f>
        <v/>
      </c>
      <c r="E14" s="7" t="str">
        <f>'Detailed Reasoning'!E$4</f>
        <v/>
      </c>
      <c r="F14" s="8" t="str">
        <f>'Detailed Reasoning'!F$4</f>
        <v/>
      </c>
      <c r="G14" s="8" t="str">
        <f>'Detailed Reasoning'!G$4</f>
        <v/>
      </c>
      <c r="H14" s="4"/>
      <c r="I14" s="4"/>
      <c r="J14" s="4"/>
      <c r="K14" s="4"/>
      <c r="L14" s="4"/>
      <c r="M14" s="4"/>
      <c r="N14" s="4"/>
      <c r="O14" s="4"/>
      <c r="P14" s="4"/>
      <c r="Q14" s="4"/>
      <c r="R14" s="4"/>
      <c r="S14" s="4"/>
      <c r="T14" s="4"/>
      <c r="U14" s="4"/>
      <c r="V14" s="4"/>
      <c r="W14" s="4"/>
      <c r="X14" s="4"/>
      <c r="Y14" s="4"/>
      <c r="Z14" s="4"/>
    </row>
    <row r="15">
      <c r="A15" s="9" t="s">
        <v>66</v>
      </c>
      <c r="B15" s="10" t="str">
        <f>'1조'!B$4</f>
        <v>0</v>
      </c>
      <c r="C15" s="11" t="str">
        <f>'1조'!C4</f>
        <v>[+] 단계별 교체: 입출력 데이터 형식이 유지되면 변경된 처리 단계를 교체하기 쉬워, 변경 사항을 반영할 대상을 구분하기 쉽다.
[-] 데이터 형식 의존: 단계 사이의 데이터 형식이 바뀌면 데이터를 생성하는 단계와 사용하는 단계의 버전을 함께 맞춰 배포해야 한다.</v>
      </c>
      <c r="D15" s="10" t="str">
        <f>'1조'!D$4</f>
        <v>+</v>
      </c>
      <c r="E15" s="11" t="str">
        <f>'1조'!E4</f>
        <v>[+] 개별 배포 단위: 필터를 별도 배포 단위로 구성하면 변경된 필터를 중심으로 배포·교체할 수 있어 전체 시스템을 함께 교체해야 하는 범위를 줄일 수 있다.
[+] 입출력 계약 유지: 필터의 입출력 형식과 의미가 유지되면 연결된 필터의 구현을 수정하지 않고 해당 필터의 새 버전을 반영하기 쉽다.
[-] 계약 변경의 배포 조정: 입출력 계약이 바뀌면 연결된 필터들의 버전 호환성을 확인하고 배포를 조정해야 한다. 필터가 독립적이라는 사실만으로 실행 중 무중단 교체가 보장되지는 않는다.</v>
      </c>
      <c r="F15" s="10" t="str">
        <f>'1조'!F$4</f>
        <v>-</v>
      </c>
      <c r="G15" s="11" t="str">
        <f>'1조'!G4</f>
        <v>[-] 의미적·시간적 계약의 결합 — 해석: 제어 변수의 의미나 전달 시점이 바뀌면 제어부와 처리부가 함께 맞춰져야 하므로, 관련 변경을 조정하여 배포해야 한다.
[-] 제어 중단의 영향 — 해석: 실행 중인 제어 요소를 교체하면서 루프가 중단되면 목표 상태 유지에 영향을 줄 수 있어, 배포 시 운영 중단의 영향을 고려해야 한다.</v>
      </c>
      <c r="H15" s="4"/>
      <c r="I15" s="4"/>
      <c r="J15" s="4"/>
      <c r="K15" s="4"/>
      <c r="L15" s="4"/>
      <c r="M15" s="4"/>
      <c r="N15" s="4"/>
      <c r="O15" s="4"/>
      <c r="P15" s="4"/>
      <c r="Q15" s="4"/>
      <c r="R15" s="4"/>
      <c r="S15" s="4"/>
      <c r="T15" s="4"/>
      <c r="U15" s="4"/>
      <c r="V15" s="4"/>
      <c r="W15" s="4"/>
      <c r="X15" s="4"/>
      <c r="Y15" s="4"/>
      <c r="Z15" s="4"/>
    </row>
    <row r="16">
      <c r="A16" s="9" t="s">
        <v>71</v>
      </c>
      <c r="B16" s="10" t="str">
        <f>'2조'!B$4</f>
        <v>0</v>
      </c>
      <c r="C16" s="13" t="str">
        <f>'2조'!C$4</f>
        <v>개별 프로그램 단위 빌드/배포는 가능하나, 데이터 포맷 변경 시 관련 배치 프로그램을 일괄 배포해야 함.</v>
      </c>
      <c r="D16" s="10" t="str">
        <f>'2조'!D$4</f>
        <v>+</v>
      </c>
      <c r="E16" s="13" t="str">
        <f>'2조'!E$4</f>
        <v>Filter 가 독립적이라 하나씩 따로 배포·교체할 수 있다</v>
      </c>
      <c r="F16" s="10" t="str">
        <f>'2조'!F$4</f>
        <v>-</v>
      </c>
      <c r="G16" s="13" t="str">
        <f>'2조'!G$4</f>
        <v>제어 루프가 돌고 있는 상태에서 일부만 바꿔 올리기 어렵다. 설계가 복잡해 배포 절차도 무겁다</v>
      </c>
      <c r="H16" s="4"/>
      <c r="I16" s="4"/>
      <c r="J16" s="4"/>
      <c r="K16" s="4"/>
      <c r="L16" s="4"/>
      <c r="M16" s="4"/>
      <c r="N16" s="4"/>
      <c r="O16" s="4"/>
      <c r="P16" s="4"/>
      <c r="Q16" s="4"/>
      <c r="R16" s="4"/>
      <c r="S16" s="4"/>
      <c r="T16" s="4"/>
      <c r="U16" s="4"/>
      <c r="V16" s="4"/>
      <c r="W16" s="4"/>
      <c r="X16" s="4"/>
      <c r="Y16" s="4"/>
      <c r="Z16" s="4"/>
    </row>
    <row r="17">
      <c r="A17" s="9" t="s">
        <v>77</v>
      </c>
      <c r="B17" s="10" t="str">
        <f>'3조'!B$4</f>
        <v>-</v>
      </c>
      <c r="C17" s="13" t="str">
        <f>'3조'!C$4</f>
        <v>각 단계가 파일 규격 및 배치 실행 흐름에 강하게 묶여 있어 개별 단계를 독립적으로 분리 배포하거나 무중단 롤백하기 어렵습니다.</v>
      </c>
      <c r="D17" s="10" t="str">
        <f>'3조'!D$4</f>
        <v>+</v>
      </c>
      <c r="E17" s="13" t="str">
        <f>'3조'!E$4</f>
        <v>Pipe and Filter는 Filter가 독립적인 component이고 Pipe의 입출력 형식만 맞으면 Filter를 교체·추가할 수 있다. 따라서 특정 처리 단계 단위로 수정·교체·배포하기 쉬워 deployability에 유리하다.</v>
      </c>
      <c r="F17" s="10" t="str">
        <f>'3조'!F$4</f>
        <v>-</v>
      </c>
      <c r="G17" s="13" t="str">
        <f>'3조'!G$4</f>
        <v>Process Control은 Controller, Processing Unit, Sensor/Actuator, 제어 변수들이 feedback loop로 함께 동작한다. 한 요소 변경이 제어 안정성·timing·전체 loop에 영향을 주므로 독립 배포가 어렵다.</v>
      </c>
      <c r="H17" s="4"/>
      <c r="I17" s="4"/>
      <c r="J17" s="4"/>
      <c r="K17" s="4"/>
      <c r="L17" s="4"/>
      <c r="M17" s="4"/>
      <c r="N17" s="4"/>
      <c r="O17" s="4"/>
      <c r="P17" s="4"/>
      <c r="Q17" s="4"/>
      <c r="R17" s="4"/>
      <c r="S17" s="4"/>
      <c r="T17" s="4"/>
      <c r="U17" s="4"/>
      <c r="V17" s="4"/>
      <c r="W17" s="4"/>
      <c r="X17" s="4"/>
      <c r="Y17" s="4"/>
      <c r="Z17" s="4"/>
    </row>
    <row r="18">
      <c r="A18" s="9" t="s">
        <v>82</v>
      </c>
      <c r="B18" s="10" t="str">
        <f>'4조'!B$4</f>
        <v>+</v>
      </c>
      <c r="C18" s="13" t="str">
        <f>'4조'!C$4</f>
        <v>각 처리 단계를 별도의 프로그램/모듈로 구성할 수 있어 단계별 배포가 비교적 쉽다. 다만 단계 간 데이터 형식이 바뀌면 연쇄적인 수정이 필요할 수 있다.</v>
      </c>
      <c r="D18" s="10" t="str">
        <f>'4조'!D$4</f>
        <v>+</v>
      </c>
      <c r="E18" s="13" t="str">
        <f>'4조'!E$4</f>
        <v>Filter가 독립된 처리 단위이므로 개별 Filter를 수정·배포하기 비교적 쉽다. 단, Pipe의 데이터 형식 호환성은 유지해야 한다.</v>
      </c>
      <c r="F18" s="10" t="str">
        <f>'4조'!F$4</f>
        <v>-</v>
      </c>
      <c r="G18" s="13" t="str">
        <f>'4조'!G$4</f>
        <v>센서·Controller·Actuator 등 실제 장비와 밀접하게 연결되어 있어 단순 소프트웨어처럼 독립적으로 배포하기 어렵다. 배포 후 보정이나 Calibration도 필요할 수 있다.</v>
      </c>
      <c r="H18" s="4"/>
      <c r="I18" s="4"/>
      <c r="J18" s="4"/>
      <c r="K18" s="4"/>
      <c r="L18" s="4"/>
      <c r="M18" s="4"/>
      <c r="N18" s="4"/>
      <c r="O18" s="4"/>
      <c r="P18" s="4"/>
      <c r="Q18" s="4"/>
      <c r="R18" s="4"/>
      <c r="S18" s="4"/>
      <c r="T18" s="4"/>
      <c r="U18" s="4"/>
      <c r="V18" s="4"/>
      <c r="W18" s="4"/>
      <c r="X18" s="4"/>
      <c r="Y18" s="4"/>
      <c r="Z18" s="4"/>
    </row>
    <row r="19">
      <c r="A19" s="9" t="s">
        <v>87</v>
      </c>
      <c r="B19" s="10" t="str">
        <f>'5조'!B$4</f>
        <v>+</v>
      </c>
      <c r="C19" s="13" t="str">
        <f>'5조'!C$4</f>
        <v>구조가 단순한 것이 가장 큰 이점, 배포 시 개발자들에게 porting 등의 O/H가 적을 것으로 예상.</v>
      </c>
      <c r="D19" s="10" t="str">
        <f>'5조'!D$4</f>
        <v>+</v>
      </c>
      <c r="E19" s="13" t="str">
        <f>'5조'!E$4</f>
        <v>필터는 서로 독립적인 개체이므로 개별 구성요소 별로 배포하기 쉬운 편이다.</v>
      </c>
      <c r="F19" s="10" t="str">
        <f>'5조'!F$4</f>
        <v>-</v>
      </c>
      <c r="G19" s="13" t="str">
        <f>'5조'!G$4</f>
        <v>개별 구성요소를 독립 배포하기 어렵다.</v>
      </c>
      <c r="H19" s="4"/>
      <c r="I19" s="4"/>
      <c r="J19" s="4"/>
      <c r="K19" s="4"/>
      <c r="L19" s="4"/>
      <c r="M19" s="4"/>
      <c r="N19" s="4"/>
      <c r="O19" s="4"/>
      <c r="P19" s="4"/>
      <c r="Q19" s="4"/>
      <c r="R19" s="4"/>
      <c r="S19" s="4"/>
      <c r="T19" s="4"/>
      <c r="U19" s="4"/>
      <c r="V19" s="4"/>
      <c r="W19" s="4"/>
      <c r="X19" s="4"/>
      <c r="Y19" s="4"/>
      <c r="Z19" s="4"/>
    </row>
    <row r="20">
      <c r="A20" s="9" t="s">
        <v>91</v>
      </c>
      <c r="B20" s="10" t="str">
        <f>'6조'!B$4</f>
        <v>+</v>
      </c>
      <c r="C20" s="13" t="str">
        <f>'6조'!C$4</f>
        <v>단계별 경계와 중간 산출물이 명확하여 결합도가 낮을 경우 개별 배치 프로그램을 독립적으로 배포·교체하기 용이함. 다만 전체 파이프라인이 하나로 묶여 관리되는 환경에서는 부분 배포 및 롤백이 어려울 수 있음.</v>
      </c>
      <c r="D20" s="10" t="str">
        <f>'6조'!D$4</f>
        <v>++</v>
      </c>
      <c r="E20" s="13" t="str">
        <f>'6조'!E$4</f>
        <v>각 필터가 독립적인 컴포넌트로 분리되어 있고, 파이프의 표준 인터페이스를 준수하므로 특정 필터만 개별적으로 무중단 배포하기 용이함</v>
      </c>
      <c r="F20" s="10" t="str">
        <f>'6조'!F$4</f>
        <v>-</v>
      </c>
      <c r="G20" s="13" t="str">
        <f>'6조'!G$4</f>
        <v>하드웨어(센서/액추에이터)와 제어 로직이 긴밀히 결합되어 있어 독립 배포가 어려움</v>
      </c>
      <c r="H20" s="4"/>
      <c r="I20" s="4"/>
      <c r="J20" s="4"/>
      <c r="K20" s="4"/>
      <c r="L20" s="4"/>
      <c r="M20" s="4"/>
      <c r="N20" s="4"/>
      <c r="O20" s="4"/>
      <c r="P20" s="4"/>
      <c r="Q20" s="4"/>
      <c r="R20" s="4"/>
      <c r="S20" s="4"/>
      <c r="T20" s="4"/>
      <c r="U20" s="4"/>
      <c r="V20" s="4"/>
      <c r="W20" s="4"/>
      <c r="X20" s="4"/>
      <c r="Y20" s="4"/>
      <c r="Z20" s="4"/>
    </row>
    <row r="21">
      <c r="A21" s="9" t="s">
        <v>95</v>
      </c>
      <c r="B21" s="10" t="str">
        <f>'7조'!B$4</f>
        <v/>
      </c>
      <c r="C21" s="13" t="str">
        <f>'7조'!C$4</f>
        <v>7조 - Batch Sequential - Deployability</v>
      </c>
      <c r="D21" s="10" t="str">
        <f>'7조'!D$4</f>
        <v/>
      </c>
      <c r="E21" s="13" t="str">
        <f>'7조'!E$4</f>
        <v>7조 - Pipe and Filter - Deployability</v>
      </c>
      <c r="F21" s="10" t="str">
        <f>'7조'!F$4</f>
        <v/>
      </c>
      <c r="G21" s="13" t="str">
        <f>'7조'!G$4</f>
        <v>7조 - Process Control - Deployability</v>
      </c>
      <c r="H21" s="4"/>
      <c r="I21" s="4"/>
      <c r="J21" s="4"/>
      <c r="K21" s="4"/>
      <c r="L21" s="4"/>
      <c r="M21" s="4"/>
      <c r="N21" s="4"/>
      <c r="O21" s="4"/>
      <c r="P21" s="4"/>
      <c r="Q21" s="4"/>
      <c r="R21" s="4"/>
      <c r="S21" s="4"/>
      <c r="T21" s="4"/>
      <c r="U21" s="4"/>
      <c r="V21" s="4"/>
      <c r="W21" s="4"/>
      <c r="X21" s="4"/>
      <c r="Y21" s="4"/>
      <c r="Z21" s="4"/>
    </row>
    <row r="22">
      <c r="A22" s="9" t="s">
        <v>100</v>
      </c>
      <c r="B22" s="10" t="str">
        <f>'8조'!B$4</f>
        <v/>
      </c>
      <c r="C22" s="13" t="str">
        <f>'8조'!C$4</f>
        <v>8조 - Batch Sequential - Deployability</v>
      </c>
      <c r="D22" s="10" t="str">
        <f>'8조'!D$4</f>
        <v/>
      </c>
      <c r="E22" s="13" t="str">
        <f>'8조'!E$4</f>
        <v>8조 - Pipe and Filter - Deployability</v>
      </c>
      <c r="F22" s="10" t="str">
        <f>'8조'!F$4</f>
        <v/>
      </c>
      <c r="G22" s="13" t="str">
        <f>'8조'!G$4</f>
        <v>8조 - Process Control - Deployability</v>
      </c>
      <c r="H22" s="4"/>
      <c r="I22" s="4"/>
      <c r="J22" s="4"/>
      <c r="K22" s="4"/>
      <c r="L22" s="4"/>
      <c r="M22" s="4"/>
      <c r="N22" s="4"/>
      <c r="O22" s="4"/>
      <c r="P22" s="4"/>
      <c r="Q22" s="4"/>
      <c r="R22" s="4"/>
      <c r="S22" s="4"/>
      <c r="T22" s="4"/>
      <c r="U22" s="4"/>
      <c r="V22" s="4"/>
      <c r="W22" s="4"/>
      <c r="X22" s="4"/>
      <c r="Y22" s="4"/>
      <c r="Z22" s="4"/>
    </row>
    <row r="23">
      <c r="A23" s="9" t="s">
        <v>104</v>
      </c>
      <c r="B23" s="10" t="str">
        <f>'9조'!B$4</f>
        <v/>
      </c>
      <c r="C23" s="13" t="str">
        <f>'9조'!C$4</f>
        <v>9조 - Batch Sequential - Deployability</v>
      </c>
      <c r="D23" s="10" t="str">
        <f>'9조'!D$4</f>
        <v/>
      </c>
      <c r="E23" s="13" t="str">
        <f>'9조'!E$4</f>
        <v>9조 - Pipe and Filter - Deployability</v>
      </c>
      <c r="F23" s="10" t="str">
        <f>'9조'!F$4</f>
        <v/>
      </c>
      <c r="G23" s="13" t="str">
        <f>'9조'!G$4</f>
        <v>9조 - Process Control - Deployability</v>
      </c>
      <c r="H23" s="4"/>
      <c r="I23" s="4"/>
      <c r="J23" s="4"/>
      <c r="K23" s="4"/>
      <c r="L23" s="4"/>
      <c r="M23" s="4"/>
      <c r="N23" s="4"/>
      <c r="O23" s="4"/>
      <c r="P23" s="4"/>
      <c r="Q23" s="4"/>
      <c r="R23" s="4"/>
      <c r="S23" s="4"/>
      <c r="T23" s="4"/>
      <c r="U23" s="4"/>
      <c r="V23" s="4"/>
      <c r="W23" s="4"/>
      <c r="X23" s="4"/>
      <c r="Y23" s="4"/>
      <c r="Z23" s="4"/>
    </row>
    <row r="24">
      <c r="A24" s="11"/>
      <c r="B24" s="14"/>
      <c r="C24" s="11"/>
      <c r="D24" s="14"/>
      <c r="E24" s="11"/>
      <c r="F24" s="14"/>
      <c r="G24" s="11"/>
      <c r="H24" s="4"/>
      <c r="I24" s="4"/>
      <c r="J24" s="4"/>
      <c r="K24" s="4"/>
      <c r="L24" s="4"/>
      <c r="M24" s="4"/>
      <c r="N24" s="4"/>
      <c r="O24" s="4"/>
      <c r="P24" s="4"/>
      <c r="Q24" s="4"/>
      <c r="R24" s="4"/>
      <c r="S24" s="4"/>
      <c r="T24" s="4"/>
      <c r="U24" s="4"/>
      <c r="V24" s="4"/>
      <c r="W24" s="4"/>
      <c r="X24" s="4"/>
      <c r="Y24" s="4"/>
      <c r="Z24" s="4"/>
    </row>
    <row r="25">
      <c r="A25" s="7" t="s">
        <v>80</v>
      </c>
      <c r="B25" s="7" t="str">
        <f>'Detailed Reasoning'!B$5</f>
        <v/>
      </c>
      <c r="C25" s="7" t="str">
        <f>'Detailed Reasoning'!C$5</f>
        <v/>
      </c>
      <c r="D25" s="7" t="str">
        <f>'Detailed Reasoning'!D$5</f>
        <v/>
      </c>
      <c r="E25" s="7" t="str">
        <f>'Detailed Reasoning'!E$5</f>
        <v/>
      </c>
      <c r="F25" s="8" t="str">
        <f>'Detailed Reasoning'!F$5</f>
        <v/>
      </c>
      <c r="G25" s="8" t="str">
        <f>'Detailed Reasoning'!G$5</f>
        <v/>
      </c>
      <c r="H25" s="4"/>
      <c r="I25" s="4"/>
      <c r="J25" s="4"/>
      <c r="K25" s="4"/>
      <c r="L25" s="4"/>
      <c r="M25" s="4"/>
      <c r="N25" s="4"/>
      <c r="O25" s="4"/>
      <c r="P25" s="4"/>
      <c r="Q25" s="4"/>
      <c r="R25" s="4"/>
      <c r="S25" s="4"/>
      <c r="T25" s="4"/>
      <c r="U25" s="4"/>
      <c r="V25" s="4"/>
      <c r="W25" s="4"/>
      <c r="X25" s="4"/>
      <c r="Y25" s="4"/>
      <c r="Z25" s="4"/>
    </row>
    <row r="26">
      <c r="A26" s="9" t="s">
        <v>115</v>
      </c>
      <c r="B26" s="10" t="str">
        <f>'1조'!B$5</f>
        <v>+</v>
      </c>
      <c r="C26" s="11" t="str">
        <f>'1조'!C5</f>
        <v>[+] 데이터 규격 공유: 중간 파일/DB 포맷만 맞추면 타 시스템과 연동 가능함.
[-] 상호작용 방식의 제약: 처리 도중 요청과 응답을 반복해야 하는 구성요소는 단계 전체가 완료된 후 다음 단계로 넘어가는 방식에 맞추기 어렵다.</v>
      </c>
      <c r="D26" s="10" t="str">
        <f>'1조'!D$5</f>
        <v>+</v>
      </c>
      <c r="E26" s="11" t="str">
        <f>'1조'!E5</f>
        <v>[++] 명확한 연결 계약: 필터의 입력·출력 포트와 스트림 계약이 구분되어 있어, 계약이 맞는 새로운 필터를 기존 처리 흐름에 연결하기 쉽다.
[+] 필터 재사용: 기존 필터의 내부 구현을 변경하지 않고 다른 처리 흐름에 조합하여 사용할 수 있어, 새로운 기능을 통합할 때의 구현 노력을 줄일 수 있다.
[-] 데이터 계약 정합성: 데이터 형식이나 의미, 점진적 처리 방식이 맞지 않는 구성요소는 그대로 연결할 수 없으므로, 계약을 맞추는 변환 기능의 구현과 통합 검증이 필요하다.</v>
      </c>
      <c r="F26" s="10" t="str">
        <f>'1조'!F$5</f>
        <v>-</v>
      </c>
      <c r="G26" s="11" t="str">
        <f>'1조'!G5</f>
        <v>[-] 시간적 결합: 연결된 요소의 응답 시점이 전체 피드백 동작에 영향을 주므로, 기능적으로 연결되는 것 외에 시간적인 적합성도 검토해야 한다.</v>
      </c>
      <c r="H26" s="4"/>
      <c r="I26" s="4"/>
      <c r="J26" s="4"/>
      <c r="K26" s="4"/>
      <c r="L26" s="4"/>
      <c r="M26" s="4"/>
      <c r="N26" s="4"/>
      <c r="O26" s="4"/>
      <c r="P26" s="4"/>
      <c r="Q26" s="4"/>
      <c r="R26" s="4"/>
      <c r="S26" s="4"/>
      <c r="T26" s="4"/>
      <c r="U26" s="4"/>
      <c r="V26" s="4"/>
      <c r="W26" s="4"/>
      <c r="X26" s="4"/>
      <c r="Y26" s="4"/>
      <c r="Z26" s="4"/>
    </row>
    <row r="27">
      <c r="A27" s="9" t="s">
        <v>122</v>
      </c>
      <c r="B27" s="10" t="str">
        <f>'2조'!B$5</f>
        <v>+</v>
      </c>
      <c r="C27" s="13" t="str">
        <f>'2조'!C$5</f>
        <v>입출력 데이터 형식만 맞으면 처리 단계를 쉽게 교체·연결할 수 있다</v>
      </c>
      <c r="D27" s="10" t="str">
        <f>'2조'!D$5</f>
        <v>++</v>
      </c>
      <c r="E27" s="13" t="str">
        <f>'2조'!E$5</f>
        <v>표준 입출력 스트림 규격(예: Unix Pipe)을 준수하는 외부 서드파티 도구나 기존 컴포넌트를 파이프라인 사이에 어댑터 없이 즉시 결합할 수 있어 상호운용성(Interoperability)이 탁월함.</v>
      </c>
      <c r="F27" s="10" t="str">
        <f>'2조'!F$5</f>
        <v>-</v>
      </c>
      <c r="G27" s="13" t="str">
        <f>'2조'!G$5</f>
        <v>센서·구동기·제어기가 특정 물리 환경에 맞춰져 있어 다른 시스템과 붙이기 어렵다</v>
      </c>
      <c r="H27" s="4"/>
      <c r="I27" s="4"/>
      <c r="J27" s="4"/>
      <c r="K27" s="4"/>
      <c r="L27" s="4"/>
      <c r="M27" s="4"/>
      <c r="N27" s="4"/>
      <c r="O27" s="4"/>
      <c r="P27" s="4"/>
      <c r="Q27" s="4"/>
      <c r="R27" s="4"/>
      <c r="S27" s="4"/>
      <c r="T27" s="4"/>
      <c r="U27" s="4"/>
      <c r="V27" s="4"/>
      <c r="W27" s="4"/>
      <c r="X27" s="4"/>
      <c r="Y27" s="4"/>
      <c r="Z27" s="4"/>
    </row>
    <row r="28">
      <c r="A28" s="9" t="s">
        <v>129</v>
      </c>
      <c r="B28" s="10" t="str">
        <f>'3조'!B$5</f>
        <v>+</v>
      </c>
      <c r="C28" s="13" t="str">
        <f>'3조'!C$5</f>
        <v>표준 입출력 파일(Batch File, CSV, DB 덤프 등)을 매개로 단계가 연결되므로, 이기종 도구 간 파일 연동 관점의 통합은 비교적 단순합니다.</v>
      </c>
      <c r="D28" s="10" t="str">
        <f>'3조'!D$5</f>
        <v>++</v>
      </c>
      <c r="E28" s="13" t="str">
        <f>'3조'!E$5</f>
        <v>표준 데이터 포맷과 일관된 파이프 커넥터 인터페이스를 지원하므로, 새로운 외부 필터를 기존 파이프라인 사이에 끼워 넣는 통합이 매우 뛰어납니다.</v>
      </c>
      <c r="F28" s="10" t="str">
        <f>'3조'!F$5</f>
        <v>-</v>
      </c>
      <c r="G28" s="13" t="str">
        <f>'3조'!G$5</f>
        <v>Process Control에서 새 센서·actuator·제어 알고리즘을 추가하면 Set Point, Controlled Variable, Manipulated Variable의 관계와 feedback 안정성을 함께 재검토해야 한다. 단순 연결이 아니라 제어 모델 통합이 필요하므로 integrability에 불리하다.</v>
      </c>
      <c r="H28" s="4"/>
      <c r="I28" s="4"/>
      <c r="J28" s="4"/>
      <c r="K28" s="4"/>
      <c r="L28" s="4"/>
      <c r="M28" s="4"/>
      <c r="N28" s="4"/>
      <c r="O28" s="4"/>
      <c r="P28" s="4"/>
      <c r="Q28" s="4"/>
      <c r="R28" s="4"/>
      <c r="S28" s="4"/>
      <c r="T28" s="4"/>
      <c r="U28" s="4"/>
      <c r="V28" s="4"/>
      <c r="W28" s="4"/>
      <c r="X28" s="4"/>
      <c r="Y28" s="4"/>
      <c r="Z28" s="4"/>
    </row>
    <row r="29">
      <c r="A29" s="9" t="s">
        <v>133</v>
      </c>
      <c r="B29" s="10" t="str">
        <f>'4조'!B$5</f>
        <v>+</v>
      </c>
      <c r="C29" s="13" t="str">
        <f>'4조'!C$5</f>
        <v>단계 사이의 입력/출력이 파일이나 명확한 데이터 형식으로 정의되므로 다른 시스템이나 모듈을 연결하기 비교적 쉽다.</v>
      </c>
      <c r="D29" s="10" t="str">
        <f>'4조'!D$5</f>
        <v>++</v>
      </c>
      <c r="E29" s="13" t="str">
        <f>'4조'!E$5</f>
        <v>Filter 간 연결이 명확한 입출력 인터페이스로 이루어져 새로운 Filter를 추가하거나 기존 Filter를 다른 컴포넌트로 교체하기 쉽다.</v>
      </c>
      <c r="F29" s="10" t="str">
        <f>'4조'!F$5</f>
        <v>-</v>
      </c>
      <c r="G29" s="13" t="str">
        <f>'4조'!G$5</f>
        <v>센서, 액추에이터, 제어 장치마다 통신 방식이나 데이터 형식이 다를 수 있어 외부 시스템을 추가하거나 교체하기 어렵다.</v>
      </c>
      <c r="H29" s="4"/>
      <c r="I29" s="4"/>
      <c r="J29" s="4"/>
      <c r="K29" s="4"/>
      <c r="L29" s="4"/>
      <c r="M29" s="4"/>
      <c r="N29" s="4"/>
      <c r="O29" s="4"/>
      <c r="P29" s="4"/>
      <c r="Q29" s="4"/>
      <c r="R29" s="4"/>
      <c r="S29" s="4"/>
      <c r="T29" s="4"/>
      <c r="U29" s="4"/>
      <c r="V29" s="4"/>
      <c r="W29" s="4"/>
      <c r="X29" s="4"/>
      <c r="Y29" s="4"/>
      <c r="Z29" s="4"/>
    </row>
    <row r="30">
      <c r="A30" s="9" t="s">
        <v>139</v>
      </c>
      <c r="B30" s="10" t="str">
        <f>'5조'!B$5</f>
        <v>0</v>
      </c>
      <c r="C30" s="13" t="str">
        <f>'5조'!C$5</f>
        <v>별도의 개발 자체는 쉽지만, 각 컴포넌트간 Input / Output 일관성이 필요하여 상쇄</v>
      </c>
      <c r="D30" s="10" t="str">
        <f>'5조'!D$5</f>
        <v>++</v>
      </c>
      <c r="E30" s="13" t="str">
        <f>'5조'!E$5</f>
        <v>표준화된 connector를 사용해서, 새로운 필터를 연결하기 매우 쉽다.</v>
      </c>
      <c r="F30" s="10" t="str">
        <f>'5조'!F$5</f>
        <v>-</v>
      </c>
      <c r="G30" s="13" t="str">
        <f>'5조'!G$5</f>
        <v>componenet에 따라 인터페이스가 달라 통합이 어렵다.</v>
      </c>
      <c r="H30" s="4"/>
      <c r="I30" s="4"/>
      <c r="J30" s="4"/>
      <c r="K30" s="4"/>
      <c r="L30" s="4"/>
      <c r="M30" s="4"/>
      <c r="N30" s="4"/>
      <c r="O30" s="4"/>
      <c r="P30" s="4"/>
      <c r="Q30" s="4"/>
      <c r="R30" s="4"/>
      <c r="S30" s="4"/>
      <c r="T30" s="4"/>
      <c r="U30" s="4"/>
      <c r="V30" s="4"/>
      <c r="W30" s="4"/>
      <c r="X30" s="4"/>
      <c r="Y30" s="4"/>
      <c r="Z30" s="4"/>
    </row>
    <row r="31">
      <c r="A31" s="9" t="s">
        <v>143</v>
      </c>
      <c r="B31" s="10" t="str">
        <f>'6조'!B$5</f>
        <v>+</v>
      </c>
      <c r="C31" s="13" t="str">
        <f>'6조'!C$5</f>
        <v>각 단계 간 입력/출력 데이터 파일 포맷만 표준화되어 있으면 새로운 컴포넌트를 연계하거나 교체하기 용이함. 반면, 강한 실행 순서 및 데이터 의존성 때문에 파이프라인 중간에 임의의 컴포넌트를 동적으로 삽입하기는 까다롭다는 지적도 존재함.</v>
      </c>
      <c r="D31" s="10" t="str">
        <f>'6조'!D$5</f>
        <v>++</v>
      </c>
      <c r="E31" s="13" t="str">
        <f>'6조'!E$5</f>
        <v>파이프를 흐르는 데이터의 인터페이스가 표준화되어 있어, 
 서로 다른 언어/기술로 작성된 새로운 필터나 외부 시스템을 파이프라인 중간에 쉽게 끼워 넣을 수 있음</v>
      </c>
      <c r="F31" s="10" t="str">
        <f>'6조'!F$5</f>
        <v>0</v>
      </c>
      <c r="G31" s="13" t="str">
        <f>'6조'!G$5</f>
        <v>하드웨어(센서/액추에이터)가 표준 인터페이스를 따르면 교체 가능하나, 제어 루프의 재구성은 쉽지 않음</v>
      </c>
      <c r="H31" s="4"/>
      <c r="I31" s="4"/>
      <c r="J31" s="4"/>
      <c r="K31" s="4"/>
      <c r="L31" s="4"/>
      <c r="M31" s="4"/>
      <c r="N31" s="4"/>
      <c r="O31" s="4"/>
      <c r="P31" s="4"/>
      <c r="Q31" s="4"/>
      <c r="R31" s="4"/>
      <c r="S31" s="4"/>
      <c r="T31" s="4"/>
      <c r="U31" s="4"/>
      <c r="V31" s="4"/>
      <c r="W31" s="4"/>
      <c r="X31" s="4"/>
      <c r="Y31" s="4"/>
      <c r="Z31" s="4"/>
    </row>
    <row r="32">
      <c r="A32" s="9" t="s">
        <v>149</v>
      </c>
      <c r="B32" s="10" t="str">
        <f>'7조'!B$5</f>
        <v/>
      </c>
      <c r="C32" s="13" t="str">
        <f>'7조'!C$5</f>
        <v>7조 - Batch Sequential - Integrability</v>
      </c>
      <c r="D32" s="10" t="str">
        <f>'7조'!D$5</f>
        <v/>
      </c>
      <c r="E32" s="13" t="str">
        <f>'7조'!E$5</f>
        <v>7조 - Pipe and Filter - Integrability</v>
      </c>
      <c r="F32" s="10" t="str">
        <f>'7조'!F$5</f>
        <v/>
      </c>
      <c r="G32" s="13" t="str">
        <f>'7조'!G$5</f>
        <v>7조 - Process Control - Integrability</v>
      </c>
      <c r="H32" s="4"/>
      <c r="I32" s="4"/>
      <c r="J32" s="4"/>
      <c r="K32" s="4"/>
      <c r="L32" s="4"/>
      <c r="M32" s="4"/>
      <c r="N32" s="4"/>
      <c r="O32" s="4"/>
      <c r="P32" s="4"/>
      <c r="Q32" s="4"/>
      <c r="R32" s="4"/>
      <c r="S32" s="4"/>
      <c r="T32" s="4"/>
      <c r="U32" s="4"/>
      <c r="V32" s="4"/>
      <c r="W32" s="4"/>
      <c r="X32" s="4"/>
      <c r="Y32" s="4"/>
      <c r="Z32" s="4"/>
    </row>
    <row r="33">
      <c r="A33" s="9" t="s">
        <v>153</v>
      </c>
      <c r="B33" s="10" t="str">
        <f>'8조'!B$5</f>
        <v/>
      </c>
      <c r="C33" s="13" t="str">
        <f>'8조'!C$5</f>
        <v>8조 - Batch Sequential - Integrability</v>
      </c>
      <c r="D33" s="10" t="str">
        <f>'8조'!D$5</f>
        <v/>
      </c>
      <c r="E33" s="13" t="str">
        <f>'8조'!E$5</f>
        <v>8조 - Pipe and Filter - Integrability</v>
      </c>
      <c r="F33" s="10" t="str">
        <f>'8조'!F$5</f>
        <v/>
      </c>
      <c r="G33" s="13" t="str">
        <f>'8조'!G$5</f>
        <v>8조 - Process Control - Integrability</v>
      </c>
      <c r="H33" s="4"/>
      <c r="I33" s="4"/>
      <c r="J33" s="4"/>
      <c r="K33" s="4"/>
      <c r="L33" s="4"/>
      <c r="M33" s="4"/>
      <c r="N33" s="4"/>
      <c r="O33" s="4"/>
      <c r="P33" s="4"/>
      <c r="Q33" s="4"/>
      <c r="R33" s="4"/>
      <c r="S33" s="4"/>
      <c r="T33" s="4"/>
      <c r="U33" s="4"/>
      <c r="V33" s="4"/>
      <c r="W33" s="4"/>
      <c r="X33" s="4"/>
      <c r="Y33" s="4"/>
      <c r="Z33" s="4"/>
    </row>
    <row r="34">
      <c r="A34" s="9" t="s">
        <v>158</v>
      </c>
      <c r="B34" s="10" t="str">
        <f>'9조'!B$5</f>
        <v/>
      </c>
      <c r="C34" s="13" t="str">
        <f>'9조'!C$5</f>
        <v>9조 - Batch Sequential - Integrability</v>
      </c>
      <c r="D34" s="10" t="str">
        <f>'9조'!D$5</f>
        <v/>
      </c>
      <c r="E34" s="13" t="str">
        <f>'9조'!E$5</f>
        <v>9조 - Pipe and Filter - Integrability</v>
      </c>
      <c r="F34" s="10" t="str">
        <f>'9조'!F$5</f>
        <v/>
      </c>
      <c r="G34" s="13" t="str">
        <f>'9조'!G$5</f>
        <v>9조 - Process Control - Integrability</v>
      </c>
      <c r="H34" s="4"/>
      <c r="I34" s="4"/>
      <c r="J34" s="4"/>
      <c r="K34" s="4"/>
      <c r="L34" s="4"/>
      <c r="M34" s="4"/>
      <c r="N34" s="4"/>
      <c r="O34" s="4"/>
      <c r="P34" s="4"/>
      <c r="Q34" s="4"/>
      <c r="R34" s="4"/>
      <c r="S34" s="4"/>
      <c r="T34" s="4"/>
      <c r="U34" s="4"/>
      <c r="V34" s="4"/>
      <c r="W34" s="4"/>
      <c r="X34" s="4"/>
      <c r="Y34" s="4"/>
      <c r="Z34" s="4"/>
    </row>
    <row r="35">
      <c r="A35" s="11"/>
      <c r="B35" s="14"/>
      <c r="C35" s="11"/>
      <c r="D35" s="14"/>
      <c r="E35" s="11"/>
      <c r="F35" s="14"/>
      <c r="G35" s="11"/>
      <c r="H35" s="4"/>
      <c r="I35" s="4"/>
      <c r="J35" s="4"/>
      <c r="K35" s="4"/>
      <c r="L35" s="4"/>
      <c r="M35" s="4"/>
      <c r="N35" s="4"/>
      <c r="O35" s="4"/>
      <c r="P35" s="4"/>
      <c r="Q35" s="4"/>
      <c r="R35" s="4"/>
      <c r="S35" s="4"/>
      <c r="T35" s="4"/>
      <c r="U35" s="4"/>
      <c r="V35" s="4"/>
      <c r="W35" s="4"/>
      <c r="X35" s="4"/>
      <c r="Y35" s="4"/>
      <c r="Z35" s="4"/>
    </row>
    <row r="36">
      <c r="A36" s="7" t="s">
        <v>117</v>
      </c>
      <c r="B36" s="7" t="str">
        <f>'Detailed Reasoning'!B$6</f>
        <v/>
      </c>
      <c r="C36" s="7" t="str">
        <f>'Detailed Reasoning'!C$6</f>
        <v/>
      </c>
      <c r="D36" s="7" t="str">
        <f>'Detailed Reasoning'!D$6</f>
        <v/>
      </c>
      <c r="E36" s="7" t="str">
        <f>'Detailed Reasoning'!E$6</f>
        <v/>
      </c>
      <c r="F36" s="8" t="str">
        <f>'Detailed Reasoning'!F$6</f>
        <v/>
      </c>
      <c r="G36" s="8" t="str">
        <f>'Detailed Reasoning'!G$6</f>
        <v/>
      </c>
      <c r="H36" s="4"/>
      <c r="I36" s="4"/>
      <c r="J36" s="4"/>
      <c r="K36" s="4"/>
      <c r="L36" s="4"/>
      <c r="M36" s="4"/>
      <c r="N36" s="4"/>
      <c r="O36" s="4"/>
      <c r="P36" s="4"/>
      <c r="Q36" s="4"/>
      <c r="R36" s="4"/>
      <c r="S36" s="4"/>
      <c r="T36" s="4"/>
      <c r="U36" s="4"/>
      <c r="V36" s="4"/>
      <c r="W36" s="4"/>
      <c r="X36" s="4"/>
      <c r="Y36" s="4"/>
      <c r="Z36" s="4"/>
    </row>
    <row r="37">
      <c r="A37" s="11" t="s">
        <v>169</v>
      </c>
      <c r="B37" s="10" t="str">
        <f>'1조'!B$6</f>
        <v>-</v>
      </c>
      <c r="C37" s="11" t="str">
        <f>'1조'!C6</f>
        <v>[+] 자원 집약 처리: 특정 시간에 컴퓨팅 자원을 100% 활용하고 유휴 시간에는 끄기 쉬움.
[-] 디스크 I/O 소모: 중간 결과를 디스크/파일로 저장하는 과정에서 전력 소모가 발생함."</v>
      </c>
      <c r="D37" s="10" t="str">
        <f>'1조'!D$6</f>
        <v>-</v>
      </c>
      <c r="E37" s="11" t="str">
        <f>'1조'!E6</f>
        <v>[-] 실행 단위 유지 비용: 필터를 별도 프로세스로 실행하는 구성에서는 각 프로세스의 기본 자원과 실행 전환에 필요한 비용이 발생한다.
[-] 데이터 전달 비용: 필터 사이의 데이터 전달과 프로세스 간 통신에 추가 자원이 필요하며, 필터와 연결이 많아지면 이러한 비용이 누적될 수 있다.
[+] 조기 완료 후 유휴 전환 — 조건부: 동시 처리로 전체 작업을 일찍 완료하고 실제로 유휴 상태로 전환할 수 있다면 에너지 절감에 도움이 될 수 있다. 다만 점진적 처리 자체가 절전 동작을 보장하지는 않는다.</v>
      </c>
      <c r="F37" s="10" t="str">
        <f>'1조'!F$6</f>
        <v>0</v>
      </c>
      <c r="G37" s="11" t="str">
        <f>'1조'!G6</f>
        <v>[N/A] 목표값 유지와 에너지 최소화의 구분: 이 스타일의 직접적인 목적은 원하는 상태를 유지하는 것이며, 그 목표가 곧 에너지 소비의 최소화를 의미하지는 않는다.</v>
      </c>
      <c r="H37" s="4"/>
      <c r="I37" s="4"/>
      <c r="J37" s="4"/>
      <c r="K37" s="4"/>
      <c r="L37" s="4"/>
      <c r="M37" s="4"/>
      <c r="N37" s="4"/>
      <c r="O37" s="4"/>
      <c r="P37" s="4"/>
      <c r="Q37" s="4"/>
      <c r="R37" s="4"/>
      <c r="S37" s="4"/>
      <c r="T37" s="4"/>
      <c r="U37" s="4"/>
      <c r="V37" s="4"/>
      <c r="W37" s="4"/>
      <c r="X37" s="4"/>
      <c r="Y37" s="4"/>
      <c r="Z37" s="4"/>
    </row>
    <row r="38">
      <c r="A38" s="11" t="s">
        <v>174</v>
      </c>
      <c r="B38" s="10" t="str">
        <f>'2조'!B$6</f>
        <v>+</v>
      </c>
      <c r="C38" s="13" t="str">
        <f>'2조'!C$6</f>
        <v>한 번에 한 단계만 돌아 자원을 몰아 쓰지 않는다. 대규모 데이터 처리에 효율적이다</v>
      </c>
      <c r="D38" s="10" t="str">
        <f>'2조'!D$6</f>
        <v>-</v>
      </c>
      <c r="E38" s="13" t="str">
        <f>'2조'!E$6</f>
        <v>독립 Filter 가 많아지면 데이터를 주고받는 계산 overhead 가 크게 늘어난다</v>
      </c>
      <c r="F38" s="10" t="str">
        <f>'2조'!F$6</f>
        <v>+</v>
      </c>
      <c r="G38" s="13" t="str">
        <f>'2조'!G$6</f>
        <v>이 스타일의 에너지 절약은 목표가 아니라 덤이다. 그래서 ++을 주기는 그렇다. 목표값(set point)을 유지하도록 조절하므로 필요 이상으로 자원을 쓰지 않는다.</v>
      </c>
      <c r="H38" s="4"/>
      <c r="I38" s="4"/>
      <c r="J38" s="4"/>
      <c r="K38" s="4"/>
      <c r="L38" s="4"/>
      <c r="M38" s="4"/>
      <c r="N38" s="4"/>
      <c r="O38" s="4"/>
      <c r="P38" s="4"/>
      <c r="Q38" s="4"/>
      <c r="R38" s="4"/>
      <c r="S38" s="4"/>
      <c r="T38" s="4"/>
      <c r="U38" s="4"/>
      <c r="V38" s="4"/>
      <c r="W38" s="4"/>
      <c r="X38" s="4"/>
      <c r="Y38" s="4"/>
      <c r="Z38" s="4"/>
    </row>
    <row r="39">
      <c r="A39" s="11" t="s">
        <v>179</v>
      </c>
      <c r="B39" s="10" t="str">
        <f>'3조'!B$6</f>
        <v>0</v>
      </c>
      <c r="C39" s="13" t="str">
        <f>'3조'!C$6</f>
        <v>Batch Sequential은 동시 실행 자원은 적게 쓰지만, 각 단계가 끝날 때까지 다음 단계가 대기하므로 전체 처리 시간이 길어질 수 있다. 에너지 효율을 직접 개선하는 구조적 메커니즘은 아니므로 0으로 본다.</v>
      </c>
      <c r="D39" s="10" t="str">
        <f>'3조'!D$6</f>
        <v>-</v>
      </c>
      <c r="E39" s="13" t="str">
        <f>'3조'!E$6</f>
        <v>Pipe and Filter는 동시·점진 처리로 자원 활용을 높일 수 있으나, 독립 Filter가 많아지면 계산 overhead와 buffering/데이터 변환 비용이 커진다. 자료의 약점도 overhead 증가를 언급하므로 energy efficiency에는 다소 불리하게 본다.</v>
      </c>
      <c r="F39" s="10" t="str">
        <f>'3조'!F$6</f>
        <v>0</v>
      </c>
      <c r="G39" s="13" t="str">
        <f>'3조'!G$6</f>
        <v>Process Control은 Set Point와 Controlled Variable의 차이를 줄이도록 Manipulated Variable을 조정해 최적의 process 조건을 유지하는 closed-loop 구조이다. 이 구조가 자원 사용을 조정할 수는 있지만, 에너지 절감을 직접 보장하는 스타일은 아니므로 energy efficiency에 대한 직접 효과는 중립으로 본다. (p.53~58)</v>
      </c>
      <c r="H39" s="4"/>
      <c r="I39" s="4"/>
      <c r="J39" s="4"/>
      <c r="K39" s="4"/>
      <c r="L39" s="4"/>
      <c r="M39" s="4"/>
      <c r="N39" s="4"/>
      <c r="O39" s="4"/>
      <c r="P39" s="4"/>
      <c r="Q39" s="4"/>
      <c r="R39" s="4"/>
      <c r="S39" s="4"/>
      <c r="T39" s="4"/>
      <c r="U39" s="4"/>
      <c r="V39" s="4"/>
      <c r="W39" s="4"/>
      <c r="X39" s="4"/>
      <c r="Y39" s="4"/>
      <c r="Z39" s="4"/>
    </row>
    <row r="40">
      <c r="A40" s="11" t="s">
        <v>184</v>
      </c>
      <c r="B40" s="10" t="str">
        <f>'4조'!B$6</f>
        <v>+</v>
      </c>
      <c r="C40" s="13" t="str">
        <f>'4조'!C$6</f>
        <v>실시간으로 계속 동작할 필요 없이 필요한 시점에 배치 단위로 실행할 수 있어 유휴 시간의 자원 사용을 줄일 수 있다.</v>
      </c>
      <c r="D40" s="10" t="str">
        <f>'4조'!D$6</f>
        <v>0</v>
      </c>
      <c r="E40" s="13" t="str">
        <f>'4조'!E$6</f>
        <v>스트리밍과 병렬 처리로 자원을 효율적으로 사용할 수 있지만, 여러 Filter의 동시 실행과 Pipe/Buffer 관리에 추가 자원이 필요하다.</v>
      </c>
      <c r="F40" s="10" t="str">
        <f>'4조'!F$6</f>
        <v>+</v>
      </c>
      <c r="G40" s="13" t="str">
        <f>'4조'!G$6</f>
        <v>현재 상태를 계속 측정하면서 필요한 만큼만 제어할 수 있기 때문에 에너지나 자원을 효율적으로 사용할 수 있다. 예를 들어 목표 온도에 도달하면 히터 출력을 줄일 수 있다.</v>
      </c>
      <c r="H40" s="4"/>
      <c r="I40" s="4"/>
      <c r="J40" s="4"/>
      <c r="K40" s="4"/>
      <c r="L40" s="4"/>
      <c r="M40" s="4"/>
      <c r="N40" s="4"/>
      <c r="O40" s="4"/>
      <c r="P40" s="4"/>
      <c r="Q40" s="4"/>
      <c r="R40" s="4"/>
      <c r="S40" s="4"/>
      <c r="T40" s="4"/>
      <c r="U40" s="4"/>
      <c r="V40" s="4"/>
      <c r="W40" s="4"/>
      <c r="X40" s="4"/>
      <c r="Y40" s="4"/>
      <c r="Z40" s="4"/>
    </row>
    <row r="41">
      <c r="A41" s="11" t="s">
        <v>189</v>
      </c>
      <c r="B41" s="10" t="str">
        <f>'5조'!B$6</f>
        <v>0</v>
      </c>
      <c r="C41" s="13" t="str">
        <f>'5조'!C$6</f>
        <v>1. 에너지, 혹은 처리량 총량의 차이가 있지, 총량 / Energy 값인 효율적 측면은 영향이 없다</v>
      </c>
      <c r="D41" s="10" t="str">
        <f>'5조'!D$6</f>
        <v>0</v>
      </c>
      <c r="E41" s="13" t="str">
        <f>'5조'!E$6</f>
        <v>데이터 처리 자체는 에너지 효율과 직접적인 연관성이 적다.</v>
      </c>
      <c r="F41" s="10" t="str">
        <f>'5조'!F$6</f>
        <v>+</v>
      </c>
      <c r="G41" s="13" t="str">
        <f>'5조'!G$6</f>
        <v>필요한 시점에만 동작하므로 자원을 효율적으로 쓸 수 있다.</v>
      </c>
      <c r="H41" s="4"/>
      <c r="I41" s="4"/>
      <c r="J41" s="4"/>
      <c r="K41" s="4"/>
      <c r="L41" s="4"/>
      <c r="M41" s="4"/>
      <c r="N41" s="4"/>
      <c r="O41" s="4"/>
      <c r="P41" s="4"/>
      <c r="Q41" s="4"/>
      <c r="R41" s="4"/>
      <c r="S41" s="4"/>
      <c r="T41" s="4"/>
      <c r="U41" s="4"/>
      <c r="V41" s="4"/>
      <c r="W41" s="4"/>
      <c r="X41" s="4"/>
      <c r="Y41" s="4"/>
      <c r="Z41" s="4"/>
    </row>
    <row r="42">
      <c r="A42" s="11" t="s">
        <v>193</v>
      </c>
      <c r="B42" s="10" t="str">
        <f>'6조'!B$6</f>
        <v>0</v>
      </c>
      <c r="C42" s="13" t="str">
        <f>'6조'!C$6</f>
        <v>특정 시점에 대량 데이터를 한 번에 처리하므로 유휴 상태 없이 컴퓨팅 자원 활용률을 높일 수 있다는 긍정적 측면과, 선행 작업 종료 시까지 후속 작업이 대기하고 순차 실행으로 인해 전체 소요 시간이 늘어나 총 에너지 절감에는 불리하다는 관점이 상충함.</v>
      </c>
      <c r="D42" s="10" t="str">
        <f>'6조'!D$6</f>
        <v>0</v>
      </c>
      <c r="E42" s="13" t="str">
        <f>'6조'!E$6</f>
        <v>Filter 병렬화로 처리시간 단축 가능하지만 동시 실행으로 자원 소비 증가</v>
      </c>
      <c r="F42" s="10" t="str">
        <f>'6조'!F$6</f>
        <v>--</v>
      </c>
      <c r="G42" s="13" t="str">
        <f>'6조'!G$6</f>
        <v>지속적인 센싱과 연산이 필요한 구조라 유휴 상태 없이 상시 자원 소모함</v>
      </c>
      <c r="H42" s="4"/>
      <c r="I42" s="4"/>
      <c r="J42" s="4"/>
      <c r="K42" s="4"/>
      <c r="L42" s="4"/>
      <c r="M42" s="4"/>
      <c r="N42" s="4"/>
      <c r="O42" s="4"/>
      <c r="P42" s="4"/>
      <c r="Q42" s="4"/>
      <c r="R42" s="4"/>
      <c r="S42" s="4"/>
      <c r="T42" s="4"/>
      <c r="U42" s="4"/>
      <c r="V42" s="4"/>
      <c r="W42" s="4"/>
      <c r="X42" s="4"/>
      <c r="Y42" s="4"/>
      <c r="Z42" s="4"/>
    </row>
    <row r="43">
      <c r="A43" s="11" t="s">
        <v>199</v>
      </c>
      <c r="B43" s="10" t="str">
        <f>'7조'!B$6</f>
        <v/>
      </c>
      <c r="C43" s="13" t="str">
        <f>'7조'!C$6</f>
        <v>7조 - Batch Sequential - Energy Efficiency</v>
      </c>
      <c r="D43" s="10" t="str">
        <f>'7조'!D$6</f>
        <v/>
      </c>
      <c r="E43" s="13" t="str">
        <f>'7조'!E$6</f>
        <v>7조 - Pipe and Filter - Energy Efficiency</v>
      </c>
      <c r="F43" s="10" t="str">
        <f>'7조'!F$6</f>
        <v/>
      </c>
      <c r="G43" s="13" t="str">
        <f>'7조'!G$6</f>
        <v>7조 - Process Control - Energy Efficiency</v>
      </c>
      <c r="H43" s="4"/>
      <c r="I43" s="4"/>
      <c r="J43" s="4"/>
      <c r="K43" s="4"/>
      <c r="L43" s="4"/>
      <c r="M43" s="4"/>
      <c r="N43" s="4"/>
      <c r="O43" s="4"/>
      <c r="P43" s="4"/>
      <c r="Q43" s="4"/>
      <c r="R43" s="4"/>
      <c r="S43" s="4"/>
      <c r="T43" s="4"/>
      <c r="U43" s="4"/>
      <c r="V43" s="4"/>
      <c r="W43" s="4"/>
      <c r="X43" s="4"/>
      <c r="Y43" s="4"/>
      <c r="Z43" s="4"/>
    </row>
    <row r="44">
      <c r="A44" s="11" t="s">
        <v>204</v>
      </c>
      <c r="B44" s="10" t="str">
        <f>'8조'!B$6</f>
        <v/>
      </c>
      <c r="C44" s="13" t="str">
        <f>'8조'!C$6</f>
        <v>8조 - Batch Sequential - Energy Efficiency</v>
      </c>
      <c r="D44" s="10" t="str">
        <f>'8조'!D$6</f>
        <v/>
      </c>
      <c r="E44" s="13" t="str">
        <f>'8조'!E$6</f>
        <v>8조 - Pipe and Filter - Energy Efficiency</v>
      </c>
      <c r="F44" s="10" t="str">
        <f>'8조'!F$6</f>
        <v/>
      </c>
      <c r="G44" s="13" t="str">
        <f>'8조'!G$6</f>
        <v>8조 - Process Control - Energy Efficiency</v>
      </c>
      <c r="H44" s="4"/>
      <c r="I44" s="4"/>
      <c r="J44" s="4"/>
      <c r="K44" s="4"/>
      <c r="L44" s="4"/>
      <c r="M44" s="4"/>
      <c r="N44" s="4"/>
      <c r="O44" s="4"/>
      <c r="P44" s="4"/>
      <c r="Q44" s="4"/>
      <c r="R44" s="4"/>
      <c r="S44" s="4"/>
      <c r="T44" s="4"/>
      <c r="U44" s="4"/>
      <c r="V44" s="4"/>
      <c r="W44" s="4"/>
      <c r="X44" s="4"/>
      <c r="Y44" s="4"/>
      <c r="Z44" s="4"/>
    </row>
    <row r="45">
      <c r="A45" s="11" t="s">
        <v>209</v>
      </c>
      <c r="B45" s="10" t="str">
        <f>'9조'!B$6</f>
        <v/>
      </c>
      <c r="C45" s="13" t="str">
        <f>'9조'!C$6</f>
        <v>9조 - Batch Sequential - Energy Efficiency</v>
      </c>
      <c r="D45" s="10" t="str">
        <f>'9조'!D$6</f>
        <v/>
      </c>
      <c r="E45" s="13" t="str">
        <f>'9조'!E$6</f>
        <v>9조 - Pipe and Filter - Energy Efficiency</v>
      </c>
      <c r="F45" s="10" t="str">
        <f>'9조'!F$6</f>
        <v/>
      </c>
      <c r="G45" s="13" t="str">
        <f>'9조'!G$6</f>
        <v>9조 - Process Control - Energy Efficiency</v>
      </c>
      <c r="H45" s="4"/>
      <c r="I45" s="4"/>
      <c r="J45" s="4"/>
      <c r="K45" s="4"/>
      <c r="L45" s="4"/>
      <c r="M45" s="4"/>
      <c r="N45" s="4"/>
      <c r="O45" s="4"/>
      <c r="P45" s="4"/>
      <c r="Q45" s="4"/>
      <c r="R45" s="4"/>
      <c r="S45" s="4"/>
      <c r="T45" s="4"/>
      <c r="U45" s="4"/>
      <c r="V45" s="4"/>
      <c r="W45" s="4"/>
      <c r="X45" s="4"/>
      <c r="Y45" s="4"/>
      <c r="Z45" s="4"/>
    </row>
    <row r="46">
      <c r="A46" s="11"/>
      <c r="B46" s="14"/>
      <c r="C46" s="11"/>
      <c r="D46" s="14"/>
      <c r="E46" s="11"/>
      <c r="F46" s="14"/>
      <c r="G46" s="11"/>
      <c r="H46" s="4"/>
      <c r="I46" s="4"/>
      <c r="J46" s="4"/>
      <c r="K46" s="4"/>
      <c r="L46" s="4"/>
      <c r="M46" s="4"/>
      <c r="N46" s="4"/>
      <c r="O46" s="4"/>
      <c r="P46" s="4"/>
      <c r="Q46" s="4"/>
      <c r="R46" s="4"/>
      <c r="S46" s="4"/>
      <c r="T46" s="4"/>
      <c r="U46" s="4"/>
      <c r="V46" s="4"/>
      <c r="W46" s="4"/>
      <c r="X46" s="4"/>
      <c r="Y46" s="4"/>
      <c r="Z46" s="4"/>
    </row>
    <row r="47">
      <c r="A47" s="7" t="s">
        <v>151</v>
      </c>
      <c r="B47" s="7" t="str">
        <f>'Detailed Reasoning'!B$7</f>
        <v/>
      </c>
      <c r="C47" s="7" t="str">
        <f>'Detailed Reasoning'!C$7</f>
        <v/>
      </c>
      <c r="D47" s="7" t="str">
        <f>'Detailed Reasoning'!D$7</f>
        <v/>
      </c>
      <c r="E47" s="7" t="str">
        <f>'Detailed Reasoning'!E$7</f>
        <v/>
      </c>
      <c r="F47" s="7" t="str">
        <f>'Detailed Reasoning'!F$7</f>
        <v/>
      </c>
      <c r="G47" s="8" t="str">
        <f>'Detailed Reasoning'!G$7</f>
        <v/>
      </c>
      <c r="H47" s="4"/>
      <c r="I47" s="4"/>
      <c r="J47" s="4"/>
      <c r="K47" s="4"/>
      <c r="L47" s="4"/>
      <c r="M47" s="4"/>
      <c r="N47" s="4"/>
      <c r="O47" s="4"/>
      <c r="P47" s="4"/>
      <c r="Q47" s="4"/>
      <c r="R47" s="4"/>
      <c r="S47" s="4"/>
      <c r="T47" s="4"/>
      <c r="U47" s="4"/>
      <c r="V47" s="4"/>
      <c r="W47" s="4"/>
      <c r="X47" s="4"/>
      <c r="Y47" s="4"/>
      <c r="Z47" s="4"/>
    </row>
    <row r="48">
      <c r="A48" s="9" t="s">
        <v>219</v>
      </c>
      <c r="B48" s="10" t="str">
        <f>'1조'!B$7</f>
        <v>-</v>
      </c>
      <c r="C48" s="11" t="str">
        <f>'1조'!C7</f>
        <v>[+] 기능 분리: 처리 책임이 단계별로 구분되어 있어, 특정 단계의 내부 처리 방식 변경을 해당 단계에 국소화하기 쉽다.
[-] 연쇄적 변경: 중간 데이터 포맷 변경 시 앞뒤 모든 배치 단계에 영향이 파급됨.</v>
      </c>
      <c r="D48" s="10" t="str">
        <f>'1조'!D$7</f>
        <v>+</v>
      </c>
      <c r="E48" s="11" t="str">
        <f>'1조'!E7</f>
        <v>[++] 필터 내부 변경의 국소화: 필터가 서로의 내부 구현에 직접 의존하지 않으므로, 입출력 계약을 유지하는 변환 로직의 변경은 해당 필터에 국소화하기 쉽다.
[+] 구성 확장: 기존 필터를 재사용하고 필요한 필터를 추가·교체하여 처리 기능을 확장하기 쉽다.
[-] 계약과 처리 순서의 제약 — 구조 해석: 데이터의 형식·의미가 바뀌면 연결된 필터도 수정해야 한다. 필터 순서를 바꾸는 경우에도 각 단계의 입력 조건과 전체 처리 의미가 유지되는지 검증해야 한다.</v>
      </c>
      <c r="F48" s="10" t="str">
        <f>'1조'!F$7</f>
        <v>-</v>
      </c>
      <c r="G48" s="11" t="str">
        <f>'1조'!G7</f>
        <v>[-] 제어 변수의 의미적 결합: 측정값이나 조작값의 의미가 바뀌면 이를 계산하고 사용하는 제어부와 처리부를 함께 수정해야 할 수 있다.
[-] 피드백 전체의 영향 — 해석: 한 요소의 처리 특성이나 응답 시간이 바뀌면 이후 측정값과 다음 제어 동작도 달라질 수 있어, 변경 영향을 루프 전체에서 확인해야 한다.</v>
      </c>
      <c r="H48" s="4"/>
      <c r="I48" s="4"/>
      <c r="J48" s="4"/>
      <c r="K48" s="4"/>
      <c r="L48" s="4"/>
      <c r="M48" s="4"/>
      <c r="N48" s="4"/>
      <c r="O48" s="4"/>
      <c r="P48" s="4"/>
      <c r="Q48" s="4"/>
      <c r="R48" s="4"/>
      <c r="S48" s="4"/>
      <c r="T48" s="4"/>
      <c r="U48" s="4"/>
      <c r="V48" s="4"/>
      <c r="W48" s="4"/>
      <c r="X48" s="4"/>
      <c r="Y48" s="4"/>
      <c r="Z48" s="4"/>
    </row>
    <row r="49">
      <c r="A49" s="9" t="s">
        <v>223</v>
      </c>
      <c r="B49" s="10" t="str">
        <f>'2조'!B$7</f>
        <v>+</v>
      </c>
      <c r="C49" s="13" t="str">
        <f>'2조'!C$7</f>
        <v>단계가 데이터 형식으로만 묶여 있어 한 단계를 고쳐도 다른 단계에 영향이 적다</v>
      </c>
      <c r="D49" s="10" t="str">
        <f>'2조'!D$7</f>
        <v>++</v>
      </c>
      <c r="E49" s="13" t="str">
        <f>'2조'!E$7</f>
        <v>Filter 를 재사용·교체하기 쉬워 유지보수와 확장이 쉽다</v>
      </c>
      <c r="F49" s="10" t="str">
        <f>'2조'!F$7</f>
        <v>-</v>
      </c>
      <c r="G49" s="13" t="str">
        <f>'2조'!G$7</f>
        <v>제어 변수·목표값·제어 논리가 서로 얽혀 있어 한 곳을 바꾸면 조율을 다시 해야 한다</v>
      </c>
      <c r="H49" s="4"/>
      <c r="I49" s="4"/>
      <c r="J49" s="4"/>
      <c r="K49" s="4"/>
      <c r="L49" s="4"/>
      <c r="M49" s="4"/>
      <c r="N49" s="4"/>
      <c r="O49" s="4"/>
      <c r="P49" s="4"/>
      <c r="Q49" s="4"/>
      <c r="R49" s="4"/>
      <c r="S49" s="4"/>
      <c r="T49" s="4"/>
      <c r="U49" s="4"/>
      <c r="V49" s="4"/>
      <c r="W49" s="4"/>
      <c r="X49" s="4"/>
      <c r="Y49" s="4"/>
      <c r="Z49" s="4"/>
    </row>
    <row r="50">
      <c r="A50" s="9" t="s">
        <v>229</v>
      </c>
      <c r="B50" s="10" t="str">
        <f>'3조'!B$7</f>
        <v>+</v>
      </c>
      <c r="C50" s="13" t="str">
        <f>'3조'!C$7</f>
        <v>Batch Sequential은 처리 단계가 독립 program으로 나뉘고, 단계 사이 관계가 file input/output으로 명확하다. 특정 processing step만 수정하거나 재사용할 수 있으므로 modifiability에 유리하다.</v>
      </c>
      <c r="D50" s="10" t="str">
        <f>'3조'!D$7</f>
        <v>++</v>
      </c>
      <c r="E50" s="13" t="str">
        <f>'3조'!E$7</f>
        <v>필터 간 독립성이 철저히 보장되므로 필터의 교체, 재배치, 새로운 필터 삽입이 시스템의 다른 부분에 영향을 주지 않습니다.</v>
      </c>
      <c r="F50" s="10" t="str">
        <f>'3조'!F$7</f>
        <v>-</v>
      </c>
      <c r="G50" s="13" t="str">
        <f>'3조'!G$7</f>
        <v>Process Control은 feedback loop 안에서 Controller와 Processing Unit이 제어 변수로 상호 의존한다. 제어 알고리즘이나 변수 정의를 바꾸면 전체 안정성과 결과에 영향을 주므로 변경 영향 분석이 어렵다.</v>
      </c>
      <c r="H50" s="4"/>
      <c r="I50" s="4"/>
      <c r="J50" s="4"/>
      <c r="K50" s="4"/>
      <c r="L50" s="4"/>
      <c r="M50" s="4"/>
      <c r="N50" s="4"/>
      <c r="O50" s="4"/>
      <c r="P50" s="4"/>
      <c r="Q50" s="4"/>
      <c r="R50" s="4"/>
      <c r="S50" s="4"/>
      <c r="T50" s="4"/>
      <c r="U50" s="4"/>
      <c r="V50" s="4"/>
      <c r="W50" s="4"/>
      <c r="X50" s="4"/>
      <c r="Y50" s="4"/>
      <c r="Z50" s="4"/>
    </row>
    <row r="51">
      <c r="A51" s="9" t="s">
        <v>235</v>
      </c>
      <c r="B51" s="10" t="str">
        <f>'4조'!B$7</f>
        <v>+</v>
      </c>
      <c r="C51" s="13" t="str">
        <f>'4조'!C$7</f>
        <v>각 처리 단계가 비교적 독립되어 있어 특정 단계의 알고리즘을 수정하거나 교체하기 쉽다. 단, 입출력 형식 변경 시 주변 단계에도 영향이 갈 수 있다.</v>
      </c>
      <c r="D51" s="10" t="str">
        <f>'4조'!D$7</f>
        <v>++</v>
      </c>
      <c r="E51" s="13" t="str">
        <f>'4조'!E$7</f>
        <v>각 Filter가 특정 기능만 담당하고 서로 직접 의존하지 않으므로 Filter 추가·삭제·교체가 쉽다. Pipe and Filter의 대표적인 장점이다.</v>
      </c>
      <c r="F51" s="10" t="str">
        <f>'4조'!F$7</f>
        <v>-</v>
      </c>
      <c r="G51" s="13" t="str">
        <f>'4조'!G$7</f>
        <v>Controller의 제어 알고리즘이나 센서 특성을 변경하면 전체 제어 안정성에 영향을 줄 수 있다. 하나를 수정하면 제어 파라미터를 다시 조정해야 할 가능성이 크다.</v>
      </c>
      <c r="H51" s="4"/>
      <c r="I51" s="4"/>
      <c r="J51" s="4"/>
      <c r="K51" s="4"/>
      <c r="L51" s="4"/>
      <c r="M51" s="4"/>
      <c r="N51" s="4"/>
      <c r="O51" s="4"/>
      <c r="P51" s="4"/>
      <c r="Q51" s="4"/>
      <c r="R51" s="4"/>
      <c r="S51" s="4"/>
      <c r="T51" s="4"/>
      <c r="U51" s="4"/>
      <c r="V51" s="4"/>
      <c r="W51" s="4"/>
      <c r="X51" s="4"/>
      <c r="Y51" s="4"/>
      <c r="Z51" s="4"/>
    </row>
    <row r="52">
      <c r="A52" s="9" t="s">
        <v>239</v>
      </c>
      <c r="B52" s="10" t="str">
        <f>'5조'!B$7</f>
        <v>++</v>
      </c>
      <c r="C52" s="13" t="str">
        <f>'5조'!C$7</f>
        <v>각 단계가 독립적으로, processing step간 대체가 용이하고 reusing이 가능한 것이 장점</v>
      </c>
      <c r="D52" s="10" t="str">
        <f>'5조'!D$7</f>
        <v>++</v>
      </c>
      <c r="E52" s="13" t="str">
        <f>'5조'!E$7</f>
        <v>필터는 서로 독립적인 개체이므로 개별 구성요소 별로 추가,삭체, 교체하기 쉬운 편이다.</v>
      </c>
      <c r="F52" s="10" t="str">
        <f>'5조'!F$7</f>
        <v>-</v>
      </c>
      <c r="G52" s="13" t="str">
        <f>'5조'!G$7</f>
        <v>Component가 변경 되면 시스템 전체에 영향을 주게 된다.</v>
      </c>
      <c r="H52" s="4"/>
      <c r="I52" s="4"/>
      <c r="J52" s="4"/>
      <c r="K52" s="4"/>
      <c r="L52" s="4"/>
      <c r="M52" s="4"/>
      <c r="N52" s="4"/>
      <c r="O52" s="4"/>
      <c r="P52" s="4"/>
      <c r="Q52" s="4"/>
      <c r="R52" s="4"/>
      <c r="S52" s="4"/>
      <c r="T52" s="4"/>
      <c r="U52" s="4"/>
      <c r="V52" s="4"/>
      <c r="W52" s="4"/>
      <c r="X52" s="4"/>
      <c r="Y52" s="4"/>
      <c r="Z52" s="4"/>
    </row>
    <row r="53">
      <c r="A53" s="9" t="s">
        <v>243</v>
      </c>
      <c r="B53" s="10" t="str">
        <f>'6조'!B$7</f>
        <v>+</v>
      </c>
      <c r="C53" s="13" t="str">
        <f>'6조'!C$7</f>
        <v>프로그램이 단계별로 분리되어 있어 특정 단계의 알고리즘이나 내부 로직을 수정하는 것은 쉬움. 그러나 중간 파일의 데이터 구조(포맷)가 변경되면 이후의 모든 후속 시퀀스에 영향(Ripple effect)을 미침.</v>
      </c>
      <c r="D53" s="10" t="str">
        <f>'6조'!D$7</f>
        <v>+</v>
      </c>
      <c r="E53" s="13" t="str">
        <f>'6조'!E$7</f>
        <v>필터 간 직접적인 의존성이 없고 오직 파이프와만 통신하므로, 
 파이프라인에 새로운 필터를 추가·제거·재배치하기가 매우 쉬우나 데이터 공통구조(형태)가 수정되는 경우 전체 필터에 영향이 있음</v>
      </c>
      <c r="F53" s="10" t="str">
        <f>'6조'!F$7</f>
        <v>-</v>
      </c>
      <c r="G53" s="13" t="str">
        <f>'6조'!G$7</f>
        <v>제어 로직 변경 시 전체 의존성 변경으로 변경 범위가 큼</v>
      </c>
      <c r="H53" s="4"/>
      <c r="I53" s="4"/>
      <c r="J53" s="4"/>
      <c r="K53" s="4"/>
      <c r="L53" s="4"/>
      <c r="M53" s="4"/>
      <c r="N53" s="4"/>
      <c r="O53" s="4"/>
      <c r="P53" s="4"/>
      <c r="Q53" s="4"/>
      <c r="R53" s="4"/>
      <c r="S53" s="4"/>
      <c r="T53" s="4"/>
      <c r="U53" s="4"/>
      <c r="V53" s="4"/>
      <c r="W53" s="4"/>
      <c r="X53" s="4"/>
      <c r="Y53" s="4"/>
      <c r="Z53" s="4"/>
    </row>
    <row r="54">
      <c r="A54" s="9" t="s">
        <v>247</v>
      </c>
      <c r="B54" s="10" t="str">
        <f>'7조'!B$7</f>
        <v/>
      </c>
      <c r="C54" s="13" t="str">
        <f>'7조'!C$7</f>
        <v>7조 - Batch Sequential - Modifiability</v>
      </c>
      <c r="D54" s="10" t="str">
        <f>'7조'!D$7</f>
        <v/>
      </c>
      <c r="E54" s="13" t="str">
        <f>'7조'!E$7</f>
        <v>7조 - Pipe and Filter - Modifiability</v>
      </c>
      <c r="F54" s="10" t="str">
        <f>'7조'!F$7</f>
        <v/>
      </c>
      <c r="G54" s="13" t="str">
        <f>'7조'!G$7</f>
        <v>7조 - Process Control - Modifiability</v>
      </c>
      <c r="H54" s="4"/>
      <c r="I54" s="4"/>
      <c r="J54" s="4"/>
      <c r="K54" s="4"/>
      <c r="L54" s="4"/>
      <c r="M54" s="4"/>
      <c r="N54" s="4"/>
      <c r="O54" s="4"/>
      <c r="P54" s="4"/>
      <c r="Q54" s="4"/>
      <c r="R54" s="4"/>
      <c r="S54" s="4"/>
      <c r="T54" s="4"/>
      <c r="U54" s="4"/>
      <c r="V54" s="4"/>
      <c r="W54" s="4"/>
      <c r="X54" s="4"/>
      <c r="Y54" s="4"/>
      <c r="Z54" s="4"/>
    </row>
    <row r="55">
      <c r="A55" s="9" t="s">
        <v>250</v>
      </c>
      <c r="B55" s="10" t="str">
        <f>'8조'!B$7</f>
        <v/>
      </c>
      <c r="C55" s="13" t="str">
        <f>'8조'!C$7</f>
        <v>8조 - Batch Sequential - Modifiability</v>
      </c>
      <c r="D55" s="10" t="str">
        <f>'8조'!D$7</f>
        <v/>
      </c>
      <c r="E55" s="13" t="str">
        <f>'8조'!E$7</f>
        <v>8조 - Pipe and Filter - Modifiability</v>
      </c>
      <c r="F55" s="10" t="str">
        <f>'8조'!F$7</f>
        <v/>
      </c>
      <c r="G55" s="13" t="str">
        <f>'8조'!G$7</f>
        <v>8조 - Process Control - Modifiability</v>
      </c>
      <c r="H55" s="4"/>
      <c r="I55" s="4"/>
      <c r="J55" s="4"/>
      <c r="K55" s="4"/>
      <c r="L55" s="4"/>
      <c r="M55" s="4"/>
      <c r="N55" s="4"/>
      <c r="O55" s="4"/>
      <c r="P55" s="4"/>
      <c r="Q55" s="4"/>
      <c r="R55" s="4"/>
      <c r="S55" s="4"/>
      <c r="T55" s="4"/>
      <c r="U55" s="4"/>
      <c r="V55" s="4"/>
      <c r="W55" s="4"/>
      <c r="X55" s="4"/>
      <c r="Y55" s="4"/>
      <c r="Z55" s="4"/>
    </row>
    <row r="56">
      <c r="A56" s="9" t="s">
        <v>256</v>
      </c>
      <c r="B56" s="10" t="str">
        <f>'9조'!B$7</f>
        <v/>
      </c>
      <c r="C56" s="13" t="str">
        <f>'9조'!C$7</f>
        <v>9조 - Batch Sequential - Modifiability</v>
      </c>
      <c r="D56" s="10" t="str">
        <f>'9조'!D$7</f>
        <v/>
      </c>
      <c r="E56" s="13" t="str">
        <f>'9조'!E$7</f>
        <v>9조 - Pipe and Filter - Modifiability</v>
      </c>
      <c r="F56" s="10" t="str">
        <f>'9조'!F$7</f>
        <v/>
      </c>
      <c r="G56" s="13" t="str">
        <f>'9조'!G$7</f>
        <v>9조 - Process Control - Modifiability</v>
      </c>
      <c r="H56" s="4"/>
      <c r="I56" s="4"/>
      <c r="J56" s="4"/>
      <c r="K56" s="4"/>
      <c r="L56" s="4"/>
      <c r="M56" s="4"/>
      <c r="N56" s="4"/>
      <c r="O56" s="4"/>
      <c r="P56" s="4"/>
      <c r="Q56" s="4"/>
      <c r="R56" s="4"/>
      <c r="S56" s="4"/>
      <c r="T56" s="4"/>
      <c r="U56" s="4"/>
      <c r="V56" s="4"/>
      <c r="W56" s="4"/>
      <c r="X56" s="4"/>
      <c r="Y56" s="4"/>
      <c r="Z56" s="4"/>
    </row>
    <row r="57">
      <c r="A57" s="11"/>
      <c r="B57" s="14"/>
      <c r="C57" s="11"/>
      <c r="D57" s="14"/>
      <c r="E57" s="11"/>
      <c r="F57" s="14"/>
      <c r="G57" s="11"/>
      <c r="H57" s="4"/>
      <c r="I57" s="4"/>
      <c r="J57" s="4"/>
      <c r="K57" s="4"/>
      <c r="L57" s="4"/>
      <c r="M57" s="4"/>
      <c r="N57" s="4"/>
      <c r="O57" s="4"/>
      <c r="P57" s="4"/>
      <c r="Q57" s="4"/>
      <c r="R57" s="4"/>
      <c r="S57" s="4"/>
      <c r="T57" s="4"/>
      <c r="U57" s="4"/>
      <c r="V57" s="4"/>
      <c r="W57" s="4"/>
      <c r="X57" s="4"/>
      <c r="Y57" s="4"/>
      <c r="Z57" s="4"/>
    </row>
    <row r="58">
      <c r="A58" s="7" t="s">
        <v>186</v>
      </c>
      <c r="B58" s="7" t="str">
        <f>'Detailed Reasoning'!B$8</f>
        <v/>
      </c>
      <c r="C58" s="7" t="str">
        <f>'Detailed Reasoning'!C$8</f>
        <v/>
      </c>
      <c r="D58" s="7" t="str">
        <f>'Detailed Reasoning'!D$8</f>
        <v/>
      </c>
      <c r="E58" s="7" t="str">
        <f>'Detailed Reasoning'!E$8</f>
        <v/>
      </c>
      <c r="F58" s="8" t="str">
        <f>'Detailed Reasoning'!F$8</f>
        <v/>
      </c>
      <c r="G58" s="7" t="str">
        <f>'Detailed Reasoning'!G$8</f>
        <v/>
      </c>
      <c r="H58" s="4"/>
      <c r="I58" s="4"/>
      <c r="J58" s="4"/>
      <c r="K58" s="4"/>
      <c r="L58" s="4"/>
      <c r="M58" s="4"/>
      <c r="N58" s="4"/>
      <c r="O58" s="4"/>
      <c r="P58" s="4"/>
      <c r="Q58" s="4"/>
      <c r="R58" s="4"/>
      <c r="S58" s="4"/>
      <c r="T58" s="4"/>
      <c r="U58" s="4"/>
      <c r="V58" s="4"/>
      <c r="W58" s="4"/>
      <c r="X58" s="4"/>
      <c r="Y58" s="4"/>
      <c r="Z58" s="4"/>
    </row>
    <row r="59">
      <c r="A59" s="9" t="s">
        <v>271</v>
      </c>
      <c r="B59" s="10" t="str">
        <f>'1조'!B$8</f>
        <v>--</v>
      </c>
      <c r="C59" s="11" t="str">
        <f>'1조'!C8</f>
        <v>[+] 일괄 처리 적합성: 대규모 데이터를 정해진 처리 단계에 따라 일괄 변환하는 용도에 효율적이다.
[--] 완료 대기에 따른 지연: 앞 단계의 전체 작업이 끝날 때까지 다음 단계가 기다리므로, 대규모 입력에서는 다음 단계의 시작과 최종 결과 제공이 크게 지연될 수 있다.
[-] 단계 간 동시성 부족: 여러 단계가 서로 다른 데이터를 동시에 처리하지 못하므로, 단계 간 처리를 겹치는 구조에 비해 처리량 향상이 제한된다.</v>
      </c>
      <c r="D59" s="10" t="str">
        <f>'1조'!D$8</f>
        <v>+</v>
      </c>
      <c r="E59" s="11" t="str">
        <f>'1조'!E8</f>
        <v>[++] 파이프라인 동시 처리: 여러 필터가 서로 다른 데이터 부분을 동시에 처리할 수 있어, 연속적으로 입력되는 데이터의 처리량을 높이는 데 유리하다.
[+] 점진적 처리: 앞 필터가 입력 전체를 처리하기 전에 후속 필터가 도착한 데이터를 처리할 수 있어, 전체 입력의 완료를 기다리는 시간을 줄일 수 있다.
[-] 전달 비용과 처리 속도 차이 — 구조 해석: 필터 간 데이터 전달에 부가 비용이 발생하고, 필터별 처리 속도가 다르면 대기가 생길 수 있다. 따라서 처리량이 높아져도 데이터 한 건의 최종 완료 시간이 반드시 짧아지는 것은 아니다.</v>
      </c>
      <c r="F59" s="10" t="str">
        <f>'1조'!F$8</f>
        <v>-</v>
      </c>
      <c r="G59" s="11" t="str">
        <f>'1조'!G8</f>
        <v>[+] 목표 성능 유지의 활용: 교안의 미들웨어 품질 제어 사례처럼 계산·통신 자원을 조정하는 구성에서는, 상태 변화에 대응하여 목표 성능 수준을 유지하는 데 활용할 수 있다.
[-] 반복 연산 비용 — 해석: 측정값의 해석·비교·제어 판단을 반복하므로, 실제 처리 기능 외에 제어를 위한 연산 비용이 발생한다.</v>
      </c>
      <c r="H59" s="4"/>
      <c r="I59" s="4"/>
      <c r="J59" s="4"/>
      <c r="K59" s="4"/>
      <c r="L59" s="4"/>
      <c r="M59" s="4"/>
      <c r="N59" s="4"/>
      <c r="O59" s="4"/>
      <c r="P59" s="4"/>
      <c r="Q59" s="4"/>
      <c r="R59" s="4"/>
      <c r="S59" s="4"/>
      <c r="T59" s="4"/>
      <c r="U59" s="4"/>
      <c r="V59" s="4"/>
      <c r="W59" s="4"/>
      <c r="X59" s="4"/>
      <c r="Y59" s="4"/>
      <c r="Z59" s="4"/>
    </row>
    <row r="60">
      <c r="A60" s="9" t="s">
        <v>275</v>
      </c>
      <c r="B60" s="10" t="str">
        <f>'2조'!B$8</f>
        <v>--</v>
      </c>
      <c r="C60" s="13" t="str">
        <f>'2조'!C$8</f>
        <v>동시성이 없고 단계마다 전체 데이터를 기다리므로 지연이 늘고 처리량이 낮다</v>
      </c>
      <c r="D60" s="10" t="str">
        <f>'2조'!D$8</f>
        <v>+</v>
      </c>
      <c r="E60" s="13" t="str">
        <f>'2조'!E$8</f>
        <v>입력 전체를 기다리지 않고 점진적으로 처리하며, 독립 Filter 를 분산·병렬로 돌려 성능을 높일 수 있다</v>
      </c>
      <c r="F60" s="10" t="str">
        <f>'2조'!F$8</f>
        <v>+</v>
      </c>
      <c r="G60" s="13" t="str">
        <f>'2조'!G$8</f>
        <v>외란(disturbance)에 즉시 반응해 목표 상태를 유지한다. 응답 자체가 이 스타일의 목적이다</v>
      </c>
      <c r="H60" s="4"/>
      <c r="I60" s="4"/>
      <c r="J60" s="4"/>
      <c r="K60" s="4"/>
      <c r="L60" s="4"/>
      <c r="M60" s="4"/>
      <c r="N60" s="4"/>
      <c r="O60" s="4"/>
      <c r="P60" s="4"/>
      <c r="Q60" s="4"/>
      <c r="R60" s="4"/>
      <c r="S60" s="4"/>
      <c r="T60" s="4"/>
      <c r="U60" s="4"/>
      <c r="V60" s="4"/>
      <c r="W60" s="4"/>
      <c r="X60" s="4"/>
      <c r="Y60" s="4"/>
      <c r="Z60" s="4"/>
    </row>
    <row r="61">
      <c r="A61" s="9" t="s">
        <v>279</v>
      </c>
      <c r="B61" s="10" t="str">
        <f>'3조'!B$8</f>
        <v>--</v>
      </c>
      <c r="C61" s="13" t="str">
        <f>'3조'!C$8</f>
        <v>Batch Sequential은 각 단계가 run-to-completion으로 끝난 뒤 다음 단계로 넘어간다. 동시성이 없고 latency가 늘며 throughput이 낮다고 자료에 명시되어 있어 performance에는 강하게 불리하다.</v>
      </c>
      <c r="D61" s="10" t="str">
        <f>'3조'!D$8</f>
        <v>+</v>
      </c>
      <c r="E61" s="13" t="str">
        <f>'3조'!E$8</f>
        <v>Pipe and Filter는 입력 전체를 기다리지 않고 데이터 stream을 점진적으로 변환하며, 독립 Filter를 분산·병렬 처리할 수 있다. 따라서 pipeline 병렬성으로 throughput을 높일 수 있어 performance에 유리하다.</v>
      </c>
      <c r="F61" s="10" t="str">
        <f>'3조'!F$8</f>
        <v>+</v>
      </c>
      <c r="G61" s="13" t="str">
        <f>'3조'!G$8</f>
        <v>Process Control은 Sensor가 상태를 관찰하고 Controller가 차이를 계산해 즉시 control action을 적용한다. 외부 disturbance에 빠르게 대응해 목표 상태로 수렴하게 하므로 performance/QoS 유지에 유리하다.</v>
      </c>
      <c r="H61" s="4"/>
      <c r="I61" s="4"/>
      <c r="J61" s="4"/>
      <c r="K61" s="4"/>
      <c r="L61" s="4"/>
      <c r="M61" s="4"/>
      <c r="N61" s="4"/>
      <c r="O61" s="4"/>
      <c r="P61" s="4"/>
      <c r="Q61" s="4"/>
      <c r="R61" s="4"/>
      <c r="S61" s="4"/>
      <c r="T61" s="4"/>
      <c r="U61" s="4"/>
      <c r="V61" s="4"/>
      <c r="W61" s="4"/>
      <c r="X61" s="4"/>
      <c r="Y61" s="4"/>
      <c r="Z61" s="4"/>
    </row>
    <row r="62">
      <c r="A62" s="9" t="s">
        <v>282</v>
      </c>
      <c r="B62" s="10" t="str">
        <f>'4조'!B$8</f>
        <v>--</v>
      </c>
      <c r="C62" s="13" t="str">
        <f>'4조'!C$8</f>
        <v>앞 단계가 완전히 끝나야 다음 단계가 시작되므로 병렬 처리가 어렵고 전체 처리 지연시간이 길어진다. 특히 대용량 데이터에서는 단점이 커진다.</v>
      </c>
      <c r="D62" s="10" t="str">
        <f>'4조'!D$8</f>
        <v>+</v>
      </c>
      <c r="E62" s="13" t="str">
        <f>'4조'!E$8</f>
        <v>여러 Filter가 동시에 서로 다른 데이터를 처리하는 Pipeline Parallelism이 가능하여 처리량이 높아질 수 있다. 다만 Filter 간 데이터 전달 비용이 발생한다.</v>
      </c>
      <c r="F62" s="10" t="str">
        <f>'4조'!F$8</f>
        <v>+</v>
      </c>
      <c r="G62" s="13" t="str">
        <f>'4조'!G$8</f>
        <v>각 제어 주기 안에서 예측 가능한 유계 응답 시간을 목표로 설계된다. 다만 높은 처리량을 노리는 스타일은 아니다.</v>
      </c>
      <c r="H62" s="4"/>
      <c r="I62" s="4"/>
      <c r="J62" s="4"/>
      <c r="K62" s="4"/>
      <c r="L62" s="4"/>
      <c r="M62" s="4"/>
      <c r="N62" s="4"/>
      <c r="O62" s="4"/>
      <c r="P62" s="4"/>
      <c r="Q62" s="4"/>
      <c r="R62" s="4"/>
      <c r="S62" s="4"/>
      <c r="T62" s="4"/>
      <c r="U62" s="4"/>
      <c r="V62" s="4"/>
      <c r="W62" s="4"/>
      <c r="X62" s="4"/>
      <c r="Y62" s="4"/>
      <c r="Z62" s="4"/>
    </row>
    <row r="63">
      <c r="A63" s="9" t="s">
        <v>286</v>
      </c>
      <c r="B63" s="10" t="str">
        <f>'5조'!B$8</f>
        <v>-</v>
      </c>
      <c r="C63" s="13" t="str">
        <f>'5조'!C$8</f>
        <v>병렬 구조가 불가능함에 따라 성능이 좋지 못함.</v>
      </c>
      <c r="D63" s="10" t="str">
        <f>'5조'!D$8</f>
        <v>+</v>
      </c>
      <c r="E63" s="13" t="str">
        <f>'5조'!E$8</f>
        <v>Filter의 수가 많아질수록 Computational O/H가 증가하나, 병렬성이 존재하므로 장점이 더 큼</v>
      </c>
      <c r="F63" s="10" t="str">
        <f>'5조'!F$8</f>
        <v>-</v>
      </c>
      <c r="G63" s="13" t="str">
        <f>'5조'!G$8</f>
        <v>출력값을 다시 입력에 사용해야 하는 loop구조로 latency가 오히려 추가된다.</v>
      </c>
      <c r="H63" s="4"/>
      <c r="I63" s="4"/>
      <c r="J63" s="4"/>
      <c r="K63" s="4"/>
      <c r="L63" s="4"/>
      <c r="M63" s="4"/>
      <c r="N63" s="4"/>
      <c r="O63" s="4"/>
      <c r="P63" s="4"/>
      <c r="Q63" s="4"/>
      <c r="R63" s="4"/>
      <c r="S63" s="4"/>
      <c r="T63" s="4"/>
      <c r="U63" s="4"/>
      <c r="V63" s="4"/>
      <c r="W63" s="4"/>
      <c r="X63" s="4"/>
      <c r="Y63" s="4"/>
      <c r="Z63" s="4"/>
    </row>
    <row r="64">
      <c r="A64" s="9" t="s">
        <v>288</v>
      </c>
      <c r="B64" s="10" t="str">
        <f>'6조'!B$8</f>
        <v>-</v>
      </c>
      <c r="C64" s="13" t="str">
        <f>'6조'!C$8</f>
        <v>이전 단계가 완전히 종료되어 디스크에 파일 저장이 끝나야 다음 단계가 시작되므로, 파이프라인 병렬 처리가 불가능하여 응답/대기 시간(Latency)이 매우 긺. 단, 실시간성이 필요 없는 대용량 데이터의 일괄 처리량(Throughput) 측면에서는 여전히 유효함.</v>
      </c>
      <c r="D64" s="10" t="str">
        <f>'6조'!D$8</f>
        <v>+</v>
      </c>
      <c r="E64" s="13" t="str">
        <f>'6조'!E$8</f>
        <v>Filter 병렬화 및 Pipeline Processing 가능하지만 파이프간 데이터가 이동할 때 오버헤드가 많을 수도 있음.</v>
      </c>
      <c r="F64" s="10" t="str">
        <f>'6조'!F$8</f>
        <v>++</v>
      </c>
      <c r="G64" s="13" t="str">
        <f>'6조'!G$8</f>
        <v>실행 순서와 주기 제어로 빠른응답, 실시간 제어, 성능 예측 가능함</v>
      </c>
      <c r="H64" s="4"/>
      <c r="I64" s="4"/>
      <c r="J64" s="4"/>
      <c r="K64" s="4"/>
      <c r="L64" s="4"/>
      <c r="M64" s="4"/>
      <c r="N64" s="4"/>
      <c r="O64" s="4"/>
      <c r="P64" s="4"/>
      <c r="Q64" s="4"/>
      <c r="R64" s="4"/>
      <c r="S64" s="4"/>
      <c r="T64" s="4"/>
      <c r="U64" s="4"/>
      <c r="V64" s="4"/>
      <c r="W64" s="4"/>
      <c r="X64" s="4"/>
      <c r="Y64" s="4"/>
      <c r="Z64" s="4"/>
    </row>
    <row r="65">
      <c r="A65" s="9" t="s">
        <v>291</v>
      </c>
      <c r="B65" s="10" t="str">
        <f>'7조'!B$8</f>
        <v/>
      </c>
      <c r="C65" s="13" t="str">
        <f>'7조'!C$8</f>
        <v>7조 - Batch Sequential - Performance</v>
      </c>
      <c r="D65" s="10" t="str">
        <f>'7조'!D$8</f>
        <v/>
      </c>
      <c r="E65" s="13" t="str">
        <f>'7조'!E$8</f>
        <v>7조 - Pipe and Filter - Performance</v>
      </c>
      <c r="F65" s="10" t="str">
        <f>'7조'!F$8</f>
        <v/>
      </c>
      <c r="G65" s="13" t="str">
        <f>'7조'!G$8</f>
        <v>7조 - Process Control - Performance</v>
      </c>
      <c r="H65" s="4"/>
      <c r="I65" s="4"/>
      <c r="J65" s="4"/>
      <c r="K65" s="4"/>
      <c r="L65" s="4"/>
      <c r="M65" s="4"/>
      <c r="N65" s="4"/>
      <c r="O65" s="4"/>
      <c r="P65" s="4"/>
      <c r="Q65" s="4"/>
      <c r="R65" s="4"/>
      <c r="S65" s="4"/>
      <c r="T65" s="4"/>
      <c r="U65" s="4"/>
      <c r="V65" s="4"/>
      <c r="W65" s="4"/>
      <c r="X65" s="4"/>
      <c r="Y65" s="4"/>
      <c r="Z65" s="4"/>
    </row>
    <row r="66">
      <c r="A66" s="9" t="s">
        <v>295</v>
      </c>
      <c r="B66" s="10" t="str">
        <f>'8조'!B$8</f>
        <v/>
      </c>
      <c r="C66" s="13" t="str">
        <f>'8조'!C$8</f>
        <v>8조 - Batch Sequential - Performance</v>
      </c>
      <c r="D66" s="10" t="str">
        <f>'8조'!D$8</f>
        <v/>
      </c>
      <c r="E66" s="13" t="str">
        <f>'8조'!E$8</f>
        <v>8조 - Pipe and Filter - Performance</v>
      </c>
      <c r="F66" s="10" t="str">
        <f>'8조'!F$8</f>
        <v/>
      </c>
      <c r="G66" s="13" t="str">
        <f>'8조'!G$8</f>
        <v>8조 - Process Control - Performance</v>
      </c>
      <c r="H66" s="4"/>
      <c r="I66" s="4"/>
      <c r="J66" s="4"/>
      <c r="K66" s="4"/>
      <c r="L66" s="4"/>
      <c r="M66" s="4"/>
      <c r="N66" s="4"/>
      <c r="O66" s="4"/>
      <c r="P66" s="4"/>
      <c r="Q66" s="4"/>
      <c r="R66" s="4"/>
      <c r="S66" s="4"/>
      <c r="T66" s="4"/>
      <c r="U66" s="4"/>
      <c r="V66" s="4"/>
      <c r="W66" s="4"/>
      <c r="X66" s="4"/>
      <c r="Y66" s="4"/>
      <c r="Z66" s="4"/>
    </row>
    <row r="67">
      <c r="A67" s="9" t="s">
        <v>299</v>
      </c>
      <c r="B67" s="10" t="str">
        <f>'9조'!B$8</f>
        <v/>
      </c>
      <c r="C67" s="13" t="str">
        <f>'9조'!C$8</f>
        <v>9조 - Batch Sequential - Performance</v>
      </c>
      <c r="D67" s="10" t="str">
        <f>'9조'!D$8</f>
        <v/>
      </c>
      <c r="E67" s="13" t="str">
        <f>'9조'!E$8</f>
        <v>9조 - Pipe and Filter - Performance</v>
      </c>
      <c r="F67" s="10" t="str">
        <f>'9조'!F$8</f>
        <v/>
      </c>
      <c r="G67" s="13" t="str">
        <f>'9조'!G$8</f>
        <v>9조 - Process Control - Performance</v>
      </c>
      <c r="H67" s="4"/>
      <c r="I67" s="4"/>
      <c r="J67" s="4"/>
      <c r="K67" s="4"/>
      <c r="L67" s="4"/>
      <c r="M67" s="4"/>
      <c r="N67" s="4"/>
      <c r="O67" s="4"/>
      <c r="P67" s="4"/>
      <c r="Q67" s="4"/>
      <c r="R67" s="4"/>
      <c r="S67" s="4"/>
      <c r="T67" s="4"/>
      <c r="U67" s="4"/>
      <c r="V67" s="4"/>
      <c r="W67" s="4"/>
      <c r="X67" s="4"/>
      <c r="Y67" s="4"/>
      <c r="Z67" s="4"/>
    </row>
    <row r="68">
      <c r="A68" s="11"/>
      <c r="B68" s="14"/>
      <c r="C68" s="11"/>
      <c r="D68" s="14"/>
      <c r="E68" s="11"/>
      <c r="F68" s="14"/>
      <c r="G68" s="11"/>
      <c r="H68" s="4"/>
      <c r="I68" s="4"/>
      <c r="J68" s="4"/>
      <c r="K68" s="4"/>
      <c r="L68" s="4"/>
      <c r="M68" s="4"/>
      <c r="N68" s="4"/>
      <c r="O68" s="4"/>
      <c r="P68" s="4"/>
      <c r="Q68" s="4"/>
      <c r="R68" s="4"/>
      <c r="S68" s="4"/>
      <c r="T68" s="4"/>
      <c r="U68" s="4"/>
      <c r="V68" s="4"/>
      <c r="W68" s="4"/>
      <c r="X68" s="4"/>
      <c r="Y68" s="4"/>
      <c r="Z68" s="4"/>
    </row>
    <row r="69">
      <c r="A69" s="7" t="s">
        <v>221</v>
      </c>
      <c r="B69" s="7" t="str">
        <f>'Detailed Reasoning'!B$9</f>
        <v/>
      </c>
      <c r="C69" s="7" t="str">
        <f>'Detailed Reasoning'!C$9</f>
        <v/>
      </c>
      <c r="D69" s="7" t="str">
        <f>'Detailed Reasoning'!D$9</f>
        <v/>
      </c>
      <c r="E69" s="7" t="str">
        <f>'Detailed Reasoning'!E$9</f>
        <v/>
      </c>
      <c r="F69" s="8" t="str">
        <f>'Detailed Reasoning'!F$9</f>
        <v/>
      </c>
      <c r="G69" s="8" t="str">
        <f>'Detailed Reasoning'!G$9</f>
        <v/>
      </c>
      <c r="H69" s="4"/>
      <c r="I69" s="4"/>
      <c r="J69" s="4"/>
      <c r="K69" s="4"/>
      <c r="L69" s="4"/>
      <c r="M69" s="4"/>
      <c r="N69" s="4"/>
      <c r="O69" s="4"/>
      <c r="P69" s="4"/>
      <c r="Q69" s="4"/>
      <c r="R69" s="4"/>
      <c r="S69" s="4"/>
      <c r="T69" s="4"/>
      <c r="U69" s="4"/>
      <c r="V69" s="4"/>
      <c r="W69" s="4"/>
      <c r="X69" s="4"/>
      <c r="Y69" s="4"/>
      <c r="Z69" s="4"/>
    </row>
    <row r="70">
      <c r="A70" s="9" t="s">
        <v>308</v>
      </c>
      <c r="B70" s="10" t="str">
        <f>'1조'!B$9</f>
        <v>-</v>
      </c>
      <c r="C70" s="11" t="str">
        <f>'1조'!C9</f>
        <v>[+] 순차적 동작: 처리 순서가 정해져 있어 실행 흐름을 분석하기 쉽고, 순서와 상태 변화에 따른 위험을 검토하기 쉽다.
[-] 오류 전파: 잘못된 중간 결과가 후속 단계의 입력으로 사용되면 오류가 뒤 단계로 이어질 수 있다. 그 결과가 안전 관련 동작에 사용되는 경우에는 피해로 연결될 가능성도 검토해야 한다.</v>
      </c>
      <c r="D70" s="10" t="str">
        <f>'1조'!D$9</f>
        <v>-</v>
      </c>
      <c r="E70" s="11" t="str">
        <f>'1조'!E9</f>
        <v>[+] 검증 책임의 분리: 필터별 변환 책임이 구분되어 있어, 안전과 관련된 처리 로직을 특정 필터 단위로 나누어 검증하기 쉽다.
[-] 잘못된 출력의 전파 — 구조 해석: 필터가 내부 상태를 직접 공유하지 않더라도 잘못된 출력 데이터는 파이프를 통해 후속 필터에 전달될 수 있다. 해당 결과가 안전 관련 동작에 사용되는 경우 위험이 이어질 수 있다.
[-] 동시 실행의 분석 부담: 필터의 실행 시점과 데이터 도착 시점에 따른 동작을 함께 검토해야 하므로, 순차 실행에 비해 시간 의존 오류와 위험 상황의 분석이 복잡해질 수 있다.</v>
      </c>
      <c r="F70" s="10" t="str">
        <f>'1조'!F$9</f>
        <v>0</v>
      </c>
      <c r="G70" s="11" t="str">
        <f>'1조'!G9</f>
        <v>[++] 안전 관련 상태 유지 — 조건부 해석: 안전과 관련된 상태를 목표값으로 제어하는 경우, 외부 교란으로 상태가 벗어났을 때 이를 되돌리는 동작을 지속적으로 수행하므로 위험 상태를 억제하는 데 도움이 된다.
[--] 잘못된 제어의 전체 영향: 측정값이나 제어부가 잘못 동작하면 부적절한 조작이 처리부에 전달될 수 있으며, 안전 관련 시스템에서는 전체 제어 실패가 위험한 동작으로 이어질 수 있다.</v>
      </c>
      <c r="H70" s="4"/>
      <c r="I70" s="4"/>
      <c r="J70" s="4"/>
      <c r="K70" s="4"/>
      <c r="L70" s="4"/>
      <c r="M70" s="4"/>
      <c r="N70" s="4"/>
      <c r="O70" s="4"/>
      <c r="P70" s="4"/>
      <c r="Q70" s="4"/>
      <c r="R70" s="4"/>
      <c r="S70" s="4"/>
      <c r="T70" s="4"/>
      <c r="U70" s="4"/>
      <c r="V70" s="4"/>
      <c r="W70" s="4"/>
      <c r="X70" s="4"/>
      <c r="Y70" s="4"/>
      <c r="Z70" s="4"/>
    </row>
    <row r="71">
      <c r="A71" s="9" t="s">
        <v>313</v>
      </c>
      <c r="B71" s="10" t="str">
        <f>'2조'!B$9</f>
        <v>+</v>
      </c>
      <c r="C71" s="13" t="str">
        <f>'2조'!C$9</f>
        <v>단계마다 중간 결과가 파일로 남아 어디서 잘못됐는지 되짚고 그 지점부터 다시 돌릴 수 있다</v>
      </c>
      <c r="D71" s="10" t="str">
        <f>'2조'!D$9</f>
        <v>-</v>
      </c>
      <c r="E71" s="13" t="str">
        <f>'2조'!E$9</f>
        <v>다수의 필터가 비동기 동시 실행되므로 스트림 동기화, 배압(Backpressure) 조절 실패, 버퍼 고갈 등 비결정적(Non-deterministic) 런타임 오류 가능성이 있어 안전성 검증이 까다로움.</v>
      </c>
      <c r="F71" s="10" t="str">
        <f>'2조'!F$9</f>
        <v>++</v>
      </c>
      <c r="G71" s="13" t="str">
        <f>'2조'!G$9</f>
        <v>최적 process 조건을 계속 유지해 신뢰성과 견고성을 높인다 — 위험 상태로 벗어나는 것을 막는 구조다</v>
      </c>
      <c r="H71" s="4"/>
      <c r="I71" s="4"/>
      <c r="J71" s="4"/>
      <c r="K71" s="4"/>
      <c r="L71" s="4"/>
      <c r="M71" s="4"/>
      <c r="N71" s="4"/>
      <c r="O71" s="4"/>
      <c r="P71" s="4"/>
      <c r="Q71" s="4"/>
      <c r="R71" s="4"/>
      <c r="S71" s="4"/>
      <c r="T71" s="4"/>
      <c r="U71" s="4"/>
      <c r="V71" s="4"/>
      <c r="W71" s="4"/>
      <c r="X71" s="4"/>
      <c r="Y71" s="4"/>
      <c r="Z71" s="4"/>
    </row>
    <row r="72">
      <c r="A72" s="9" t="s">
        <v>319</v>
      </c>
      <c r="B72" s="10" t="str">
        <f>'3조'!B$9</f>
        <v>0</v>
      </c>
      <c r="C72" s="13" t="str">
        <f>'3조'!C$9</f>
        <v>Batch Sequential은 단계별 검증은 쉽지만, 위험 상태를 자동으로 감지·차단·복구하는 safety mechanism을 구조적으로 제공하지 않는다. 따라서 safety에 대한 직접 효과는 제한적이다.</v>
      </c>
      <c r="D72" s="10" t="str">
        <f>'3조'!D$9</f>
        <v>-</v>
      </c>
      <c r="E72" s="13" t="str">
        <f>'3조'!E$9</f>
        <v>다중 필터의 동시 실행 특성상 버퍼 오버플로우, 배압(Backpressure) 불균형, 비결정적 타이밍 문제로 인해 제어 한계를 벗어날 위험이 있습니다.</v>
      </c>
      <c r="F72" s="10" t="str">
        <f>'3조'!F$9</f>
        <v>++</v>
      </c>
      <c r="G72" s="13" t="str">
        <f>'3조'!G$9</f>
        <v>Process Control은 Controlled Variable을 계속 측정하고 Set Point에 가깝게 유지하는 제어 loop이다. 온도 제어·Cruise Control처럼 허용 범위를 벗어난 상태를 지속적으로 보정하는 구조이므로 safety에는 강하게 유리하다.</v>
      </c>
      <c r="H72" s="4"/>
      <c r="I72" s="4"/>
      <c r="J72" s="4"/>
      <c r="K72" s="4"/>
      <c r="L72" s="4"/>
      <c r="M72" s="4"/>
      <c r="N72" s="4"/>
      <c r="O72" s="4"/>
      <c r="P72" s="4"/>
      <c r="Q72" s="4"/>
      <c r="R72" s="4"/>
      <c r="S72" s="4"/>
      <c r="T72" s="4"/>
      <c r="U72" s="4"/>
      <c r="V72" s="4"/>
      <c r="W72" s="4"/>
      <c r="X72" s="4"/>
      <c r="Y72" s="4"/>
      <c r="Z72" s="4"/>
    </row>
    <row r="73">
      <c r="A73" s="9" t="s">
        <v>322</v>
      </c>
      <c r="B73" s="10" t="str">
        <f>'4조'!B$9</f>
        <v>0</v>
      </c>
      <c r="C73" s="13" t="str">
        <f>'4조'!C$9</f>
        <v>처리 과정이 순차적이고 결정적이어서 처리 순서와 결과를 추적하기 쉽지만, 오류가 긴 실행이 끝난 뒤에야 발견되어 대응이 늦어진다.</v>
      </c>
      <c r="D73" s="10" t="str">
        <f>'4조'!D$9</f>
        <v>+</v>
      </c>
      <c r="E73" s="13" t="str">
        <f>'4조'!E$9</f>
        <v>각 처리 단계가 분리되어 있어 데이터 검증이나 오류 탐지 Filter를 독립적으로 둘 수 있고, 문제가 발생한 단계를 추적하기 쉽다.</v>
      </c>
      <c r="F73" s="10" t="str">
        <f>'4조'!F$9</f>
        <v>++</v>
      </c>
      <c r="G73" s="13" t="str">
        <f>'4조'!G$9</f>
        <v>위험 상태를 지속적으로 감지하고 자동으로 보정하거나 안전한 상태로 제어할 수 있다. 과열, 압력 초과 등의 상황에 즉각 대응할 수 있어 Safety에 매우 유리하다.</v>
      </c>
      <c r="H73" s="4"/>
      <c r="I73" s="4"/>
      <c r="J73" s="4"/>
      <c r="K73" s="4"/>
      <c r="L73" s="4"/>
      <c r="M73" s="4"/>
      <c r="N73" s="4"/>
      <c r="O73" s="4"/>
      <c r="P73" s="4"/>
      <c r="Q73" s="4"/>
      <c r="R73" s="4"/>
      <c r="S73" s="4"/>
      <c r="T73" s="4"/>
      <c r="U73" s="4"/>
      <c r="V73" s="4"/>
      <c r="W73" s="4"/>
      <c r="X73" s="4"/>
      <c r="Y73" s="4"/>
      <c r="Z73" s="4"/>
    </row>
    <row r="74">
      <c r="A74" s="9" t="s">
        <v>325</v>
      </c>
      <c r="B74" s="10" t="str">
        <f>'5조'!B$9</f>
        <v>0</v>
      </c>
      <c r="C74" s="13" t="str">
        <f>'5조'!C$9</f>
        <v>직렬로 이루어져 있으므로 단일 장애가 전체 안전에 영향이 큰 점도 있으나, 오류 분석이 쉬운 장점도 있음</v>
      </c>
      <c r="D74" s="10" t="str">
        <f>'5조'!D$9</f>
        <v>0</v>
      </c>
      <c r="E74" s="13" t="str">
        <f>'5조'!E$9</f>
        <v>단계별 검증과 오류 격리를 통해 안전성에 간접적으로 기여할 수 있지만, 물리적 위험을 직접 감지·제어하는 아키텍처는 아니므로 Safety에 대한 직접적인 영향은 제한적이다.</v>
      </c>
      <c r="F74" s="10" t="str">
        <f>'5조'!F$9</f>
        <v>++</v>
      </c>
      <c r="G74" s="13" t="str">
        <f>'5조'!G$9</f>
        <v>짧은 제어 주기와 즉각적인 피드백을 목표로 하므로 실시간 응답 성능에 매우 유리하다.</v>
      </c>
      <c r="H74" s="4"/>
      <c r="I74" s="4"/>
      <c r="J74" s="4"/>
      <c r="K74" s="4"/>
      <c r="L74" s="4"/>
      <c r="M74" s="4"/>
      <c r="N74" s="4"/>
      <c r="O74" s="4"/>
      <c r="P74" s="4"/>
      <c r="Q74" s="4"/>
      <c r="R74" s="4"/>
      <c r="S74" s="4"/>
      <c r="T74" s="4"/>
      <c r="U74" s="4"/>
      <c r="V74" s="4"/>
      <c r="W74" s="4"/>
      <c r="X74" s="4"/>
      <c r="Y74" s="4"/>
      <c r="Z74" s="4"/>
    </row>
    <row r="75">
      <c r="A75" s="9" t="s">
        <v>329</v>
      </c>
      <c r="B75" s="10" t="str">
        <f>'6조'!B$9</f>
        <v>++</v>
      </c>
      <c r="C75" s="13" t="str">
        <f>'6조'!C$9</f>
        <v>실행 흐름이 예측 가능하고 단계별로 중간 결과를 검증(Gate/Validation)하여 오류가 있을 경우 다음 단계로의 전파를 사전에 차단할 수 있음. 외부 연동(Outbound)이 마지막에 집중되어 통제가 수월함.</v>
      </c>
      <c r="D75" s="10" t="str">
        <f>'6조'!D$9</f>
        <v>0</v>
      </c>
      <c r="E75" s="13" t="str">
        <f>'6조'!E$9</f>
        <v>Filter별 Validation 및 오류 격리가 가능하지만 잘못된 데이터가 Pipeline을 따라 전파될 수 있음</v>
      </c>
      <c r="F75" s="10" t="str">
        <f>'6조'!F$9</f>
        <v>++</v>
      </c>
      <c r="G75" s="13" t="str">
        <f>'6조'!G$9</f>
        <v>상태 감시와 제한 조건 설정으로 위험한 동작 방지 가능함</v>
      </c>
      <c r="H75" s="4"/>
      <c r="I75" s="4"/>
      <c r="J75" s="4"/>
      <c r="K75" s="4"/>
      <c r="L75" s="4"/>
      <c r="M75" s="4"/>
      <c r="N75" s="4"/>
      <c r="O75" s="4"/>
      <c r="P75" s="4"/>
      <c r="Q75" s="4"/>
      <c r="R75" s="4"/>
      <c r="S75" s="4"/>
      <c r="T75" s="4"/>
      <c r="U75" s="4"/>
      <c r="V75" s="4"/>
      <c r="W75" s="4"/>
      <c r="X75" s="4"/>
      <c r="Y75" s="4"/>
      <c r="Z75" s="4"/>
    </row>
    <row r="76">
      <c r="A76" s="9" t="s">
        <v>335</v>
      </c>
      <c r="B76" s="10" t="str">
        <f>'7조'!B$9</f>
        <v/>
      </c>
      <c r="C76" s="13" t="str">
        <f>'7조'!C$9</f>
        <v>7조 - Batch Sequential - Safety</v>
      </c>
      <c r="D76" s="10" t="str">
        <f>'7조'!D$9</f>
        <v/>
      </c>
      <c r="E76" s="13" t="str">
        <f>'7조'!E$9</f>
        <v>7조 - Pipe and Filter - Safety</v>
      </c>
      <c r="F76" s="10" t="str">
        <f>'7조'!F$9</f>
        <v/>
      </c>
      <c r="G76" s="13" t="str">
        <f>'7조'!G$9</f>
        <v>7조 - Process Control - Safety</v>
      </c>
      <c r="H76" s="4"/>
      <c r="I76" s="4"/>
      <c r="J76" s="4"/>
      <c r="K76" s="4"/>
      <c r="L76" s="4"/>
      <c r="M76" s="4"/>
      <c r="N76" s="4"/>
      <c r="O76" s="4"/>
      <c r="P76" s="4"/>
      <c r="Q76" s="4"/>
      <c r="R76" s="4"/>
      <c r="S76" s="4"/>
      <c r="T76" s="4"/>
      <c r="U76" s="4"/>
      <c r="V76" s="4"/>
      <c r="W76" s="4"/>
      <c r="X76" s="4"/>
      <c r="Y76" s="4"/>
      <c r="Z76" s="4"/>
    </row>
    <row r="77">
      <c r="A77" s="9" t="s">
        <v>339</v>
      </c>
      <c r="B77" s="10" t="str">
        <f>'8조'!B$9</f>
        <v/>
      </c>
      <c r="C77" s="13" t="str">
        <f>'8조'!C$9</f>
        <v>8조 - Batch Sequential - Safety</v>
      </c>
      <c r="D77" s="10" t="str">
        <f>'8조'!D$9</f>
        <v/>
      </c>
      <c r="E77" s="13" t="str">
        <f>'8조'!E$9</f>
        <v>8조 - Pipe and Filter - Safety</v>
      </c>
      <c r="F77" s="10" t="str">
        <f>'8조'!F$9</f>
        <v/>
      </c>
      <c r="G77" s="13" t="str">
        <f>'8조'!G$9</f>
        <v>8조 - Process Control - Safety</v>
      </c>
      <c r="H77" s="4"/>
      <c r="I77" s="4"/>
      <c r="J77" s="4"/>
      <c r="K77" s="4"/>
      <c r="L77" s="4"/>
      <c r="M77" s="4"/>
      <c r="N77" s="4"/>
      <c r="O77" s="4"/>
      <c r="P77" s="4"/>
      <c r="Q77" s="4"/>
      <c r="R77" s="4"/>
      <c r="S77" s="4"/>
      <c r="T77" s="4"/>
      <c r="U77" s="4"/>
      <c r="V77" s="4"/>
      <c r="W77" s="4"/>
      <c r="X77" s="4"/>
      <c r="Y77" s="4"/>
      <c r="Z77" s="4"/>
    </row>
    <row r="78">
      <c r="A78" s="9" t="s">
        <v>345</v>
      </c>
      <c r="B78" s="10" t="str">
        <f>'9조'!B$9</f>
        <v/>
      </c>
      <c r="C78" s="13" t="str">
        <f>'9조'!C$9</f>
        <v>9조 - Batch Sequential - Safety</v>
      </c>
      <c r="D78" s="10" t="str">
        <f>'9조'!D$9</f>
        <v/>
      </c>
      <c r="E78" s="13" t="str">
        <f>'9조'!E$9</f>
        <v>9조 - Pipe and Filter - Safety</v>
      </c>
      <c r="F78" s="10" t="str">
        <f>'9조'!F$9</f>
        <v/>
      </c>
      <c r="G78" s="13" t="str">
        <f>'9조'!G$9</f>
        <v>9조 - Process Control - Safety</v>
      </c>
      <c r="H78" s="4"/>
      <c r="I78" s="4"/>
      <c r="J78" s="4"/>
      <c r="K78" s="4"/>
      <c r="L78" s="4"/>
      <c r="M78" s="4"/>
      <c r="N78" s="4"/>
      <c r="O78" s="4"/>
      <c r="P78" s="4"/>
      <c r="Q78" s="4"/>
      <c r="R78" s="4"/>
      <c r="S78" s="4"/>
      <c r="T78" s="4"/>
      <c r="U78" s="4"/>
      <c r="V78" s="4"/>
      <c r="W78" s="4"/>
      <c r="X78" s="4"/>
      <c r="Y78" s="4"/>
      <c r="Z78" s="4"/>
    </row>
    <row r="79">
      <c r="A79" s="11"/>
      <c r="B79" s="14"/>
      <c r="C79" s="11"/>
      <c r="D79" s="14"/>
      <c r="E79" s="11"/>
      <c r="F79" s="14"/>
      <c r="G79" s="11"/>
      <c r="H79" s="4"/>
      <c r="I79" s="4"/>
      <c r="J79" s="4"/>
      <c r="K79" s="4"/>
      <c r="L79" s="4"/>
      <c r="M79" s="4"/>
      <c r="N79" s="4"/>
      <c r="O79" s="4"/>
      <c r="P79" s="4"/>
      <c r="Q79" s="4"/>
      <c r="R79" s="4"/>
      <c r="S79" s="4"/>
      <c r="T79" s="4"/>
      <c r="U79" s="4"/>
      <c r="V79" s="4"/>
      <c r="W79" s="4"/>
      <c r="X79" s="4"/>
      <c r="Y79" s="4"/>
      <c r="Z79" s="4"/>
    </row>
    <row r="80">
      <c r="A80" s="7" t="s">
        <v>261</v>
      </c>
      <c r="B80" s="7" t="str">
        <f>'Detailed Reasoning'!B$10</f>
        <v/>
      </c>
      <c r="C80" s="7" t="str">
        <f>'Detailed Reasoning'!C$10</f>
        <v/>
      </c>
      <c r="D80" s="7" t="str">
        <f>'Detailed Reasoning'!D$10</f>
        <v/>
      </c>
      <c r="E80" s="7" t="str">
        <f>'Detailed Reasoning'!E$10</f>
        <v/>
      </c>
      <c r="F80" s="7" t="str">
        <f>'Detailed Reasoning'!F$10</f>
        <v/>
      </c>
      <c r="G80" s="7" t="str">
        <f>'Detailed Reasoning'!G$10</f>
        <v/>
      </c>
      <c r="H80" s="4"/>
      <c r="I80" s="4"/>
      <c r="J80" s="4"/>
      <c r="K80" s="4"/>
      <c r="L80" s="4"/>
      <c r="M80" s="4"/>
      <c r="N80" s="4"/>
      <c r="O80" s="4"/>
      <c r="P80" s="4"/>
      <c r="Q80" s="4"/>
      <c r="R80" s="4"/>
      <c r="S80" s="4"/>
      <c r="T80" s="4"/>
      <c r="U80" s="4"/>
      <c r="V80" s="4"/>
      <c r="W80" s="4"/>
      <c r="X80" s="4"/>
      <c r="Y80" s="4"/>
      <c r="Z80" s="4"/>
    </row>
    <row r="81">
      <c r="A81" s="9" t="s">
        <v>356</v>
      </c>
      <c r="B81" s="10" t="str">
        <f>'1조'!B$10</f>
        <v>0</v>
      </c>
      <c r="C81" s="11" t="str">
        <f>'1조'!C10</f>
        <v>[+] 순차성: 같은 처리 흐름에서 여러 단계가 동시에 공유 상태를 변경하는 상황을 줄여, 동시 실행의 경쟁 상태에 따른 보안 위험을 줄일 수 있다.
[-] 강한 데이터 의존: 한 단계의 출력이 변조되어도 후속 단계가 이를 그대로 사용하면, 침해의 영향이 전체 처리 결과까지 전파될 수 있다.</v>
      </c>
      <c r="D81" s="10" t="str">
        <f>'1조'!D$10</f>
        <v>0</v>
      </c>
      <c r="E81" s="11" t="str">
        <f>'1조'!E10</f>
        <v>[+] 통제 경계의 식별: 필터별 책임과 입출력 경계가 구분되어 있어, 접근 통제나 입력 검증을 적용할 지점을 특정하기 쉽다. 실제 보안 효과는 해당 기능을 구현했을 때 발생한다.
[-] 보호 대상의 증가: 필터가 여러 실행 단위나 장비로 분리된 구성에서는 보호해야 하는 인터페이스와 데이터 전달 경로가 늘어나 보안 설정·검토 부담이 커진다.
[N/A] 구체적인 보호 수준: 기본 스타일만으로 샌드박싱·암호화·인증이 제공되지는 않는다. 실제 통신 환경과 보안 통제가 제시되지 않았으므로 보안 수준의 향상 또는 저하가 우세하다고 확정하기 어렵다.</v>
      </c>
      <c r="F81" s="10" t="str">
        <f>'1조'!F$10</f>
        <v>--</v>
      </c>
      <c r="G81" s="11" t="str">
        <f>'1조'!G10</f>
        <v>[--] 핵심 요소 침해의 영향: 공격으로 제어부나 처리부가 조작되면 목표 상태를 유지하는 전체 제어 동작이 무너질 수 있다.</v>
      </c>
      <c r="H81" s="4"/>
      <c r="I81" s="4"/>
      <c r="J81" s="4"/>
      <c r="K81" s="4"/>
      <c r="L81" s="4"/>
      <c r="M81" s="4"/>
      <c r="N81" s="4"/>
      <c r="O81" s="4"/>
      <c r="P81" s="4"/>
      <c r="Q81" s="4"/>
      <c r="R81" s="4"/>
      <c r="S81" s="4"/>
      <c r="T81" s="4"/>
      <c r="U81" s="4"/>
      <c r="V81" s="4"/>
      <c r="W81" s="4"/>
      <c r="X81" s="4"/>
      <c r="Y81" s="4"/>
      <c r="Z81" s="4"/>
    </row>
    <row r="82">
      <c r="A82" s="9" t="s">
        <v>361</v>
      </c>
      <c r="B82" s="10" t="str">
        <f>'2조'!B$10</f>
        <v>+</v>
      </c>
      <c r="C82" s="13" t="str">
        <f>'2조'!C$10</f>
        <v>외부 노출 인터페이스가 없는 폐쇄적·정적 환경에서 배치 실행되므로 공격 표면(Attack Surface)이 최소화됨. 파일 시스템 수준의 접근 제어와 감사가 단순함.</v>
      </c>
      <c r="D82" s="10" t="str">
        <f>'2조'!D$10</f>
        <v>0</v>
      </c>
      <c r="E82" s="13" t="str">
        <f>'2조'!E$10</f>
        <v>Filter 사이가 단순한 데이터 흐름이라 특별히 강해지지도 약해지지도 않는다</v>
      </c>
      <c r="F82" s="10" t="str">
        <f>'2조'!F$10</f>
        <v>--</v>
      </c>
      <c r="G82" s="13" t="str">
        <f>'2조'!G$10</f>
        <v>제어 유닛에 대한 사이버 공격이 시스템 전체를 무너뜨릴 수 있다고 교안이 명시한다</v>
      </c>
      <c r="H82" s="4"/>
      <c r="I82" s="4"/>
      <c r="J82" s="4"/>
      <c r="K82" s="4"/>
      <c r="L82" s="4"/>
      <c r="M82" s="4"/>
      <c r="N82" s="4"/>
      <c r="O82" s="4"/>
      <c r="P82" s="4"/>
      <c r="Q82" s="4"/>
      <c r="R82" s="4"/>
      <c r="S82" s="4"/>
      <c r="T82" s="4"/>
      <c r="U82" s="4"/>
      <c r="V82" s="4"/>
      <c r="W82" s="4"/>
      <c r="X82" s="4"/>
      <c r="Y82" s="4"/>
      <c r="Z82" s="4"/>
    </row>
    <row r="83">
      <c r="A83" s="9" t="s">
        <v>368</v>
      </c>
      <c r="B83" s="10" t="str">
        <f>'3조'!B$10</f>
        <v>0</v>
      </c>
      <c r="C83" s="13" t="str">
        <f>'3조'!C$10</f>
        <v>Batch Sequential은 file 기반 단계 경계를 만들 수 있지만, 인증·인가·암호화 같은 보안 기능을 스타일 자체가 제공하지는 않는다. 중간 file 보호를 별도로 설계해야 하므로 직접 효과는 0이다.</v>
      </c>
      <c r="D83" s="10" t="str">
        <f>'3조'!D$10</f>
        <v>-</v>
      </c>
      <c r="E83" s="13" t="str">
        <f>'3조'!E$10</f>
        <v>데이터 이동 경로(Pipe)가 다수 노출되어 도청 및 데이터 변조 위험이 증가하며, 각 필터마다 보안 통제를 개별 적용해야 하므로 공격 표면이 넓어집니다.</v>
      </c>
      <c r="F83" s="10" t="str">
        <f>'3조'!F$10</f>
        <v>--</v>
      </c>
      <c r="G83" s="13" t="str">
        <f>'3조'!G$10</f>
        <v>Process Control은 센서값·제어명령·Controller가 공격받으면 전체 제어 결과가 무너질 수 있다고 자료에 제시된다. cyber attack이 제어 시스템 전체를 무너뜨릴 수 있으므로 security에는 강하게 불리하다.</v>
      </c>
      <c r="H83" s="4"/>
      <c r="I83" s="4"/>
      <c r="J83" s="4"/>
      <c r="K83" s="4"/>
      <c r="L83" s="4"/>
      <c r="M83" s="4"/>
      <c r="N83" s="4"/>
      <c r="O83" s="4"/>
      <c r="P83" s="4"/>
      <c r="Q83" s="4"/>
      <c r="R83" s="4"/>
      <c r="S83" s="4"/>
      <c r="T83" s="4"/>
      <c r="U83" s="4"/>
      <c r="V83" s="4"/>
      <c r="W83" s="4"/>
      <c r="X83" s="4"/>
      <c r="Y83" s="4"/>
      <c r="Z83" s="4"/>
    </row>
    <row r="84">
      <c r="A84" s="9" t="s">
        <v>372</v>
      </c>
      <c r="B84" s="10" t="str">
        <f>'4조'!B$10</f>
        <v>+</v>
      </c>
      <c r="C84" s="13" t="str">
        <f>'4조'!C$10</f>
        <v>단계별 접근통제를 적용하기 쉽다.</v>
      </c>
      <c r="D84" s="10" t="str">
        <f>'4조'!D$10</f>
        <v>0</v>
      </c>
      <c r="E84" s="13" t="str">
        <f>'4조'!E$10</f>
        <v>인증·검증·필터링 단계를 별도로 추가할 수 있다는 장점이 있지만, Filter와 Pipe가 많아질수록 데이터 전달 구간과 공격 지점도 늘어날 수 있다.</v>
      </c>
      <c r="F84" s="10" t="str">
        <f>'4조'!F$10</f>
        <v>-</v>
      </c>
      <c r="G84" s="13" t="str">
        <f>'4조'!G$10</f>
        <v>센서값이나 제어 명령이 공격자에게 조작되면 실제 장비의 동작까지 영향을 받을 수 있다. 센서·네트워크·액추에이터 등 보호해야 할 지점도 많다.</v>
      </c>
      <c r="H84" s="4"/>
      <c r="I84" s="4"/>
      <c r="J84" s="4"/>
      <c r="K84" s="4"/>
      <c r="L84" s="4"/>
      <c r="M84" s="4"/>
      <c r="N84" s="4"/>
      <c r="O84" s="4"/>
      <c r="P84" s="4"/>
      <c r="Q84" s="4"/>
      <c r="R84" s="4"/>
      <c r="S84" s="4"/>
      <c r="T84" s="4"/>
      <c r="U84" s="4"/>
      <c r="V84" s="4"/>
      <c r="W84" s="4"/>
      <c r="X84" s="4"/>
      <c r="Y84" s="4"/>
      <c r="Z84" s="4"/>
    </row>
    <row r="85">
      <c r="A85" s="9" t="s">
        <v>375</v>
      </c>
      <c r="B85" s="10" t="str">
        <f>'5조'!B$10</f>
        <v>0</v>
      </c>
      <c r="C85" s="13" t="str">
        <f>'5조'!C$10</f>
        <v>병렬로 동작하는 시스템 대비 공격받기 쉬운 구조이나, 영향성이 크진 않음</v>
      </c>
      <c r="D85" s="10" t="str">
        <f>'5조'!D$10</f>
        <v>0</v>
      </c>
      <c r="E85" s="13" t="str">
        <f>'5조'!E$10</f>
        <v>필터별 보안 검증을 분리해 적용할 수 있다는 장점은 있지만, 다수의 데이터 전달 경로가 추가적인 공격면이 될 수 있음</v>
      </c>
      <c r="F85" s="10" t="str">
        <f>'5조'!F$10</f>
        <v>-</v>
      </c>
      <c r="G85" s="13" t="str">
        <f>'5조'!G$10</f>
        <v>공격받으면 전체적인 제어에 직접 영향을 준다.</v>
      </c>
      <c r="H85" s="4"/>
      <c r="I85" s="4"/>
      <c r="J85" s="4"/>
      <c r="K85" s="4"/>
      <c r="L85" s="4"/>
      <c r="M85" s="4"/>
      <c r="N85" s="4"/>
      <c r="O85" s="4"/>
      <c r="P85" s="4"/>
      <c r="Q85" s="4"/>
      <c r="R85" s="4"/>
      <c r="S85" s="4"/>
      <c r="T85" s="4"/>
      <c r="U85" s="4"/>
      <c r="V85" s="4"/>
      <c r="W85" s="4"/>
      <c r="X85" s="4"/>
      <c r="Y85" s="4"/>
      <c r="Z85" s="4"/>
    </row>
    <row r="86">
      <c r="A86" s="9" t="s">
        <v>379</v>
      </c>
      <c r="B86" s="10" t="str">
        <f>'6조'!B$10</f>
        <v>-</v>
      </c>
      <c r="C86" s="13" t="str">
        <f>'6조'!C$10</f>
        <v>단계별/시퀀스별 권한 분리 및 감사 추적은 유리하지만, 단계 간 주고받는 중간 저장 파일(디스크/스토리지)이 공격에 노출되거나 탈취·변조될 위험(공격 표면 증가)이 상대적으로 큼.</v>
      </c>
      <c r="D86" s="10" t="str">
        <f>'6조'!D$10</f>
        <v>0</v>
      </c>
      <c r="E86" s="13" t="str">
        <f>'6조'!E$10</f>
        <v>Filter별 접근통제 및 데이터 보호 가능하지만 Pipe 구간과 중간 데이터 보호 필요</v>
      </c>
      <c r="F86" s="10" t="str">
        <f>'6조'!F$10</f>
        <v>-</v>
      </c>
      <c r="G86" s="13" t="str">
        <f>'6조'!G$10</f>
        <v>Processing Unit, Control Unit으로의 보안 공격으로 시스템 전체가 위험해질 수 있음</v>
      </c>
      <c r="H86" s="4"/>
      <c r="I86" s="4"/>
      <c r="J86" s="4"/>
      <c r="K86" s="4"/>
      <c r="L86" s="4"/>
      <c r="M86" s="4"/>
      <c r="N86" s="4"/>
      <c r="O86" s="4"/>
      <c r="P86" s="4"/>
      <c r="Q86" s="4"/>
      <c r="R86" s="4"/>
      <c r="S86" s="4"/>
      <c r="T86" s="4"/>
      <c r="U86" s="4"/>
      <c r="V86" s="4"/>
      <c r="W86" s="4"/>
      <c r="X86" s="4"/>
      <c r="Y86" s="4"/>
      <c r="Z86" s="4"/>
    </row>
    <row r="87">
      <c r="A87" s="9" t="s">
        <v>384</v>
      </c>
      <c r="B87" s="10" t="str">
        <f>'7조'!B$10</f>
        <v/>
      </c>
      <c r="C87" s="13" t="str">
        <f>'7조'!C$10</f>
        <v>7조 - Batch Sequential - Security</v>
      </c>
      <c r="D87" s="10" t="str">
        <f>'7조'!D$10</f>
        <v/>
      </c>
      <c r="E87" s="13" t="str">
        <f>'7조'!E$10</f>
        <v>7조 - Pipe and Filter - Security</v>
      </c>
      <c r="F87" s="10" t="str">
        <f>'7조'!F$10</f>
        <v/>
      </c>
      <c r="G87" s="13" t="str">
        <f>'7조'!G$10</f>
        <v>7조 - Process Control - Security</v>
      </c>
      <c r="H87" s="4"/>
      <c r="I87" s="4"/>
      <c r="J87" s="4"/>
      <c r="K87" s="4"/>
      <c r="L87" s="4"/>
      <c r="M87" s="4"/>
      <c r="N87" s="4"/>
      <c r="O87" s="4"/>
      <c r="P87" s="4"/>
      <c r="Q87" s="4"/>
      <c r="R87" s="4"/>
      <c r="S87" s="4"/>
      <c r="T87" s="4"/>
      <c r="U87" s="4"/>
      <c r="V87" s="4"/>
      <c r="W87" s="4"/>
      <c r="X87" s="4"/>
      <c r="Y87" s="4"/>
      <c r="Z87" s="4"/>
    </row>
    <row r="88">
      <c r="A88" s="9" t="s">
        <v>386</v>
      </c>
      <c r="B88" s="10" t="str">
        <f>'8조'!B$10</f>
        <v/>
      </c>
      <c r="C88" s="13" t="str">
        <f>'8조'!C$10</f>
        <v>8조 - Batch Sequential - Security</v>
      </c>
      <c r="D88" s="10" t="str">
        <f>'8조'!D$10</f>
        <v/>
      </c>
      <c r="E88" s="13" t="str">
        <f>'8조'!E$10</f>
        <v>8조 - Pipe and Filter - Security</v>
      </c>
      <c r="F88" s="10" t="str">
        <f>'8조'!F$10</f>
        <v/>
      </c>
      <c r="G88" s="13" t="str">
        <f>'8조'!G$10</f>
        <v>8조 - Process Control - Security</v>
      </c>
      <c r="H88" s="4"/>
      <c r="I88" s="4"/>
      <c r="J88" s="4"/>
      <c r="K88" s="4"/>
      <c r="L88" s="4"/>
      <c r="M88" s="4"/>
      <c r="N88" s="4"/>
      <c r="O88" s="4"/>
      <c r="P88" s="4"/>
      <c r="Q88" s="4"/>
      <c r="R88" s="4"/>
      <c r="S88" s="4"/>
      <c r="T88" s="4"/>
      <c r="U88" s="4"/>
      <c r="V88" s="4"/>
      <c r="W88" s="4"/>
      <c r="X88" s="4"/>
      <c r="Y88" s="4"/>
      <c r="Z88" s="4"/>
    </row>
    <row r="89">
      <c r="A89" s="9" t="s">
        <v>388</v>
      </c>
      <c r="B89" s="10" t="str">
        <f>'9조'!B$10</f>
        <v/>
      </c>
      <c r="C89" s="13" t="str">
        <f>'9조'!C$10</f>
        <v>9조 - Batch Sequential - Security</v>
      </c>
      <c r="D89" s="10" t="str">
        <f>'9조'!D$10</f>
        <v/>
      </c>
      <c r="E89" s="13" t="str">
        <f>'9조'!E$10</f>
        <v>9조 - Pipe and Filter - Security</v>
      </c>
      <c r="F89" s="10" t="str">
        <f>'9조'!F$10</f>
        <v/>
      </c>
      <c r="G89" s="13" t="str">
        <f>'9조'!G$10</f>
        <v>9조 - Process Control - Security</v>
      </c>
      <c r="H89" s="4"/>
      <c r="I89" s="4"/>
      <c r="J89" s="4"/>
      <c r="K89" s="4"/>
      <c r="L89" s="4"/>
      <c r="M89" s="4"/>
      <c r="N89" s="4"/>
      <c r="O89" s="4"/>
      <c r="P89" s="4"/>
      <c r="Q89" s="4"/>
      <c r="R89" s="4"/>
      <c r="S89" s="4"/>
      <c r="T89" s="4"/>
      <c r="U89" s="4"/>
      <c r="V89" s="4"/>
      <c r="W89" s="4"/>
      <c r="X89" s="4"/>
      <c r="Y89" s="4"/>
      <c r="Z89" s="4"/>
    </row>
    <row r="90">
      <c r="A90" s="11"/>
      <c r="B90" s="14"/>
      <c r="C90" s="11"/>
      <c r="D90" s="14"/>
      <c r="E90" s="11"/>
      <c r="F90" s="14"/>
      <c r="G90" s="11"/>
      <c r="H90" s="4"/>
      <c r="I90" s="4"/>
      <c r="J90" s="4"/>
      <c r="K90" s="4"/>
      <c r="L90" s="4"/>
      <c r="M90" s="4"/>
      <c r="N90" s="4"/>
      <c r="O90" s="4"/>
      <c r="P90" s="4"/>
      <c r="Q90" s="4"/>
      <c r="R90" s="4"/>
      <c r="S90" s="4"/>
      <c r="T90" s="4"/>
      <c r="U90" s="4"/>
      <c r="V90" s="4"/>
      <c r="W90" s="4"/>
      <c r="X90" s="4"/>
      <c r="Y90" s="4"/>
      <c r="Z90" s="4"/>
    </row>
    <row r="91">
      <c r="A91" s="7" t="s">
        <v>310</v>
      </c>
      <c r="B91" s="7" t="str">
        <f>'Detailed Reasoning'!B$11</f>
        <v/>
      </c>
      <c r="C91" s="7" t="str">
        <f>'Detailed Reasoning'!C$11</f>
        <v/>
      </c>
      <c r="D91" s="7" t="str">
        <f>'Detailed Reasoning'!D$11</f>
        <v/>
      </c>
      <c r="E91" s="7" t="str">
        <f>'Detailed Reasoning'!E$11</f>
        <v/>
      </c>
      <c r="F91" s="7" t="str">
        <f>'Detailed Reasoning'!F$11</f>
        <v/>
      </c>
      <c r="G91" s="7" t="str">
        <f>'Detailed Reasoning'!G$11</f>
        <v/>
      </c>
      <c r="H91" s="4"/>
      <c r="I91" s="4"/>
      <c r="J91" s="4"/>
      <c r="K91" s="4"/>
      <c r="L91" s="4"/>
      <c r="M91" s="4"/>
      <c r="N91" s="4"/>
      <c r="O91" s="4"/>
      <c r="P91" s="4"/>
      <c r="Q91" s="4"/>
      <c r="R91" s="4"/>
      <c r="S91" s="4"/>
      <c r="T91" s="4"/>
      <c r="U91" s="4"/>
      <c r="V91" s="4"/>
      <c r="W91" s="4"/>
      <c r="X91" s="4"/>
      <c r="Y91" s="4"/>
      <c r="Z91" s="4"/>
    </row>
    <row r="92">
      <c r="A92" s="9" t="s">
        <v>393</v>
      </c>
      <c r="B92" s="10" t="str">
        <f>'1조'!B$11</f>
        <v>+</v>
      </c>
      <c r="C92" s="11" t="str">
        <f>'1조'!C11</f>
        <v>[++] 순차적 실행의 재현성: 입력과 초기 상태를 동일하게 준비하면 정해진 단계 순서를 따라 실행되므로, 동시 실행 구조에 비해 결함을 재현하고 실행 경로를 추적하기 쉽다.
[+] 단계별 검증: 각 단계의 입력과 출력을 기준으로 동작을 검증할 수 있어, 최종 결과에 오류가 있을 때 어느 단계에서 잘못되었는지 좁혀 가기 쉽다.</v>
      </c>
      <c r="D92" s="10" t="str">
        <f>'1조'!D$11</f>
        <v>+</v>
      </c>
      <c r="E92" s="11" t="str">
        <f>'1조'!E11</f>
        <v>[++] 독립 필터 시험: 정해진 입력을 필터에 제공하고 실제 출력을 기대 결과와 비교할 수 있어, 다른 필터의 구체 구현과 분리하여 변환 기능을 시험하기 쉽다.
[-] 시간 의존 결함의 재현: 데이터 도착 시점과 필터별 실행 속도에 따라 발생하는 결함은 동일한 실행 조건을 다시 만들기 어려울 수 있다.
[-] 전체 흐름의 통합 시험: 여러 필터의 상태와 전달 중인 데이터를 함께 고려해야 하므로, 전체 처리 경로의 시험 준비와 결함 추적은 개별 필터 시험보다 복잡하다.</v>
      </c>
      <c r="F92" s="10" t="str">
        <f>'1조'!F$11</f>
        <v>-</v>
      </c>
      <c r="G92" s="11" t="str">
        <f>'1조'!G11</f>
        <v>[-] 피드백 상태의 재현 — 해석: 이전 출력이 다음 입력과 제어 판단에 영향을 주므로, 결함을 재현하려면 초기 상태뿐 아니라 이전 제어 동작과 측정 흐름도 맞춰야 한다.</v>
      </c>
      <c r="H92" s="4"/>
      <c r="I92" s="4"/>
      <c r="J92" s="4"/>
      <c r="K92" s="4"/>
      <c r="L92" s="4"/>
      <c r="M92" s="4"/>
      <c r="N92" s="4"/>
      <c r="O92" s="4"/>
      <c r="P92" s="4"/>
      <c r="Q92" s="4"/>
      <c r="R92" s="4"/>
      <c r="S92" s="4"/>
      <c r="T92" s="4"/>
      <c r="U92" s="4"/>
      <c r="V92" s="4"/>
      <c r="W92" s="4"/>
      <c r="X92" s="4"/>
      <c r="Y92" s="4"/>
      <c r="Z92" s="4"/>
    </row>
    <row r="93">
      <c r="A93" s="9" t="s">
        <v>395</v>
      </c>
      <c r="B93" s="10" t="str">
        <f>'2조'!B$11</f>
        <v>++</v>
      </c>
      <c r="C93" s="13" t="str">
        <f>'2조'!C$11</f>
        <v>각 단계가 입력과 출력이 분명한 독립 단위라 단계별로 따로 시험하기 쉽다</v>
      </c>
      <c r="D93" s="10" t="str">
        <f>'2조'!D$11</f>
        <v>+</v>
      </c>
      <c r="E93" s="13" t="str">
        <f>'2조'!E$11</f>
        <v>Filter 는 상태를 공유하지 않고 입력→출력만 있으므로 하나씩 떼어 시험하기 쉽지만, 동시성 환경에서의 타이밍/버퍼 통합 테스트는 복잡성 증가한다.</v>
      </c>
      <c r="F93" s="10" t="str">
        <f>'2조'!F$11</f>
        <v>--</v>
      </c>
      <c r="G93" s="13" t="str">
        <f>'2조'!G$11</f>
        <v>외부 환경과 시간에 따라 거동이 달라져 같은 조건을 재현하기 어렵다. 설계도 복잡하다</v>
      </c>
      <c r="H93" s="4"/>
      <c r="I93" s="4"/>
      <c r="J93" s="4"/>
      <c r="K93" s="4"/>
      <c r="L93" s="4"/>
      <c r="M93" s="4"/>
      <c r="N93" s="4"/>
      <c r="O93" s="4"/>
      <c r="P93" s="4"/>
      <c r="Q93" s="4"/>
      <c r="R93" s="4"/>
      <c r="S93" s="4"/>
      <c r="T93" s="4"/>
      <c r="U93" s="4"/>
      <c r="V93" s="4"/>
      <c r="W93" s="4"/>
      <c r="X93" s="4"/>
      <c r="Y93" s="4"/>
      <c r="Z93" s="4"/>
    </row>
    <row r="94">
      <c r="A94" s="9" t="s">
        <v>396</v>
      </c>
      <c r="B94" s="10" t="str">
        <f>'3조'!B$11</f>
        <v>+</v>
      </c>
      <c r="C94" s="13" t="str">
        <f>'3조'!C$11</f>
        <v>Batch Sequential은 입력 file과 출력 file이 단계별로 남고 실행 순서가 결정적이다. 각 program을 고정된 입력과 기대 출력으로 테스트할 수 있어 testability가 높다.</v>
      </c>
      <c r="D94" s="10" t="str">
        <f>'3조'!D$11</f>
        <v>+</v>
      </c>
      <c r="E94" s="13" t="str">
        <f>'3조'!E$11</f>
        <v>Pipe and Filter는 Filter가 독립 component이고 각 Filter의 input/output port가 명확하다. Filter 단위 테스트와 mock Pipe 구성이 쉬워 testability에 유리하다.</v>
      </c>
      <c r="F94" s="10" t="str">
        <f>'3조'!F$11</f>
        <v>-</v>
      </c>
      <c r="G94" s="13" t="str">
        <f>'3조'!G$11</f>
        <v>Process Control은 시간, 상태, feedback loop, 외부 disturbance가 함께 작용한다. 단일 입력-출력 테스트보다 동적 시나리오와 안정성 검증이 필요하므로 testability에 불리하다.</v>
      </c>
      <c r="H94" s="4"/>
      <c r="I94" s="4"/>
      <c r="J94" s="4"/>
      <c r="K94" s="4"/>
      <c r="L94" s="4"/>
      <c r="M94" s="4"/>
      <c r="N94" s="4"/>
      <c r="O94" s="4"/>
      <c r="P94" s="4"/>
      <c r="Q94" s="4"/>
      <c r="R94" s="4"/>
      <c r="S94" s="4"/>
      <c r="T94" s="4"/>
      <c r="U94" s="4"/>
      <c r="V94" s="4"/>
      <c r="W94" s="4"/>
      <c r="X94" s="4"/>
      <c r="Y94" s="4"/>
      <c r="Z94" s="4"/>
    </row>
    <row r="95">
      <c r="A95" s="9" t="s">
        <v>397</v>
      </c>
      <c r="B95" s="10" t="str">
        <f>'4조'!B$11</f>
        <v>++</v>
      </c>
      <c r="C95" s="13" t="str">
        <f>'4조'!C$11</f>
        <v>각 단계에 정해진 입력을 넣고 출력을 확인할 수 있어 단위 테스트와 단계별 검증이 매우 쉽다. 중간 결과도 확인할 수 있어 오류 위치 추적도 쉽다.</v>
      </c>
      <c r="D95" s="10" t="str">
        <f>'4조'!D$11</f>
        <v>++</v>
      </c>
      <c r="E95" s="13" t="str">
        <f>'4조'!E$11</f>
        <v>각 Filter에 독립적으로 입력을 넣고 출력을 확인할 수 있어 단위 테스트가 매우 쉽다. Pipe별 중간 데이터도 확인할 수 있다.</v>
      </c>
      <c r="F95" s="10" t="str">
        <f>'4조'!F$11</f>
        <v>-</v>
      </c>
      <c r="G95" s="13" t="str">
        <f>'4조'!G$11</f>
        <v>센서값, 시간, 환경 변화, Actuator의 실제 반응까지 함께 테스트해야 해서 단순한 입력-출력 테스트가 어렵다. 실제 장비나 시뮬레이터가 필요한 경우도 많다.</v>
      </c>
      <c r="H95" s="4"/>
      <c r="I95" s="4"/>
      <c r="J95" s="4"/>
      <c r="K95" s="4"/>
      <c r="L95" s="4"/>
      <c r="M95" s="4"/>
      <c r="N95" s="4"/>
      <c r="O95" s="4"/>
      <c r="P95" s="4"/>
      <c r="Q95" s="4"/>
      <c r="R95" s="4"/>
      <c r="S95" s="4"/>
      <c r="T95" s="4"/>
      <c r="U95" s="4"/>
      <c r="V95" s="4"/>
      <c r="W95" s="4"/>
      <c r="X95" s="4"/>
      <c r="Y95" s="4"/>
      <c r="Z95" s="4"/>
    </row>
    <row r="96">
      <c r="A96" s="9" t="s">
        <v>398</v>
      </c>
      <c r="B96" s="10" t="str">
        <f>'5조'!B$11</f>
        <v>++</v>
      </c>
      <c r="C96" s="13" t="str">
        <f>'5조'!C$11</f>
        <v>각 컴포넌트의 역할이 매우 잘 정의되어 있으므로 Test하기에도 용이</v>
      </c>
      <c r="D96" s="10" t="str">
        <f>'5조'!D$11</f>
        <v>++</v>
      </c>
      <c r="E96" s="13" t="str">
        <f>'5조'!E$11</f>
        <v>각 필터별 독립 테스트 용이</v>
      </c>
      <c r="F96" s="10" t="str">
        <f>'5조'!F$11</f>
        <v>-</v>
      </c>
      <c r="G96" s="13" t="str">
        <f>'5조'!G$11</f>
        <v>물리적인 테스트 환경이 필요하여 테스트하기 어렵다.</v>
      </c>
      <c r="H96" s="4"/>
      <c r="I96" s="4"/>
      <c r="J96" s="4"/>
      <c r="K96" s="4"/>
      <c r="L96" s="4"/>
      <c r="M96" s="4"/>
      <c r="N96" s="4"/>
      <c r="O96" s="4"/>
      <c r="P96" s="4"/>
      <c r="Q96" s="4"/>
      <c r="R96" s="4"/>
      <c r="S96" s="4"/>
      <c r="T96" s="4"/>
      <c r="U96" s="4"/>
      <c r="V96" s="4"/>
      <c r="W96" s="4"/>
      <c r="X96" s="4"/>
      <c r="Y96" s="4"/>
      <c r="Z96" s="4"/>
    </row>
    <row r="97">
      <c r="A97" s="9" t="s">
        <v>399</v>
      </c>
      <c r="B97" s="10" t="str">
        <f>'6조'!B$11</f>
        <v>++</v>
      </c>
      <c r="C97" s="13" t="str">
        <f>'6조'!C$11</f>
        <v>각 컴포넌트의 입력과 출력이 명확한 파일/데이터셋 형태로 규격화되어 있어, 전체 시스템을 구동하지 않고도 독립적인 단위 테스트(Mock/Sample 입력 검증) 및 결과 재현이 매우 쉬움.</v>
      </c>
      <c r="D97" s="10" t="str">
        <f>'6조'!D$11</f>
        <v>+</v>
      </c>
      <c r="E97" s="13" t="str">
        <f>'6조'!E$11</f>
        <v>표준 입출력을 가지므로 특정 필터만 떼어내어 Mock 데이터로 단위 테스트(Unit Test)를 수행하기가 쉬우나 비동기/동기가 섞여있으므로 전체 파이프라인 레이스 조건/타임아웃 테스트는 재현이 어려움</v>
      </c>
      <c r="F97" s="10" t="str">
        <f>'6조'!F$11</f>
        <v>0</v>
      </c>
      <c r="G97" s="13" t="str">
        <f>'6조'!G$11</f>
        <v>Processing Unit, Control Unit의 단위테스트는 용이하나, 실시간 피드백과 타이밍 의존성 때문에 전체 통합테스트는 쉽지 않음</v>
      </c>
      <c r="H97" s="4"/>
      <c r="I97" s="4"/>
      <c r="J97" s="4"/>
      <c r="K97" s="4"/>
      <c r="L97" s="4"/>
      <c r="M97" s="4"/>
      <c r="N97" s="4"/>
      <c r="O97" s="4"/>
      <c r="P97" s="4"/>
      <c r="Q97" s="4"/>
      <c r="R97" s="4"/>
      <c r="S97" s="4"/>
      <c r="T97" s="4"/>
      <c r="U97" s="4"/>
      <c r="V97" s="4"/>
      <c r="W97" s="4"/>
      <c r="X97" s="4"/>
      <c r="Y97" s="4"/>
      <c r="Z97" s="4"/>
    </row>
    <row r="98">
      <c r="A98" s="9" t="s">
        <v>400</v>
      </c>
      <c r="B98" s="10" t="str">
        <f>'7조'!B$11</f>
        <v/>
      </c>
      <c r="C98" s="13" t="str">
        <f>'7조'!C$11</f>
        <v>7조 - Batch Sequential - Testability</v>
      </c>
      <c r="D98" s="10" t="str">
        <f>'7조'!D$11</f>
        <v/>
      </c>
      <c r="E98" s="13" t="str">
        <f>'7조'!E$11</f>
        <v>7조 - Pipe and Filter - Testability</v>
      </c>
      <c r="F98" s="10" t="str">
        <f>'7조'!F$11</f>
        <v/>
      </c>
      <c r="G98" s="13" t="str">
        <f>'7조'!G$11</f>
        <v>7조 - Process Control - Testability</v>
      </c>
      <c r="H98" s="4"/>
      <c r="I98" s="4"/>
      <c r="J98" s="4"/>
      <c r="K98" s="4"/>
      <c r="L98" s="4"/>
      <c r="M98" s="4"/>
      <c r="N98" s="4"/>
      <c r="O98" s="4"/>
      <c r="P98" s="4"/>
      <c r="Q98" s="4"/>
      <c r="R98" s="4"/>
      <c r="S98" s="4"/>
      <c r="T98" s="4"/>
      <c r="U98" s="4"/>
      <c r="V98" s="4"/>
      <c r="W98" s="4"/>
      <c r="X98" s="4"/>
      <c r="Y98" s="4"/>
      <c r="Z98" s="4"/>
    </row>
    <row r="99">
      <c r="A99" s="9" t="s">
        <v>401</v>
      </c>
      <c r="B99" s="10" t="str">
        <f>'8조'!B$11</f>
        <v/>
      </c>
      <c r="C99" s="13" t="str">
        <f>'8조'!C$11</f>
        <v>8조 - Batch Sequential - Testability</v>
      </c>
      <c r="D99" s="10" t="str">
        <f>'8조'!D$11</f>
        <v/>
      </c>
      <c r="E99" s="13" t="str">
        <f>'8조'!E$11</f>
        <v>8조 - Pipe and Filter - Testability</v>
      </c>
      <c r="F99" s="10" t="str">
        <f>'8조'!F$11</f>
        <v/>
      </c>
      <c r="G99" s="13" t="str">
        <f>'8조'!G$11</f>
        <v>8조 - Process Control - Testability</v>
      </c>
      <c r="H99" s="4"/>
      <c r="I99" s="4"/>
      <c r="J99" s="4"/>
      <c r="K99" s="4"/>
      <c r="L99" s="4"/>
      <c r="M99" s="4"/>
      <c r="N99" s="4"/>
      <c r="O99" s="4"/>
      <c r="P99" s="4"/>
      <c r="Q99" s="4"/>
      <c r="R99" s="4"/>
      <c r="S99" s="4"/>
      <c r="T99" s="4"/>
      <c r="U99" s="4"/>
      <c r="V99" s="4"/>
      <c r="W99" s="4"/>
      <c r="X99" s="4"/>
      <c r="Y99" s="4"/>
      <c r="Z99" s="4"/>
    </row>
    <row r="100">
      <c r="A100" s="9" t="s">
        <v>402</v>
      </c>
      <c r="B100" s="10" t="str">
        <f>'9조'!B$11</f>
        <v/>
      </c>
      <c r="C100" s="13" t="str">
        <f>'9조'!C$11</f>
        <v>9조 - Batch Sequential - Testability</v>
      </c>
      <c r="D100" s="10" t="str">
        <f>'9조'!D$11</f>
        <v/>
      </c>
      <c r="E100" s="13" t="str">
        <f>'9조'!E$11</f>
        <v>9조 - Pipe and Filter - Testability</v>
      </c>
      <c r="F100" s="10" t="str">
        <f>'9조'!F$11</f>
        <v/>
      </c>
      <c r="G100" s="13" t="str">
        <f>'9조'!G$11</f>
        <v>9조 - Process Control - Testability</v>
      </c>
      <c r="H100" s="4"/>
      <c r="I100" s="4"/>
      <c r="J100" s="4"/>
      <c r="K100" s="4"/>
      <c r="L100" s="4"/>
      <c r="M100" s="4"/>
      <c r="N100" s="4"/>
      <c r="O100" s="4"/>
      <c r="P100" s="4"/>
      <c r="Q100" s="4"/>
      <c r="R100" s="4"/>
      <c r="S100" s="4"/>
      <c r="T100" s="4"/>
      <c r="U100" s="4"/>
      <c r="V100" s="4"/>
      <c r="W100" s="4"/>
      <c r="X100" s="4"/>
      <c r="Y100" s="4"/>
      <c r="Z100" s="4"/>
    </row>
    <row r="101">
      <c r="A101" s="11"/>
      <c r="B101" s="14"/>
      <c r="C101" s="11"/>
      <c r="D101" s="14"/>
      <c r="E101" s="11"/>
      <c r="F101" s="14"/>
      <c r="G101" s="11"/>
      <c r="H101" s="4"/>
      <c r="I101" s="4"/>
      <c r="J101" s="4"/>
      <c r="K101" s="4"/>
      <c r="L101" s="4"/>
      <c r="M101" s="4"/>
      <c r="N101" s="4"/>
      <c r="O101" s="4"/>
      <c r="P101" s="4"/>
      <c r="Q101" s="4"/>
      <c r="R101" s="4"/>
      <c r="S101" s="4"/>
      <c r="T101" s="4"/>
      <c r="U101" s="4"/>
      <c r="V101" s="4"/>
      <c r="W101" s="4"/>
      <c r="X101" s="4"/>
      <c r="Y101" s="4"/>
      <c r="Z101" s="4"/>
    </row>
    <row r="102">
      <c r="A102" s="7" t="s">
        <v>346</v>
      </c>
      <c r="B102" s="7" t="str">
        <f>'Detailed Reasoning'!B$12</f>
        <v/>
      </c>
      <c r="C102" s="7" t="str">
        <f>'Detailed Reasoning'!C$12</f>
        <v/>
      </c>
      <c r="D102" s="7" t="str">
        <f>'Detailed Reasoning'!D$12</f>
        <v/>
      </c>
      <c r="E102" s="7" t="str">
        <f>'Detailed Reasoning'!E$12</f>
        <v/>
      </c>
      <c r="F102" s="7" t="str">
        <f>'Detailed Reasoning'!F$12</f>
        <v/>
      </c>
      <c r="G102" s="7" t="str">
        <f>'Detailed Reasoning'!G$12</f>
        <v/>
      </c>
      <c r="H102" s="4"/>
      <c r="I102" s="4"/>
      <c r="J102" s="4"/>
      <c r="K102" s="4"/>
      <c r="L102" s="4"/>
      <c r="M102" s="4"/>
      <c r="N102" s="4"/>
      <c r="O102" s="4"/>
      <c r="P102" s="4"/>
      <c r="Q102" s="4"/>
      <c r="R102" s="4"/>
      <c r="S102" s="4"/>
      <c r="T102" s="4"/>
      <c r="U102" s="4"/>
      <c r="V102" s="4"/>
      <c r="W102" s="4"/>
      <c r="X102" s="4"/>
      <c r="Y102" s="4"/>
      <c r="Z102" s="4"/>
    </row>
    <row r="103">
      <c r="A103" s="9" t="s">
        <v>403</v>
      </c>
      <c r="B103" s="10" t="str">
        <f>'1조'!B$12</f>
        <v>-</v>
      </c>
      <c r="C103" s="11" t="str">
        <f>'1조'!C12</f>
        <v>[--] 대화형 처리의 제약: 사용자 입력과 즉각적인 응답을 반복하는 작업에는 적합하지 않으므로, 사용자가 처리 도중 결과를 확인하면서 작업을 조정하기 어렵다.
[-] 결과 대기: 사용자가 최종 결과를 필요로 하는 경우 전체 처리 단계가 완료될 때까지 기다려야 하므로, 작업 완료까지의 대기 부담이 커질 수 있다.</v>
      </c>
      <c r="D103" s="10" t="str">
        <f>'1조'!D$12</f>
        <v>-</v>
      </c>
      <c r="E103" s="11" t="str">
        <f>'1조'!E12</f>
        <v>[+] 부분 결과 활용 — 조건부: 부분 결과를 사용자에게 제공하고 활용할 수 있는 작업에서는 전체 데이터 처리가 끝나기 전에 결과를 전달하여 대기 부담을 줄일 수 있다.
[-] 대화형 작업의 제약: 스트림의 단계별 변환을 중심으로 하므로, 사용자 입력에 따라 요청과 응답을 반복하고 처리 흐름을 조정하는 대화형 입출력에는 적합하지 않다.
[N/A] 사용자 지원 기능: 점진적으로 데이터를 출력한다는 사실만으로 진행률 표시·취소·오류 안내가 제공되는 것은 아니므로, 이러한 사용자 지원 기능은 별도로 설계해야 한다.</v>
      </c>
      <c r="F103" s="10" t="str">
        <f>'1조'!F$12</f>
        <v>+</v>
      </c>
      <c r="G103" s="11" t="str">
        <f>'1조'!G12</f>
        <v>[+] 자동 조정에 따른 부담 감소 — 해석: 사용자가 원하는 목표값을 설정하고 시스템이 이를 자동으로 유지하는 사용 방식에서는, 사용자가 상태를 계속 확인하며 직접 조작해야 하는 부담을 줄일 수 있다.</v>
      </c>
      <c r="H103" s="4"/>
      <c r="I103" s="4"/>
      <c r="J103" s="4"/>
      <c r="K103" s="4"/>
      <c r="L103" s="4"/>
      <c r="M103" s="4"/>
      <c r="N103" s="4"/>
      <c r="O103" s="4"/>
      <c r="P103" s="4"/>
      <c r="Q103" s="4"/>
      <c r="R103" s="4"/>
      <c r="S103" s="4"/>
      <c r="T103" s="4"/>
      <c r="U103" s="4"/>
      <c r="V103" s="4"/>
      <c r="W103" s="4"/>
      <c r="X103" s="4"/>
      <c r="Y103" s="4"/>
      <c r="Z103" s="4"/>
    </row>
    <row r="104">
      <c r="A104" s="9" t="s">
        <v>404</v>
      </c>
      <c r="B104" s="10" t="str">
        <f>'2조'!B$12</f>
        <v>--</v>
      </c>
      <c r="C104" s="13" t="str">
        <f>'2조'!C$12</f>
        <v>대화형(interactive) 처리가 불가능하다 — 결과를 다 만들 때까지 사용자가 개입할 수 없다</v>
      </c>
      <c r="D104" s="10" t="str">
        <f>'2조'!D$12</f>
        <v>-</v>
      </c>
      <c r="E104" s="13" t="str">
        <f>'2조'!E$12</f>
        <v>단방향 데이터 스트림 처리에 특화되어 있어 양방향 사용자 인터랙션이나 실시간 이벤트-응답이 필수적인 대화형 UI 시스템 구현에는 적합하지 않음.</v>
      </c>
      <c r="F104" s="10" t="str">
        <f>'2조'!F$12</f>
        <v>0</v>
      </c>
      <c r="G104" s="13" t="str">
        <f>'2조'!G$12</f>
        <v>사람이 직접 쓰는 화면이 아니라 목표값을 주고 맡기는 구조다 — 사용성 자체를 좌우하지 않는다</v>
      </c>
      <c r="H104" s="4"/>
      <c r="I104" s="4"/>
      <c r="J104" s="4"/>
      <c r="K104" s="4"/>
      <c r="L104" s="4"/>
      <c r="M104" s="4"/>
      <c r="N104" s="4"/>
      <c r="O104" s="4"/>
      <c r="P104" s="4"/>
      <c r="Q104" s="4"/>
      <c r="R104" s="4"/>
      <c r="S104" s="4"/>
      <c r="T104" s="4"/>
      <c r="U104" s="4"/>
      <c r="V104" s="4"/>
      <c r="W104" s="4"/>
      <c r="X104" s="4"/>
      <c r="Y104" s="4"/>
      <c r="Z104" s="4"/>
    </row>
    <row r="105">
      <c r="A105" s="9" t="s">
        <v>405</v>
      </c>
      <c r="B105" s="10" t="str">
        <f>'3조'!B$12</f>
        <v>--</v>
      </c>
      <c r="C105" s="13" t="str">
        <f>'3조'!C$12</f>
        <v>처리 도중 사용자와 상호작용하는 대화형(Interactive) 작업이 완전히 불가능하며, 작업 종료 시까지 시스템이 블로킹됩니다.</v>
      </c>
      <c r="D105" s="10" t="str">
        <f>'3조'!D$12</f>
        <v>-</v>
      </c>
      <c r="E105" s="13" t="str">
        <f>'3조'!E$12</f>
        <v>Pipe and Filter는 stream 처리에는 강하지만 자료에서 interactive I/O 처리에는 적합하지 않다고 제시된다. 사용자 interaction 중심 시스템보다는 내부 데이터 변환에 적합하므로 usability에는 불리하게 본다.</v>
      </c>
      <c r="F105" s="10" t="str">
        <f>'3조'!F$12</f>
        <v>0</v>
      </c>
      <c r="G105" s="13" t="str">
        <f>'3조'!G$12</f>
        <v>Process Control은 내부 자동 제어 구조이며 사용자 UI나 작업 흐름을 직접 개선하는 스타일은 아니다. 목표 상태 유지가 간접적으로 사용자 경험을 안정화할 수는 있지만 직접 효과는 제한적이다.</v>
      </c>
      <c r="H105" s="4"/>
      <c r="I105" s="4"/>
      <c r="J105" s="4"/>
      <c r="K105" s="4"/>
      <c r="L105" s="4"/>
      <c r="M105" s="4"/>
      <c r="N105" s="4"/>
      <c r="O105" s="4"/>
      <c r="P105" s="4"/>
      <c r="Q105" s="4"/>
      <c r="R105" s="4"/>
      <c r="S105" s="4"/>
      <c r="T105" s="4"/>
      <c r="U105" s="4"/>
      <c r="V105" s="4"/>
      <c r="W105" s="4"/>
      <c r="X105" s="4"/>
      <c r="Y105" s="4"/>
      <c r="Z105" s="4"/>
    </row>
    <row r="106">
      <c r="A106" s="9" t="s">
        <v>406</v>
      </c>
      <c r="B106" s="10" t="str">
        <f>'4조'!B$12</f>
        <v>--</v>
      </c>
      <c r="C106" s="13" t="str">
        <f>'4조'!C$12</f>
        <v>사용자 요청에 즉시 응답하는 구조가 아니라 전체 배치 처리를 기다려야 하므로 실시간·대화형 시스템에 매우 부적합하다.</v>
      </c>
      <c r="D106" s="10" t="str">
        <f>'4조'!D$12</f>
        <v>-</v>
      </c>
      <c r="E106" s="13" t="str">
        <f>'4조'!E$12</f>
        <v>스트림 처리 지향이라 처리 도중 상호작용이나 사용자 피드백이 거의 불가능하다.</v>
      </c>
      <c r="F106" s="10" t="str">
        <f>'4조'!F$12</f>
        <v>0</v>
      </c>
      <c r="G106" s="13" t="str">
        <f>'4조'!G$12</f>
        <v>Process Control은 내부 제어 방식에 관한 구조라 사용자 인터페이스와 직접적인 관계는 크지 않다. 자동 제어로 편리해질 수 있지만 구조 자체가 Usability를 크게 결정하지는 않는다.</v>
      </c>
      <c r="H106" s="4"/>
      <c r="I106" s="4"/>
      <c r="J106" s="4"/>
      <c r="K106" s="4"/>
      <c r="L106" s="4"/>
      <c r="M106" s="4"/>
      <c r="N106" s="4"/>
      <c r="O106" s="4"/>
      <c r="P106" s="4"/>
      <c r="Q106" s="4"/>
      <c r="R106" s="4"/>
      <c r="S106" s="4"/>
      <c r="T106" s="4"/>
      <c r="U106" s="4"/>
      <c r="V106" s="4"/>
      <c r="W106" s="4"/>
      <c r="X106" s="4"/>
      <c r="Y106" s="4"/>
      <c r="Z106" s="4"/>
    </row>
    <row r="107">
      <c r="A107" s="9" t="s">
        <v>407</v>
      </c>
      <c r="B107" s="10" t="str">
        <f>'5조'!B$12</f>
        <v>--</v>
      </c>
      <c r="C107" s="13" t="str">
        <f>'5조'!C$12</f>
        <v>interactive한 UI 구성이 불가능하고, 병렬적이지 않으므로 Performance가 종합적으로 나빠 UX도 좋지 않다.</v>
      </c>
      <c r="D107" s="10" t="str">
        <f>'5조'!D$12</f>
        <v>0</v>
      </c>
      <c r="E107" s="13" t="str">
        <f>'5조'!E$12</f>
        <v>처리 성능이나 응답 속도를 통해 사용자 경험에 간접적인 영향을 줄 수는 있지만, Pipe and Filter 자체는 사용자 인터페이스나 조작 방식을 결정하지 않으므로 Usability에 대한 직접 영향은 중립적이다.</v>
      </c>
      <c r="F107" s="10" t="str">
        <f>'5조'!F$12</f>
        <v>+</v>
      </c>
      <c r="G107" s="13" t="str">
        <f>'5조'!G$12</f>
        <v>자동으로 타겟에 가까워지므로 사용자가 원하는 작업을 쉽게 완수할 수 있다.</v>
      </c>
      <c r="H107" s="4"/>
      <c r="I107" s="4"/>
      <c r="J107" s="4"/>
      <c r="K107" s="4"/>
      <c r="L107" s="4"/>
      <c r="M107" s="4"/>
      <c r="N107" s="4"/>
      <c r="O107" s="4"/>
      <c r="P107" s="4"/>
      <c r="Q107" s="4"/>
      <c r="R107" s="4"/>
      <c r="S107" s="4"/>
      <c r="T107" s="4"/>
      <c r="U107" s="4"/>
      <c r="V107" s="4"/>
      <c r="W107" s="4"/>
      <c r="X107" s="4"/>
      <c r="Y107" s="4"/>
      <c r="Z107" s="4"/>
    </row>
    <row r="108">
      <c r="A108" s="9" t="s">
        <v>408</v>
      </c>
      <c r="B108" s="10" t="str">
        <f>'6조'!B$12</f>
        <v>0</v>
      </c>
      <c r="C108" s="13" t="str">
        <f>'6조'!C$12</f>
        <v>사용자와의 실시간 상호작용(Interactive)이 없고 긴 대기 시간이 발생하여 최종 사용자 경험 측면에서는 불리함. 다만 순차적 실행 특성상 배치 진행 상태나 장애 단계 파악이 쉬워 시스템 운영자 관점의 사용성은 일부 충족됨.</v>
      </c>
      <c r="D108" s="10" t="str">
        <f>'6조'!D$11</f>
        <v>+</v>
      </c>
      <c r="E108" s="13" t="str">
        <f>'6조'!E$12</f>
        <v>입력이나 변경 발생 시 밀리초~초 단위로 결과가 대시보드나 화면에 반영되므로 대기 시간이 없어 최상의 사용자 경험을 제공</v>
      </c>
      <c r="F108" s="10" t="str">
        <f>'5조'!F$12</f>
        <v>+</v>
      </c>
      <c r="G108" s="20" t="s">
        <v>409</v>
      </c>
      <c r="H108" s="4"/>
      <c r="I108" s="4"/>
      <c r="J108" s="4"/>
      <c r="K108" s="4"/>
      <c r="L108" s="4"/>
      <c r="M108" s="4"/>
      <c r="N108" s="4"/>
      <c r="O108" s="4"/>
      <c r="P108" s="4"/>
      <c r="Q108" s="4"/>
      <c r="R108" s="4"/>
      <c r="S108" s="4"/>
      <c r="T108" s="4"/>
      <c r="U108" s="4"/>
      <c r="V108" s="4"/>
      <c r="W108" s="4"/>
      <c r="X108" s="4"/>
      <c r="Y108" s="4"/>
      <c r="Z108" s="4"/>
    </row>
    <row r="109">
      <c r="A109" s="9" t="s">
        <v>410</v>
      </c>
      <c r="B109" s="10" t="str">
        <f>'7조'!B$12</f>
        <v/>
      </c>
      <c r="C109" s="13" t="str">
        <f>'7조'!C$12</f>
        <v>7조 - Batch Sequential - Usability</v>
      </c>
      <c r="D109" s="10" t="str">
        <f>'7조'!D$12</f>
        <v/>
      </c>
      <c r="E109" s="13" t="str">
        <f>'7조'!E$12</f>
        <v>7조 - Pipe and Filter - Usability</v>
      </c>
      <c r="F109" s="10" t="str">
        <f>'7조'!F$12</f>
        <v/>
      </c>
      <c r="G109" s="13" t="str">
        <f>'7조'!G$12</f>
        <v>7조 - Process Control - Usability</v>
      </c>
      <c r="H109" s="4"/>
      <c r="I109" s="4"/>
      <c r="J109" s="4"/>
      <c r="K109" s="4"/>
      <c r="L109" s="4"/>
      <c r="M109" s="4"/>
      <c r="N109" s="4"/>
      <c r="O109" s="4"/>
      <c r="P109" s="4"/>
      <c r="Q109" s="4"/>
      <c r="R109" s="4"/>
      <c r="S109" s="4"/>
      <c r="T109" s="4"/>
      <c r="U109" s="4"/>
      <c r="V109" s="4"/>
      <c r="W109" s="4"/>
      <c r="X109" s="4"/>
      <c r="Y109" s="4"/>
      <c r="Z109" s="4"/>
    </row>
    <row r="110">
      <c r="A110" s="9" t="s">
        <v>411</v>
      </c>
      <c r="B110" s="10" t="str">
        <f>'8조'!B$12</f>
        <v/>
      </c>
      <c r="C110" s="13" t="str">
        <f>'8조'!C$12</f>
        <v>8조 - Batch Sequential - Usability</v>
      </c>
      <c r="D110" s="10" t="str">
        <f>'8조'!D$12</f>
        <v/>
      </c>
      <c r="E110" s="13" t="str">
        <f>'8조'!E$12</f>
        <v>8조 - Pipe and Filter - Usability</v>
      </c>
      <c r="F110" s="10" t="str">
        <f>'8조'!F$12</f>
        <v/>
      </c>
      <c r="G110" s="13" t="str">
        <f>'8조'!G$12</f>
        <v>8조 - Process Control - Usability</v>
      </c>
      <c r="H110" s="4"/>
      <c r="I110" s="4"/>
      <c r="J110" s="4"/>
      <c r="K110" s="4"/>
      <c r="L110" s="4"/>
      <c r="M110" s="4"/>
      <c r="N110" s="4"/>
      <c r="O110" s="4"/>
      <c r="P110" s="4"/>
      <c r="Q110" s="4"/>
      <c r="R110" s="4"/>
      <c r="S110" s="4"/>
      <c r="T110" s="4"/>
      <c r="U110" s="4"/>
      <c r="V110" s="4"/>
      <c r="W110" s="4"/>
      <c r="X110" s="4"/>
      <c r="Y110" s="4"/>
      <c r="Z110" s="4"/>
    </row>
    <row r="111">
      <c r="A111" s="9" t="s">
        <v>412</v>
      </c>
      <c r="B111" s="10" t="str">
        <f>'9조'!B$12</f>
        <v/>
      </c>
      <c r="C111" s="13" t="str">
        <f>'9조'!C$12</f>
        <v>9조 - Batch Sequential - Usability</v>
      </c>
      <c r="D111" s="10" t="str">
        <f>'9조'!D$12</f>
        <v/>
      </c>
      <c r="E111" s="13" t="str">
        <f>'9조'!E$12</f>
        <v>9조 - Pipe and Filter - Usability</v>
      </c>
      <c r="F111" s="10" t="str">
        <f>'9조'!F$12</f>
        <v/>
      </c>
      <c r="G111" s="13" t="str">
        <f>'9조'!G$12</f>
        <v>9조 - Process Control - Usability</v>
      </c>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4">
    <mergeCell ref="A1:A2"/>
    <mergeCell ref="B1:C1"/>
    <mergeCell ref="D1:E1"/>
    <mergeCell ref="F1:G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68.57"/>
    <col customWidth="1" min="4" max="4" width="7.71"/>
    <col customWidth="1" min="5" max="5" width="73.0"/>
    <col customWidth="1" min="6" max="6" width="37.57"/>
  </cols>
  <sheetData>
    <row r="1">
      <c r="A1" s="1" t="s">
        <v>3</v>
      </c>
      <c r="B1" s="2" t="s">
        <v>5</v>
      </c>
      <c r="C1" s="3"/>
      <c r="D1" s="2" t="s">
        <v>8</v>
      </c>
      <c r="E1" s="3"/>
      <c r="F1" s="4"/>
      <c r="G1" s="4"/>
      <c r="H1" s="4"/>
      <c r="I1" s="4"/>
      <c r="J1" s="4"/>
      <c r="K1" s="4"/>
      <c r="L1" s="4"/>
      <c r="M1" s="4"/>
      <c r="N1" s="4"/>
      <c r="O1" s="4"/>
      <c r="P1" s="4"/>
      <c r="Q1" s="4"/>
      <c r="R1" s="4"/>
      <c r="S1" s="4"/>
      <c r="T1" s="4"/>
      <c r="U1" s="4"/>
      <c r="V1" s="4"/>
      <c r="W1" s="4"/>
      <c r="X1" s="4"/>
      <c r="Y1" s="4"/>
      <c r="Z1" s="4"/>
    </row>
    <row r="2">
      <c r="A2" s="5"/>
      <c r="B2" s="6" t="s">
        <v>11</v>
      </c>
      <c r="C2" s="6" t="s">
        <v>12</v>
      </c>
      <c r="D2" s="6" t="s">
        <v>11</v>
      </c>
      <c r="E2" s="6" t="s">
        <v>12</v>
      </c>
      <c r="F2" s="4"/>
      <c r="G2" s="4"/>
      <c r="H2" s="4"/>
      <c r="I2" s="4"/>
      <c r="J2" s="4"/>
      <c r="K2" s="4"/>
      <c r="L2" s="4"/>
      <c r="M2" s="4"/>
      <c r="N2" s="4"/>
      <c r="O2" s="4"/>
      <c r="P2" s="4"/>
      <c r="Q2" s="4"/>
      <c r="R2" s="4"/>
      <c r="S2" s="4"/>
      <c r="T2" s="4"/>
      <c r="U2" s="4"/>
      <c r="V2" s="4"/>
      <c r="W2" s="4"/>
      <c r="X2" s="4"/>
      <c r="Y2" s="4"/>
      <c r="Z2" s="4"/>
    </row>
    <row r="3">
      <c r="A3" s="7" t="s">
        <v>14</v>
      </c>
      <c r="B3" s="7" t="str">
        <f>'Detailed Reasoning'!B16</f>
        <v/>
      </c>
      <c r="C3" s="7" t="str">
        <f>'Detailed Reasoning'!C16</f>
        <v/>
      </c>
      <c r="D3" s="7" t="str">
        <f>'Detailed Reasoning'!D16</f>
        <v/>
      </c>
      <c r="E3" s="7" t="str">
        <f>'Detailed Reasoning'!E16</f>
        <v/>
      </c>
      <c r="F3" s="4"/>
      <c r="G3" s="4"/>
      <c r="H3" s="4"/>
      <c r="I3" s="4"/>
      <c r="J3" s="4"/>
      <c r="K3" s="4"/>
      <c r="L3" s="4"/>
      <c r="M3" s="4"/>
      <c r="N3" s="4"/>
      <c r="O3" s="4"/>
      <c r="P3" s="4"/>
      <c r="Q3" s="4"/>
      <c r="R3" s="4"/>
      <c r="S3" s="4"/>
      <c r="T3" s="4"/>
      <c r="U3" s="4"/>
      <c r="V3" s="4"/>
      <c r="W3" s="4"/>
      <c r="X3" s="4"/>
      <c r="Y3" s="4"/>
      <c r="Z3" s="4"/>
    </row>
    <row r="4">
      <c r="A4" s="9" t="s">
        <v>18</v>
      </c>
      <c r="B4" s="10" t="str">
        <f>'1조'!B$16</f>
        <v>-</v>
      </c>
      <c r="C4" s="11" t="str">
        <f>'1조'!C16</f>
        <v>[+] 역할 분리: 클라이언트를 별도 실행 단위로 구성하면 장애 원인을 해당 클라이언트로 좁히고 개별적으로 복구할 수 있다. 다른 클라이언트가 반드시 함께 중단되어야 하는 구조는 아니다.
[--] 저장소 의존: 공유 저장소가 중단되고 대체 저장소가 없다면, 이를 사용하는 모든 클라이언트의 데이터 접근이 막혀 관련 기능이 함께 중단될 수 있다.</v>
      </c>
      <c r="D4" s="10" t="str">
        <f>'1조'!D$16</f>
        <v>--</v>
      </c>
      <c r="E4" s="11" t="str">
        <f>'1조'!E16</f>
        <v>[-] Controller와 Blackboard 간 의존성 때문에 부분 장애 시 전체가 일관되게 동작하기 어렵다.
[--] 중앙 Blackboard 또는 Controller의 장애는 전체 추론 진행을 중단시킬 수 있다.</v>
      </c>
      <c r="F4" s="4"/>
      <c r="G4" s="4"/>
      <c r="H4" s="4"/>
      <c r="I4" s="4"/>
      <c r="J4" s="4"/>
      <c r="K4" s="4"/>
      <c r="L4" s="4"/>
      <c r="M4" s="4"/>
      <c r="N4" s="4"/>
      <c r="O4" s="4"/>
      <c r="P4" s="4"/>
      <c r="Q4" s="4"/>
      <c r="R4" s="4"/>
      <c r="S4" s="4"/>
      <c r="T4" s="4"/>
      <c r="U4" s="4"/>
      <c r="V4" s="4"/>
      <c r="W4" s="4"/>
      <c r="X4" s="4"/>
      <c r="Y4" s="4"/>
      <c r="Z4" s="4"/>
    </row>
    <row r="5">
      <c r="A5" s="9" t="s">
        <v>22</v>
      </c>
      <c r="B5" s="10" t="str">
        <f>'2조'!B$16</f>
        <v>--</v>
      </c>
      <c r="C5" s="13" t="str">
        <f>'2조'!C$16</f>
        <v>중앙의 Shared Data Store가 전체 시스템의 단일 장애점(SPOF)으로 작용하여, 저장소에 장애가 발생하면 이에 의존하는 모든 클라이언트의 서비스가 일시에 정지됨</v>
      </c>
      <c r="D5" s="10" t="str">
        <f>'2조'!D$16</f>
        <v>--</v>
      </c>
      <c r="E5" s="13" t="str">
        <f>'2조'!E$16</f>
        <v>Blackboard와 Controller가 공통 데이터·실행 선택의 중심이므로 이들의 고장은 전체 추론을 멈출 수 있다. Knowledge Source의 독립성만으로 중앙 장애를 견디지는 못한다. [설계 PDF p.62–67]</v>
      </c>
      <c r="F5" s="4"/>
      <c r="G5" s="4"/>
      <c r="H5" s="4"/>
      <c r="I5" s="4"/>
      <c r="J5" s="4"/>
      <c r="K5" s="4"/>
      <c r="L5" s="4"/>
      <c r="M5" s="4"/>
      <c r="N5" s="4"/>
      <c r="O5" s="4"/>
      <c r="P5" s="4"/>
      <c r="Q5" s="4"/>
      <c r="R5" s="4"/>
      <c r="S5" s="4"/>
      <c r="T5" s="4"/>
      <c r="U5" s="4"/>
      <c r="V5" s="4"/>
      <c r="W5" s="4"/>
      <c r="X5" s="4"/>
      <c r="Y5" s="4"/>
      <c r="Z5" s="4"/>
    </row>
    <row r="6">
      <c r="A6" s="9" t="s">
        <v>25</v>
      </c>
      <c r="B6" s="10" t="str">
        <f>'3조'!B$16</f>
        <v>--</v>
      </c>
      <c r="C6" s="13" t="str">
        <f>'3조'!C$16</f>
        <v>중앙 데이터 저장소가 명확한 단일 장애점(SPOF)가 되므로, 저장소가 고장나면 전체 component가 데이터를 읽고 쓸 수 없다</v>
      </c>
      <c r="D6" s="10" t="str">
        <f>'3조'!D$16</f>
        <v>--</v>
      </c>
      <c r="E6" s="13" t="str">
        <f>'3조'!E$16</f>
        <v>Blackboard/Controller가 KS 실행의 중심이므로, 이 부분이 멈추면 여러 KS 협업도 함께 중단된다.</v>
      </c>
      <c r="F6" s="4"/>
      <c r="G6" s="4"/>
      <c r="H6" s="4"/>
      <c r="I6" s="4"/>
      <c r="J6" s="4"/>
      <c r="K6" s="4"/>
      <c r="L6" s="4"/>
      <c r="M6" s="4"/>
      <c r="N6" s="4"/>
      <c r="O6" s="4"/>
      <c r="P6" s="4"/>
      <c r="Q6" s="4"/>
      <c r="R6" s="4"/>
      <c r="S6" s="4"/>
      <c r="T6" s="4"/>
      <c r="U6" s="4"/>
      <c r="V6" s="4"/>
      <c r="W6" s="4"/>
      <c r="X6" s="4"/>
      <c r="Y6" s="4"/>
      <c r="Z6" s="4"/>
    </row>
    <row r="7">
      <c r="A7" s="9" t="s">
        <v>27</v>
      </c>
      <c r="B7" s="10" t="str">
        <f>'4조'!B$16</f>
        <v>-</v>
      </c>
      <c r="C7" s="13" t="str">
        <f>'4조'!C$16</f>
        <v>중앙 Repository에 장애가 발생하면 이를 사용하는 여러 컴포넌트가 동시에 영향을 받는다. 저장소가 Single Point of Failure가 되기 쉽다.</v>
      </c>
      <c r="D7" s="10" t="str">
        <f>'4조'!D$16</f>
        <v>-</v>
      </c>
      <c r="E7" s="13" t="str">
        <f>'4조'!E$16</f>
        <v>중앙 Blackboard가 핵심 공유 지점이므로 Blackboard에 장애가 발생하면 여러 Knowledge Source가 동시에 영향을 받는다. 중앙 저장소 의존성이 크다.</v>
      </c>
      <c r="F7" s="4"/>
      <c r="G7" s="4"/>
      <c r="H7" s="4"/>
      <c r="I7" s="4"/>
      <c r="J7" s="4"/>
      <c r="K7" s="4"/>
      <c r="L7" s="4"/>
      <c r="M7" s="4"/>
      <c r="N7" s="4"/>
      <c r="O7" s="4"/>
      <c r="P7" s="4"/>
      <c r="Q7" s="4"/>
      <c r="R7" s="4"/>
      <c r="S7" s="4"/>
      <c r="T7" s="4"/>
      <c r="U7" s="4"/>
      <c r="V7" s="4"/>
      <c r="W7" s="4"/>
      <c r="X7" s="4"/>
      <c r="Y7" s="4"/>
      <c r="Z7" s="4"/>
    </row>
    <row r="8">
      <c r="A8" s="9" t="s">
        <v>31</v>
      </c>
      <c r="B8" s="10" t="str">
        <f>'5조'!B$16</f>
        <v>--</v>
      </c>
      <c r="C8" s="13" t="str">
        <f>'5조'!C$16</f>
        <v>공유 저장소 장애 시 의존하는 모든 Client에 영향</v>
      </c>
      <c r="D8" s="10" t="str">
        <f>'5조'!D$16</f>
        <v>0</v>
      </c>
      <c r="E8" s="13" t="str">
        <f>'5조'!E$16</f>
        <v>중앙 블랙보드와 컨트롤러가 다운되면 모든 KS가 동작을 멈추지만, KS의 다운은 전체 시스템에 영향을 미치지 않는다.</v>
      </c>
      <c r="F8" s="4"/>
      <c r="G8" s="4"/>
      <c r="H8" s="4"/>
      <c r="I8" s="4"/>
      <c r="J8" s="4"/>
      <c r="K8" s="4"/>
      <c r="L8" s="4"/>
      <c r="M8" s="4"/>
      <c r="N8" s="4"/>
      <c r="O8" s="4"/>
      <c r="P8" s="4"/>
      <c r="Q8" s="4"/>
      <c r="R8" s="4"/>
      <c r="S8" s="4"/>
      <c r="T8" s="4"/>
      <c r="U8" s="4"/>
      <c r="V8" s="4"/>
      <c r="W8" s="4"/>
      <c r="X8" s="4"/>
      <c r="Y8" s="4"/>
      <c r="Z8" s="4"/>
    </row>
    <row r="9">
      <c r="A9" s="9" t="s">
        <v>36</v>
      </c>
      <c r="B9" s="10" t="str">
        <f>'6조'!B$16</f>
        <v>-</v>
      </c>
      <c r="C9" s="13" t="str">
        <f>'6조'!C$16</f>
        <v>Repository에 문제가 생기면 모든 client의 동작이 마비된다.</v>
      </c>
      <c r="D9" s="10" t="str">
        <f>'6조'!D$16</f>
        <v>--</v>
      </c>
      <c r="E9" s="13" t="str">
        <f>'6조'!E$16</f>
        <v>Orchestrator / Blackboard 마비 시에 모든 Knowledge Source 동작이 마비됨</v>
      </c>
      <c r="F9" s="4"/>
      <c r="G9" s="4"/>
      <c r="H9" s="4"/>
      <c r="I9" s="4"/>
      <c r="J9" s="4"/>
      <c r="K9" s="4"/>
      <c r="L9" s="4"/>
      <c r="M9" s="4"/>
      <c r="N9" s="4"/>
      <c r="O9" s="4"/>
      <c r="P9" s="4"/>
      <c r="Q9" s="4"/>
      <c r="R9" s="4"/>
      <c r="S9" s="4"/>
      <c r="T9" s="4"/>
      <c r="U9" s="4"/>
      <c r="V9" s="4"/>
      <c r="W9" s="4"/>
      <c r="X9" s="4"/>
      <c r="Y9" s="4"/>
      <c r="Z9" s="4"/>
    </row>
    <row r="10">
      <c r="A10" s="9" t="s">
        <v>40</v>
      </c>
      <c r="B10" s="10" t="str">
        <f>'7조'!B$16</f>
        <v/>
      </c>
      <c r="C10" s="13" t="str">
        <f>'7조'!C$16</f>
        <v>7조 - Shared Respository - Availability</v>
      </c>
      <c r="D10" s="10" t="str">
        <f>'7조'!D$16</f>
        <v/>
      </c>
      <c r="E10" s="13" t="str">
        <f>'7조'!E$16</f>
        <v>7조 - Blackboard - Availability</v>
      </c>
      <c r="F10" s="4"/>
      <c r="G10" s="4"/>
      <c r="H10" s="4"/>
      <c r="I10" s="4"/>
      <c r="J10" s="4"/>
      <c r="K10" s="4"/>
      <c r="L10" s="4"/>
      <c r="M10" s="4"/>
      <c r="N10" s="4"/>
      <c r="O10" s="4"/>
      <c r="P10" s="4"/>
      <c r="Q10" s="4"/>
      <c r="R10" s="4"/>
      <c r="S10" s="4"/>
      <c r="T10" s="4"/>
      <c r="U10" s="4"/>
      <c r="V10" s="4"/>
      <c r="W10" s="4"/>
      <c r="X10" s="4"/>
      <c r="Y10" s="4"/>
      <c r="Z10" s="4"/>
    </row>
    <row r="11">
      <c r="A11" s="9" t="s">
        <v>43</v>
      </c>
      <c r="B11" s="10" t="str">
        <f>'8조'!B$16</f>
        <v/>
      </c>
      <c r="C11" s="13" t="str">
        <f>'8조'!C$16</f>
        <v>8조 - Shared Respository - Availability</v>
      </c>
      <c r="D11" s="10" t="str">
        <f>'8조'!D$16</f>
        <v/>
      </c>
      <c r="E11" s="13" t="str">
        <f>'8조'!E$16</f>
        <v>8조 - Blackboard - Availability</v>
      </c>
      <c r="F11" s="4"/>
      <c r="G11" s="4"/>
      <c r="H11" s="4"/>
      <c r="I11" s="4"/>
      <c r="J11" s="4"/>
      <c r="K11" s="4"/>
      <c r="L11" s="4"/>
      <c r="M11" s="4"/>
      <c r="N11" s="4"/>
      <c r="O11" s="4"/>
      <c r="P11" s="4"/>
      <c r="Q11" s="4"/>
      <c r="R11" s="4"/>
      <c r="S11" s="4"/>
      <c r="T11" s="4"/>
      <c r="U11" s="4"/>
      <c r="V11" s="4"/>
      <c r="W11" s="4"/>
      <c r="X11" s="4"/>
      <c r="Y11" s="4"/>
      <c r="Z11" s="4"/>
    </row>
    <row r="12">
      <c r="A12" s="9" t="s">
        <v>46</v>
      </c>
      <c r="B12" s="10" t="str">
        <f>'9조'!B$16</f>
        <v/>
      </c>
      <c r="C12" s="13" t="str">
        <f>'9조'!C$16</f>
        <v>9조 - Shared Respository - Availability</v>
      </c>
      <c r="D12" s="10" t="str">
        <f>'9조'!D$16</f>
        <v/>
      </c>
      <c r="E12" s="13" t="str">
        <f>'9조'!E$16</f>
        <v>9조 - Blackboard - Availability</v>
      </c>
      <c r="F12" s="4"/>
      <c r="G12" s="4"/>
      <c r="H12" s="4"/>
      <c r="I12" s="4"/>
      <c r="J12" s="4"/>
      <c r="K12" s="4"/>
      <c r="L12" s="4"/>
      <c r="M12" s="4"/>
      <c r="N12" s="4"/>
      <c r="O12" s="4"/>
      <c r="P12" s="4"/>
      <c r="Q12" s="4"/>
      <c r="R12" s="4"/>
      <c r="S12" s="4"/>
      <c r="T12" s="4"/>
      <c r="U12" s="4"/>
      <c r="V12" s="4"/>
      <c r="W12" s="4"/>
      <c r="X12" s="4"/>
      <c r="Y12" s="4"/>
      <c r="Z12" s="4"/>
    </row>
    <row r="13">
      <c r="A13" s="11"/>
      <c r="B13" s="14"/>
      <c r="C13" s="11"/>
      <c r="D13" s="14"/>
      <c r="E13" s="11"/>
      <c r="F13" s="4"/>
      <c r="G13" s="4"/>
      <c r="H13" s="4"/>
      <c r="I13" s="4"/>
      <c r="J13" s="4"/>
      <c r="K13" s="4"/>
      <c r="L13" s="4"/>
      <c r="M13" s="4"/>
      <c r="N13" s="4"/>
      <c r="O13" s="4"/>
      <c r="P13" s="4"/>
      <c r="Q13" s="4"/>
      <c r="R13" s="4"/>
      <c r="S13" s="4"/>
      <c r="T13" s="4"/>
      <c r="U13" s="4"/>
      <c r="V13" s="4"/>
      <c r="W13" s="4"/>
      <c r="X13" s="4"/>
      <c r="Y13" s="4"/>
      <c r="Z13" s="4"/>
    </row>
    <row r="14">
      <c r="A14" s="7" t="s">
        <v>47</v>
      </c>
      <c r="B14" s="7" t="str">
        <f>'Detailed Reasoning'!B17</f>
        <v/>
      </c>
      <c r="C14" s="7" t="str">
        <f>'Detailed Reasoning'!C17</f>
        <v/>
      </c>
      <c r="D14" s="7" t="str">
        <f>'Detailed Reasoning'!D17</f>
        <v/>
      </c>
      <c r="E14" s="7" t="str">
        <f>'Detailed Reasoning'!E17</f>
        <v/>
      </c>
      <c r="F14" s="4"/>
      <c r="G14" s="4"/>
      <c r="H14" s="4"/>
      <c r="I14" s="4"/>
      <c r="J14" s="4"/>
      <c r="K14" s="4"/>
      <c r="L14" s="4"/>
      <c r="M14" s="4"/>
      <c r="N14" s="4"/>
      <c r="O14" s="4"/>
      <c r="P14" s="4"/>
      <c r="Q14" s="4"/>
      <c r="R14" s="4"/>
      <c r="S14" s="4"/>
      <c r="T14" s="4"/>
      <c r="U14" s="4"/>
      <c r="V14" s="4"/>
      <c r="W14" s="4"/>
      <c r="X14" s="4"/>
      <c r="Y14" s="4"/>
      <c r="Z14" s="4"/>
    </row>
    <row r="15">
      <c r="A15" s="9" t="s">
        <v>55</v>
      </c>
      <c r="B15" s="10" t="str">
        <f>'1조'!B$17</f>
        <v>-</v>
      </c>
      <c r="C15" s="11" t="str">
        <f>'1조'!C17</f>
        <v>[+] 클라이언트별 교체: 공유 데이터 구조와 접근 계약이 유지되면, 별도 배포 단위인 클라이언트의 구현을 다른 클라이언트와 분리하여 교체하기 쉽다.
[-] 공통 스키마 의존: 저장소의 자료구조가 바뀌면 이를 사용하는 클라이언트들의 호환성을 함께 확인하고 배포 시점을 조정해야 한다.</v>
      </c>
      <c r="D15" s="10" t="str">
        <f>'1조'!D$17</f>
        <v>0</v>
      </c>
      <c r="E15" s="11" t="str">
        <f>'1조'!E17</f>
        <v>[+] 지식원별 교체: 공유 데이터와 호출 계약이 유지되면, 별도 배포 단위인 KS의 내부 구현을 다른 KS와 분리하여 교체하기 쉽다.
[-] 공통 자료구조 의존: Blackboard의 자료구조를 바꾸면 이를 사용하는 여러 KS의 버전과 호환성을 함께 조정해야 한다.</v>
      </c>
      <c r="F15" s="12" t="s">
        <v>58</v>
      </c>
      <c r="G15" s="4"/>
      <c r="H15" s="4"/>
      <c r="I15" s="4"/>
      <c r="J15" s="4"/>
      <c r="K15" s="4"/>
      <c r="L15" s="4"/>
      <c r="M15" s="4"/>
      <c r="N15" s="4"/>
      <c r="O15" s="4"/>
      <c r="P15" s="4"/>
      <c r="Q15" s="4"/>
      <c r="R15" s="4"/>
      <c r="S15" s="4"/>
      <c r="T15" s="4"/>
      <c r="U15" s="4"/>
      <c r="V15" s="4"/>
      <c r="W15" s="4"/>
      <c r="X15" s="4"/>
      <c r="Y15" s="4"/>
      <c r="Z15" s="4"/>
    </row>
    <row r="16">
      <c r="A16" s="9" t="s">
        <v>60</v>
      </c>
      <c r="B16" s="10" t="str">
        <f>'2조'!B$17</f>
        <v>-</v>
      </c>
      <c r="C16" s="13" t="str">
        <f>'2조'!C$17</f>
        <v>client 를 하나씩 따로 올릴 수 있다. 다만 저장소 스키마를 바꾸는 배포는 무겁다</v>
      </c>
      <c r="D16" s="10" t="str">
        <f>'2조'!D$17</f>
        <v>+</v>
      </c>
      <c r="E16" s="13" t="str">
        <f>'2조'!E$17</f>
        <v>개별 KS는 모듈화된 지식 단위이므로 독립적인 빌드 및 플러그인 형태의 개별 배포가 용이함. (단, 블랙보드 공통 데이터 구조 변경 시 예외)</v>
      </c>
      <c r="G16" s="4"/>
      <c r="H16" s="4"/>
      <c r="I16" s="4"/>
      <c r="J16" s="4"/>
      <c r="K16" s="4"/>
      <c r="L16" s="4"/>
      <c r="M16" s="4"/>
      <c r="N16" s="4"/>
      <c r="O16" s="4"/>
      <c r="P16" s="4"/>
      <c r="Q16" s="4"/>
      <c r="R16" s="4"/>
      <c r="S16" s="4"/>
      <c r="T16" s="4"/>
      <c r="U16" s="4"/>
      <c r="V16" s="4"/>
      <c r="W16" s="4"/>
      <c r="X16" s="4"/>
      <c r="Y16" s="4"/>
      <c r="Z16" s="4"/>
    </row>
    <row r="17">
      <c r="A17" s="9" t="s">
        <v>62</v>
      </c>
      <c r="B17" s="10" t="str">
        <f>'3조'!B$17</f>
        <v>-</v>
      </c>
      <c r="C17" s="13" t="str">
        <f>'3조'!C$17</f>
        <v>client 기능은 따로 배포할 수 있지만, 중앙 데이터 저장소 구조 의존성은 높다</v>
      </c>
      <c r="D17" s="10" t="str">
        <f>'3조'!D$17</f>
        <v>+</v>
      </c>
      <c r="E17" s="13" t="str">
        <f>'3조'!E$17</f>
        <v>KS는 직접 연결되지 않고 Blackboard를 통해 협력하므로 KS 단위 추가·교체는 비교적 쉽다. 단, Blackboard/Controller 변경은 영향이 크다.</v>
      </c>
      <c r="G17" s="4"/>
      <c r="H17" s="4"/>
      <c r="I17" s="4"/>
      <c r="J17" s="4"/>
      <c r="K17" s="4"/>
      <c r="L17" s="4"/>
      <c r="M17" s="4"/>
      <c r="N17" s="4"/>
      <c r="O17" s="4"/>
      <c r="P17" s="4"/>
      <c r="Q17" s="4"/>
      <c r="R17" s="4"/>
      <c r="S17" s="4"/>
      <c r="T17" s="4"/>
      <c r="U17" s="4"/>
      <c r="V17" s="4"/>
      <c r="W17" s="4"/>
      <c r="X17" s="4"/>
      <c r="Y17" s="4"/>
      <c r="Z17" s="4"/>
    </row>
    <row r="18">
      <c r="A18" s="9" t="s">
        <v>64</v>
      </c>
      <c r="B18" s="10" t="str">
        <f>'4조'!B$17</f>
        <v>0</v>
      </c>
      <c r="C18" s="13" t="str">
        <f>'4조'!C$17</f>
        <v>각 컴포넌트는 독립적으로 배포할 수 있지만, DB Schema나 Repository 구조가 변경되면 여러 컴포넌트를 함께 수정·배포해야 할 수 있다.</v>
      </c>
      <c r="D18" s="10" t="str">
        <f>'4조'!D$17</f>
        <v>0</v>
      </c>
      <c r="E18" s="13" t="str">
        <f>'4조'!E$17</f>
        <v>Knowledge Source는 비교적 독립적으로 추가·배포할 수 있지만, Blackboard의 데이터 표현 방식이나 제어 로직과의 호환성을 맞춰야 한다.</v>
      </c>
      <c r="G18" s="4"/>
      <c r="H18" s="4"/>
      <c r="I18" s="4"/>
      <c r="J18" s="4"/>
      <c r="K18" s="4"/>
      <c r="L18" s="4"/>
      <c r="M18" s="4"/>
      <c r="N18" s="4"/>
      <c r="O18" s="4"/>
      <c r="P18" s="4"/>
      <c r="Q18" s="4"/>
      <c r="R18" s="4"/>
      <c r="S18" s="4"/>
      <c r="T18" s="4"/>
      <c r="U18" s="4"/>
      <c r="V18" s="4"/>
      <c r="W18" s="4"/>
      <c r="X18" s="4"/>
      <c r="Y18" s="4"/>
      <c r="Z18" s="4"/>
    </row>
    <row r="19">
      <c r="A19" s="9" t="s">
        <v>69</v>
      </c>
      <c r="B19" s="10" t="str">
        <f>'5조'!B$17</f>
        <v>-</v>
      </c>
      <c r="C19" s="13" t="str">
        <f>'5조'!C$17</f>
        <v>스키마 변경 시 관련 Client의 배포 조율 필요</v>
      </c>
      <c r="D19" s="10" t="str">
        <f>'5조'!D$17</f>
        <v>0</v>
      </c>
      <c r="E19" s="13" t="str">
        <f>'5조'!E$17</f>
        <v>KS는 쉽게 변경 가능하나, 중앙 블랙보드와 컨트롤러는 모든 KS와 맞물려있어 제한적이다.</v>
      </c>
      <c r="F19" s="4"/>
      <c r="G19" s="4"/>
      <c r="H19" s="4"/>
      <c r="I19" s="4"/>
      <c r="J19" s="4"/>
      <c r="K19" s="4"/>
      <c r="L19" s="4"/>
      <c r="M19" s="4"/>
      <c r="N19" s="4"/>
      <c r="O19" s="4"/>
      <c r="P19" s="4"/>
      <c r="Q19" s="4"/>
      <c r="R19" s="4"/>
      <c r="S19" s="4"/>
      <c r="T19" s="4"/>
      <c r="U19" s="4"/>
      <c r="V19" s="4"/>
      <c r="W19" s="4"/>
      <c r="X19" s="4"/>
      <c r="Y19" s="4"/>
      <c r="Z19" s="4"/>
    </row>
    <row r="20">
      <c r="A20" s="9" t="s">
        <v>74</v>
      </c>
      <c r="B20" s="10" t="str">
        <f>'6조'!B$17</f>
        <v>-</v>
      </c>
      <c r="C20" s="13" t="str">
        <f>'6조'!C$17</f>
        <v>한 component의 변경이 시스템 전체에 영향을 미칠 수 있고 배포 용이성에 영향을 미친다.</v>
      </c>
      <c r="D20" s="10" t="str">
        <f>'6조'!D$17</f>
        <v>-</v>
      </c>
      <c r="E20" s="13" t="str">
        <f>'6조'!E$17</f>
        <v>모든 Knowledge Source가 블랙보드/제어 컴포넌트에 강하게 결합</v>
      </c>
      <c r="F20" s="4"/>
      <c r="G20" s="4"/>
      <c r="H20" s="4"/>
      <c r="I20" s="4"/>
      <c r="J20" s="4"/>
      <c r="K20" s="4"/>
      <c r="L20" s="4"/>
      <c r="M20" s="4"/>
      <c r="N20" s="4"/>
      <c r="O20" s="4"/>
      <c r="P20" s="4"/>
      <c r="Q20" s="4"/>
      <c r="R20" s="4"/>
      <c r="S20" s="4"/>
      <c r="T20" s="4"/>
      <c r="U20" s="4"/>
      <c r="V20" s="4"/>
      <c r="W20" s="4"/>
      <c r="X20" s="4"/>
      <c r="Y20" s="4"/>
      <c r="Z20" s="4"/>
    </row>
    <row r="21">
      <c r="A21" s="9" t="s">
        <v>78</v>
      </c>
      <c r="B21" s="10" t="str">
        <f>'7조'!B$17</f>
        <v/>
      </c>
      <c r="C21" s="13" t="str">
        <f>'7조'!C$17</f>
        <v>7조 - Shared Respository - Deployability</v>
      </c>
      <c r="D21" s="10" t="str">
        <f>'7조'!D$17</f>
        <v/>
      </c>
      <c r="E21" s="13" t="str">
        <f>'7조'!E$17</f>
        <v>7조 - Blackboard - Deployability</v>
      </c>
      <c r="F21" s="4"/>
      <c r="G21" s="4"/>
      <c r="H21" s="4"/>
      <c r="I21" s="4"/>
      <c r="J21" s="4"/>
      <c r="K21" s="4"/>
      <c r="L21" s="4"/>
      <c r="M21" s="4"/>
      <c r="N21" s="4"/>
      <c r="O21" s="4"/>
      <c r="P21" s="4"/>
      <c r="Q21" s="4"/>
      <c r="R21" s="4"/>
      <c r="S21" s="4"/>
      <c r="T21" s="4"/>
      <c r="U21" s="4"/>
      <c r="V21" s="4"/>
      <c r="W21" s="4"/>
      <c r="X21" s="4"/>
      <c r="Y21" s="4"/>
      <c r="Z21" s="4"/>
    </row>
    <row r="22">
      <c r="A22" s="9" t="s">
        <v>81</v>
      </c>
      <c r="B22" s="10" t="str">
        <f>'8조'!B$17</f>
        <v/>
      </c>
      <c r="C22" s="13" t="str">
        <f>'8조'!C$17</f>
        <v>8조 - Shared Respository - Deployability</v>
      </c>
      <c r="D22" s="10" t="str">
        <f>'8조'!D$17</f>
        <v/>
      </c>
      <c r="E22" s="13" t="str">
        <f>'8조'!E$17</f>
        <v>8조 - Blackboard - Deployability</v>
      </c>
      <c r="F22" s="4"/>
      <c r="G22" s="4"/>
      <c r="H22" s="4"/>
      <c r="I22" s="4"/>
      <c r="J22" s="4"/>
      <c r="K22" s="4"/>
      <c r="L22" s="4"/>
      <c r="M22" s="4"/>
      <c r="N22" s="4"/>
      <c r="O22" s="4"/>
      <c r="P22" s="4"/>
      <c r="Q22" s="4"/>
      <c r="R22" s="4"/>
      <c r="S22" s="4"/>
      <c r="T22" s="4"/>
      <c r="U22" s="4"/>
      <c r="V22" s="4"/>
      <c r="W22" s="4"/>
      <c r="X22" s="4"/>
      <c r="Y22" s="4"/>
      <c r="Z22" s="4"/>
    </row>
    <row r="23">
      <c r="A23" s="9" t="s">
        <v>86</v>
      </c>
      <c r="B23" s="10" t="str">
        <f>'9조'!B$17</f>
        <v/>
      </c>
      <c r="C23" s="13" t="str">
        <f>'9조'!C$17</f>
        <v>9조 - Shared Respository - Deployability</v>
      </c>
      <c r="D23" s="10" t="str">
        <f>'9조'!D$17</f>
        <v/>
      </c>
      <c r="E23" s="13" t="str">
        <f>'9조'!E$17</f>
        <v>9조 - Blackboard - Deployability</v>
      </c>
      <c r="F23" s="4"/>
      <c r="G23" s="4"/>
      <c r="H23" s="4"/>
      <c r="I23" s="4"/>
      <c r="J23" s="4"/>
      <c r="K23" s="4"/>
      <c r="L23" s="4"/>
      <c r="M23" s="4"/>
      <c r="N23" s="4"/>
      <c r="O23" s="4"/>
      <c r="P23" s="4"/>
      <c r="Q23" s="4"/>
      <c r="R23" s="4"/>
      <c r="S23" s="4"/>
      <c r="T23" s="4"/>
      <c r="U23" s="4"/>
      <c r="V23" s="4"/>
      <c r="W23" s="4"/>
      <c r="X23" s="4"/>
      <c r="Y23" s="4"/>
      <c r="Z23" s="4"/>
    </row>
    <row r="24">
      <c r="A24" s="11"/>
      <c r="B24" s="14"/>
      <c r="C24" s="11"/>
      <c r="D24" s="14"/>
      <c r="E24" s="11"/>
      <c r="F24" s="4"/>
      <c r="G24" s="4"/>
      <c r="H24" s="4"/>
      <c r="I24" s="4"/>
      <c r="J24" s="4"/>
      <c r="K24" s="4"/>
      <c r="L24" s="4"/>
      <c r="M24" s="4"/>
      <c r="N24" s="4"/>
      <c r="O24" s="4"/>
      <c r="P24" s="4"/>
      <c r="Q24" s="4"/>
      <c r="R24" s="4"/>
      <c r="S24" s="4"/>
      <c r="T24" s="4"/>
      <c r="U24" s="4"/>
      <c r="V24" s="4"/>
      <c r="W24" s="4"/>
      <c r="X24" s="4"/>
      <c r="Y24" s="4"/>
      <c r="Z24" s="4"/>
    </row>
    <row r="25">
      <c r="A25" s="7" t="s">
        <v>80</v>
      </c>
      <c r="B25" s="7" t="str">
        <f>'Detailed Reasoning'!B18</f>
        <v/>
      </c>
      <c r="C25" s="7" t="str">
        <f>'Detailed Reasoning'!C18</f>
        <v/>
      </c>
      <c r="D25" s="7" t="str">
        <f>'Detailed Reasoning'!D18</f>
        <v/>
      </c>
      <c r="E25" s="7" t="str">
        <f>'Detailed Reasoning'!E18</f>
        <v/>
      </c>
      <c r="F25" s="4"/>
      <c r="G25" s="4"/>
      <c r="H25" s="4"/>
      <c r="I25" s="4"/>
      <c r="J25" s="4"/>
      <c r="K25" s="4"/>
      <c r="L25" s="4"/>
      <c r="M25" s="4"/>
      <c r="N25" s="4"/>
      <c r="O25" s="4"/>
      <c r="P25" s="4"/>
      <c r="Q25" s="4"/>
      <c r="R25" s="4"/>
      <c r="S25" s="4"/>
      <c r="T25" s="4"/>
      <c r="U25" s="4"/>
      <c r="V25" s="4"/>
      <c r="W25" s="4"/>
      <c r="X25" s="4"/>
      <c r="Y25" s="4"/>
      <c r="Z25" s="4"/>
    </row>
    <row r="26">
      <c r="A26" s="9" t="s">
        <v>93</v>
      </c>
      <c r="B26" s="10" t="str">
        <f>'1조'!B$18</f>
        <v>+</v>
      </c>
      <c r="C26" s="11" t="str">
        <f>'1조'!C18</f>
        <v>[++] 공통 데이터 모델: 새로운 클라이언트가 공통 데이터 모델과 접근 계약을 따르면 기존 클라이언트 각각과 직접 연결하지 않고 시스템에 참여할 수 있다.
[+] 클라이언트 재사용: 기존 클라이언트의 기능을 유지하면서 같은 데이터 구조를 사용하는 다른 구성에 재사용하기 쉽다.</v>
      </c>
      <c r="D26" s="10" t="str">
        <f>'1조'!D$18</f>
        <v>+</v>
      </c>
      <c r="E26" s="11" t="str">
        <f>'1조'!E18</f>
        <v>[+] 공통 데이터 기반 통합: 새로운 KS가 공통 데이터 모델에 맞게 결과를 읽고 쓰면, 다른 KS와 직접 연결하지 않고 협력에 참여할 수 있다.
[+] 지식원 재사용: KS들이 서로 독립적이므로 기존 지식원을 재사용하거나 새로운 판단·처리 기능을 추가하기 쉽다.</v>
      </c>
      <c r="F26" s="12" t="s">
        <v>97</v>
      </c>
      <c r="G26" s="4"/>
      <c r="H26" s="4"/>
      <c r="I26" s="4"/>
      <c r="J26" s="4"/>
      <c r="K26" s="4"/>
      <c r="L26" s="4"/>
      <c r="M26" s="4"/>
      <c r="N26" s="4"/>
      <c r="O26" s="4"/>
      <c r="P26" s="4"/>
      <c r="Q26" s="4"/>
      <c r="R26" s="4"/>
      <c r="S26" s="4"/>
      <c r="T26" s="4"/>
      <c r="U26" s="4"/>
      <c r="V26" s="4"/>
      <c r="W26" s="4"/>
      <c r="X26" s="4"/>
      <c r="Y26" s="4"/>
      <c r="Z26" s="4"/>
    </row>
    <row r="27">
      <c r="A27" s="9" t="s">
        <v>99</v>
      </c>
      <c r="B27" s="10" t="str">
        <f>'2조'!B$18</f>
        <v>++</v>
      </c>
      <c r="C27" s="13" t="str">
        <f>'2조'!C$18</f>
        <v>새 data client 나 data store 를 추가하기 쉽다(Scalability). 같은 저장소에 붙이기만 하면 된다</v>
      </c>
      <c r="D27" s="10" t="str">
        <f>'2조'!D$18</f>
        <v>+</v>
      </c>
      <c r="E27" s="13" t="str">
        <f>'2조'!E$18</f>
        <v>규칙 기반(Rule-based), 머신러닝(ML), 휴리스틱 등 이종의 추론 기법을 가진 서로 다른 엔진들을 독립된 KS 형태로 블랙보드에 유연하게 결합·통합할 수 있음.</v>
      </c>
      <c r="G27" s="4"/>
      <c r="H27" s="4"/>
      <c r="I27" s="4"/>
      <c r="J27" s="4"/>
      <c r="K27" s="4"/>
      <c r="L27" s="4"/>
      <c r="M27" s="4"/>
      <c r="N27" s="4"/>
      <c r="O27" s="4"/>
      <c r="P27" s="4"/>
      <c r="Q27" s="4"/>
      <c r="R27" s="4"/>
      <c r="S27" s="4"/>
      <c r="T27" s="4"/>
      <c r="U27" s="4"/>
      <c r="V27" s="4"/>
      <c r="W27" s="4"/>
      <c r="X27" s="4"/>
      <c r="Y27" s="4"/>
      <c r="Z27" s="4"/>
    </row>
    <row r="28">
      <c r="A28" s="9" t="s">
        <v>102</v>
      </c>
      <c r="B28" s="10" t="str">
        <f>'3조'!B$18</f>
        <v>+</v>
      </c>
      <c r="C28" s="13" t="str">
        <f>'3조'!C$18</f>
        <v>Repository는 여러 data client가 동일한 중앙 data store와 공통 데이터 모델을 통해 연결된다. 새 client도 data access/procedure call 규약만 맞추면 기존 client와 직접 연결 없이 통합할 수 있다.</v>
      </c>
      <c r="D28" s="10" t="str">
        <f>'3조'!D$18</f>
        <v>+</v>
      </c>
      <c r="E28" s="13" t="str">
        <f>'3조'!E$18</f>
        <v>새 알고리즘을 KS로 추가해 Blackboard를 읽고 쓰게 하면, 기존 KS와 직접 연결하지 않고도 통합할 수 있다.</v>
      </c>
      <c r="G28" s="4"/>
      <c r="H28" s="4"/>
      <c r="I28" s="4"/>
      <c r="J28" s="4"/>
      <c r="K28" s="4"/>
      <c r="L28" s="4"/>
      <c r="M28" s="4"/>
      <c r="N28" s="4"/>
      <c r="O28" s="4"/>
      <c r="P28" s="4"/>
      <c r="Q28" s="4"/>
      <c r="R28" s="4"/>
      <c r="S28" s="4"/>
      <c r="T28" s="4"/>
      <c r="U28" s="4"/>
      <c r="V28" s="4"/>
      <c r="W28" s="4"/>
      <c r="X28" s="4"/>
      <c r="Y28" s="4"/>
      <c r="Z28" s="4"/>
    </row>
    <row r="29">
      <c r="A29" s="9" t="s">
        <v>105</v>
      </c>
      <c r="B29" s="10" t="str">
        <f>'4조'!B$18</f>
        <v>++</v>
      </c>
      <c r="C29" s="13" t="str">
        <f>'4조'!C$18</f>
        <v>여러 컴포넌트가 동일한 저장소를 통해 데이터를 공유하므로 시스템 간 데이터 통합이 매우 쉽다. 공통 데이터 모델만 맞으면 새로운 컴포넌트도 데이터를 쉽게 활용할 수 있다.</v>
      </c>
      <c r="D29" s="10" t="str">
        <f>'4조'!D$18</f>
        <v>++</v>
      </c>
      <c r="E29" s="13" t="str">
        <f>'4조'!E$18</f>
        <v>새 지식원은 블랙보드 상태에 반응하는 방식으로 통합되며, 다른 지식원에 대한 직접 의존이나 지식이 필요 없다.</v>
      </c>
      <c r="G29" s="4"/>
      <c r="H29" s="4"/>
      <c r="I29" s="4"/>
      <c r="J29" s="4"/>
      <c r="K29" s="4"/>
      <c r="L29" s="4"/>
      <c r="M29" s="4"/>
      <c r="N29" s="4"/>
      <c r="O29" s="4"/>
      <c r="P29" s="4"/>
      <c r="Q29" s="4"/>
      <c r="R29" s="4"/>
      <c r="S29" s="4"/>
      <c r="T29" s="4"/>
      <c r="U29" s="4"/>
      <c r="V29" s="4"/>
      <c r="W29" s="4"/>
      <c r="X29" s="4"/>
      <c r="Y29" s="4"/>
      <c r="Z29" s="4"/>
    </row>
    <row r="30">
      <c r="A30" s="9" t="s">
        <v>108</v>
      </c>
      <c r="B30" s="10" t="str">
        <f>'5조'!B$18</f>
        <v>+</v>
      </c>
      <c r="C30" s="13" t="str">
        <f>'5조'!C$18</f>
        <v>공통 스키마를 따르는 Client를 저장소에 연결하여 통합 가능</v>
      </c>
      <c r="D30" s="10" t="str">
        <f>'5조'!D$18</f>
        <v>+</v>
      </c>
      <c r="E30" s="13" t="str">
        <f>'5조'!E$18</f>
        <v>각각의 KS들이 중앙 블랙보드의 데이터만 바라보므로 중앙 블랙보드 형식만 맞추면 되어 통합하기 쉽다.</v>
      </c>
      <c r="G30" s="4"/>
      <c r="H30" s="4"/>
      <c r="I30" s="4"/>
      <c r="J30" s="4"/>
      <c r="K30" s="4"/>
      <c r="L30" s="4"/>
      <c r="M30" s="4"/>
      <c r="N30" s="4"/>
      <c r="O30" s="4"/>
      <c r="P30" s="4"/>
      <c r="Q30" s="4"/>
      <c r="R30" s="4"/>
      <c r="S30" s="4"/>
      <c r="T30" s="4"/>
      <c r="U30" s="4"/>
      <c r="V30" s="4"/>
      <c r="W30" s="4"/>
      <c r="X30" s="4"/>
      <c r="Y30" s="4"/>
      <c r="Z30" s="4"/>
    </row>
    <row r="31">
      <c r="A31" s="9" t="s">
        <v>113</v>
      </c>
      <c r="B31" s="10" t="str">
        <f>'6조'!B$18</f>
        <v>+</v>
      </c>
      <c r="C31" s="13" t="str">
        <f>'6조'!C$18</f>
        <v>repository의 있는 그대로를 사용하는 client가 추가되는 것이 쉽기 때문에
통합 용이성은 좋다.</v>
      </c>
      <c r="D31" s="10" t="str">
        <f>'6조'!D$18</f>
        <v>+</v>
      </c>
      <c r="E31" s="13" t="str">
        <f>'6조'!E$18</f>
        <v>외부 컴포넌트도 또다른 Knowledge Source로 추가하기 용이</v>
      </c>
      <c r="G31" s="4"/>
      <c r="H31" s="4"/>
      <c r="I31" s="4"/>
      <c r="J31" s="4"/>
      <c r="K31" s="4"/>
      <c r="L31" s="4"/>
      <c r="M31" s="4"/>
      <c r="N31" s="4"/>
      <c r="O31" s="4"/>
      <c r="P31" s="4"/>
      <c r="Q31" s="4"/>
      <c r="R31" s="4"/>
      <c r="S31" s="4"/>
      <c r="T31" s="4"/>
      <c r="U31" s="4"/>
      <c r="V31" s="4"/>
      <c r="W31" s="4"/>
      <c r="X31" s="4"/>
      <c r="Y31" s="4"/>
      <c r="Z31" s="4"/>
    </row>
    <row r="32">
      <c r="A32" s="9" t="s">
        <v>116</v>
      </c>
      <c r="B32" s="10" t="str">
        <f>'7조'!B$18</f>
        <v/>
      </c>
      <c r="C32" s="13" t="str">
        <f>'7조'!C$18</f>
        <v>7조 - Shared Respository - Integrability</v>
      </c>
      <c r="D32" s="10" t="str">
        <f>'7조'!D$18</f>
        <v/>
      </c>
      <c r="E32" s="13" t="str">
        <f>'7조'!E$18</f>
        <v>7조 - Blackboard - Integrability</v>
      </c>
      <c r="F32" s="4"/>
      <c r="G32" s="4"/>
      <c r="H32" s="4"/>
      <c r="I32" s="4"/>
      <c r="J32" s="4"/>
      <c r="K32" s="4"/>
      <c r="L32" s="4"/>
      <c r="M32" s="4"/>
      <c r="N32" s="4"/>
      <c r="O32" s="4"/>
      <c r="P32" s="4"/>
      <c r="Q32" s="4"/>
      <c r="R32" s="4"/>
      <c r="S32" s="4"/>
      <c r="T32" s="4"/>
      <c r="U32" s="4"/>
      <c r="V32" s="4"/>
      <c r="W32" s="4"/>
      <c r="X32" s="4"/>
      <c r="Y32" s="4"/>
      <c r="Z32" s="4"/>
    </row>
    <row r="33">
      <c r="A33" s="9" t="s">
        <v>120</v>
      </c>
      <c r="B33" s="10" t="str">
        <f>'8조'!B$18</f>
        <v/>
      </c>
      <c r="C33" s="13" t="str">
        <f>'8조'!C$18</f>
        <v>8조 - Shared Respository - Integrability</v>
      </c>
      <c r="D33" s="10" t="str">
        <f>'8조'!D$18</f>
        <v/>
      </c>
      <c r="E33" s="13" t="str">
        <f>'8조'!E$18</f>
        <v>8조 - Blackboard - Integrability</v>
      </c>
      <c r="F33" s="4"/>
      <c r="G33" s="4"/>
      <c r="H33" s="4"/>
      <c r="I33" s="4"/>
      <c r="J33" s="4"/>
      <c r="K33" s="4"/>
      <c r="L33" s="4"/>
      <c r="M33" s="4"/>
      <c r="N33" s="4"/>
      <c r="O33" s="4"/>
      <c r="P33" s="4"/>
      <c r="Q33" s="4"/>
      <c r="R33" s="4"/>
      <c r="S33" s="4"/>
      <c r="T33" s="4"/>
      <c r="U33" s="4"/>
      <c r="V33" s="4"/>
      <c r="W33" s="4"/>
      <c r="X33" s="4"/>
      <c r="Y33" s="4"/>
      <c r="Z33" s="4"/>
    </row>
    <row r="34">
      <c r="A34" s="9" t="s">
        <v>126</v>
      </c>
      <c r="B34" s="10" t="str">
        <f>'9조'!B$18</f>
        <v/>
      </c>
      <c r="C34" s="13" t="str">
        <f>'9조'!C$18</f>
        <v>9조 - Shared Respository - Integrability</v>
      </c>
      <c r="D34" s="10" t="str">
        <f>'9조'!D$18</f>
        <v/>
      </c>
      <c r="E34" s="13" t="str">
        <f>'9조'!E$18</f>
        <v>9조 - Blackboard - Integrability</v>
      </c>
      <c r="F34" s="4"/>
      <c r="G34" s="4"/>
      <c r="H34" s="4"/>
      <c r="I34" s="4"/>
      <c r="J34" s="4"/>
      <c r="K34" s="4"/>
      <c r="L34" s="4"/>
      <c r="M34" s="4"/>
      <c r="N34" s="4"/>
      <c r="O34" s="4"/>
      <c r="P34" s="4"/>
      <c r="Q34" s="4"/>
      <c r="R34" s="4"/>
      <c r="S34" s="4"/>
      <c r="T34" s="4"/>
      <c r="U34" s="4"/>
      <c r="V34" s="4"/>
      <c r="W34" s="4"/>
      <c r="X34" s="4"/>
      <c r="Y34" s="4"/>
      <c r="Z34" s="4"/>
    </row>
    <row r="35">
      <c r="A35" s="11"/>
      <c r="B35" s="14"/>
      <c r="C35" s="11"/>
      <c r="D35" s="14"/>
      <c r="E35" s="11"/>
      <c r="F35" s="4"/>
      <c r="G35" s="4"/>
      <c r="H35" s="4"/>
      <c r="I35" s="4"/>
      <c r="J35" s="4"/>
      <c r="K35" s="4"/>
      <c r="L35" s="4"/>
      <c r="M35" s="4"/>
      <c r="N35" s="4"/>
      <c r="O35" s="4"/>
      <c r="P35" s="4"/>
      <c r="Q35" s="4"/>
      <c r="R35" s="4"/>
      <c r="S35" s="4"/>
      <c r="T35" s="4"/>
      <c r="U35" s="4"/>
      <c r="V35" s="4"/>
      <c r="W35" s="4"/>
      <c r="X35" s="4"/>
      <c r="Y35" s="4"/>
      <c r="Z35" s="4"/>
    </row>
    <row r="36">
      <c r="A36" s="7" t="s">
        <v>117</v>
      </c>
      <c r="B36" s="7" t="str">
        <f>'Detailed Reasoning'!B$19</f>
        <v/>
      </c>
      <c r="C36" s="7" t="str">
        <f>'Detailed Reasoning'!C$19</f>
        <v/>
      </c>
      <c r="D36" s="7" t="str">
        <f>'Detailed Reasoning'!D$19</f>
        <v/>
      </c>
      <c r="E36" s="7" t="str">
        <f>'Detailed Reasoning'!E$19</f>
        <v/>
      </c>
      <c r="F36" s="4"/>
      <c r="G36" s="4"/>
      <c r="H36" s="4"/>
      <c r="I36" s="4"/>
      <c r="J36" s="4"/>
      <c r="K36" s="4"/>
      <c r="L36" s="4"/>
      <c r="M36" s="4"/>
      <c r="N36" s="4"/>
      <c r="O36" s="4"/>
      <c r="P36" s="4"/>
      <c r="Q36" s="4"/>
      <c r="R36" s="4"/>
      <c r="S36" s="4"/>
      <c r="T36" s="4"/>
      <c r="U36" s="4"/>
      <c r="V36" s="4"/>
      <c r="W36" s="4"/>
      <c r="X36" s="4"/>
      <c r="Y36" s="4"/>
      <c r="Z36" s="4"/>
    </row>
    <row r="37">
      <c r="A37" s="11" t="s">
        <v>134</v>
      </c>
      <c r="B37" s="10" t="str">
        <f>'1조'!B$19</f>
        <v>0</v>
      </c>
      <c r="C37" s="11" t="str">
        <f>'1조'!C19</f>
        <v>[+] 중간 데이터 교환 감소 — 해석: 클라이언트끼리 임시 데이터를 반복해서 전달하는 비용이 줄어들면, 그 전달에 필요한 연산·통신의 에너지 비용도 줄일 수 있다.
[-] 실행 단위 유지 비용: 클라이언트와 저장소를 별도 프로세스 등으로 실행하면 각 실행 단위의 기본 자원과 저장소 접근 통신에 비용이 발생한다.</v>
      </c>
      <c r="D37" s="10" t="str">
        <f>'1조'!D$19</f>
        <v>0</v>
      </c>
      <c r="E37" s="11" t="str">
        <f>'1조'!E19</f>
        <v>[0]병렬적인 Knowledge Source 동작으로 효율을 얻을 수 있으나 Controller의 중재 오버헤드가 존재한다.</v>
      </c>
      <c r="F37" s="12" t="s">
        <v>137</v>
      </c>
      <c r="G37" s="4"/>
      <c r="H37" s="4"/>
      <c r="I37" s="4"/>
      <c r="J37" s="4"/>
      <c r="K37" s="4"/>
      <c r="L37" s="4"/>
      <c r="M37" s="4"/>
      <c r="N37" s="4"/>
      <c r="O37" s="4"/>
      <c r="P37" s="4"/>
      <c r="Q37" s="4"/>
      <c r="R37" s="4"/>
      <c r="S37" s="4"/>
      <c r="T37" s="4"/>
      <c r="U37" s="4"/>
      <c r="V37" s="4"/>
      <c r="W37" s="4"/>
      <c r="X37" s="4"/>
      <c r="Y37" s="4"/>
      <c r="Z37" s="4"/>
    </row>
    <row r="38">
      <c r="A38" s="11" t="s">
        <v>138</v>
      </c>
      <c r="B38" s="10" t="str">
        <f>'2조'!B$19</f>
        <v>+</v>
      </c>
      <c r="C38" s="13" t="str">
        <f>'2조'!C$19</f>
        <v>client 사이에 임시 데이터를 주고받는 overhead 가 줄어 중복 전송·중복 저장이 적다</v>
      </c>
      <c r="D38" s="10" t="str">
        <f>'2조'!D$19</f>
        <v>-</v>
      </c>
      <c r="E38" s="13" t="str">
        <f>'2조'!E$19</f>
        <v>가설이 수렴할 때까지 다수의 KS가 활성화되어 연산을 반복하고, Controller가 Blackboard를 상시 감시·평가(Loop)하므로 CPU 및 메모리 연산 자원 소모가 매우 큼.</v>
      </c>
      <c r="G38" s="4"/>
      <c r="H38" s="4"/>
      <c r="I38" s="4"/>
      <c r="J38" s="4"/>
      <c r="K38" s="4"/>
      <c r="L38" s="4"/>
      <c r="M38" s="4"/>
      <c r="N38" s="4"/>
      <c r="O38" s="4"/>
      <c r="P38" s="4"/>
      <c r="Q38" s="4"/>
      <c r="R38" s="4"/>
      <c r="S38" s="4"/>
      <c r="T38" s="4"/>
      <c r="U38" s="4"/>
      <c r="V38" s="4"/>
      <c r="W38" s="4"/>
      <c r="X38" s="4"/>
      <c r="Y38" s="4"/>
      <c r="Z38" s="4"/>
    </row>
    <row r="39">
      <c r="A39" s="11" t="s">
        <v>141</v>
      </c>
      <c r="B39" s="10" t="str">
        <f>'3조'!B$19</f>
        <v>+</v>
      </c>
      <c r="C39" s="13" t="str">
        <f>'3조'!C$19</f>
        <v>데이터가 중앙에 한 번만 저장되어 중복 복제 및 동기화 통신 비용이 발생하지 않으므로 자원 소비 효율이 우수합니다.</v>
      </c>
      <c r="D39" s="10" t="str">
        <f>'3조'!D$19</f>
        <v>-</v>
      </c>
      <c r="E39" s="13" t="str">
        <f>'3조'!E$19</f>
        <v>상태 감시 loop, 반복 추론, 여러 가설 탐색이 계속 필요해 CPU·메모리 사용이 크게 늘 수 있다.</v>
      </c>
      <c r="G39" s="4"/>
      <c r="H39" s="4"/>
      <c r="I39" s="4"/>
      <c r="J39" s="4"/>
      <c r="K39" s="4"/>
      <c r="L39" s="4"/>
      <c r="M39" s="4"/>
      <c r="N39" s="4"/>
      <c r="O39" s="4"/>
      <c r="P39" s="4"/>
      <c r="Q39" s="4"/>
      <c r="R39" s="4"/>
      <c r="S39" s="4"/>
      <c r="T39" s="4"/>
      <c r="U39" s="4"/>
      <c r="V39" s="4"/>
      <c r="W39" s="4"/>
      <c r="X39" s="4"/>
      <c r="Y39" s="4"/>
      <c r="Z39" s="4"/>
    </row>
    <row r="40">
      <c r="A40" s="11" t="s">
        <v>144</v>
      </c>
      <c r="B40" s="10" t="str">
        <f>'4조'!B$19</f>
        <v>0</v>
      </c>
      <c r="C40" s="13" t="str">
        <f>'4조'!C$19</f>
        <v>데이터를 한곳에 집중시켜 중복 저장을 줄일 수 있지만, 모든 컴포넌트의 읽기·쓰기가 중앙 저장소에 집중되므로 DB 처리 비용도 커질 수 있다.</v>
      </c>
      <c r="D40" s="10" t="str">
        <f>'4조'!D$19</f>
        <v>--</v>
      </c>
      <c r="E40" s="13" t="str">
        <f>'4조'!E$19</f>
        <v>기회주의적 활성화 방식이라 많은 지식원이 블랙보드를 계속 살피며 중복 연산을 수행하고, 그 결과 상당수가 버려진다.</v>
      </c>
      <c r="G40" s="4"/>
      <c r="H40" s="4"/>
      <c r="I40" s="4"/>
      <c r="J40" s="4"/>
      <c r="K40" s="4"/>
      <c r="L40" s="4"/>
      <c r="M40" s="4"/>
      <c r="N40" s="4"/>
      <c r="O40" s="4"/>
      <c r="P40" s="4"/>
      <c r="Q40" s="4"/>
      <c r="R40" s="4"/>
      <c r="S40" s="4"/>
      <c r="T40" s="4"/>
      <c r="U40" s="4"/>
      <c r="V40" s="4"/>
      <c r="W40" s="4"/>
      <c r="X40" s="4"/>
      <c r="Y40" s="4"/>
      <c r="Z40" s="4"/>
    </row>
    <row r="41">
      <c r="A41" s="11" t="s">
        <v>147</v>
      </c>
      <c r="B41" s="10" t="str">
        <f>'5조'!B$19</f>
        <v>+</v>
      </c>
      <c r="C41" s="13" t="str">
        <f>'5조'!C$19</f>
        <v>중복 데이터 복제와 여러 저장소 운영을 줄여 자원 사용을 집중</v>
      </c>
      <c r="D41" s="10" t="str">
        <f>'5조'!D$19</f>
        <v>-</v>
      </c>
      <c r="E41" s="13" t="str">
        <f>'5조'!E$19</f>
        <v>컨트롤러가 지속적으로 블랙보드를 모니터링하고 KS를 제어하므로 오버헤드가 크다.</v>
      </c>
      <c r="G41" s="4"/>
      <c r="H41" s="4"/>
      <c r="I41" s="4"/>
      <c r="J41" s="4"/>
      <c r="K41" s="4"/>
      <c r="L41" s="4"/>
      <c r="M41" s="4"/>
      <c r="N41" s="4"/>
      <c r="O41" s="4"/>
      <c r="P41" s="4"/>
      <c r="Q41" s="4"/>
      <c r="R41" s="4"/>
      <c r="S41" s="4"/>
      <c r="T41" s="4"/>
      <c r="U41" s="4"/>
      <c r="V41" s="4"/>
      <c r="W41" s="4"/>
      <c r="X41" s="4"/>
      <c r="Y41" s="4"/>
      <c r="Z41" s="4"/>
    </row>
    <row r="42">
      <c r="A42" s="11" t="s">
        <v>152</v>
      </c>
      <c r="B42" s="10" t="str">
        <f>'6조'!B$19</f>
        <v>+</v>
      </c>
      <c r="C42" s="13" t="str">
        <f>'6조'!C$19</f>
        <v>repository 하나를 공유하며 각 client가 독립적이기 때문에
낭비가 적어 에너지 효율성은 좋을 것 같다.</v>
      </c>
      <c r="D42" s="10" t="str">
        <f>'6조'!D$19</f>
        <v>-</v>
      </c>
      <c r="E42" s="13" t="str">
        <f>'6조'!E$19</f>
        <v>Orchestrator(Controller)의 모니터링 오버헤드로 인한 자원 소모</v>
      </c>
      <c r="G42" s="4"/>
      <c r="H42" s="4"/>
      <c r="I42" s="4"/>
      <c r="J42" s="4"/>
      <c r="K42" s="4"/>
      <c r="L42" s="4"/>
      <c r="M42" s="4"/>
      <c r="N42" s="4"/>
      <c r="O42" s="4"/>
      <c r="P42" s="4"/>
      <c r="Q42" s="4"/>
      <c r="R42" s="4"/>
      <c r="S42" s="4"/>
      <c r="T42" s="4"/>
      <c r="U42" s="4"/>
      <c r="V42" s="4"/>
      <c r="W42" s="4"/>
      <c r="X42" s="4"/>
      <c r="Y42" s="4"/>
      <c r="Z42" s="4"/>
    </row>
    <row r="43">
      <c r="A43" s="11" t="s">
        <v>155</v>
      </c>
      <c r="B43" s="10" t="str">
        <f>'7조'!B$19</f>
        <v/>
      </c>
      <c r="C43" s="13" t="str">
        <f>'7조'!C$19</f>
        <v>7조 - Shared Respository - Energy Efficiency</v>
      </c>
      <c r="D43" s="10" t="str">
        <f>'7조'!D$19</f>
        <v/>
      </c>
      <c r="E43" s="13" t="str">
        <f>'7조'!E$19</f>
        <v>7조 - Blackboard - Energy Efficiency</v>
      </c>
      <c r="F43" s="4"/>
      <c r="G43" s="4"/>
      <c r="H43" s="4"/>
      <c r="I43" s="4"/>
      <c r="J43" s="4"/>
      <c r="K43" s="4"/>
      <c r="L43" s="4"/>
      <c r="M43" s="4"/>
      <c r="N43" s="4"/>
      <c r="O43" s="4"/>
      <c r="P43" s="4"/>
      <c r="Q43" s="4"/>
      <c r="R43" s="4"/>
      <c r="S43" s="4"/>
      <c r="T43" s="4"/>
      <c r="U43" s="4"/>
      <c r="V43" s="4"/>
      <c r="W43" s="4"/>
      <c r="X43" s="4"/>
      <c r="Y43" s="4"/>
      <c r="Z43" s="4"/>
    </row>
    <row r="44">
      <c r="A44" s="11" t="s">
        <v>160</v>
      </c>
      <c r="B44" s="10" t="str">
        <f>'8조'!B$19</f>
        <v/>
      </c>
      <c r="C44" s="13" t="str">
        <f>'8조'!C$19</f>
        <v>8조 - Shared Respository - Energy Efficiency</v>
      </c>
      <c r="D44" s="10" t="str">
        <f>'8조'!D$19</f>
        <v/>
      </c>
      <c r="E44" s="13" t="str">
        <f>'8조'!E$19</f>
        <v>8조 - Blackboard - Energy Efficiency</v>
      </c>
      <c r="F44" s="4"/>
      <c r="G44" s="4"/>
      <c r="H44" s="4"/>
      <c r="I44" s="4"/>
      <c r="J44" s="4"/>
      <c r="K44" s="4"/>
      <c r="L44" s="4"/>
      <c r="M44" s="4"/>
      <c r="N44" s="4"/>
      <c r="O44" s="4"/>
      <c r="P44" s="4"/>
      <c r="Q44" s="4"/>
      <c r="R44" s="4"/>
      <c r="S44" s="4"/>
      <c r="T44" s="4"/>
      <c r="U44" s="4"/>
      <c r="V44" s="4"/>
      <c r="W44" s="4"/>
      <c r="X44" s="4"/>
      <c r="Y44" s="4"/>
      <c r="Z44" s="4"/>
    </row>
    <row r="45">
      <c r="A45" s="11" t="s">
        <v>163</v>
      </c>
      <c r="B45" s="10" t="str">
        <f>'9조'!B$19</f>
        <v/>
      </c>
      <c r="C45" s="13" t="str">
        <f>'9조'!C$19</f>
        <v>9조 - Shared Respository - Energy Efficiency</v>
      </c>
      <c r="D45" s="10" t="str">
        <f>'9조'!D$19</f>
        <v/>
      </c>
      <c r="E45" s="13" t="str">
        <f>'9조'!E$19</f>
        <v>9조 - Blackboard - Energy Efficiency</v>
      </c>
      <c r="F45" s="4"/>
      <c r="G45" s="4"/>
      <c r="H45" s="4"/>
      <c r="I45" s="4"/>
      <c r="J45" s="4"/>
      <c r="K45" s="4"/>
      <c r="L45" s="4"/>
      <c r="M45" s="4"/>
      <c r="N45" s="4"/>
      <c r="O45" s="4"/>
      <c r="P45" s="4"/>
      <c r="Q45" s="4"/>
      <c r="R45" s="4"/>
      <c r="S45" s="4"/>
      <c r="T45" s="4"/>
      <c r="U45" s="4"/>
      <c r="V45" s="4"/>
      <c r="W45" s="4"/>
      <c r="X45" s="4"/>
      <c r="Y45" s="4"/>
      <c r="Z45" s="4"/>
    </row>
    <row r="46">
      <c r="A46" s="11"/>
      <c r="B46" s="14"/>
      <c r="C46" s="11"/>
      <c r="D46" s="14"/>
      <c r="E46" s="11"/>
      <c r="F46" s="4"/>
      <c r="G46" s="4"/>
      <c r="H46" s="4"/>
      <c r="I46" s="4"/>
      <c r="J46" s="4"/>
      <c r="K46" s="4"/>
      <c r="L46" s="4"/>
      <c r="M46" s="4"/>
      <c r="N46" s="4"/>
      <c r="O46" s="4"/>
      <c r="P46" s="4"/>
      <c r="Q46" s="4"/>
      <c r="R46" s="4"/>
      <c r="S46" s="4"/>
      <c r="T46" s="4"/>
      <c r="U46" s="4"/>
      <c r="V46" s="4"/>
      <c r="W46" s="4"/>
      <c r="X46" s="4"/>
      <c r="Y46" s="4"/>
      <c r="Z46" s="4"/>
    </row>
    <row r="47">
      <c r="A47" s="7" t="s">
        <v>151</v>
      </c>
      <c r="B47" s="7" t="str">
        <f>'Detailed Reasoning'!B$20</f>
        <v/>
      </c>
      <c r="C47" s="7" t="str">
        <f>'Detailed Reasoning'!C$20</f>
        <v/>
      </c>
      <c r="D47" s="7" t="str">
        <f>'Detailed Reasoning'!D$20</f>
        <v/>
      </c>
      <c r="E47" s="7" t="str">
        <f>'Detailed Reasoning'!E$20</f>
        <v/>
      </c>
      <c r="F47" s="4"/>
      <c r="G47" s="4"/>
      <c r="H47" s="4"/>
      <c r="I47" s="4"/>
      <c r="J47" s="4"/>
      <c r="K47" s="4"/>
      <c r="L47" s="4"/>
      <c r="M47" s="4"/>
      <c r="N47" s="4"/>
      <c r="O47" s="4"/>
      <c r="P47" s="4"/>
      <c r="Q47" s="4"/>
      <c r="R47" s="4"/>
      <c r="S47" s="4"/>
      <c r="T47" s="4"/>
      <c r="U47" s="4"/>
      <c r="V47" s="4"/>
      <c r="W47" s="4"/>
      <c r="X47" s="4"/>
      <c r="Y47" s="4"/>
      <c r="Z47" s="4"/>
    </row>
    <row r="48">
      <c r="A48" s="9" t="s">
        <v>171</v>
      </c>
      <c r="B48" s="10" t="str">
        <f>'1조'!B$20</f>
        <v>0</v>
      </c>
      <c r="C48" s="11" t="str">
        <f>'1조'!C20</f>
        <v>[++] 클라이언트 간 직접 의존 감소: 공유 데이터 계약이 유지되는 내부 기능 변경은 해당 클라이언트에 국소화할 수 있어 다른 클라이언트의 수정을 줄일 수 있다.
[+] 구성요소 추가: 기존 클라이언트의 내부 구현을 수정하지 않고 새로운 데이터 처리 클라이언트를 추가하기 쉽다.
[--] 공통 자료구조 변경: 저장소의 자료구조나 데이터 의미가 바뀌면 이에 의존하는 여러 클라이언트에 변경이 전파된다. 이 평가의 +는 공통 계약을 유지하는 클라이언트 기능 변경을 중심으로 한 판단이다.</v>
      </c>
      <c r="D48" s="10" t="str">
        <f>'1조'!D$20</f>
        <v>0</v>
      </c>
      <c r="E48" s="11" t="str">
        <f>'1조'!E20</f>
        <v>[-] 데이터 구조의 변경 전파: Blackboard의 자료구조나 가설 표현 방식이 바뀌면 이를 사용하는 여러 KS를 함께 수정해야 한다.
[+] 데이터·실행 계약이 유지되면 특정 KS의 내부 알고리즘을 독립적으로 변경하기 쉽다.</v>
      </c>
      <c r="F48" s="15" t="s">
        <v>173</v>
      </c>
      <c r="G48" s="4"/>
      <c r="H48" s="4"/>
      <c r="I48" s="4"/>
      <c r="J48" s="4"/>
      <c r="K48" s="4"/>
      <c r="L48" s="4"/>
      <c r="M48" s="4"/>
      <c r="N48" s="4"/>
      <c r="O48" s="4"/>
      <c r="P48" s="4"/>
      <c r="Q48" s="4"/>
      <c r="R48" s="4"/>
      <c r="S48" s="4"/>
      <c r="T48" s="4"/>
      <c r="U48" s="4"/>
      <c r="V48" s="4"/>
      <c r="W48" s="4"/>
      <c r="X48" s="4"/>
      <c r="Y48" s="4"/>
      <c r="Z48" s="4"/>
    </row>
    <row r="49">
      <c r="A49" s="9" t="s">
        <v>177</v>
      </c>
      <c r="B49" s="10" t="str">
        <f>'2조'!B$20</f>
        <v>0</v>
      </c>
      <c r="C49" s="13" t="str">
        <f>'2조'!C$20</f>
        <v>특정 client 의 기능을 바꾸기는 쉽지만, data store 의 자료구조를 바꾸면 의존하는 모든 client 가 영향을 받는다</v>
      </c>
      <c r="D49" s="10" t="str">
        <f>'2조'!D$20</f>
        <v>+</v>
      </c>
      <c r="E49" s="13" t="str">
        <f>'2조'!E$20</f>
        <v>Knowledge Source가 서로 독립적이어서 개별 알고리즘의 추가·교체가 쉽다. 공통 데이터 구조나 Controller의 선택 정책 변경은 다른 구성 요소에도 영향을 준다. [설계 PDF p.62–67]</v>
      </c>
      <c r="G49" s="4"/>
      <c r="H49" s="4"/>
      <c r="I49" s="4"/>
      <c r="J49" s="4"/>
      <c r="K49" s="4"/>
      <c r="L49" s="4"/>
      <c r="M49" s="4"/>
      <c r="N49" s="4"/>
      <c r="O49" s="4"/>
      <c r="P49" s="4"/>
      <c r="Q49" s="4"/>
      <c r="R49" s="4"/>
      <c r="S49" s="4"/>
      <c r="T49" s="4"/>
      <c r="U49" s="4"/>
      <c r="V49" s="4"/>
      <c r="W49" s="4"/>
      <c r="X49" s="4"/>
      <c r="Y49" s="4"/>
      <c r="Z49" s="4"/>
    </row>
    <row r="50">
      <c r="A50" s="9" t="s">
        <v>180</v>
      </c>
      <c r="B50" s="10" t="str">
        <f>'3조'!B$20</f>
        <v>0</v>
      </c>
      <c r="C50" s="13" t="str">
        <f>'3조'!C$20</f>
        <v>client 기능 변경에는 유리하지만, data store 구조 변경은 어렵다</v>
      </c>
      <c r="D50" s="10" t="str">
        <f>'3조'!D$20</f>
        <v>+</v>
      </c>
      <c r="E50" s="13" t="str">
        <f>'3조'!E$20</f>
        <v>KS들이 독립적으로 동작하므로 특정 KS의 알고리즘 변경·교체가 다른 KS에 미치는 영향이 작다.</v>
      </c>
      <c r="G50" s="4"/>
      <c r="H50" s="4"/>
      <c r="I50" s="4"/>
      <c r="J50" s="4"/>
      <c r="K50" s="4"/>
      <c r="L50" s="4"/>
      <c r="M50" s="4"/>
      <c r="N50" s="4"/>
      <c r="O50" s="4"/>
      <c r="P50" s="4"/>
      <c r="Q50" s="4"/>
      <c r="R50" s="4"/>
      <c r="S50" s="4"/>
      <c r="T50" s="4"/>
      <c r="U50" s="4"/>
      <c r="V50" s="4"/>
      <c r="W50" s="4"/>
      <c r="X50" s="4"/>
      <c r="Y50" s="4"/>
      <c r="Z50" s="4"/>
    </row>
    <row r="51">
      <c r="A51" s="9" t="s">
        <v>182</v>
      </c>
      <c r="B51" s="10" t="str">
        <f>'4조'!B$20</f>
        <v>0</v>
      </c>
      <c r="C51" s="13" t="str">
        <f>'4조'!C$20</f>
        <v>컴포넌트끼리 분리되어 각자 독립적으로 바뀔 수 있지만, Repository의 데이터 구조나 Schema를 변경하면 이를 사용하는 여러 컴포넌트에 연쇄적인 변경이 발생할 수 있다.</v>
      </c>
      <c r="D51" s="10" t="str">
        <f>'4조'!D$20</f>
        <v>++</v>
      </c>
      <c r="E51" s="13" t="str">
        <f>'4조'!E$20</f>
        <v>지식원들이 완전히 분리되어 있어 다른 지식원을 고치지 않고 추가·제거·교체할 수 있다.</v>
      </c>
      <c r="G51" s="4"/>
      <c r="H51" s="4"/>
      <c r="I51" s="4"/>
      <c r="J51" s="4"/>
      <c r="K51" s="4"/>
      <c r="L51" s="4"/>
      <c r="M51" s="4"/>
      <c r="N51" s="4"/>
      <c r="O51" s="4"/>
      <c r="P51" s="4"/>
      <c r="Q51" s="4"/>
      <c r="R51" s="4"/>
      <c r="S51" s="4"/>
      <c r="T51" s="4"/>
      <c r="U51" s="4"/>
      <c r="V51" s="4"/>
      <c r="W51" s="4"/>
      <c r="X51" s="4"/>
      <c r="Y51" s="4"/>
      <c r="Z51" s="4"/>
    </row>
    <row r="52">
      <c r="A52" s="9" t="s">
        <v>185</v>
      </c>
      <c r="B52" s="10" t="str">
        <f>'5조'!B$20</f>
        <v>0</v>
      </c>
      <c r="C52" s="13" t="str">
        <f>'5조'!C$20</f>
        <v>컴포넌트 추가에는 유리하지만, 공통 스키마 변경에는 불리하기에 0로 선택</v>
      </c>
      <c r="D52" s="10" t="str">
        <f>'5조'!D$20</f>
        <v>+</v>
      </c>
      <c r="E52" s="13" t="str">
        <f>'5조'!E$20</f>
        <v>각각의 KS들이 중앙 블랙보드의 데이터만 바라보므로 중앙 블랙보드 형식만 맞추면 되어 수정하기 쉽다.</v>
      </c>
      <c r="G52" s="4"/>
      <c r="H52" s="4"/>
      <c r="I52" s="4"/>
      <c r="J52" s="4"/>
      <c r="K52" s="4"/>
      <c r="L52" s="4"/>
      <c r="M52" s="4"/>
      <c r="N52" s="4"/>
      <c r="O52" s="4"/>
      <c r="P52" s="4"/>
      <c r="Q52" s="4"/>
      <c r="R52" s="4"/>
      <c r="S52" s="4"/>
      <c r="T52" s="4"/>
      <c r="U52" s="4"/>
      <c r="V52" s="4"/>
      <c r="W52" s="4"/>
      <c r="X52" s="4"/>
      <c r="Y52" s="4"/>
      <c r="Z52" s="4"/>
    </row>
    <row r="53">
      <c r="A53" s="9" t="s">
        <v>191</v>
      </c>
      <c r="B53" s="10" t="str">
        <f>'6조'!B$20</f>
        <v>-</v>
      </c>
      <c r="C53" s="13" t="str">
        <f>'6조'!C$20</f>
        <v>deployability와 마찬가지로 한 component의 변경이 시스템 전체에 영향을 미칠 수 있음</v>
      </c>
      <c r="D53" s="10" t="str">
        <f>'6조'!D$20</f>
        <v>+</v>
      </c>
      <c r="E53" s="13" t="str">
        <f>'6조'!E$20</f>
        <v>인터페이스만 맞추면 Knowledge source 추가/제거 용이</v>
      </c>
      <c r="G53" s="4"/>
      <c r="H53" s="4"/>
      <c r="I53" s="4"/>
      <c r="J53" s="4"/>
      <c r="K53" s="4"/>
      <c r="L53" s="4"/>
      <c r="M53" s="4"/>
      <c r="N53" s="4"/>
      <c r="O53" s="4"/>
      <c r="P53" s="4"/>
      <c r="Q53" s="4"/>
      <c r="R53" s="4"/>
      <c r="S53" s="4"/>
      <c r="T53" s="4"/>
      <c r="U53" s="4"/>
      <c r="V53" s="4"/>
      <c r="W53" s="4"/>
      <c r="X53" s="4"/>
      <c r="Y53" s="4"/>
      <c r="Z53" s="4"/>
    </row>
    <row r="54">
      <c r="A54" s="9" t="s">
        <v>195</v>
      </c>
      <c r="B54" s="10" t="str">
        <f>'7조'!B$20</f>
        <v/>
      </c>
      <c r="C54" s="13" t="str">
        <f>'7조'!C$20</f>
        <v>7조 - Shared Respository - Modifiability</v>
      </c>
      <c r="D54" s="10" t="str">
        <f>'7조'!D$20</f>
        <v/>
      </c>
      <c r="E54" s="13" t="str">
        <f>'7조'!E$20</f>
        <v>7조 - Blackboard - Modifiability</v>
      </c>
      <c r="F54" s="4"/>
      <c r="G54" s="4"/>
      <c r="H54" s="4"/>
      <c r="I54" s="4"/>
      <c r="J54" s="4"/>
      <c r="K54" s="4"/>
      <c r="L54" s="4"/>
      <c r="M54" s="4"/>
      <c r="N54" s="4"/>
      <c r="O54" s="4"/>
      <c r="P54" s="4"/>
      <c r="Q54" s="4"/>
      <c r="R54" s="4"/>
      <c r="S54" s="4"/>
      <c r="T54" s="4"/>
      <c r="U54" s="4"/>
      <c r="V54" s="4"/>
      <c r="W54" s="4"/>
      <c r="X54" s="4"/>
      <c r="Y54" s="4"/>
      <c r="Z54" s="4"/>
    </row>
    <row r="55">
      <c r="A55" s="9" t="s">
        <v>198</v>
      </c>
      <c r="B55" s="10" t="str">
        <f>'8조'!B$20</f>
        <v/>
      </c>
      <c r="C55" s="13" t="str">
        <f>'8조'!C$20</f>
        <v>8조 - Shared Respository - Modifiability</v>
      </c>
      <c r="D55" s="10" t="str">
        <f>'8조'!D$20</f>
        <v/>
      </c>
      <c r="E55" s="13" t="str">
        <f>'8조'!E$20</f>
        <v>8조 - Blackboard - Modifiability</v>
      </c>
      <c r="F55" s="4"/>
      <c r="G55" s="4"/>
      <c r="H55" s="4"/>
      <c r="I55" s="4"/>
      <c r="J55" s="4"/>
      <c r="K55" s="4"/>
      <c r="L55" s="4"/>
      <c r="M55" s="4"/>
      <c r="N55" s="4"/>
      <c r="O55" s="4"/>
      <c r="P55" s="4"/>
      <c r="Q55" s="4"/>
      <c r="R55" s="4"/>
      <c r="S55" s="4"/>
      <c r="T55" s="4"/>
      <c r="U55" s="4"/>
      <c r="V55" s="4"/>
      <c r="W55" s="4"/>
      <c r="X55" s="4"/>
      <c r="Y55" s="4"/>
      <c r="Z55" s="4"/>
    </row>
    <row r="56">
      <c r="A56" s="9" t="s">
        <v>203</v>
      </c>
      <c r="B56" s="10" t="str">
        <f>'9조'!B$20</f>
        <v/>
      </c>
      <c r="C56" s="13" t="str">
        <f>'9조'!C$20</f>
        <v>9조 - Shared Respository - Modifiability</v>
      </c>
      <c r="D56" s="10" t="str">
        <f>'9조'!D$20</f>
        <v/>
      </c>
      <c r="E56" s="13" t="str">
        <f>'9조'!E$20</f>
        <v>9조 - Blackboard - Modifiability</v>
      </c>
      <c r="F56" s="4"/>
      <c r="G56" s="4"/>
      <c r="H56" s="4"/>
      <c r="I56" s="4"/>
      <c r="J56" s="4"/>
      <c r="K56" s="4"/>
      <c r="L56" s="4"/>
      <c r="M56" s="4"/>
      <c r="N56" s="4"/>
      <c r="O56" s="4"/>
      <c r="P56" s="4"/>
      <c r="Q56" s="4"/>
      <c r="R56" s="4"/>
      <c r="S56" s="4"/>
      <c r="T56" s="4"/>
      <c r="U56" s="4"/>
      <c r="V56" s="4"/>
      <c r="W56" s="4"/>
      <c r="X56" s="4"/>
      <c r="Y56" s="4"/>
      <c r="Z56" s="4"/>
    </row>
    <row r="57">
      <c r="A57" s="11"/>
      <c r="B57" s="14"/>
      <c r="C57" s="11"/>
      <c r="D57" s="14"/>
      <c r="E57" s="11"/>
      <c r="F57" s="4"/>
      <c r="G57" s="4"/>
      <c r="H57" s="4"/>
      <c r="I57" s="4"/>
      <c r="J57" s="4"/>
      <c r="K57" s="4"/>
      <c r="L57" s="4"/>
      <c r="M57" s="4"/>
      <c r="N57" s="4"/>
      <c r="O57" s="4"/>
      <c r="P57" s="4"/>
      <c r="Q57" s="4"/>
      <c r="R57" s="4"/>
      <c r="S57" s="4"/>
      <c r="T57" s="4"/>
      <c r="U57" s="4"/>
      <c r="V57" s="4"/>
      <c r="W57" s="4"/>
      <c r="X57" s="4"/>
      <c r="Y57" s="4"/>
      <c r="Z57" s="4"/>
    </row>
    <row r="58">
      <c r="A58" s="7" t="s">
        <v>186</v>
      </c>
      <c r="B58" s="7" t="str">
        <f>'Detailed Reasoning'!B$21</f>
        <v/>
      </c>
      <c r="C58" s="7" t="str">
        <f>'Detailed Reasoning'!C$21</f>
        <v/>
      </c>
      <c r="D58" s="7" t="str">
        <f>'Detailed Reasoning'!D$21</f>
        <v/>
      </c>
      <c r="E58" s="7" t="str">
        <f>'Detailed Reasoning'!E$21</f>
        <v/>
      </c>
      <c r="F58" s="4"/>
      <c r="G58" s="4"/>
      <c r="H58" s="4"/>
      <c r="I58" s="4"/>
      <c r="J58" s="4"/>
      <c r="K58" s="4"/>
      <c r="L58" s="4"/>
      <c r="M58" s="4"/>
      <c r="N58" s="4"/>
      <c r="O58" s="4"/>
      <c r="P58" s="4"/>
      <c r="Q58" s="4"/>
      <c r="R58" s="4"/>
      <c r="S58" s="4"/>
      <c r="T58" s="4"/>
      <c r="U58" s="4"/>
      <c r="V58" s="4"/>
      <c r="W58" s="4"/>
      <c r="X58" s="4"/>
      <c r="Y58" s="4"/>
      <c r="Z58" s="4"/>
    </row>
    <row r="59">
      <c r="A59" s="9" t="s">
        <v>210</v>
      </c>
      <c r="B59" s="10" t="str">
        <f>'1조'!B$21</f>
        <v>-</v>
      </c>
      <c r="C59" s="11" t="str">
        <f>'1조'!C21</f>
        <v>[+] 동시 처리: 독립적인 클라이언트가 각자의 작업을 동시에 수행할 수 있어 처리량과 자원 활용에 유리하다.
[-] 중앙 저장소 병목: 여러 클라이언트의 접근이 같은 저장소에 집중되므로, 저장소 처리 능력이나 동시 접근 조정이 전체 성능의 한계가 될 수 있다.</v>
      </c>
      <c r="D59" s="10" t="str">
        <f>'1조'!D$21</f>
        <v>-</v>
      </c>
      <c r="E59" s="11" t="str">
        <f>'1조'!E21</f>
        <v>[-] 중앙 접근·조정 비용 — 해석: 여러 KS의 데이터 접근이 Blackboard에 집중되고 Controller가 실행을 조정하므로, 저장소 접근과 제어 작업이 성능을 제한할 수 있다.</v>
      </c>
      <c r="F59" s="12" t="s">
        <v>213</v>
      </c>
      <c r="G59" s="4"/>
      <c r="H59" s="4"/>
      <c r="I59" s="4"/>
      <c r="J59" s="4"/>
      <c r="K59" s="4"/>
      <c r="L59" s="4"/>
      <c r="M59" s="4"/>
      <c r="N59" s="4"/>
      <c r="O59" s="4"/>
      <c r="P59" s="4"/>
      <c r="Q59" s="4"/>
      <c r="R59" s="4"/>
      <c r="S59" s="4"/>
      <c r="T59" s="4"/>
      <c r="U59" s="4"/>
      <c r="V59" s="4"/>
      <c r="W59" s="4"/>
      <c r="X59" s="4"/>
      <c r="Y59" s="4"/>
      <c r="Z59" s="4"/>
    </row>
    <row r="60">
      <c r="A60" s="9" t="s">
        <v>215</v>
      </c>
      <c r="B60" s="10" t="str">
        <f>'2조'!B$21</f>
        <v>0</v>
      </c>
      <c r="C60" s="13" t="str">
        <f>'2조'!C$21</f>
        <v>중앙에서 한 번에 읽어 좋을 때도 있으나, 접근이 몰리면 저장소가 병목이 되고 분산 시 전송 비용이 든다</v>
      </c>
      <c r="D60" s="10" t="str">
        <f>'2조'!D$21</f>
        <v>0</v>
      </c>
      <c r="E60" s="13" t="str">
        <f>'2조'!E$21</f>
        <v>knowledge source 를 모두 병렬로 돌릴 수 있어 유리하지만, 언제 끝날지 정해지지 않아 응답 시간을 보장하기 어렵다</v>
      </c>
      <c r="G60" s="4"/>
      <c r="H60" s="4"/>
      <c r="I60" s="4"/>
      <c r="J60" s="4"/>
      <c r="K60" s="4"/>
      <c r="L60" s="4"/>
      <c r="M60" s="4"/>
      <c r="N60" s="4"/>
      <c r="O60" s="4"/>
      <c r="P60" s="4"/>
      <c r="Q60" s="4"/>
      <c r="R60" s="4"/>
      <c r="S60" s="4"/>
      <c r="T60" s="4"/>
      <c r="U60" s="4"/>
      <c r="V60" s="4"/>
      <c r="W60" s="4"/>
      <c r="X60" s="4"/>
      <c r="Y60" s="4"/>
      <c r="Z60" s="4"/>
    </row>
    <row r="61">
      <c r="A61" s="9" t="s">
        <v>218</v>
      </c>
      <c r="B61" s="10" t="str">
        <f>'3조'!B$21</f>
        <v>+</v>
      </c>
      <c r="C61" s="13" t="str">
        <f>'3조'!C$21</f>
        <v>중앙 저장소에 직접 접근하여 (단순한 접근 경로) 임시 데이터 전달 overhead가 적다</v>
      </c>
      <c r="D61" s="10" t="str">
        <f>'3조'!D$21</f>
        <v>+</v>
      </c>
      <c r="E61" s="13" t="str">
        <f>'3조'!E$21</f>
        <v>독립 KS를 병렬로 실행할 수 있어 추론 처리량을 높일 수 있다. 다만 Controller와 Blackboard 갱신 비용은 남는다.</v>
      </c>
      <c r="G61" s="4"/>
      <c r="H61" s="4"/>
      <c r="I61" s="4"/>
      <c r="J61" s="4"/>
      <c r="K61" s="4"/>
      <c r="L61" s="4"/>
      <c r="M61" s="4"/>
      <c r="N61" s="4"/>
      <c r="O61" s="4"/>
      <c r="P61" s="4"/>
      <c r="Q61" s="4"/>
      <c r="R61" s="4"/>
      <c r="S61" s="4"/>
      <c r="T61" s="4"/>
      <c r="U61" s="4"/>
      <c r="V61" s="4"/>
      <c r="W61" s="4"/>
      <c r="X61" s="4"/>
      <c r="Y61" s="4"/>
      <c r="Z61" s="4"/>
    </row>
    <row r="62">
      <c r="A62" s="9" t="s">
        <v>220</v>
      </c>
      <c r="B62" s="10" t="str">
        <f>'4조'!B$21</f>
        <v>-</v>
      </c>
      <c r="C62" s="13" t="str">
        <f>'4조'!C$21</f>
        <v>모든 컴포넌트가 중앙 저장소에 접근하기 때문에 요청이 많아지면 Repository가 병목이 될 수 있다. 네트워크·DB I/O 비용도 발생한다.</v>
      </c>
      <c r="D62" s="10" t="str">
        <f>'4조'!D$21</f>
        <v>-</v>
      </c>
      <c r="E62" s="13" t="str">
        <f>'4조'!E$21</f>
        <v>Blackboard에 대한 반복적인 읽기/쓰기와 여러 Knowledge Source의 추론 과정 때문에 오버헤드가 발생한다. 어떤 모듈을 실행할지 결정하는 Control 비용도 있다.</v>
      </c>
      <c r="G62" s="4"/>
      <c r="H62" s="4"/>
      <c r="I62" s="4"/>
      <c r="J62" s="4"/>
      <c r="K62" s="4"/>
      <c r="L62" s="4"/>
      <c r="M62" s="4"/>
      <c r="N62" s="4"/>
      <c r="O62" s="4"/>
      <c r="P62" s="4"/>
      <c r="Q62" s="4"/>
      <c r="R62" s="4"/>
      <c r="S62" s="4"/>
      <c r="T62" s="4"/>
      <c r="U62" s="4"/>
      <c r="V62" s="4"/>
      <c r="W62" s="4"/>
      <c r="X62" s="4"/>
      <c r="Y62" s="4"/>
      <c r="Z62" s="4"/>
    </row>
    <row r="63">
      <c r="A63" s="9" t="s">
        <v>225</v>
      </c>
      <c r="B63" s="10" t="str">
        <f>'5조'!B$21</f>
        <v>-</v>
      </c>
      <c r="C63" s="13" t="str">
        <f>'5조'!C$21</f>
        <v>공유 저장소에 동시 접근이 집중되면 병목 발생 가능</v>
      </c>
      <c r="D63" s="10" t="str">
        <f>'5조'!D$21</f>
        <v>-</v>
      </c>
      <c r="E63" s="13" t="str">
        <f>'5조'!E$21</f>
        <v>공유 상태 접근, 스케줄링 등 협업 오버헤드 때문에 단순 직접 호출보다 느리다.</v>
      </c>
      <c r="G63" s="4"/>
      <c r="H63" s="4"/>
      <c r="I63" s="4"/>
      <c r="J63" s="4"/>
      <c r="K63" s="4"/>
      <c r="L63" s="4"/>
      <c r="M63" s="4"/>
      <c r="N63" s="4"/>
      <c r="O63" s="4"/>
      <c r="P63" s="4"/>
      <c r="Q63" s="4"/>
      <c r="R63" s="4"/>
      <c r="S63" s="4"/>
      <c r="T63" s="4"/>
      <c r="U63" s="4"/>
      <c r="V63" s="4"/>
      <c r="W63" s="4"/>
      <c r="X63" s="4"/>
      <c r="Y63" s="4"/>
      <c r="Z63" s="4"/>
    </row>
    <row r="64">
      <c r="A64" s="9" t="s">
        <v>230</v>
      </c>
      <c r="B64" s="10" t="str">
        <f>'6조'!B$21</f>
        <v>+</v>
      </c>
      <c r="C64" s="13" t="str">
        <f>'6조'!C$21</f>
        <v>component간의 호출 없이 repo와만 소통하기 때문에 성능에서 장점을 취할 수 있다.
하지만 repo가 병목인 상황이라면 좋지 않을 수 있다</v>
      </c>
      <c r="D64" s="10" t="str">
        <f>'6조'!D$21</f>
        <v>--</v>
      </c>
      <c r="E64" s="13" t="str">
        <f>'6조'!E$21</f>
        <v>공유 자원 접근 경합 + 스케줄링 오버헤드로 병목 발생 가능</v>
      </c>
      <c r="G64" s="4"/>
      <c r="H64" s="4"/>
      <c r="I64" s="4"/>
      <c r="J64" s="4"/>
      <c r="K64" s="4"/>
      <c r="L64" s="4"/>
      <c r="M64" s="4"/>
      <c r="N64" s="4"/>
      <c r="O64" s="4"/>
      <c r="P64" s="4"/>
      <c r="Q64" s="4"/>
      <c r="R64" s="4"/>
      <c r="S64" s="4"/>
      <c r="T64" s="4"/>
      <c r="U64" s="4"/>
      <c r="V64" s="4"/>
      <c r="W64" s="4"/>
      <c r="X64" s="4"/>
      <c r="Y64" s="4"/>
      <c r="Z64" s="4"/>
    </row>
    <row r="65">
      <c r="A65" s="9" t="s">
        <v>234</v>
      </c>
      <c r="B65" s="10" t="str">
        <f>'7조'!B$21</f>
        <v/>
      </c>
      <c r="C65" s="13" t="str">
        <f>'7조'!C$21</f>
        <v>7조 - Shared Respository - Performance</v>
      </c>
      <c r="D65" s="10" t="str">
        <f>'7조'!D$21</f>
        <v/>
      </c>
      <c r="E65" s="13" t="str">
        <f>'7조'!E$21</f>
        <v>7조 - Blackboard - Performance</v>
      </c>
      <c r="F65" s="4"/>
      <c r="G65" s="4"/>
      <c r="H65" s="4"/>
      <c r="I65" s="4"/>
      <c r="J65" s="4"/>
      <c r="K65" s="4"/>
      <c r="L65" s="4"/>
      <c r="M65" s="4"/>
      <c r="N65" s="4"/>
      <c r="O65" s="4"/>
      <c r="P65" s="4"/>
      <c r="Q65" s="4"/>
      <c r="R65" s="4"/>
      <c r="S65" s="4"/>
      <c r="T65" s="4"/>
      <c r="U65" s="4"/>
      <c r="V65" s="4"/>
      <c r="W65" s="4"/>
      <c r="X65" s="4"/>
      <c r="Y65" s="4"/>
      <c r="Z65" s="4"/>
    </row>
    <row r="66">
      <c r="A66" s="9" t="s">
        <v>237</v>
      </c>
      <c r="B66" s="10" t="str">
        <f>'8조'!B$21</f>
        <v/>
      </c>
      <c r="C66" s="13" t="str">
        <f>'8조'!C$21</f>
        <v>8조 - Shared Respository - Performance</v>
      </c>
      <c r="D66" s="10" t="str">
        <f>'8조'!D$21</f>
        <v/>
      </c>
      <c r="E66" s="13" t="str">
        <f>'8조'!E$21</f>
        <v>8조 - Blackboard - Performance</v>
      </c>
      <c r="F66" s="4"/>
      <c r="G66" s="4"/>
      <c r="H66" s="4"/>
      <c r="I66" s="4"/>
      <c r="J66" s="4"/>
      <c r="K66" s="4"/>
      <c r="L66" s="4"/>
      <c r="M66" s="4"/>
      <c r="N66" s="4"/>
      <c r="O66" s="4"/>
      <c r="P66" s="4"/>
      <c r="Q66" s="4"/>
      <c r="R66" s="4"/>
      <c r="S66" s="4"/>
      <c r="T66" s="4"/>
      <c r="U66" s="4"/>
      <c r="V66" s="4"/>
      <c r="W66" s="4"/>
      <c r="X66" s="4"/>
      <c r="Y66" s="4"/>
      <c r="Z66" s="4"/>
    </row>
    <row r="67">
      <c r="A67" s="9" t="s">
        <v>242</v>
      </c>
      <c r="B67" s="10" t="str">
        <f>'9조'!B$21</f>
        <v/>
      </c>
      <c r="C67" s="13" t="str">
        <f>'9조'!C$21</f>
        <v>9조 - Shared Respository - Performance</v>
      </c>
      <c r="D67" s="10" t="str">
        <f>'9조'!D$21</f>
        <v/>
      </c>
      <c r="E67" s="13" t="str">
        <f>'9조'!E$21</f>
        <v>9조 - Blackboard - Performance</v>
      </c>
      <c r="F67" s="4"/>
      <c r="G67" s="4"/>
      <c r="H67" s="4"/>
      <c r="I67" s="4"/>
      <c r="J67" s="4"/>
      <c r="K67" s="4"/>
      <c r="L67" s="4"/>
      <c r="M67" s="4"/>
      <c r="N67" s="4"/>
      <c r="O67" s="4"/>
      <c r="P67" s="4"/>
      <c r="Q67" s="4"/>
      <c r="R67" s="4"/>
      <c r="S67" s="4"/>
      <c r="T67" s="4"/>
      <c r="U67" s="4"/>
      <c r="V67" s="4"/>
      <c r="W67" s="4"/>
      <c r="X67" s="4"/>
      <c r="Y67" s="4"/>
      <c r="Z67" s="4"/>
    </row>
    <row r="68">
      <c r="A68" s="11"/>
      <c r="B68" s="14"/>
      <c r="C68" s="11"/>
      <c r="D68" s="14"/>
      <c r="E68" s="11"/>
      <c r="F68" s="4"/>
      <c r="G68" s="4"/>
      <c r="H68" s="4"/>
      <c r="I68" s="4"/>
      <c r="J68" s="4"/>
      <c r="K68" s="4"/>
      <c r="L68" s="4"/>
      <c r="M68" s="4"/>
      <c r="N68" s="4"/>
      <c r="O68" s="4"/>
      <c r="P68" s="4"/>
      <c r="Q68" s="4"/>
      <c r="R68" s="4"/>
      <c r="S68" s="4"/>
      <c r="T68" s="4"/>
      <c r="U68" s="4"/>
      <c r="V68" s="4"/>
      <c r="W68" s="4"/>
      <c r="X68" s="4"/>
      <c r="Y68" s="4"/>
      <c r="Z68" s="4"/>
    </row>
    <row r="69">
      <c r="A69" s="7" t="s">
        <v>221</v>
      </c>
      <c r="B69" s="7" t="str">
        <f>'Detailed Reasoning'!B$22</f>
        <v/>
      </c>
      <c r="C69" s="7" t="str">
        <f>'Detailed Reasoning'!C$22</f>
        <v/>
      </c>
      <c r="D69" s="7" t="str">
        <f>'Detailed Reasoning'!D$22</f>
        <v/>
      </c>
      <c r="E69" s="7" t="str">
        <f>'Detailed Reasoning'!E$22</f>
        <v/>
      </c>
      <c r="F69" s="4"/>
      <c r="G69" s="4"/>
      <c r="H69" s="4"/>
      <c r="I69" s="4"/>
      <c r="J69" s="4"/>
      <c r="K69" s="4"/>
      <c r="L69" s="4"/>
      <c r="M69" s="4"/>
      <c r="N69" s="4"/>
      <c r="O69" s="4"/>
      <c r="P69" s="4"/>
      <c r="Q69" s="4"/>
      <c r="R69" s="4"/>
      <c r="S69" s="4"/>
      <c r="T69" s="4"/>
      <c r="U69" s="4"/>
      <c r="V69" s="4"/>
      <c r="W69" s="4"/>
      <c r="X69" s="4"/>
      <c r="Y69" s="4"/>
      <c r="Z69" s="4"/>
    </row>
    <row r="70">
      <c r="A70" s="9" t="s">
        <v>251</v>
      </c>
      <c r="B70" s="10" t="str">
        <f>'1조'!B$22</f>
        <v>-</v>
      </c>
      <c r="C70" s="18" t="str">
        <f>'1조'!C22</f>
        <v>[-] 동시 갱신의 위험: 여러 클라이언트의 데이터 변경이 적절히 조정되지 않으면 실행 순서에 따른 상태 오류가 발생할 수 있어 안전 분석과 검증이 복잡해진다.</v>
      </c>
      <c r="D70" s="10" t="str">
        <f>'1조'!D$22</f>
        <v>0</v>
      </c>
      <c r="E70" s="11" t="str">
        <f>'1조'!E22</f>
        <v>[+] 책임 분리: 필터별 변환 책임이 구분되어 있어, 안전과 관련된 변환 로직의 검증 범위를 특정 필터로 좁히기 쉽다.
[-] 동시 실행의 분석 부담: 필터들의 실행 시점과 데이터 도착 시점에 따라 나타나는 동작을 함께 검토해야 하므로, 순차 실행에 비해 안전 분석이 복잡해질 수 있다.</v>
      </c>
      <c r="F70" s="12" t="s">
        <v>253</v>
      </c>
      <c r="G70" s="4"/>
      <c r="H70" s="4"/>
      <c r="I70" s="4"/>
      <c r="J70" s="4"/>
      <c r="K70" s="4"/>
      <c r="L70" s="4"/>
      <c r="M70" s="4"/>
      <c r="N70" s="4"/>
      <c r="O70" s="4"/>
      <c r="P70" s="4"/>
      <c r="Q70" s="4"/>
      <c r="R70" s="4"/>
      <c r="S70" s="4"/>
      <c r="T70" s="4"/>
      <c r="U70" s="4"/>
      <c r="V70" s="4"/>
      <c r="W70" s="4"/>
      <c r="X70" s="4"/>
      <c r="Y70" s="4"/>
      <c r="Z70" s="4"/>
    </row>
    <row r="71">
      <c r="A71" s="9" t="s">
        <v>255</v>
      </c>
      <c r="B71" s="10" t="str">
        <f>'2조'!B$22</f>
        <v>-</v>
      </c>
      <c r="C71" s="13" t="str">
        <f>'2조'!C$22</f>
        <v>모든 것이 한 저장소에 걸려 있어, 그 데이터가 오염되면 피해가 시스템 전체로 번진다</v>
      </c>
      <c r="D71" s="10" t="str">
        <f>'2조'!D$22</f>
        <v>-</v>
      </c>
      <c r="E71" s="13" t="str">
        <f>'2조'!E$22</f>
        <v>근사해(approximate solution)만 기대되므로 결과가 항상 옳다고 보장할 수 없다</v>
      </c>
      <c r="G71" s="4"/>
      <c r="H71" s="4"/>
      <c r="I71" s="4"/>
      <c r="J71" s="4"/>
      <c r="K71" s="4"/>
      <c r="L71" s="4"/>
      <c r="M71" s="4"/>
      <c r="N71" s="4"/>
      <c r="O71" s="4"/>
      <c r="P71" s="4"/>
      <c r="Q71" s="4"/>
      <c r="R71" s="4"/>
      <c r="S71" s="4"/>
      <c r="T71" s="4"/>
      <c r="U71" s="4"/>
      <c r="V71" s="4"/>
      <c r="W71" s="4"/>
      <c r="X71" s="4"/>
      <c r="Y71" s="4"/>
      <c r="Z71" s="4"/>
    </row>
    <row r="72">
      <c r="A72" s="9" t="s">
        <v>257</v>
      </c>
      <c r="B72" s="10" t="str">
        <f>'3조'!B$22</f>
        <v>0</v>
      </c>
      <c r="C72" s="13" t="str">
        <f>'3조'!C$22</f>
        <v>단일 data 저장소로 상태 일관성을 관리하기 쉬워 안전 판단의 기준을 통일할 수 있지만, data store 오류가 전체 안전 상태 판단에 영향을 줄 수도 있다.</v>
      </c>
      <c r="D72" s="10" t="str">
        <f>'3조'!D$22</f>
        <v>0</v>
      </c>
      <c r="E72" s="13" t="str">
        <f>'3조'!E$22</f>
        <v>Blackboard는 복잡한 판단을 돕는 내부 협업 구조일 뿐, 위험 상태 차단·복구를 직접 제공하지는 않는다.</v>
      </c>
      <c r="G72" s="4"/>
      <c r="H72" s="4"/>
      <c r="I72" s="4"/>
      <c r="J72" s="4"/>
      <c r="K72" s="4"/>
      <c r="L72" s="4"/>
      <c r="M72" s="4"/>
      <c r="N72" s="4"/>
      <c r="O72" s="4"/>
      <c r="P72" s="4"/>
      <c r="Q72" s="4"/>
      <c r="R72" s="4"/>
      <c r="S72" s="4"/>
      <c r="T72" s="4"/>
      <c r="U72" s="4"/>
      <c r="V72" s="4"/>
      <c r="W72" s="4"/>
      <c r="X72" s="4"/>
      <c r="Y72" s="4"/>
      <c r="Z72" s="4"/>
    </row>
    <row r="73">
      <c r="A73" s="9" t="s">
        <v>259</v>
      </c>
      <c r="B73" s="10" t="str">
        <f>'4조'!B$22</f>
        <v>+</v>
      </c>
      <c r="C73" s="13" t="str">
        <f>'4조'!C$22</f>
        <v>중요한 데이터를 중앙에서 일관되게 관리하고 무결성 제약, 트랜잭션 등을 적용하기 쉬워 데이터 오류를 줄이는 데 유리하다.</v>
      </c>
      <c r="D73" s="10" t="str">
        <f>'4조'!D$22</f>
        <v>-</v>
      </c>
      <c r="E73" s="13" t="str">
        <f>'4조'!E$22</f>
        <v>중간 결과를 중앙에서 확인하고 검증할 수 있다는 장점은 있지만, 잘못된 Knowledge Source가 잘못된 정보를 Blackboard에 기록하면 다른 모듈에도 영향을 줄 수 있다.</v>
      </c>
      <c r="G73" s="4"/>
      <c r="H73" s="4"/>
      <c r="I73" s="4"/>
      <c r="J73" s="4"/>
      <c r="K73" s="4"/>
      <c r="L73" s="4"/>
      <c r="M73" s="4"/>
      <c r="N73" s="4"/>
      <c r="O73" s="4"/>
      <c r="P73" s="4"/>
      <c r="Q73" s="4"/>
      <c r="R73" s="4"/>
      <c r="S73" s="4"/>
      <c r="T73" s="4"/>
      <c r="U73" s="4"/>
      <c r="V73" s="4"/>
      <c r="W73" s="4"/>
      <c r="X73" s="4"/>
      <c r="Y73" s="4"/>
      <c r="Z73" s="4"/>
    </row>
    <row r="74">
      <c r="A74" s="9" t="s">
        <v>262</v>
      </c>
      <c r="B74" s="10" t="str">
        <f>'5조'!B$22</f>
        <v>0</v>
      </c>
      <c r="C74" s="13" t="str">
        <f>'5조'!C$22</f>
        <v>데이터 집중 자체는 안전한 동작을 보장하지 않음</v>
      </c>
      <c r="D74" s="10" t="str">
        <f>'5조'!D$22</f>
        <v>0</v>
      </c>
      <c r="E74" s="13" t="str">
        <f>'5조'!E$22</f>
        <v>여러 지식 소스의 상호 검증은 도움이 되지만, 비결정적 추론/우선순위 충돌은 안전 검증을 어렵게 한다.</v>
      </c>
      <c r="G74" s="4"/>
      <c r="H74" s="4"/>
      <c r="I74" s="4"/>
      <c r="J74" s="4"/>
      <c r="K74" s="4"/>
      <c r="L74" s="4"/>
      <c r="M74" s="4"/>
      <c r="N74" s="4"/>
      <c r="O74" s="4"/>
      <c r="P74" s="4"/>
      <c r="Q74" s="4"/>
      <c r="R74" s="4"/>
      <c r="S74" s="4"/>
      <c r="T74" s="4"/>
      <c r="U74" s="4"/>
      <c r="V74" s="4"/>
      <c r="W74" s="4"/>
      <c r="X74" s="4"/>
      <c r="Y74" s="4"/>
      <c r="Z74" s="4"/>
    </row>
    <row r="75">
      <c r="A75" s="9" t="s">
        <v>265</v>
      </c>
      <c r="B75" s="10" t="str">
        <f>'6조'!B$22</f>
        <v>--</v>
      </c>
      <c r="C75" s="13" t="str">
        <f>'6조'!C$22</f>
        <v>repo의 오류가 전체 시스템에 영향을 미치고 데이터 유실 가능성이 있기 때문에
safety 측면에서 안좋을 것 같음</v>
      </c>
      <c r="D75" s="10" t="str">
        <f>'6조'!D$22</f>
        <v>-</v>
      </c>
      <c r="E75" s="13" t="str">
        <f>'6조'!E$22</f>
        <v>Orchestrator / Blackboard의 fault가 시스템 전체 fault로 이어지기 쉽다.</v>
      </c>
      <c r="G75" s="4"/>
      <c r="H75" s="4"/>
      <c r="I75" s="4"/>
      <c r="J75" s="4"/>
      <c r="K75" s="4"/>
      <c r="L75" s="4"/>
      <c r="M75" s="4"/>
      <c r="N75" s="4"/>
      <c r="O75" s="4"/>
      <c r="P75" s="4"/>
      <c r="Q75" s="4"/>
      <c r="R75" s="4"/>
      <c r="S75" s="4"/>
      <c r="T75" s="4"/>
      <c r="U75" s="4"/>
      <c r="V75" s="4"/>
      <c r="W75" s="4"/>
      <c r="X75" s="4"/>
      <c r="Y75" s="4"/>
      <c r="Z75" s="4"/>
    </row>
    <row r="76">
      <c r="A76" s="9" t="s">
        <v>268</v>
      </c>
      <c r="B76" s="10" t="str">
        <f>'7조'!B$22</f>
        <v/>
      </c>
      <c r="C76" s="13" t="str">
        <f>'7조'!C$22</f>
        <v>7조 - Shared Respository - Safety</v>
      </c>
      <c r="D76" s="10" t="str">
        <f>'7조'!D$22</f>
        <v/>
      </c>
      <c r="E76" s="13" t="str">
        <f>'7조'!E$22</f>
        <v>7조 - Blackboard - Safety</v>
      </c>
      <c r="F76" s="4"/>
      <c r="G76" s="4"/>
      <c r="H76" s="4"/>
      <c r="I76" s="4"/>
      <c r="J76" s="4"/>
      <c r="K76" s="4"/>
      <c r="L76" s="4"/>
      <c r="M76" s="4"/>
      <c r="N76" s="4"/>
      <c r="O76" s="4"/>
      <c r="P76" s="4"/>
      <c r="Q76" s="4"/>
      <c r="R76" s="4"/>
      <c r="S76" s="4"/>
      <c r="T76" s="4"/>
      <c r="U76" s="4"/>
      <c r="V76" s="4"/>
      <c r="W76" s="4"/>
      <c r="X76" s="4"/>
      <c r="Y76" s="4"/>
      <c r="Z76" s="4"/>
    </row>
    <row r="77">
      <c r="A77" s="9" t="s">
        <v>273</v>
      </c>
      <c r="B77" s="10" t="str">
        <f>'8조'!B$22</f>
        <v/>
      </c>
      <c r="C77" s="13" t="str">
        <f>'8조'!C$22</f>
        <v>8조 - Shared Respository - Safety</v>
      </c>
      <c r="D77" s="10" t="str">
        <f>'8조'!D$22</f>
        <v/>
      </c>
      <c r="E77" s="13" t="str">
        <f>'8조'!E$22</f>
        <v>8조 - Blackboard - Safety</v>
      </c>
      <c r="F77" s="4"/>
      <c r="G77" s="4"/>
      <c r="H77" s="4"/>
      <c r="I77" s="4"/>
      <c r="J77" s="4"/>
      <c r="K77" s="4"/>
      <c r="L77" s="4"/>
      <c r="M77" s="4"/>
      <c r="N77" s="4"/>
      <c r="O77" s="4"/>
      <c r="P77" s="4"/>
      <c r="Q77" s="4"/>
      <c r="R77" s="4"/>
      <c r="S77" s="4"/>
      <c r="T77" s="4"/>
      <c r="U77" s="4"/>
      <c r="V77" s="4"/>
      <c r="W77" s="4"/>
      <c r="X77" s="4"/>
      <c r="Y77" s="4"/>
      <c r="Z77" s="4"/>
    </row>
    <row r="78">
      <c r="A78" s="9" t="s">
        <v>276</v>
      </c>
      <c r="B78" s="10" t="str">
        <f>'9조'!B$22</f>
        <v/>
      </c>
      <c r="C78" s="13" t="str">
        <f>'9조'!C$22</f>
        <v>9조 - Shared Respository - Safety</v>
      </c>
      <c r="D78" s="10" t="str">
        <f>'9조'!D$22</f>
        <v/>
      </c>
      <c r="E78" s="13" t="str">
        <f>'9조'!E$22</f>
        <v>9조 - Blackboard - Safety</v>
      </c>
      <c r="F78" s="4"/>
      <c r="G78" s="4"/>
      <c r="H78" s="4"/>
      <c r="I78" s="4"/>
      <c r="J78" s="4"/>
      <c r="K78" s="4"/>
      <c r="L78" s="4"/>
      <c r="M78" s="4"/>
      <c r="N78" s="4"/>
      <c r="O78" s="4"/>
      <c r="P78" s="4"/>
      <c r="Q78" s="4"/>
      <c r="R78" s="4"/>
      <c r="S78" s="4"/>
      <c r="T78" s="4"/>
      <c r="U78" s="4"/>
      <c r="V78" s="4"/>
      <c r="W78" s="4"/>
      <c r="X78" s="4"/>
      <c r="Y78" s="4"/>
      <c r="Z78" s="4"/>
    </row>
    <row r="79">
      <c r="A79" s="11"/>
      <c r="B79" s="14"/>
      <c r="C79" s="11"/>
      <c r="D79" s="14"/>
      <c r="E79" s="11"/>
      <c r="F79" s="4"/>
      <c r="G79" s="4"/>
      <c r="H79" s="4"/>
      <c r="I79" s="4"/>
      <c r="J79" s="4"/>
      <c r="K79" s="4"/>
      <c r="L79" s="4"/>
      <c r="M79" s="4"/>
      <c r="N79" s="4"/>
      <c r="O79" s="4"/>
      <c r="P79" s="4"/>
      <c r="Q79" s="4"/>
      <c r="R79" s="4"/>
      <c r="S79" s="4"/>
      <c r="T79" s="4"/>
      <c r="U79" s="4"/>
      <c r="V79" s="4"/>
      <c r="W79" s="4"/>
      <c r="X79" s="4"/>
      <c r="Y79" s="4"/>
      <c r="Z79" s="4"/>
    </row>
    <row r="80">
      <c r="A80" s="7" t="s">
        <v>261</v>
      </c>
      <c r="B80" s="7" t="str">
        <f>'Detailed Reasoning'!B$23</f>
        <v/>
      </c>
      <c r="C80" s="7" t="str">
        <f>'Detailed Reasoning'!C$23</f>
        <v/>
      </c>
      <c r="D80" s="7" t="str">
        <f>'Detailed Reasoning'!D$23</f>
        <v/>
      </c>
      <c r="E80" s="7" t="str">
        <f>'Detailed Reasoning'!E$23</f>
        <v/>
      </c>
      <c r="F80" s="4"/>
      <c r="G80" s="4"/>
      <c r="H80" s="4"/>
      <c r="I80" s="4"/>
      <c r="J80" s="4"/>
      <c r="K80" s="4"/>
      <c r="L80" s="4"/>
      <c r="M80" s="4"/>
      <c r="N80" s="4"/>
      <c r="O80" s="4"/>
      <c r="P80" s="4"/>
      <c r="Q80" s="4"/>
      <c r="R80" s="4"/>
      <c r="S80" s="4"/>
      <c r="T80" s="4"/>
      <c r="U80" s="4"/>
      <c r="V80" s="4"/>
      <c r="W80" s="4"/>
      <c r="X80" s="4"/>
      <c r="Y80" s="4"/>
      <c r="Z80" s="4"/>
    </row>
    <row r="81">
      <c r="A81" s="9" t="s">
        <v>281</v>
      </c>
      <c r="B81" s="10" t="str">
        <f>'1조'!B$23</f>
        <v>--</v>
      </c>
      <c r="C81" s="11" t="str">
        <f>'1조'!C23</f>
        <v>[--] 공격 대상 집중: 공유 저장소가 명확한 공격 지점이 되며, 침해되면 여러 클라이언트가 사용하는 데이터가 함께 노출되거나 변조될 수 있다.
[-] 침해 영향의 공유 — 해석: 침해된 클라이언트가 공유 데이터를 변경할 권한까지 가지고 있다면, 다른 클라이언트의 동작에도 영향을 줄 수 있다.</v>
      </c>
      <c r="D81" s="10" t="str">
        <f>'1조'!D$23</f>
        <v>-</v>
      </c>
      <c r="E81" s="11" t="str">
        <f>'1조'!E23</f>
        <v>[-] 보호 대상의 증가: 필터가 여러 실행 단위나 장비에 분산된 구성에서는 보호해야 하는 실행 지점과 데이터 전달 경로가 증가하여 보안 검토·설정 부담이 커진다.
[-] 다수의 Knowledge Source가 공용 Blackboard에 접근하므로 접근 통제 지점이 늘어나 보안 관리가 어렵다.</v>
      </c>
      <c r="F81" s="12" t="s">
        <v>284</v>
      </c>
      <c r="G81" s="4"/>
      <c r="H81" s="4"/>
      <c r="I81" s="4"/>
      <c r="J81" s="4"/>
      <c r="K81" s="4"/>
      <c r="L81" s="4"/>
      <c r="M81" s="4"/>
      <c r="N81" s="4"/>
      <c r="O81" s="4"/>
      <c r="P81" s="4"/>
      <c r="Q81" s="4"/>
      <c r="R81" s="4"/>
      <c r="S81" s="4"/>
      <c r="T81" s="4"/>
      <c r="U81" s="4"/>
      <c r="V81" s="4"/>
      <c r="W81" s="4"/>
      <c r="X81" s="4"/>
      <c r="Y81" s="4"/>
      <c r="Z81" s="4"/>
    </row>
    <row r="82">
      <c r="A82" s="9" t="s">
        <v>285</v>
      </c>
      <c r="B82" s="10" t="str">
        <f>'2조'!B$23</f>
        <v>-</v>
      </c>
      <c r="C82" s="13" t="str">
        <f>'2조'!C$23</f>
        <v>중앙 저장소 한 곳에 인증, 인가(ACL), 암호화, 감사 로그를 집중 적용하기 용이하나(+), 침해 시 전체 데이터가 일시에 유출되는 명확한 단일 표적(Target)이 됨(-).</v>
      </c>
      <c r="D82" s="10" t="str">
        <f>'2조'!D$23</f>
        <v>--</v>
      </c>
      <c r="E82" s="19" t="str">
        <f>'2조'!E$23</f>
        <v>중앙 Blackboard 가 공격 지점이 되고, 모든 knowledge source 가 같은 데이터를 본다</v>
      </c>
      <c r="G82" s="4"/>
      <c r="H82" s="4"/>
      <c r="I82" s="4"/>
      <c r="J82" s="4"/>
      <c r="K82" s="4"/>
      <c r="L82" s="4"/>
      <c r="M82" s="4"/>
      <c r="N82" s="4"/>
      <c r="O82" s="4"/>
      <c r="P82" s="4"/>
      <c r="Q82" s="4"/>
      <c r="R82" s="4"/>
      <c r="S82" s="4"/>
      <c r="T82" s="4"/>
      <c r="U82" s="4"/>
      <c r="V82" s="4"/>
      <c r="W82" s="4"/>
      <c r="X82" s="4"/>
      <c r="Y82" s="4"/>
      <c r="Z82" s="4"/>
    </row>
    <row r="83">
      <c r="A83" s="9" t="s">
        <v>287</v>
      </c>
      <c r="B83" s="10" t="str">
        <f>'3조'!B$23</f>
        <v>-</v>
      </c>
      <c r="C83" s="13" t="str">
        <f>'3조'!C$23</f>
        <v>데이터가 집중되어 있어 명확한 공격 포인트가 있음</v>
      </c>
      <c r="D83" s="10" t="str">
        <f>'3조'!D$23</f>
        <v>--</v>
      </c>
      <c r="E83" s="13" t="str">
        <f>'3조'!E$23</f>
        <v>공유 Blackboard가 공격되면 KS들이 사용하는 가설과 결과가 함께 오염될 수 있어 보안에는 크게 불리하다.</v>
      </c>
      <c r="G83" s="4"/>
      <c r="H83" s="4"/>
      <c r="I83" s="4"/>
      <c r="J83" s="4"/>
      <c r="K83" s="4"/>
      <c r="L83" s="4"/>
      <c r="M83" s="4"/>
      <c r="N83" s="4"/>
      <c r="O83" s="4"/>
      <c r="P83" s="4"/>
      <c r="Q83" s="4"/>
      <c r="R83" s="4"/>
      <c r="S83" s="4"/>
      <c r="T83" s="4"/>
      <c r="U83" s="4"/>
      <c r="V83" s="4"/>
      <c r="W83" s="4"/>
      <c r="X83" s="4"/>
      <c r="Y83" s="4"/>
      <c r="Z83" s="4"/>
    </row>
    <row r="84">
      <c r="A84" s="9" t="s">
        <v>289</v>
      </c>
      <c r="B84" s="10" t="str">
        <f>'4조'!B$23</f>
        <v>+</v>
      </c>
      <c r="C84" s="13" t="str">
        <f>'4조'!C$23</f>
        <v>접근 권한, 인증, 감사 로그 등을 중앙 Repository에서 일관되게 적용할 수 있다. 다만 Repository가 침해되면 영향 범위가 매우 크다는 단점도 있다.</v>
      </c>
      <c r="D84" s="10" t="str">
        <f>'4조'!D$23</f>
        <v>-</v>
      </c>
      <c r="E84" s="13" t="str">
        <f>'4조'!E$23</f>
        <v>여러 Knowledge Source가 하나의 Blackboard에 접근하므로 접근 지점과 권한 관리가 복잡하다. Blackboard가 침해되면 공유되는 지식 전체에 영향을 줄 수 있다.</v>
      </c>
      <c r="G84" s="4"/>
      <c r="H84" s="4"/>
      <c r="I84" s="4"/>
      <c r="J84" s="4"/>
      <c r="K84" s="4"/>
      <c r="L84" s="4"/>
      <c r="M84" s="4"/>
      <c r="N84" s="4"/>
      <c r="O84" s="4"/>
      <c r="P84" s="4"/>
      <c r="Q84" s="4"/>
      <c r="R84" s="4"/>
      <c r="S84" s="4"/>
      <c r="T84" s="4"/>
      <c r="U84" s="4"/>
      <c r="V84" s="4"/>
      <c r="W84" s="4"/>
      <c r="X84" s="4"/>
      <c r="Y84" s="4"/>
      <c r="Z84" s="4"/>
    </row>
    <row r="85">
      <c r="A85" s="9" t="s">
        <v>293</v>
      </c>
      <c r="B85" s="10" t="str">
        <f>'5조'!B$23</f>
        <v>0</v>
      </c>
      <c r="C85" s="13" t="str">
        <f>'5조'!C$23</f>
        <v>Store와 Client에 따라 중요도가 달라질 수 있음</v>
      </c>
      <c r="D85" s="10" t="str">
        <f>'5조'!D$23</f>
        <v>0</v>
      </c>
      <c r="E85" s="13" t="str">
        <f>'5조'!E$23</f>
        <v>많은 KS가 공용 블랙보드 하나에 의존하므로 위험 지점이 하나여서 크다고 할 수도 있고, 작다고 할 수도 있다.</v>
      </c>
      <c r="G85" s="4"/>
      <c r="H85" s="4"/>
      <c r="I85" s="4"/>
      <c r="J85" s="4"/>
      <c r="K85" s="4"/>
      <c r="L85" s="4"/>
      <c r="M85" s="4"/>
      <c r="N85" s="4"/>
      <c r="O85" s="4"/>
      <c r="P85" s="4"/>
      <c r="Q85" s="4"/>
      <c r="R85" s="4"/>
      <c r="S85" s="4"/>
      <c r="T85" s="4"/>
      <c r="U85" s="4"/>
      <c r="V85" s="4"/>
      <c r="W85" s="4"/>
      <c r="X85" s="4"/>
      <c r="Y85" s="4"/>
      <c r="Z85" s="4"/>
    </row>
    <row r="86">
      <c r="A86" s="9" t="s">
        <v>298</v>
      </c>
      <c r="B86" s="10" t="str">
        <f>'6조'!B$23</f>
        <v>-</v>
      </c>
      <c r="C86" s="13" t="str">
        <f>'6조'!C$23</f>
        <v>repository의 수정이 여러 client에 의해 가능하다는 점에서 보안 측면에서 안좋을 것 같음(권한 관리 문제 등)</v>
      </c>
      <c r="D86" s="10" t="str">
        <f>'6조'!D$23</f>
        <v>--</v>
      </c>
      <c r="E86" s="13" t="str">
        <f>'6조'!E$23</f>
        <v>Orchestrator / Blackboard가 공격당할 경우 시스템 전체를 마비시키기 쉽다.</v>
      </c>
      <c r="G86" s="4"/>
      <c r="H86" s="4"/>
      <c r="I86" s="4"/>
      <c r="J86" s="4"/>
      <c r="K86" s="4"/>
      <c r="L86" s="4"/>
      <c r="M86" s="4"/>
      <c r="N86" s="4"/>
      <c r="O86" s="4"/>
      <c r="P86" s="4"/>
      <c r="Q86" s="4"/>
      <c r="R86" s="4"/>
      <c r="S86" s="4"/>
      <c r="T86" s="4"/>
      <c r="U86" s="4"/>
      <c r="V86" s="4"/>
      <c r="W86" s="4"/>
      <c r="X86" s="4"/>
      <c r="Y86" s="4"/>
      <c r="Z86" s="4"/>
    </row>
    <row r="87">
      <c r="A87" s="9" t="s">
        <v>301</v>
      </c>
      <c r="B87" s="10" t="str">
        <f>'7조'!B$23</f>
        <v/>
      </c>
      <c r="C87" s="13" t="str">
        <f>'7조'!C$23</f>
        <v>7조 - Shared Respository - Security</v>
      </c>
      <c r="D87" s="10" t="str">
        <f>'7조'!D$23</f>
        <v/>
      </c>
      <c r="E87" s="13" t="str">
        <f>'7조'!E$23</f>
        <v>7조 - Blackboard - Security</v>
      </c>
      <c r="F87" s="4"/>
      <c r="G87" s="4"/>
      <c r="H87" s="4"/>
      <c r="I87" s="4"/>
      <c r="J87" s="4"/>
      <c r="K87" s="4"/>
      <c r="L87" s="4"/>
      <c r="M87" s="4"/>
      <c r="N87" s="4"/>
      <c r="O87" s="4"/>
      <c r="P87" s="4"/>
      <c r="Q87" s="4"/>
      <c r="R87" s="4"/>
      <c r="S87" s="4"/>
      <c r="T87" s="4"/>
      <c r="U87" s="4"/>
      <c r="V87" s="4"/>
      <c r="W87" s="4"/>
      <c r="X87" s="4"/>
      <c r="Y87" s="4"/>
      <c r="Z87" s="4"/>
    </row>
    <row r="88">
      <c r="A88" s="9" t="s">
        <v>303</v>
      </c>
      <c r="B88" s="10" t="str">
        <f>'8조'!B$23</f>
        <v/>
      </c>
      <c r="C88" s="13" t="str">
        <f>'8조'!C$23</f>
        <v>8조 - Shared Respository - Security</v>
      </c>
      <c r="D88" s="10" t="str">
        <f>'8조'!D$23</f>
        <v/>
      </c>
      <c r="E88" s="13" t="str">
        <f>'8조'!E$23</f>
        <v>8조 - Blackboard - Security</v>
      </c>
      <c r="F88" s="4"/>
      <c r="G88" s="4"/>
      <c r="H88" s="4"/>
      <c r="I88" s="4"/>
      <c r="J88" s="4"/>
      <c r="K88" s="4"/>
      <c r="L88" s="4"/>
      <c r="M88" s="4"/>
      <c r="N88" s="4"/>
      <c r="O88" s="4"/>
      <c r="P88" s="4"/>
      <c r="Q88" s="4"/>
      <c r="R88" s="4"/>
      <c r="S88" s="4"/>
      <c r="T88" s="4"/>
      <c r="U88" s="4"/>
      <c r="V88" s="4"/>
      <c r="W88" s="4"/>
      <c r="X88" s="4"/>
      <c r="Y88" s="4"/>
      <c r="Z88" s="4"/>
    </row>
    <row r="89">
      <c r="A89" s="9" t="s">
        <v>306</v>
      </c>
      <c r="B89" s="10" t="str">
        <f>'9조'!B$23</f>
        <v/>
      </c>
      <c r="C89" s="13" t="str">
        <f>'9조'!C$23</f>
        <v>9조 - Shared Respository - Security</v>
      </c>
      <c r="D89" s="10" t="str">
        <f>'9조'!D$23</f>
        <v/>
      </c>
      <c r="E89" s="13" t="str">
        <f>'9조'!E$23</f>
        <v>9조 - Blackboard - Security</v>
      </c>
      <c r="F89" s="4"/>
      <c r="G89" s="4"/>
      <c r="H89" s="4"/>
      <c r="I89" s="4"/>
      <c r="J89" s="4"/>
      <c r="K89" s="4"/>
      <c r="L89" s="4"/>
      <c r="M89" s="4"/>
      <c r="N89" s="4"/>
      <c r="O89" s="4"/>
      <c r="P89" s="4"/>
      <c r="Q89" s="4"/>
      <c r="R89" s="4"/>
      <c r="S89" s="4"/>
      <c r="T89" s="4"/>
      <c r="U89" s="4"/>
      <c r="V89" s="4"/>
      <c r="W89" s="4"/>
      <c r="X89" s="4"/>
      <c r="Y89" s="4"/>
      <c r="Z89" s="4"/>
    </row>
    <row r="90">
      <c r="A90" s="11"/>
      <c r="B90" s="14"/>
      <c r="C90" s="11"/>
      <c r="D90" s="14"/>
      <c r="E90" s="11"/>
      <c r="F90" s="4"/>
      <c r="G90" s="4"/>
      <c r="H90" s="4"/>
      <c r="I90" s="4"/>
      <c r="J90" s="4"/>
      <c r="K90" s="4"/>
      <c r="L90" s="4"/>
      <c r="M90" s="4"/>
      <c r="N90" s="4"/>
      <c r="O90" s="4"/>
      <c r="P90" s="4"/>
      <c r="Q90" s="4"/>
      <c r="R90" s="4"/>
      <c r="S90" s="4"/>
      <c r="T90" s="4"/>
      <c r="U90" s="4"/>
      <c r="V90" s="4"/>
      <c r="W90" s="4"/>
      <c r="X90" s="4"/>
      <c r="Y90" s="4"/>
      <c r="Z90" s="4"/>
    </row>
    <row r="91">
      <c r="A91" s="7" t="s">
        <v>310</v>
      </c>
      <c r="B91" s="7" t="str">
        <f>'Detailed Reasoning'!B$24</f>
        <v/>
      </c>
      <c r="C91" s="7" t="str">
        <f>'Detailed Reasoning'!C$24</f>
        <v/>
      </c>
      <c r="D91" s="7" t="str">
        <f>'Detailed Reasoning'!D$24</f>
        <v/>
      </c>
      <c r="E91" s="7" t="str">
        <f>'Detailed Reasoning'!E$24</f>
        <v/>
      </c>
      <c r="F91" s="4"/>
      <c r="G91" s="4"/>
      <c r="H91" s="4"/>
      <c r="I91" s="4"/>
      <c r="J91" s="4"/>
      <c r="K91" s="4"/>
      <c r="L91" s="4"/>
      <c r="M91" s="4"/>
      <c r="N91" s="4"/>
      <c r="O91" s="4"/>
      <c r="P91" s="4"/>
      <c r="Q91" s="4"/>
      <c r="R91" s="4"/>
      <c r="S91" s="4"/>
      <c r="T91" s="4"/>
      <c r="U91" s="4"/>
      <c r="V91" s="4"/>
      <c r="W91" s="4"/>
      <c r="X91" s="4"/>
      <c r="Y91" s="4"/>
      <c r="Z91" s="4"/>
    </row>
    <row r="92">
      <c r="A92" s="9" t="s">
        <v>314</v>
      </c>
      <c r="B92" s="10" t="str">
        <f>'1조'!B$24</f>
        <v>+</v>
      </c>
      <c r="C92" s="11" t="str">
        <f>'1조'!C24</f>
        <v>[+] 클라이언트별 시험: 특정 클라이언트에 필요한 저장소 상태를 준비하고 수행 결과를 확인하여, 해당 클라이언트의 기능을 구분해서 시험하기 쉽다.
[-] 동시 접근에 따른 재현 부담: 여러 클라이언트가 공유 데이터를 동시에 변경하는 결함은 실행 순서와 시점을 함께 재현해야 하므로 통합 시험이 어려워질 수 있다.</v>
      </c>
      <c r="D92" s="10" t="str">
        <f>'1조'!D$24</f>
        <v>--</v>
      </c>
      <c r="E92" s="11" t="str">
        <f>'1조'!E24</f>
        <v>[--]Knowledge Source들이 부분적(partial)으로 동작하고 Controller 구현이 어려워 결정적인 테스트 시나리오를 만들기 어렵다.</v>
      </c>
      <c r="F92" s="12" t="s">
        <v>317</v>
      </c>
      <c r="G92" s="4"/>
      <c r="H92" s="4"/>
      <c r="I92" s="4"/>
      <c r="J92" s="4"/>
      <c r="K92" s="4"/>
      <c r="L92" s="4"/>
      <c r="M92" s="4"/>
      <c r="N92" s="4"/>
      <c r="O92" s="4"/>
      <c r="P92" s="4"/>
      <c r="Q92" s="4"/>
      <c r="R92" s="4"/>
      <c r="S92" s="4"/>
      <c r="T92" s="4"/>
      <c r="U92" s="4"/>
      <c r="V92" s="4"/>
      <c r="W92" s="4"/>
      <c r="X92" s="4"/>
      <c r="Y92" s="4"/>
      <c r="Z92" s="4"/>
    </row>
    <row r="93">
      <c r="A93" s="9" t="s">
        <v>318</v>
      </c>
      <c r="B93" s="10" t="str">
        <f>'2조'!B$24</f>
        <v>-</v>
      </c>
      <c r="C93" s="13" t="str">
        <f>'2조'!C$24</f>
        <v>client 가 공유 상태에 의존해, 시험할 때마다 저장소 상태를 만들어 줘야 하고 서로 간섭한다</v>
      </c>
      <c r="D93" s="10" t="str">
        <f>'2조'!D$24</f>
        <v>--</v>
      </c>
      <c r="E93" s="13" t="str">
        <f>'2조'!E$24</f>
        <v>KS의 실행 순서와 활성화가 런타임 블랙보드 상태와 Controller 정책에 따라 동적으로 달라지므로, 동일한 결함 시나리오를 재현하고 디버깅하기가 극히 어려움 (교안 72쪽).</v>
      </c>
      <c r="G93" s="4"/>
      <c r="H93" s="4"/>
      <c r="I93" s="4"/>
      <c r="J93" s="4"/>
      <c r="K93" s="4"/>
      <c r="L93" s="4"/>
      <c r="M93" s="4"/>
      <c r="N93" s="4"/>
      <c r="O93" s="4"/>
      <c r="P93" s="4"/>
      <c r="Q93" s="4"/>
      <c r="R93" s="4"/>
      <c r="S93" s="4"/>
      <c r="T93" s="4"/>
      <c r="U93" s="4"/>
      <c r="V93" s="4"/>
      <c r="W93" s="4"/>
      <c r="X93" s="4"/>
      <c r="Y93" s="4"/>
      <c r="Z93" s="4"/>
    </row>
    <row r="94">
      <c r="A94" s="9" t="s">
        <v>321</v>
      </c>
      <c r="B94" s="10" t="str">
        <f>'3조'!B$24</f>
        <v>+</v>
      </c>
      <c r="C94" s="13" t="str">
        <f>'3조'!C$24</f>
        <v>시스템의 전체 상태가 중앙 저장소 하나에 모여 있으므로, 테스트 시나리오를 위한 상태 셋업(Setup)과 결과 상태 단언(Assert)이 직관적입니다.</v>
      </c>
      <c r="D94" s="10" t="str">
        <f>'3조'!D$24</f>
        <v>--</v>
      </c>
      <c r="E94" s="13" t="str">
        <f>'3조'!E$24</f>
        <v>Controller가 상태에 따라 KS를 반복 선택하고 가설이 계속 바뀌므로 실행 경로 재현과 검증이 어렵다.</v>
      </c>
      <c r="G94" s="4"/>
      <c r="H94" s="4"/>
      <c r="I94" s="4"/>
      <c r="J94" s="4"/>
      <c r="K94" s="4"/>
      <c r="L94" s="4"/>
      <c r="M94" s="4"/>
      <c r="N94" s="4"/>
      <c r="O94" s="4"/>
      <c r="P94" s="4"/>
      <c r="Q94" s="4"/>
      <c r="R94" s="4"/>
      <c r="S94" s="4"/>
      <c r="T94" s="4"/>
      <c r="U94" s="4"/>
      <c r="V94" s="4"/>
      <c r="W94" s="4"/>
      <c r="X94" s="4"/>
      <c r="Y94" s="4"/>
      <c r="Z94" s="4"/>
    </row>
    <row r="95">
      <c r="A95" s="9" t="s">
        <v>323</v>
      </c>
      <c r="B95" s="10" t="str">
        <f>'4조'!B$24</f>
        <v>0</v>
      </c>
      <c r="C95" s="13" t="str">
        <f>'4조'!C$24</f>
        <v>공통 데이터 상태를 기준으로 테스트하기는 쉽지만, 여러 컴포넌트가 같은 Repository를 사용하면 테스트 간 데이터 간섭이 생길 수 있고 DB 환경을 별도로 구성해야 할 수 있다.</v>
      </c>
      <c r="D95" s="10" t="str">
        <f>'4조'!D$24</f>
        <v>--</v>
      </c>
      <c r="E95" s="13" t="str">
        <f>'4조'!E$24</f>
        <v>결과가 활성화 순서와 누적된 부분해에 의존하므로 테스트에서 동작을 결정적으로 재현하기 매우 어렵다.</v>
      </c>
      <c r="G95" s="4"/>
      <c r="H95" s="4"/>
      <c r="I95" s="4"/>
      <c r="J95" s="4"/>
      <c r="K95" s="4"/>
      <c r="L95" s="4"/>
      <c r="M95" s="4"/>
      <c r="N95" s="4"/>
      <c r="O95" s="4"/>
      <c r="P95" s="4"/>
      <c r="Q95" s="4"/>
      <c r="R95" s="4"/>
      <c r="S95" s="4"/>
      <c r="T95" s="4"/>
      <c r="U95" s="4"/>
      <c r="V95" s="4"/>
      <c r="W95" s="4"/>
      <c r="X95" s="4"/>
      <c r="Y95" s="4"/>
      <c r="Z95" s="4"/>
    </row>
    <row r="96">
      <c r="A96" s="9" t="s">
        <v>326</v>
      </c>
      <c r="B96" s="10" t="str">
        <f>'5조'!B$24</f>
        <v>-</v>
      </c>
      <c r="C96" s="13" t="str">
        <f>'5조'!C$24</f>
        <v>공유 상태로 인해 Client 시험 간 간섭 발생 가능</v>
      </c>
      <c r="D96" s="10" t="str">
        <f>'5조'!D$24</f>
        <v>--</v>
      </c>
      <c r="E96" s="13" t="str">
        <f>'5조'!E$24</f>
        <v>여러 지식 소스의 실행 순서와 공유 상태에 따라 결과가 달라질 수 있어 재현 및 테스트가 어렵다.</v>
      </c>
      <c r="G96" s="4"/>
      <c r="H96" s="4"/>
      <c r="I96" s="4"/>
      <c r="J96" s="4"/>
      <c r="K96" s="4"/>
      <c r="L96" s="4"/>
      <c r="M96" s="4"/>
      <c r="N96" s="4"/>
      <c r="O96" s="4"/>
      <c r="P96" s="4"/>
      <c r="Q96" s="4"/>
      <c r="R96" s="4"/>
      <c r="S96" s="4"/>
      <c r="T96" s="4"/>
      <c r="U96" s="4"/>
      <c r="V96" s="4"/>
      <c r="W96" s="4"/>
      <c r="X96" s="4"/>
      <c r="Y96" s="4"/>
      <c r="Z96" s="4"/>
    </row>
    <row r="97">
      <c r="A97" s="9" t="s">
        <v>330</v>
      </c>
      <c r="B97" s="10" t="str">
        <f>'6조'!B$24</f>
        <v>-</v>
      </c>
      <c r="C97" s="13" t="str">
        <f>'6조'!C$24</f>
        <v>각 client의 테스트 시 repository가 포함되어야 하기 때문에 test가 어려움</v>
      </c>
      <c r="D97" s="10" t="str">
        <f>'6조'!D$24</f>
        <v>-</v>
      </c>
      <c r="E97" s="13" t="str">
        <f>'6조'!E$24</f>
        <v>답이 정해져 있지 않기 때문에 단위 테스트 만들기가 난해</v>
      </c>
      <c r="G97" s="4"/>
      <c r="H97" s="4"/>
      <c r="I97" s="4"/>
      <c r="J97" s="4"/>
      <c r="K97" s="4"/>
      <c r="L97" s="4"/>
      <c r="M97" s="4"/>
      <c r="N97" s="4"/>
      <c r="O97" s="4"/>
      <c r="P97" s="4"/>
      <c r="Q97" s="4"/>
      <c r="R97" s="4"/>
      <c r="S97" s="4"/>
      <c r="T97" s="4"/>
      <c r="U97" s="4"/>
      <c r="V97" s="4"/>
      <c r="W97" s="4"/>
      <c r="X97" s="4"/>
      <c r="Y97" s="4"/>
      <c r="Z97" s="4"/>
    </row>
    <row r="98">
      <c r="A98" s="9" t="s">
        <v>333</v>
      </c>
      <c r="B98" s="10" t="str">
        <f>'7조'!B$24</f>
        <v/>
      </c>
      <c r="C98" s="13" t="str">
        <f>'7조'!C$24</f>
        <v>7조 - Shared Respository - Testability</v>
      </c>
      <c r="D98" s="10" t="str">
        <f>'7조'!D$24</f>
        <v/>
      </c>
      <c r="E98" s="13" t="str">
        <f>'7조'!E$24</f>
        <v>7조 - Blackboard - Testability</v>
      </c>
      <c r="F98" s="4"/>
      <c r="G98" s="4"/>
      <c r="H98" s="4"/>
      <c r="I98" s="4"/>
      <c r="J98" s="4"/>
      <c r="K98" s="4"/>
      <c r="L98" s="4"/>
      <c r="M98" s="4"/>
      <c r="N98" s="4"/>
      <c r="O98" s="4"/>
      <c r="P98" s="4"/>
      <c r="Q98" s="4"/>
      <c r="R98" s="4"/>
      <c r="S98" s="4"/>
      <c r="T98" s="4"/>
      <c r="U98" s="4"/>
      <c r="V98" s="4"/>
      <c r="W98" s="4"/>
      <c r="X98" s="4"/>
      <c r="Y98" s="4"/>
      <c r="Z98" s="4"/>
    </row>
    <row r="99">
      <c r="A99" s="9" t="s">
        <v>338</v>
      </c>
      <c r="B99" s="10" t="str">
        <f>'8조'!B$24</f>
        <v/>
      </c>
      <c r="C99" s="13" t="str">
        <f>'8조'!C$24</f>
        <v>8조 - Shared Respository - Testability</v>
      </c>
      <c r="D99" s="10" t="str">
        <f>'8조'!D$24</f>
        <v/>
      </c>
      <c r="E99" s="13" t="str">
        <f>'8조'!E$24</f>
        <v>8조 - Blackboard - Testability</v>
      </c>
      <c r="F99" s="4"/>
      <c r="G99" s="4"/>
      <c r="H99" s="4"/>
      <c r="I99" s="4"/>
      <c r="J99" s="4"/>
      <c r="K99" s="4"/>
      <c r="L99" s="4"/>
      <c r="M99" s="4"/>
      <c r="N99" s="4"/>
      <c r="O99" s="4"/>
      <c r="P99" s="4"/>
      <c r="Q99" s="4"/>
      <c r="R99" s="4"/>
      <c r="S99" s="4"/>
      <c r="T99" s="4"/>
      <c r="U99" s="4"/>
      <c r="V99" s="4"/>
      <c r="W99" s="4"/>
      <c r="X99" s="4"/>
      <c r="Y99" s="4"/>
      <c r="Z99" s="4"/>
    </row>
    <row r="100">
      <c r="A100" s="9" t="s">
        <v>342</v>
      </c>
      <c r="B100" s="10" t="str">
        <f>'9조'!B$24</f>
        <v/>
      </c>
      <c r="C100" s="13" t="str">
        <f>'9조'!C$24</f>
        <v>9조 - Shared Respository - Testability</v>
      </c>
      <c r="D100" s="10" t="str">
        <f>'9조'!D$24</f>
        <v/>
      </c>
      <c r="E100" s="13" t="str">
        <f>'9조'!E$24</f>
        <v>9조 - Blackboard - Testability</v>
      </c>
      <c r="F100" s="4"/>
      <c r="G100" s="4"/>
      <c r="H100" s="4"/>
      <c r="I100" s="4"/>
      <c r="J100" s="4"/>
      <c r="K100" s="4"/>
      <c r="L100" s="4"/>
      <c r="M100" s="4"/>
      <c r="N100" s="4"/>
      <c r="O100" s="4"/>
      <c r="P100" s="4"/>
      <c r="Q100" s="4"/>
      <c r="R100" s="4"/>
      <c r="S100" s="4"/>
      <c r="T100" s="4"/>
      <c r="U100" s="4"/>
      <c r="V100" s="4"/>
      <c r="W100" s="4"/>
      <c r="X100" s="4"/>
      <c r="Y100" s="4"/>
      <c r="Z100" s="4"/>
    </row>
    <row r="101">
      <c r="A101" s="11"/>
      <c r="B101" s="14"/>
      <c r="C101" s="11"/>
      <c r="D101" s="14"/>
      <c r="E101" s="11"/>
      <c r="F101" s="4"/>
      <c r="G101" s="4"/>
      <c r="H101" s="4"/>
      <c r="I101" s="4"/>
      <c r="J101" s="4"/>
      <c r="K101" s="4"/>
      <c r="L101" s="4"/>
      <c r="M101" s="4"/>
      <c r="N101" s="4"/>
      <c r="O101" s="4"/>
      <c r="P101" s="4"/>
      <c r="Q101" s="4"/>
      <c r="R101" s="4"/>
      <c r="S101" s="4"/>
      <c r="T101" s="4"/>
      <c r="U101" s="4"/>
      <c r="V101" s="4"/>
      <c r="W101" s="4"/>
      <c r="X101" s="4"/>
      <c r="Y101" s="4"/>
      <c r="Z101" s="4"/>
    </row>
    <row r="102">
      <c r="A102" s="7" t="s">
        <v>346</v>
      </c>
      <c r="B102" s="7" t="str">
        <f>'Detailed Reasoning'!B$25</f>
        <v/>
      </c>
      <c r="C102" s="7" t="str">
        <f>'Detailed Reasoning'!C$25</f>
        <v/>
      </c>
      <c r="D102" s="7" t="str">
        <f>'Detailed Reasoning'!D$25</f>
        <v/>
      </c>
      <c r="E102" s="7" t="str">
        <f>'Detailed Reasoning'!E$25</f>
        <v/>
      </c>
      <c r="F102" s="4"/>
      <c r="G102" s="4"/>
      <c r="H102" s="4"/>
      <c r="I102" s="4"/>
      <c r="J102" s="4"/>
      <c r="K102" s="4"/>
      <c r="L102" s="4"/>
      <c r="M102" s="4"/>
      <c r="N102" s="4"/>
      <c r="O102" s="4"/>
      <c r="P102" s="4"/>
      <c r="Q102" s="4"/>
      <c r="R102" s="4"/>
      <c r="S102" s="4"/>
      <c r="T102" s="4"/>
      <c r="U102" s="4"/>
      <c r="V102" s="4"/>
      <c r="W102" s="4"/>
      <c r="X102" s="4"/>
      <c r="Y102" s="4"/>
      <c r="Z102" s="4"/>
    </row>
    <row r="103">
      <c r="A103" s="9" t="s">
        <v>349</v>
      </c>
      <c r="B103" s="10" t="str">
        <f>'1조'!B$25</f>
        <v>0</v>
      </c>
      <c r="C103" s="11" t="str">
        <f>'1조'!C25</f>
        <v>[+] 정보의 일관성: 여러 기능이 같은 데이터 원천을 기준으로 정보를 제공하므로, 사용자에게 기능마다 서로 다른 기준의 정보를 보여 주는 문제를 줄이는 데 유리하다.
[N/A] 화면·조작 방식의 직접 영향: 공유 저장소 구조 자체는 화면 구성, 입력 절차, 도움말 등을 정의하지 않으므로 해당 사용성은 별도 사용자 인터페이스 설계에 따라 달라진다.</v>
      </c>
      <c r="D103" s="10" t="str">
        <f>'1조'!D$25</f>
        <v>0</v>
      </c>
      <c r="E103" s="11" t="str">
        <f>'1조'!E25</f>
        <v>[+] 점진적 결과 제공 — 조건부 해석: 부분 결과를 활용할 수 있는 사용자 작업에서는 전체 데이터의 처리가 끝나기 전에 결과를 전달할 수 있어 대기 부담을 줄일 수 있다.
[-] 대화형 입출력의 제약: 데이터 스트림의 변환에 초점을 둔 구조이므로, 사용자 입력에 따라 요청과 응답을 반복하는 복잡한 대화형 작업에는 적합하지 않다.</v>
      </c>
      <c r="F103" s="12" t="s">
        <v>351</v>
      </c>
      <c r="G103" s="4"/>
      <c r="H103" s="4"/>
      <c r="I103" s="4"/>
      <c r="J103" s="4"/>
      <c r="K103" s="4"/>
      <c r="L103" s="4"/>
      <c r="M103" s="4"/>
      <c r="N103" s="4"/>
      <c r="O103" s="4"/>
      <c r="P103" s="4"/>
      <c r="Q103" s="4"/>
      <c r="R103" s="4"/>
      <c r="S103" s="4"/>
      <c r="T103" s="4"/>
      <c r="U103" s="4"/>
      <c r="V103" s="4"/>
      <c r="W103" s="4"/>
      <c r="X103" s="4"/>
      <c r="Y103" s="4"/>
      <c r="Z103" s="4"/>
    </row>
    <row r="104">
      <c r="A104" s="9" t="s">
        <v>353</v>
      </c>
      <c r="B104" s="10" t="str">
        <f>'2조'!B$25</f>
        <v>0</v>
      </c>
      <c r="C104" s="13" t="str">
        <f>'2조'!C$25</f>
        <v>사용자 접점과 직접 관계가 없다 — 화면 구성은 이 스타일이 정하지 않는다</v>
      </c>
      <c r="D104" s="10" t="str">
        <f>'2조'!D$25</f>
        <v>0</v>
      </c>
      <c r="E104" s="13" t="str">
        <f>'2조'!E$25</f>
        <v>여러 Knowledge Source의 결과를 결합할 수 있지만 근사 결과와 완료 시점의 불확실성은 사용자 혼란을 줄 수 있다. 직접적인 UI 개선을 보장하지 않아 중립으로 평가한다. [설계 PDF p.62–67]</v>
      </c>
      <c r="G104" s="4"/>
      <c r="H104" s="4"/>
      <c r="I104" s="4"/>
      <c r="J104" s="4"/>
      <c r="K104" s="4"/>
      <c r="L104" s="4"/>
      <c r="M104" s="4"/>
      <c r="N104" s="4"/>
      <c r="O104" s="4"/>
      <c r="P104" s="4"/>
      <c r="Q104" s="4"/>
      <c r="R104" s="4"/>
      <c r="S104" s="4"/>
      <c r="T104" s="4"/>
      <c r="U104" s="4"/>
      <c r="V104" s="4"/>
      <c r="W104" s="4"/>
      <c r="X104" s="4"/>
      <c r="Y104" s="4"/>
      <c r="Z104" s="4"/>
    </row>
    <row r="105">
      <c r="A105" s="9" t="s">
        <v>355</v>
      </c>
      <c r="B105" s="10" t="str">
        <f>'3조'!B$25</f>
        <v>+</v>
      </c>
      <c r="C105" s="19" t="str">
        <f>'3조'!C$25</f>
        <v>모든 클라이언트가 일관된 최신 데이터를 조회하므로 데이터 정합성에 기반한 사용자 경험의 일관성이 보장됩니다.</v>
      </c>
      <c r="D105" s="10" t="str">
        <f>'3조'!D$25</f>
        <v>0</v>
      </c>
      <c r="E105" s="13" t="str">
        <f>'3조'!E$25</f>
        <v>Blackboard는 내부 추론 구조라 UI나 사용자 작업 흐름을 직접 개선하는 스타일은 아니다.</v>
      </c>
      <c r="G105" s="4"/>
      <c r="H105" s="4"/>
      <c r="I105" s="4"/>
      <c r="J105" s="4"/>
      <c r="K105" s="4"/>
      <c r="L105" s="4"/>
      <c r="M105" s="4"/>
      <c r="N105" s="4"/>
      <c r="O105" s="4"/>
      <c r="P105" s="4"/>
      <c r="Q105" s="4"/>
      <c r="R105" s="4"/>
      <c r="S105" s="4"/>
      <c r="T105" s="4"/>
      <c r="U105" s="4"/>
      <c r="V105" s="4"/>
      <c r="W105" s="4"/>
      <c r="X105" s="4"/>
      <c r="Y105" s="4"/>
      <c r="Z105" s="4"/>
    </row>
    <row r="106">
      <c r="A106" s="9" t="s">
        <v>358</v>
      </c>
      <c r="B106" s="10" t="str">
        <f>'4조'!B$25</f>
        <v>0</v>
      </c>
      <c r="C106" s="13" t="str">
        <f>'4조'!C$25</f>
        <v>Shared Repository는 내부 데이터 관리 구조이므로 사용자의 UI나 사용 편의성에 직접적인 영향은 크지 않다.</v>
      </c>
      <c r="D106" s="10" t="str">
        <f>'4조'!D$25</f>
        <v>0</v>
      </c>
      <c r="E106" s="13" t="str">
        <f>'4조'!E$25</f>
        <v>Blackboard는 내부 문제 해결 구조이므로 사용자 인터페이스나 사용 편의성에 직접적인 영향은 크지 않다.</v>
      </c>
      <c r="G106" s="4"/>
      <c r="H106" s="4"/>
      <c r="I106" s="4"/>
      <c r="J106" s="4"/>
      <c r="K106" s="4"/>
      <c r="L106" s="4"/>
      <c r="M106" s="4"/>
      <c r="N106" s="4"/>
      <c r="O106" s="4"/>
      <c r="P106" s="4"/>
      <c r="Q106" s="4"/>
      <c r="R106" s="4"/>
      <c r="S106" s="4"/>
      <c r="T106" s="4"/>
      <c r="U106" s="4"/>
      <c r="V106" s="4"/>
      <c r="W106" s="4"/>
      <c r="X106" s="4"/>
      <c r="Y106" s="4"/>
      <c r="Z106" s="4"/>
    </row>
    <row r="107">
      <c r="A107" s="9" t="s">
        <v>363</v>
      </c>
      <c r="B107" s="10" t="str">
        <f>'5조'!B$25</f>
        <v>0</v>
      </c>
      <c r="C107" s="13" t="str">
        <f>'5조'!C$25</f>
        <v>데이터 공유 구조 자체는 사용자 조작 편의성을 결정하지 않음</v>
      </c>
      <c r="D107" s="10" t="str">
        <f>'5조'!D$25</f>
        <v>0</v>
      </c>
      <c r="E107" s="13" t="str">
        <f>'5조'!E$25</f>
        <v>내부 구조이므로 최종 사용자에 영향이 없다.</v>
      </c>
      <c r="G107" s="4"/>
      <c r="H107" s="4"/>
      <c r="I107" s="4"/>
      <c r="J107" s="4"/>
      <c r="K107" s="4"/>
      <c r="L107" s="4"/>
      <c r="M107" s="4"/>
      <c r="N107" s="4"/>
      <c r="O107" s="4"/>
      <c r="P107" s="4"/>
      <c r="Q107" s="4"/>
      <c r="R107" s="4"/>
      <c r="S107" s="4"/>
      <c r="T107" s="4"/>
      <c r="U107" s="4"/>
      <c r="V107" s="4"/>
      <c r="W107" s="4"/>
      <c r="X107" s="4"/>
      <c r="Y107" s="4"/>
      <c r="Z107" s="4"/>
    </row>
    <row r="108">
      <c r="A108" s="9" t="s">
        <v>367</v>
      </c>
      <c r="B108" s="10" t="str">
        <f>'6조'!B$25</f>
        <v>+</v>
      </c>
      <c r="C108" s="13" t="str">
        <f>'6조'!C$25</f>
        <v>client가 원하는 동작을 repo 대상으로 그냥 하면 되기 때문에 사용성이 좋다</v>
      </c>
      <c r="D108" s="10" t="str">
        <f>'6조'!D$25</f>
        <v>0</v>
      </c>
      <c r="E108" s="13" t="str">
        <f>'6조'!E$25</f>
        <v>내부 구조 스타일이라 사용자 인터페이스와 무관</v>
      </c>
      <c r="G108" s="4"/>
      <c r="H108" s="4"/>
      <c r="I108" s="4"/>
      <c r="J108" s="4"/>
      <c r="K108" s="4"/>
      <c r="L108" s="4"/>
      <c r="M108" s="4"/>
      <c r="N108" s="4"/>
      <c r="O108" s="4"/>
      <c r="P108" s="4"/>
      <c r="Q108" s="4"/>
      <c r="R108" s="4"/>
      <c r="S108" s="4"/>
      <c r="T108" s="4"/>
      <c r="U108" s="4"/>
      <c r="V108" s="4"/>
      <c r="W108" s="4"/>
      <c r="X108" s="4"/>
      <c r="Y108" s="4"/>
      <c r="Z108" s="4"/>
    </row>
    <row r="109">
      <c r="A109" s="9" t="s">
        <v>370</v>
      </c>
      <c r="B109" s="10" t="str">
        <f>'7조'!B$25</f>
        <v/>
      </c>
      <c r="C109" s="13" t="str">
        <f>'7조'!C$25</f>
        <v>7조 - Shared Respository - Usability</v>
      </c>
      <c r="D109" s="10" t="str">
        <f>'7조'!D$25</f>
        <v/>
      </c>
      <c r="E109" s="13" t="str">
        <f>'7조'!E$25</f>
        <v>7조 - Blackboard - Usability</v>
      </c>
      <c r="F109" s="4"/>
      <c r="G109" s="4"/>
      <c r="H109" s="4"/>
      <c r="I109" s="4"/>
      <c r="J109" s="4"/>
      <c r="K109" s="4"/>
      <c r="L109" s="4"/>
      <c r="M109" s="4"/>
      <c r="N109" s="4"/>
      <c r="O109" s="4"/>
      <c r="P109" s="4"/>
      <c r="Q109" s="4"/>
      <c r="R109" s="4"/>
      <c r="S109" s="4"/>
      <c r="T109" s="4"/>
      <c r="U109" s="4"/>
      <c r="V109" s="4"/>
      <c r="W109" s="4"/>
      <c r="X109" s="4"/>
      <c r="Y109" s="4"/>
      <c r="Z109" s="4"/>
    </row>
    <row r="110">
      <c r="A110" s="9" t="s">
        <v>373</v>
      </c>
      <c r="B110" s="10" t="str">
        <f>'8조'!B$25</f>
        <v/>
      </c>
      <c r="C110" s="13" t="str">
        <f>'8조'!C$25</f>
        <v>8조 - Shared Respository - Usability</v>
      </c>
      <c r="D110" s="10" t="str">
        <f>'8조'!D$25</f>
        <v/>
      </c>
      <c r="E110" s="13" t="str">
        <f>'8조'!E$25</f>
        <v>8조 - Blackboard - Usability</v>
      </c>
      <c r="F110" s="4"/>
      <c r="G110" s="4"/>
      <c r="H110" s="4"/>
      <c r="I110" s="4"/>
      <c r="J110" s="4"/>
      <c r="K110" s="4"/>
      <c r="L110" s="4"/>
      <c r="M110" s="4"/>
      <c r="N110" s="4"/>
      <c r="O110" s="4"/>
      <c r="P110" s="4"/>
      <c r="Q110" s="4"/>
      <c r="R110" s="4"/>
      <c r="S110" s="4"/>
      <c r="T110" s="4"/>
      <c r="U110" s="4"/>
      <c r="V110" s="4"/>
      <c r="W110" s="4"/>
      <c r="X110" s="4"/>
      <c r="Y110" s="4"/>
      <c r="Z110" s="4"/>
    </row>
    <row r="111">
      <c r="A111" s="9" t="s">
        <v>377</v>
      </c>
      <c r="B111" s="10" t="str">
        <f>'9조'!B$25</f>
        <v/>
      </c>
      <c r="C111" s="13" t="str">
        <f>'9조'!C$25</f>
        <v>9조 - Shared Respository - Usability</v>
      </c>
      <c r="D111" s="10" t="str">
        <f>'9조'!D$25</f>
        <v/>
      </c>
      <c r="E111" s="13" t="str">
        <f>'9조'!E$25</f>
        <v>9조 - Blackboard - Usability</v>
      </c>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F59:F64"/>
    <mergeCell ref="F70:F75"/>
    <mergeCell ref="F81:F86"/>
    <mergeCell ref="F92:F97"/>
    <mergeCell ref="F103:F108"/>
    <mergeCell ref="A1:A2"/>
    <mergeCell ref="B1:C1"/>
    <mergeCell ref="D1:E1"/>
    <mergeCell ref="F15:F18"/>
    <mergeCell ref="F26:F31"/>
    <mergeCell ref="F37:F42"/>
    <mergeCell ref="F48:F53"/>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9.14"/>
    <col customWidth="1" min="2" max="2" width="7.71"/>
    <col customWidth="1" min="3" max="3" width="51.0"/>
    <col customWidth="1" min="4" max="4" width="7.71"/>
    <col customWidth="1" min="5" max="5" width="49.0"/>
    <col customWidth="1" min="6" max="6" width="41.14"/>
  </cols>
  <sheetData>
    <row r="1">
      <c r="A1" s="1" t="s">
        <v>4</v>
      </c>
      <c r="B1" s="2" t="s">
        <v>6</v>
      </c>
      <c r="C1" s="3"/>
      <c r="D1" s="2" t="s">
        <v>9</v>
      </c>
      <c r="E1" s="3"/>
      <c r="F1" s="4"/>
      <c r="G1" s="4"/>
      <c r="H1" s="4"/>
      <c r="I1" s="4"/>
      <c r="J1" s="4"/>
      <c r="K1" s="4"/>
      <c r="L1" s="4"/>
      <c r="M1" s="4"/>
      <c r="N1" s="4"/>
      <c r="O1" s="4"/>
      <c r="P1" s="4"/>
      <c r="Q1" s="4"/>
      <c r="R1" s="4"/>
      <c r="S1" s="4"/>
      <c r="T1" s="4"/>
      <c r="U1" s="4"/>
      <c r="V1" s="4"/>
      <c r="W1" s="4"/>
      <c r="X1" s="4"/>
      <c r="Y1" s="4"/>
      <c r="Z1" s="4"/>
    </row>
    <row r="2">
      <c r="A2" s="5"/>
      <c r="B2" s="6" t="s">
        <v>11</v>
      </c>
      <c r="C2" s="6" t="s">
        <v>12</v>
      </c>
      <c r="D2" s="6" t="s">
        <v>11</v>
      </c>
      <c r="E2" s="6" t="s">
        <v>12</v>
      </c>
      <c r="F2" s="4"/>
      <c r="G2" s="4"/>
      <c r="H2" s="4"/>
      <c r="I2" s="4"/>
      <c r="J2" s="4"/>
      <c r="K2" s="4"/>
      <c r="L2" s="4"/>
      <c r="M2" s="4"/>
      <c r="N2" s="4"/>
      <c r="O2" s="4"/>
      <c r="P2" s="4"/>
      <c r="Q2" s="4"/>
      <c r="R2" s="4"/>
      <c r="S2" s="4"/>
      <c r="T2" s="4"/>
      <c r="U2" s="4"/>
      <c r="V2" s="4"/>
      <c r="W2" s="4"/>
      <c r="X2" s="4"/>
      <c r="Y2" s="4"/>
      <c r="Z2" s="4"/>
    </row>
    <row r="3" ht="15.0" customHeight="1">
      <c r="A3" s="7" t="s">
        <v>14</v>
      </c>
      <c r="B3" s="7" t="str">
        <f>'Detailed Reasoning'!B$29</f>
        <v/>
      </c>
      <c r="C3" s="7" t="str">
        <f>'Detailed Reasoning'!C$29</f>
        <v/>
      </c>
      <c r="D3" s="7" t="str">
        <f>'Detailed Reasoning'!D$29</f>
        <v/>
      </c>
      <c r="E3" s="7" t="str">
        <f>'Detailed Reasoning'!E$29</f>
        <v/>
      </c>
      <c r="F3" s="4"/>
      <c r="G3" s="4"/>
      <c r="H3" s="4"/>
      <c r="I3" s="4"/>
      <c r="J3" s="4"/>
      <c r="K3" s="4"/>
      <c r="L3" s="4"/>
      <c r="M3" s="4"/>
      <c r="N3" s="4"/>
      <c r="O3" s="4"/>
      <c r="P3" s="4"/>
      <c r="Q3" s="4"/>
      <c r="R3" s="4"/>
      <c r="S3" s="4"/>
      <c r="T3" s="4"/>
      <c r="U3" s="4"/>
      <c r="V3" s="4"/>
      <c r="W3" s="4"/>
      <c r="X3" s="4"/>
      <c r="Y3" s="4"/>
      <c r="Z3" s="4"/>
    </row>
    <row r="4">
      <c r="A4" s="9" t="s">
        <v>29</v>
      </c>
      <c r="B4" s="10" t="str">
        <f>'1조'!B$29</f>
        <v>+</v>
      </c>
      <c r="C4" s="11" t="str">
        <f>'1조'!C29</f>
        <v>[+] 송수신자 분리: Event Publisher와 Subscriber가 분리되어 특정 Subscriber의 장애가 Publisher나 다른 Subscriber에 직접 영향을 주지 않는다.
[-] Event 유실: Subscriber가 장애 상태이거나 Event를 처리할 수 없는 경우 Buffer가 없기 때문에 Event가 유실될 수 있다.</v>
      </c>
      <c r="D4" s="10" t="str">
        <f>'1조'!D$29</f>
        <v>0</v>
      </c>
      <c r="E4" s="11" t="str">
        <f>'1조'!E29</f>
        <v>[+] 장애 격리: Producer와 Consumer가 분리되어 Consumer의 일시적인 장애가 Producer에 직접 영향을 주지 않는다.
[+] 재처리 가능: 처리에 실패한 Message를 다시 처리하도록 구성할 수 있어 장애 복구에 유리하다.
[-] Broker 장애: 중앙 Message Broker 자체에 장애가 발생하면 Message 전달에 영향을 줄 수 있다.</v>
      </c>
      <c r="F4" s="12" t="s">
        <v>32</v>
      </c>
      <c r="G4" s="4"/>
      <c r="H4" s="4"/>
      <c r="I4" s="4"/>
      <c r="J4" s="4"/>
      <c r="K4" s="4"/>
      <c r="L4" s="4"/>
      <c r="M4" s="4"/>
      <c r="N4" s="4"/>
      <c r="O4" s="4"/>
      <c r="P4" s="4"/>
      <c r="Q4" s="4"/>
      <c r="R4" s="4"/>
      <c r="S4" s="4"/>
      <c r="T4" s="4"/>
      <c r="U4" s="4"/>
      <c r="V4" s="4"/>
      <c r="W4" s="4"/>
      <c r="X4" s="4"/>
      <c r="Y4" s="4"/>
      <c r="Z4" s="4"/>
    </row>
    <row r="5">
      <c r="A5" s="9" t="s">
        <v>35</v>
      </c>
      <c r="B5" s="10" t="str">
        <f>'2조'!B$29</f>
        <v>-</v>
      </c>
      <c r="C5" s="13" t="str">
        <f>'2조'!C$29</f>
        <v>listener 가 없거나 죽으면 그 event 는 처리되지 않고 사라진다 — 버퍼가 없어 되돌릴 수 없다</v>
      </c>
      <c r="D5" s="10" t="str">
        <f>'2조'!D$29</f>
        <v>++</v>
      </c>
      <c r="E5" s="13" t="str">
        <f>'2조'!E$29</f>
        <v>producer 와 consumer 가 시간으로 분리되어(time independence) 한쪽이 멈춰도 message 가 buffer 에 남아 있다</v>
      </c>
      <c r="G5" s="4"/>
      <c r="H5" s="4"/>
      <c r="I5" s="4"/>
      <c r="J5" s="4"/>
      <c r="K5" s="4"/>
      <c r="L5" s="4"/>
      <c r="M5" s="4"/>
      <c r="N5" s="4"/>
      <c r="O5" s="4"/>
      <c r="P5" s="4"/>
      <c r="Q5" s="4"/>
      <c r="R5" s="4"/>
      <c r="S5" s="4"/>
      <c r="T5" s="4"/>
      <c r="U5" s="4"/>
      <c r="V5" s="4"/>
      <c r="W5" s="4"/>
      <c r="X5" s="4"/>
      <c r="Y5" s="4"/>
      <c r="Z5" s="4"/>
    </row>
    <row r="6">
      <c r="A6" s="9" t="s">
        <v>37</v>
      </c>
      <c r="B6" s="10" t="str">
        <f>'3조'!B$29</f>
        <v>-</v>
      </c>
      <c r="C6" s="13" t="str">
        <f>'3조'!C$29</f>
        <v>Buffer 없이 Listener를 동기적으로 호출하므로 Listener의 장애나 지연이 Event 처리 흐름에 직접 영향을 미치며, Receiver 장애 시 Event를 저장하여 나중에 처리하는 기능도 제공하지 않는다.</v>
      </c>
      <c r="D6" s="10" t="str">
        <f>'3조'!D$29</f>
        <v>++</v>
      </c>
      <c r="E6" s="13" t="str">
        <f>'3조'!E$29</f>
        <v>producer와 consumer가 decouple 되어 동시에 살아 있지 않아도 되고, 메시지 신뢰성 설정도 가능하므로 Availiability에 유리함</v>
      </c>
      <c r="G6" s="4"/>
      <c r="H6" s="4"/>
      <c r="I6" s="4"/>
      <c r="J6" s="4"/>
      <c r="K6" s="4"/>
      <c r="L6" s="4"/>
      <c r="M6" s="4"/>
      <c r="N6" s="4"/>
      <c r="O6" s="4"/>
      <c r="P6" s="4"/>
      <c r="Q6" s="4"/>
      <c r="R6" s="4"/>
      <c r="S6" s="4"/>
      <c r="T6" s="4"/>
      <c r="U6" s="4"/>
      <c r="V6" s="4"/>
      <c r="W6" s="4"/>
      <c r="X6" s="4"/>
      <c r="Y6" s="4"/>
      <c r="Z6" s="4"/>
    </row>
    <row r="7">
      <c r="A7" s="9" t="s">
        <v>42</v>
      </c>
      <c r="B7" s="10" t="str">
        <f>'4조'!B$29</f>
        <v>-</v>
      </c>
      <c r="C7" s="13" t="str">
        <f>'4조'!C$29</f>
        <v>받는 기능이 멈춰 있으면 이벤트를 놓칠 수 있고, 복구 후 다시 전달하기 어렵다.</v>
      </c>
      <c r="D7" s="10" t="str">
        <f>'4조'!D$29</f>
        <v>++</v>
      </c>
      <c r="E7" s="13" t="str">
        <f>'4조'!E$29</f>
        <v>큐가 송수신자를 시간적으로 분리해 소비자가 죽어도 메시지가 유실되지 않고 복구 후 처리가 이어진다. 대신 브로커 자체가 이중화가 필요한 핵심 요소가 된다.</v>
      </c>
      <c r="G7" s="4"/>
      <c r="H7" s="4"/>
      <c r="I7" s="4"/>
      <c r="J7" s="4"/>
      <c r="K7" s="4"/>
      <c r="L7" s="4"/>
      <c r="M7" s="4"/>
      <c r="N7" s="4"/>
      <c r="O7" s="4"/>
      <c r="P7" s="4"/>
      <c r="Q7" s="4"/>
      <c r="R7" s="4"/>
      <c r="S7" s="4"/>
      <c r="T7" s="4"/>
      <c r="U7" s="4"/>
      <c r="V7" s="4"/>
      <c r="W7" s="4"/>
      <c r="X7" s="4"/>
      <c r="Y7" s="4"/>
      <c r="Z7" s="4"/>
    </row>
    <row r="8">
      <c r="A8" s="9" t="s">
        <v>45</v>
      </c>
      <c r="B8" s="10" t="str">
        <f>'5조'!B$29</f>
        <v>-</v>
      </c>
      <c r="C8" s="13" t="str">
        <f>'5조'!C$29</f>
        <v>수신 측이 다운되어 있을 동안 발생한 이벤트가 손실될 가능성이 있다.</v>
      </c>
      <c r="D8" s="10" t="str">
        <f>'5조'!D$29</f>
        <v>++</v>
      </c>
      <c r="E8" s="13" t="str">
        <f>'5조'!E$29</f>
        <v>수신 측이 다운되어 있더라도 메시지가 버퍼에 보존되기 때문에 이벤트 손실의 가능성이 적다. </v>
      </c>
      <c r="G8" s="4"/>
      <c r="H8" s="4"/>
      <c r="I8" s="4"/>
      <c r="J8" s="4"/>
      <c r="K8" s="4"/>
      <c r="L8" s="4"/>
      <c r="M8" s="4"/>
      <c r="N8" s="4"/>
      <c r="O8" s="4"/>
      <c r="P8" s="4"/>
      <c r="Q8" s="4"/>
      <c r="R8" s="4"/>
      <c r="S8" s="4"/>
      <c r="T8" s="4"/>
      <c r="U8" s="4"/>
      <c r="V8" s="4"/>
      <c r="W8" s="4"/>
      <c r="X8" s="4"/>
      <c r="Y8" s="4"/>
      <c r="Z8" s="4"/>
    </row>
    <row r="9">
      <c r="A9" s="9" t="s">
        <v>48</v>
      </c>
      <c r="B9" s="10" t="str">
        <f>'6조'!B$29</f>
        <v>--</v>
      </c>
      <c r="C9" s="13" t="str">
        <f>'6조'!C$29</f>
        <v>producer가 어느 한 custormer에 잡혀있을 경우 producer 가 블로킹된다.</v>
      </c>
      <c r="D9" s="10" t="str">
        <f>'6조'!D$29</f>
        <v>+</v>
      </c>
      <c r="E9" s="13" t="str">
        <f>'6조'!E$29</f>
        <v>메시지가 버퍼에 저장되므로 Consumer가 일시적으로 중단되어도 복구 후 처리를 계속할 수 있다.</v>
      </c>
      <c r="G9" s="4"/>
      <c r="H9" s="4"/>
      <c r="I9" s="4"/>
      <c r="J9" s="4"/>
      <c r="K9" s="4"/>
      <c r="L9" s="4"/>
      <c r="M9" s="4"/>
      <c r="N9" s="4"/>
      <c r="O9" s="4"/>
      <c r="P9" s="4"/>
      <c r="Q9" s="4"/>
      <c r="R9" s="4"/>
      <c r="S9" s="4"/>
      <c r="T9" s="4"/>
      <c r="U9" s="4"/>
      <c r="V9" s="4"/>
      <c r="W9" s="4"/>
      <c r="X9" s="4"/>
      <c r="Y9" s="4"/>
      <c r="Z9" s="4"/>
    </row>
    <row r="10">
      <c r="A10" s="9" t="s">
        <v>49</v>
      </c>
      <c r="B10" s="10" t="str">
        <f>'7조'!B$29</f>
        <v/>
      </c>
      <c r="C10" s="13" t="str">
        <f>'7조'!C$29</f>
        <v>7조 - Non-Buffered Event Based - Availability</v>
      </c>
      <c r="D10" s="10" t="str">
        <f>'7조'!D$29</f>
        <v/>
      </c>
      <c r="E10" s="13" t="str">
        <f>'7조'!E$29</f>
        <v>7조 - Buffered Message Based - Availability</v>
      </c>
      <c r="F10" s="4"/>
      <c r="G10" s="4"/>
      <c r="H10" s="4"/>
      <c r="I10" s="4"/>
      <c r="J10" s="4"/>
      <c r="K10" s="4"/>
      <c r="L10" s="4"/>
      <c r="M10" s="4"/>
      <c r="N10" s="4"/>
      <c r="O10" s="4"/>
      <c r="P10" s="4"/>
      <c r="Q10" s="4"/>
      <c r="R10" s="4"/>
      <c r="S10" s="4"/>
      <c r="T10" s="4"/>
      <c r="U10" s="4"/>
      <c r="V10" s="4"/>
      <c r="W10" s="4"/>
      <c r="X10" s="4"/>
      <c r="Y10" s="4"/>
      <c r="Z10" s="4"/>
    </row>
    <row r="11">
      <c r="A11" s="9" t="s">
        <v>53</v>
      </c>
      <c r="B11" s="10" t="str">
        <f>'8조'!B$29</f>
        <v/>
      </c>
      <c r="C11" s="13" t="str">
        <f>'8조'!C$29</f>
        <v>8조 - Non-Buffered Event Based - Availability</v>
      </c>
      <c r="D11" s="10" t="str">
        <f>'8조'!D$29</f>
        <v/>
      </c>
      <c r="E11" s="13" t="str">
        <f>'8조'!E$29</f>
        <v>8조 - Buffered Message Based - Availability</v>
      </c>
      <c r="F11" s="4"/>
      <c r="G11" s="4"/>
      <c r="H11" s="4"/>
      <c r="I11" s="4"/>
      <c r="J11" s="4"/>
      <c r="K11" s="4"/>
      <c r="L11" s="4"/>
      <c r="M11" s="4"/>
      <c r="N11" s="4"/>
      <c r="O11" s="4"/>
      <c r="P11" s="4"/>
      <c r="Q11" s="4"/>
      <c r="R11" s="4"/>
      <c r="S11" s="4"/>
      <c r="T11" s="4"/>
      <c r="U11" s="4"/>
      <c r="V11" s="4"/>
      <c r="W11" s="4"/>
      <c r="X11" s="4"/>
      <c r="Y11" s="4"/>
      <c r="Z11" s="4"/>
    </row>
    <row r="12">
      <c r="A12" s="9" t="s">
        <v>59</v>
      </c>
      <c r="B12" s="10" t="str">
        <f>'9조'!B$29</f>
        <v/>
      </c>
      <c r="C12" s="13" t="str">
        <f>'9조'!C$29</f>
        <v>9조 - Non-Buffered Event Based - Availability</v>
      </c>
      <c r="D12" s="10" t="str">
        <f>'9조'!D$29</f>
        <v/>
      </c>
      <c r="E12" s="13" t="str">
        <f>'9조'!E$29</f>
        <v>9조 - Buffered Message Based - Availability</v>
      </c>
      <c r="F12" s="4"/>
      <c r="G12" s="4"/>
      <c r="H12" s="4"/>
      <c r="I12" s="4"/>
      <c r="J12" s="4"/>
      <c r="K12" s="4"/>
      <c r="L12" s="4"/>
      <c r="M12" s="4"/>
      <c r="N12" s="4"/>
      <c r="O12" s="4"/>
      <c r="P12" s="4"/>
      <c r="Q12" s="4"/>
      <c r="R12" s="4"/>
      <c r="S12" s="4"/>
      <c r="T12" s="4"/>
      <c r="U12" s="4"/>
      <c r="V12" s="4"/>
      <c r="W12" s="4"/>
      <c r="X12" s="4"/>
      <c r="Y12" s="4"/>
      <c r="Z12" s="4"/>
    </row>
    <row r="13">
      <c r="A13" s="11"/>
      <c r="B13" s="14"/>
      <c r="C13" s="11"/>
      <c r="D13" s="14"/>
      <c r="E13" s="11"/>
      <c r="F13" s="4"/>
      <c r="G13" s="4"/>
      <c r="H13" s="4"/>
      <c r="I13" s="4"/>
      <c r="J13" s="4"/>
      <c r="K13" s="4"/>
      <c r="L13" s="4"/>
      <c r="M13" s="4"/>
      <c r="N13" s="4"/>
      <c r="O13" s="4"/>
      <c r="P13" s="4"/>
      <c r="Q13" s="4"/>
      <c r="R13" s="4"/>
      <c r="S13" s="4"/>
      <c r="T13" s="4"/>
      <c r="U13" s="4"/>
      <c r="V13" s="4"/>
      <c r="W13" s="4"/>
      <c r="X13" s="4"/>
      <c r="Y13" s="4"/>
      <c r="Z13" s="4"/>
    </row>
    <row r="14" ht="15.0" customHeight="1">
      <c r="A14" s="7" t="s">
        <v>47</v>
      </c>
      <c r="B14" s="7" t="str">
        <f>'Detailed Reasoning'!B$30</f>
        <v/>
      </c>
      <c r="C14" s="7" t="str">
        <f>'Detailed Reasoning'!C$30</f>
        <v/>
      </c>
      <c r="D14" s="7" t="str">
        <f>'Detailed Reasoning'!D$30</f>
        <v/>
      </c>
      <c r="E14" s="7" t="str">
        <f>'Detailed Reasoning'!E$30</f>
        <v/>
      </c>
      <c r="F14" s="4"/>
      <c r="G14" s="4"/>
      <c r="H14" s="4"/>
      <c r="I14" s="4"/>
      <c r="J14" s="4"/>
      <c r="K14" s="4"/>
      <c r="L14" s="4"/>
      <c r="M14" s="4"/>
      <c r="N14" s="4"/>
      <c r="O14" s="4"/>
      <c r="P14" s="4"/>
      <c r="Q14" s="4"/>
      <c r="R14" s="4"/>
      <c r="S14" s="4"/>
      <c r="T14" s="4"/>
      <c r="U14" s="4"/>
      <c r="V14" s="4"/>
      <c r="W14" s="4"/>
      <c r="X14" s="4"/>
      <c r="Y14" s="4"/>
      <c r="Z14" s="4"/>
    </row>
    <row r="15">
      <c r="A15" s="9" t="s">
        <v>67</v>
      </c>
      <c r="B15" s="10" t="str">
        <f>'1조'!B$30</f>
        <v>+</v>
      </c>
      <c r="C15" s="11" t="str">
        <f>'1조'!C30</f>
        <v>[+] 컴포넌트 독립성: Publisher와 Subscriber가 직접 연결되지 않아 개별적으로 변경·배포하기 쉽다.
[+] Subscriber 추가: 기존 Publisher를 변경하지 않고 새로운 Subscriber를 추가하여 배포할 수 있다.</v>
      </c>
      <c r="D15" s="10" t="str">
        <f>'1조'!D$30</f>
        <v>-</v>
      </c>
      <c r="E15" s="11" t="str">
        <f>'1조'!E30</f>
        <v>[+] 독립 배포: Producer와 Consumer가 Message Queue를 통해 분리되어 각각 독립적으로 배포하기 쉽다.
[-] Broker 관리: Message Broker 자체에 대한 별도의 배포와 운영이 필요하다.</v>
      </c>
      <c r="F15" s="12" t="s">
        <v>70</v>
      </c>
      <c r="G15" s="4"/>
      <c r="H15" s="4"/>
      <c r="I15" s="4"/>
      <c r="J15" s="4"/>
      <c r="K15" s="4"/>
      <c r="L15" s="4"/>
      <c r="M15" s="4"/>
      <c r="N15" s="4"/>
      <c r="O15" s="4"/>
      <c r="P15" s="4"/>
      <c r="Q15" s="4"/>
      <c r="R15" s="4"/>
      <c r="S15" s="4"/>
      <c r="T15" s="4"/>
      <c r="U15" s="4"/>
      <c r="V15" s="4"/>
      <c r="W15" s="4"/>
      <c r="X15" s="4"/>
      <c r="Y15" s="4"/>
      <c r="Z15" s="4"/>
    </row>
    <row r="16">
      <c r="A16" s="9" t="s">
        <v>73</v>
      </c>
      <c r="B16" s="10" t="str">
        <f>'2조'!B$30</f>
        <v>0</v>
      </c>
      <c r="C16" s="13" t="str">
        <f>'2조'!C$30</f>
        <v>대개 단일 애플리케이션(UI 프레임워크, IDE 도구 등) 내부 모듈 단위로 빌드 및 패키징되므로 배포 용이성에 미치는 직접적 영향은 중립적임.</v>
      </c>
      <c r="D16" s="10" t="str">
        <f>'2조'!D$30</f>
        <v>++</v>
      </c>
      <c r="E16" s="13" t="str">
        <f>'2조'!E$30</f>
        <v>consumer 를 내렸다 올려도 그 사이 message 가 쌓여 있어 무중단 배포가 쉽다</v>
      </c>
      <c r="G16" s="4"/>
      <c r="H16" s="4"/>
      <c r="I16" s="4"/>
      <c r="J16" s="4"/>
      <c r="K16" s="4"/>
      <c r="L16" s="4"/>
      <c r="M16" s="4"/>
      <c r="N16" s="4"/>
      <c r="O16" s="4"/>
      <c r="P16" s="4"/>
      <c r="Q16" s="4"/>
      <c r="R16" s="4"/>
      <c r="S16" s="4"/>
      <c r="T16" s="4"/>
      <c r="U16" s="4"/>
      <c r="V16" s="4"/>
      <c r="W16" s="4"/>
      <c r="X16" s="4"/>
      <c r="Y16" s="4"/>
      <c r="Z16" s="4"/>
    </row>
    <row r="17">
      <c r="A17" s="9" t="s">
        <v>76</v>
      </c>
      <c r="B17" s="10" t="str">
        <f>'3조'!B$30</f>
        <v>0</v>
      </c>
      <c r="C17" s="13" t="str">
        <f>'3조'!C$30</f>
        <v>Listener를 추가·교체하기는 쉽지만 일반적으로 Event Source와 Listener가 동일 프로세스/배포 단위에 포함되므로 독립 배포 효과는 제한적이다.</v>
      </c>
      <c r="D17" s="10" t="str">
        <f>'3조'!D$30</f>
        <v>++</v>
      </c>
      <c r="E17" s="13" t="str">
        <f>'3조'!E$30</f>
        <v>producer와 consumer가 decouple 되어, 각각 개별적으로 배포, 업그레이드가 가능하므로 deployability에 유리함</v>
      </c>
      <c r="G17" s="4"/>
      <c r="H17" s="4"/>
      <c r="I17" s="4"/>
      <c r="J17" s="4"/>
      <c r="K17" s="4"/>
      <c r="L17" s="4"/>
      <c r="M17" s="4"/>
      <c r="N17" s="4"/>
      <c r="O17" s="4"/>
      <c r="P17" s="4"/>
      <c r="Q17" s="4"/>
      <c r="R17" s="4"/>
      <c r="S17" s="4"/>
      <c r="T17" s="4"/>
      <c r="U17" s="4"/>
      <c r="V17" s="4"/>
      <c r="W17" s="4"/>
      <c r="X17" s="4"/>
      <c r="Y17" s="4"/>
      <c r="Z17" s="4"/>
    </row>
    <row r="18">
      <c r="A18" s="9" t="s">
        <v>79</v>
      </c>
      <c r="B18" s="10">
        <f>'4조'!B$30</f>
        <v>0</v>
      </c>
      <c r="C18" s="13" t="str">
        <f>'4조'!C$30</f>
        <v>기능을 분리하기는 좋지만, 각각 따로 배포할 수 있는지는 구현에 따라 다르다.</v>
      </c>
      <c r="D18" s="10" t="str">
        <f>'4조'!D$30</f>
        <v>++</v>
      </c>
      <c r="E18" s="13" t="str">
        <f>'4조'!E$30</f>
        <v>버퍼가 다운타임을 흡수하므로 생산자와 소비자를 독립적으로 배포·재시작·롤백할 수 있다.</v>
      </c>
      <c r="G18" s="4"/>
      <c r="H18" s="4"/>
      <c r="I18" s="4"/>
      <c r="J18" s="4"/>
      <c r="K18" s="4"/>
      <c r="L18" s="4"/>
      <c r="M18" s="4"/>
      <c r="N18" s="4"/>
      <c r="O18" s="4"/>
      <c r="P18" s="4"/>
      <c r="Q18" s="4"/>
      <c r="R18" s="4"/>
      <c r="S18" s="4"/>
      <c r="T18" s="4"/>
      <c r="U18" s="4"/>
      <c r="V18" s="4"/>
      <c r="W18" s="4"/>
      <c r="X18" s="4"/>
      <c r="Y18" s="4"/>
      <c r="Z18" s="4"/>
    </row>
    <row r="19">
      <c r="A19" s="9" t="s">
        <v>84</v>
      </c>
      <c r="B19" s="10" t="str">
        <f>'5조'!B$30</f>
        <v>+</v>
      </c>
      <c r="C19" s="13" t="str">
        <f>'5조'!C$30</f>
        <v>이벤트 발행자와 구독자가 상호독립적이므로 개별 배포가 용이하다.</v>
      </c>
      <c r="D19" s="10" t="str">
        <f>'5조'!D$30</f>
        <v>++</v>
      </c>
      <c r="E19" s="13" t="str">
        <f>'5조'!E$30</f>
        <v>이벤트 발행자와 이벤트 구독자가 상호독립적이므로 배포에 서로 영향 받지 않는다.</v>
      </c>
      <c r="G19" s="4"/>
      <c r="H19" s="4"/>
      <c r="I19" s="4"/>
      <c r="J19" s="4"/>
      <c r="K19" s="4"/>
      <c r="L19" s="4"/>
      <c r="M19" s="4"/>
      <c r="N19" s="4"/>
      <c r="O19" s="4"/>
      <c r="P19" s="4"/>
      <c r="Q19" s="4"/>
      <c r="R19" s="4"/>
      <c r="S19" s="4"/>
      <c r="T19" s="4"/>
      <c r="U19" s="4"/>
      <c r="V19" s="4"/>
      <c r="W19" s="4"/>
      <c r="X19" s="4"/>
      <c r="Y19" s="4"/>
      <c r="Z19" s="4"/>
    </row>
    <row r="20">
      <c r="A20" s="9" t="s">
        <v>89</v>
      </c>
      <c r="B20" s="10" t="str">
        <f>'6조'!B$30</f>
        <v>+</v>
      </c>
      <c r="C20" s="13" t="str">
        <f>'6조'!C$30</f>
        <v>customer 확장이 자유롭다</v>
      </c>
      <c r="D20" s="10" t="str">
        <f>'6조'!D$30</f>
        <v>++</v>
      </c>
      <c r="E20" s="13" t="str">
        <f>'6조'!E$30</f>
        <v>Producer와 Consumer를 독립적으로 배포·교체할 수 있다.</v>
      </c>
      <c r="G20" s="4"/>
      <c r="H20" s="4"/>
      <c r="I20" s="4"/>
      <c r="J20" s="4"/>
      <c r="K20" s="4"/>
      <c r="L20" s="4"/>
      <c r="M20" s="4"/>
      <c r="N20" s="4"/>
      <c r="O20" s="4"/>
      <c r="P20" s="4"/>
      <c r="Q20" s="4"/>
      <c r="R20" s="4"/>
      <c r="S20" s="4"/>
      <c r="T20" s="4"/>
      <c r="U20" s="4"/>
      <c r="V20" s="4"/>
      <c r="W20" s="4"/>
      <c r="X20" s="4"/>
      <c r="Y20" s="4"/>
      <c r="Z20" s="4"/>
    </row>
    <row r="21" ht="15.75" customHeight="1">
      <c r="A21" s="9" t="s">
        <v>90</v>
      </c>
      <c r="B21" s="10" t="str">
        <f>'7조'!B$30</f>
        <v/>
      </c>
      <c r="C21" s="13" t="str">
        <f>'7조'!C$30</f>
        <v>7조 - Non-Buffered Event Based - Deployability</v>
      </c>
      <c r="D21" s="10" t="str">
        <f>'7조'!D$30</f>
        <v/>
      </c>
      <c r="E21" s="13" t="str">
        <f>'7조'!E$30</f>
        <v>7조 - Buffered Message Based - Deployability</v>
      </c>
      <c r="F21" s="4"/>
      <c r="G21" s="4"/>
      <c r="H21" s="4"/>
      <c r="I21" s="4"/>
      <c r="J21" s="4"/>
      <c r="K21" s="4"/>
      <c r="L21" s="4"/>
      <c r="M21" s="4"/>
      <c r="N21" s="4"/>
      <c r="O21" s="4"/>
      <c r="P21" s="4"/>
      <c r="Q21" s="4"/>
      <c r="R21" s="4"/>
      <c r="S21" s="4"/>
      <c r="T21" s="4"/>
      <c r="U21" s="4"/>
      <c r="V21" s="4"/>
      <c r="W21" s="4"/>
      <c r="X21" s="4"/>
      <c r="Y21" s="4"/>
      <c r="Z21" s="4"/>
    </row>
    <row r="22" ht="15.75" customHeight="1">
      <c r="A22" s="9" t="s">
        <v>94</v>
      </c>
      <c r="B22" s="10" t="str">
        <f>'8조'!B$30</f>
        <v/>
      </c>
      <c r="C22" s="13" t="str">
        <f>'8조'!C$30</f>
        <v>8조 - Non-Buffered Event Based - Deployability</v>
      </c>
      <c r="D22" s="10" t="str">
        <f>'8조'!D$30</f>
        <v/>
      </c>
      <c r="E22" s="13" t="str">
        <f>'8조'!E$30</f>
        <v>8조 - Buffered Message Based - Deployability</v>
      </c>
      <c r="F22" s="4"/>
      <c r="G22" s="4"/>
      <c r="H22" s="4"/>
      <c r="I22" s="4"/>
      <c r="J22" s="4"/>
      <c r="K22" s="4"/>
      <c r="L22" s="4"/>
      <c r="M22" s="4"/>
      <c r="N22" s="4"/>
      <c r="O22" s="4"/>
      <c r="P22" s="4"/>
      <c r="Q22" s="4"/>
      <c r="R22" s="4"/>
      <c r="S22" s="4"/>
      <c r="T22" s="4"/>
      <c r="U22" s="4"/>
      <c r="V22" s="4"/>
      <c r="W22" s="4"/>
      <c r="X22" s="4"/>
      <c r="Y22" s="4"/>
      <c r="Z22" s="4"/>
    </row>
    <row r="23" ht="15.75" customHeight="1">
      <c r="A23" s="9" t="s">
        <v>98</v>
      </c>
      <c r="B23" s="10" t="str">
        <f>'9조'!B$30</f>
        <v/>
      </c>
      <c r="C23" s="13" t="str">
        <f>'9조'!C$30</f>
        <v>9조 - Non-Buffered Event Based - Deployability</v>
      </c>
      <c r="D23" s="10" t="str">
        <f>'9조'!D$30</f>
        <v/>
      </c>
      <c r="E23" s="13" t="str">
        <f>'9조'!E$30</f>
        <v>9조 - Buffered Message Based - Deployability</v>
      </c>
      <c r="F23" s="4"/>
      <c r="G23" s="4"/>
      <c r="H23" s="4"/>
      <c r="I23" s="4"/>
      <c r="J23" s="4"/>
      <c r="K23" s="4"/>
      <c r="L23" s="4"/>
      <c r="M23" s="4"/>
      <c r="N23" s="4"/>
      <c r="O23" s="4"/>
      <c r="P23" s="4"/>
      <c r="Q23" s="4"/>
      <c r="R23" s="4"/>
      <c r="S23" s="4"/>
      <c r="T23" s="4"/>
      <c r="U23" s="4"/>
      <c r="V23" s="4"/>
      <c r="W23" s="4"/>
      <c r="X23" s="4"/>
      <c r="Y23" s="4"/>
      <c r="Z23" s="4"/>
    </row>
    <row r="24" ht="15.75" customHeight="1">
      <c r="A24" s="11"/>
      <c r="B24" s="14"/>
      <c r="C24" s="11"/>
      <c r="D24" s="14"/>
      <c r="E24" s="11"/>
      <c r="F24" s="4"/>
      <c r="G24" s="4"/>
      <c r="H24" s="4"/>
      <c r="I24" s="4"/>
      <c r="J24" s="4"/>
      <c r="K24" s="4"/>
      <c r="L24" s="4"/>
      <c r="M24" s="4"/>
      <c r="N24" s="4"/>
      <c r="O24" s="4"/>
      <c r="P24" s="4"/>
      <c r="Q24" s="4"/>
      <c r="R24" s="4"/>
      <c r="S24" s="4"/>
      <c r="T24" s="4"/>
      <c r="U24" s="4"/>
      <c r="V24" s="4"/>
      <c r="W24" s="4"/>
      <c r="X24" s="4"/>
      <c r="Y24" s="4"/>
      <c r="Z24" s="4"/>
    </row>
    <row r="25" ht="15.0" customHeight="1">
      <c r="A25" s="7" t="s">
        <v>80</v>
      </c>
      <c r="B25" s="7" t="str">
        <f>'Detailed Reasoning'!B$31</f>
        <v/>
      </c>
      <c r="C25" s="7" t="str">
        <f>'Detailed Reasoning'!C$31</f>
        <v/>
      </c>
      <c r="D25" s="7" t="str">
        <f>'Detailed Reasoning'!D$31</f>
        <v/>
      </c>
      <c r="E25" s="7" t="str">
        <f>'Detailed Reasoning'!E$31</f>
        <v/>
      </c>
      <c r="F25" s="4"/>
      <c r="G25" s="4"/>
      <c r="H25" s="4"/>
      <c r="I25" s="4"/>
      <c r="J25" s="4"/>
      <c r="K25" s="4"/>
      <c r="L25" s="4"/>
      <c r="M25" s="4"/>
      <c r="N25" s="4"/>
      <c r="O25" s="4"/>
      <c r="P25" s="4"/>
      <c r="Q25" s="4"/>
      <c r="R25" s="4"/>
      <c r="S25" s="4"/>
      <c r="T25" s="4"/>
      <c r="U25" s="4"/>
      <c r="V25" s="4"/>
      <c r="W25" s="4"/>
      <c r="X25" s="4"/>
      <c r="Y25" s="4"/>
      <c r="Z25" s="4"/>
    </row>
    <row r="26" ht="15.75" customHeight="1">
      <c r="A26" s="9" t="s">
        <v>107</v>
      </c>
      <c r="B26" s="10" t="str">
        <f>'1조'!B$31</f>
        <v>++</v>
      </c>
      <c r="C26" s="11" t="str">
        <f>'1조'!C31</f>
        <v>[+] 낮은 결합도: Publisher는 Event를 누가 처리하는지 알 필요가 없어 새로운 Subscriber를 쉽게 통합할 수 있다.
[+] 확장 용이: 기존 Publisher를 수정하지 않고 새로운 Event Subscriber를 추가할 수 있다.</v>
      </c>
      <c r="D26" s="10" t="str">
        <f>'1조'!D$31</f>
        <v>+</v>
      </c>
      <c r="E26" s="11" t="str">
        <f>'1조'!E31</f>
        <v>[+] 낮은 결합도: Producer와 Consumer가 Message를 통해 간접적으로 연결되어 새로운 시스템을 통합하기 쉽다.
[+] 독립적 추가: 기존 Producer를 변경하지 않고 새로운 Consumer를 추가할 수 있다.</v>
      </c>
      <c r="F26" s="12" t="s">
        <v>110</v>
      </c>
      <c r="G26" s="4"/>
      <c r="H26" s="4"/>
      <c r="I26" s="4"/>
      <c r="J26" s="4"/>
      <c r="K26" s="4"/>
      <c r="L26" s="4"/>
      <c r="M26" s="4"/>
      <c r="N26" s="4"/>
      <c r="O26" s="4"/>
      <c r="P26" s="4"/>
      <c r="Q26" s="4"/>
      <c r="R26" s="4"/>
      <c r="S26" s="4"/>
      <c r="T26" s="4"/>
      <c r="U26" s="4"/>
      <c r="V26" s="4"/>
      <c r="W26" s="4"/>
      <c r="X26" s="4"/>
      <c r="Y26" s="4"/>
      <c r="Z26" s="4"/>
    </row>
    <row r="27" ht="15.75" customHeight="1">
      <c r="A27" s="9" t="s">
        <v>111</v>
      </c>
      <c r="B27" s="10" t="str">
        <f>'2조'!B$31</f>
        <v>+</v>
      </c>
      <c r="C27" s="13" t="str">
        <f>'2조'!C$31</f>
        <v>기존 event listener 를 나머지 부분에 영향 없이 끼워 넣기 쉽고, Framework(Java AWT·Swing 등)가 풍부하다</v>
      </c>
      <c r="D27" s="10" t="str">
        <f>'2조'!D$31</f>
        <v>++</v>
      </c>
      <c r="E27" s="13" t="str">
        <f>'2조'!E$31</f>
        <v>consumer 는 누가·어디서·언제 만들었는지 몰라도 된다(익명성) — 붙이는 비용이 가장 낮다</v>
      </c>
      <c r="G27" s="4"/>
      <c r="H27" s="4"/>
      <c r="I27" s="4"/>
      <c r="J27" s="4"/>
      <c r="K27" s="4"/>
      <c r="L27" s="4"/>
      <c r="M27" s="4"/>
      <c r="N27" s="4"/>
      <c r="O27" s="4"/>
      <c r="P27" s="4"/>
      <c r="Q27" s="4"/>
      <c r="R27" s="4"/>
      <c r="S27" s="4"/>
      <c r="T27" s="4"/>
      <c r="U27" s="4"/>
      <c r="V27" s="4"/>
      <c r="W27" s="4"/>
      <c r="X27" s="4"/>
      <c r="Y27" s="4"/>
      <c r="Z27" s="4"/>
    </row>
    <row r="28" ht="15.75" customHeight="1">
      <c r="A28" s="9" t="s">
        <v>114</v>
      </c>
      <c r="B28" s="10" t="str">
        <f>'3조'!B$31</f>
        <v>+</v>
      </c>
      <c r="C28" s="13" t="str">
        <f>'3조'!C$31</f>
        <v>표준 Event/Listener 인터페이스를 이용하면 기존 Event Source의 변경을 최소화하면서 새로운 Listener를 연결할 수 있어 컴포넌트 통합이 용이하다.</v>
      </c>
      <c r="D28" s="10" t="str">
        <f>'3조'!D$31</f>
        <v>++</v>
      </c>
      <c r="E28" s="13" t="str">
        <f>'3조'!E$31</f>
        <v>Queue가 poducer와 consumer를 중재하므로, 여러 이기종 consumer를 podcuer에 변경업이 통합 가능하다.</v>
      </c>
      <c r="G28" s="4"/>
      <c r="H28" s="4"/>
      <c r="I28" s="4"/>
      <c r="J28" s="4"/>
      <c r="K28" s="4"/>
      <c r="L28" s="4"/>
      <c r="M28" s="4"/>
      <c r="N28" s="4"/>
      <c r="O28" s="4"/>
      <c r="P28" s="4"/>
      <c r="Q28" s="4"/>
      <c r="R28" s="4"/>
      <c r="S28" s="4"/>
      <c r="T28" s="4"/>
      <c r="U28" s="4"/>
      <c r="V28" s="4"/>
      <c r="W28" s="4"/>
      <c r="X28" s="4"/>
      <c r="Y28" s="4"/>
      <c r="Z28" s="4"/>
    </row>
    <row r="29" ht="15.75" customHeight="1">
      <c r="A29" s="9" t="s">
        <v>118</v>
      </c>
      <c r="B29" s="10" t="str">
        <f>'4조'!B$31</f>
        <v>+</v>
      </c>
      <c r="C29" s="13" t="str">
        <f>'4조'!C$31</f>
        <v>같은 이벤트 규칙을 따르면 새로운 기능을 연결하기 쉽다.</v>
      </c>
      <c r="D29" s="10" t="str">
        <f>'4조'!D$31</f>
        <v>++</v>
      </c>
      <c r="E29" s="13" t="str">
        <f>'4조'!E$31</f>
        <v>새 소비자가 생산자 변경 없이 기존 큐나 토픽에 붙을 수 있고, 이기종 시스템도 메시지 계약으로 통합된다.</v>
      </c>
      <c r="G29" s="4"/>
      <c r="H29" s="4"/>
      <c r="I29" s="4"/>
      <c r="J29" s="4"/>
      <c r="K29" s="4"/>
      <c r="L29" s="4"/>
      <c r="M29" s="4"/>
      <c r="N29" s="4"/>
      <c r="O29" s="4"/>
      <c r="P29" s="4"/>
      <c r="Q29" s="4"/>
      <c r="R29" s="4"/>
      <c r="S29" s="4"/>
      <c r="T29" s="4"/>
      <c r="U29" s="4"/>
      <c r="V29" s="4"/>
      <c r="W29" s="4"/>
      <c r="X29" s="4"/>
      <c r="Y29" s="4"/>
      <c r="Z29" s="4"/>
    </row>
    <row r="30" ht="15.75" customHeight="1">
      <c r="A30" s="9" t="s">
        <v>121</v>
      </c>
      <c r="B30" s="10" t="str">
        <f>'5조'!B$31</f>
        <v>++</v>
      </c>
      <c r="C30" s="13" t="str">
        <f>'5조'!C$31</f>
        <v>이벤트 발행의 수정 없이도 새로운 구독자를 추가적으로 등록하여 기능 통합에 용이하다.</v>
      </c>
      <c r="D30" s="10" t="str">
        <f>'5조'!D$31</f>
        <v>++</v>
      </c>
      <c r="E30" s="13" t="str">
        <f>'5조'!E$31</f>
        <v>서로 다른 시스템일지라도 메시지 브로커의 프로토콜만 맞는다면 통합하기 용이하다.</v>
      </c>
      <c r="G30" s="4"/>
      <c r="H30" s="4"/>
      <c r="I30" s="4"/>
      <c r="J30" s="4"/>
      <c r="K30" s="4"/>
      <c r="L30" s="4"/>
      <c r="M30" s="4"/>
      <c r="N30" s="4"/>
      <c r="O30" s="4"/>
      <c r="P30" s="4"/>
      <c r="Q30" s="4"/>
      <c r="R30" s="4"/>
      <c r="S30" s="4"/>
      <c r="T30" s="4"/>
      <c r="U30" s="4"/>
      <c r="V30" s="4"/>
      <c r="W30" s="4"/>
      <c r="X30" s="4"/>
      <c r="Y30" s="4"/>
      <c r="Z30" s="4"/>
    </row>
    <row r="31" ht="15.75" customHeight="1">
      <c r="A31" s="9" t="s">
        <v>125</v>
      </c>
      <c r="B31" s="10" t="str">
        <f>'6조'!B$31</f>
        <v>+</v>
      </c>
      <c r="C31" s="13" t="str">
        <f>'6조'!C$31</f>
        <v>customer 확장이 자유롭다</v>
      </c>
      <c r="D31" s="10" t="str">
        <f>'6조'!D$31</f>
        <v>+</v>
      </c>
      <c r="E31" s="13" t="str">
        <f>'6조'!E$31</f>
        <v>producer/consumer가 서로의 신원을 몰라도 되는 익명성 덕분에 새로운 서비스를 붙이기 쉽다</v>
      </c>
      <c r="G31" s="4"/>
      <c r="H31" s="4"/>
      <c r="I31" s="4"/>
      <c r="J31" s="4"/>
      <c r="K31" s="4"/>
      <c r="L31" s="4"/>
      <c r="M31" s="4"/>
      <c r="N31" s="4"/>
      <c r="O31" s="4"/>
      <c r="P31" s="4"/>
      <c r="Q31" s="4"/>
      <c r="R31" s="4"/>
      <c r="S31" s="4"/>
      <c r="T31" s="4"/>
      <c r="U31" s="4"/>
      <c r="V31" s="4"/>
      <c r="W31" s="4"/>
      <c r="X31" s="4"/>
      <c r="Y31" s="4"/>
      <c r="Z31" s="4"/>
    </row>
    <row r="32" ht="15.75" customHeight="1">
      <c r="A32" s="9" t="s">
        <v>130</v>
      </c>
      <c r="B32" s="10" t="str">
        <f>'7조'!B$31</f>
        <v/>
      </c>
      <c r="C32" s="13" t="str">
        <f>'7조'!C$31</f>
        <v>7조 - Non-Buffered Event Based - Integrability</v>
      </c>
      <c r="D32" s="10" t="str">
        <f>'7조'!D$31</f>
        <v/>
      </c>
      <c r="E32" s="13" t="str">
        <f>'7조'!E$31</f>
        <v>7조 - Buffered Message Based - Integrability</v>
      </c>
      <c r="F32" s="4"/>
      <c r="G32" s="4"/>
      <c r="H32" s="4"/>
      <c r="I32" s="4"/>
      <c r="J32" s="4"/>
      <c r="K32" s="4"/>
      <c r="L32" s="4"/>
      <c r="M32" s="4"/>
      <c r="N32" s="4"/>
      <c r="O32" s="4"/>
      <c r="P32" s="4"/>
      <c r="Q32" s="4"/>
      <c r="R32" s="4"/>
      <c r="S32" s="4"/>
      <c r="T32" s="4"/>
      <c r="U32" s="4"/>
      <c r="V32" s="4"/>
      <c r="W32" s="4"/>
      <c r="X32" s="4"/>
      <c r="Y32" s="4"/>
      <c r="Z32" s="4"/>
    </row>
    <row r="33" ht="15.75" customHeight="1">
      <c r="A33" s="9" t="s">
        <v>132</v>
      </c>
      <c r="B33" s="10" t="str">
        <f>'8조'!B$31</f>
        <v/>
      </c>
      <c r="C33" s="13" t="str">
        <f>'8조'!C$31</f>
        <v>8조 - Non-Buffered Event Based - Integrability</v>
      </c>
      <c r="D33" s="10" t="str">
        <f>'8조'!D$31</f>
        <v/>
      </c>
      <c r="E33" s="13" t="str">
        <f>'8조'!E$31</f>
        <v>8조 - Buffered Message Based - Integrability</v>
      </c>
      <c r="F33" s="4"/>
      <c r="G33" s="4"/>
      <c r="H33" s="4"/>
      <c r="I33" s="4"/>
      <c r="J33" s="4"/>
      <c r="K33" s="4"/>
      <c r="L33" s="4"/>
      <c r="M33" s="4"/>
      <c r="N33" s="4"/>
      <c r="O33" s="4"/>
      <c r="P33" s="4"/>
      <c r="Q33" s="4"/>
      <c r="R33" s="4"/>
      <c r="S33" s="4"/>
      <c r="T33" s="4"/>
      <c r="U33" s="4"/>
      <c r="V33" s="4"/>
      <c r="W33" s="4"/>
      <c r="X33" s="4"/>
      <c r="Y33" s="4"/>
      <c r="Z33" s="4"/>
    </row>
    <row r="34" ht="15.75" customHeight="1">
      <c r="A34" s="9" t="s">
        <v>136</v>
      </c>
      <c r="B34" s="10" t="str">
        <f>'9조'!B$31</f>
        <v/>
      </c>
      <c r="C34" s="13" t="str">
        <f>'9조'!C$31</f>
        <v>9조 - Non-Buffered Event Based - Integrability</v>
      </c>
      <c r="D34" s="10" t="str">
        <f>'9조'!D$31</f>
        <v/>
      </c>
      <c r="E34" s="13" t="str">
        <f>'9조'!E$31</f>
        <v>9조 - Buffered Message Based - Integrability</v>
      </c>
      <c r="F34" s="4"/>
      <c r="G34" s="4"/>
      <c r="H34" s="4"/>
      <c r="I34" s="4"/>
      <c r="J34" s="4"/>
      <c r="K34" s="4"/>
      <c r="L34" s="4"/>
      <c r="M34" s="4"/>
      <c r="N34" s="4"/>
      <c r="O34" s="4"/>
      <c r="P34" s="4"/>
      <c r="Q34" s="4"/>
      <c r="R34" s="4"/>
      <c r="S34" s="4"/>
      <c r="T34" s="4"/>
      <c r="U34" s="4"/>
      <c r="V34" s="4"/>
      <c r="W34" s="4"/>
      <c r="X34" s="4"/>
      <c r="Y34" s="4"/>
      <c r="Z34" s="4"/>
    </row>
    <row r="35" ht="15.75" customHeight="1">
      <c r="A35" s="11"/>
      <c r="B35" s="14"/>
      <c r="C35" s="11"/>
      <c r="D35" s="14"/>
      <c r="E35" s="11"/>
      <c r="F35" s="4"/>
      <c r="G35" s="4"/>
      <c r="H35" s="4"/>
      <c r="I35" s="4"/>
      <c r="J35" s="4"/>
      <c r="K35" s="4"/>
      <c r="L35" s="4"/>
      <c r="M35" s="4"/>
      <c r="N35" s="4"/>
      <c r="O35" s="4"/>
      <c r="P35" s="4"/>
      <c r="Q35" s="4"/>
      <c r="R35" s="4"/>
      <c r="S35" s="4"/>
      <c r="T35" s="4"/>
      <c r="U35" s="4"/>
      <c r="V35" s="4"/>
      <c r="W35" s="4"/>
      <c r="X35" s="4"/>
      <c r="Y35" s="4"/>
      <c r="Z35" s="4"/>
    </row>
    <row r="36" ht="15.75" customHeight="1">
      <c r="A36" s="7" t="s">
        <v>117</v>
      </c>
      <c r="B36" s="7" t="str">
        <f>'Detailed Reasoning'!B$32</f>
        <v/>
      </c>
      <c r="C36" s="7" t="str">
        <f>'Detailed Reasoning'!C$32</f>
        <v/>
      </c>
      <c r="D36" s="7" t="str">
        <f>'Detailed Reasoning'!D$32</f>
        <v/>
      </c>
      <c r="E36" s="7" t="str">
        <f>'Detailed Reasoning'!E$32</f>
        <v/>
      </c>
      <c r="F36" s="4"/>
      <c r="G36" s="4"/>
      <c r="H36" s="4"/>
      <c r="I36" s="4"/>
      <c r="J36" s="4"/>
      <c r="K36" s="4"/>
      <c r="L36" s="4"/>
      <c r="M36" s="4"/>
      <c r="N36" s="4"/>
      <c r="O36" s="4"/>
      <c r="P36" s="4"/>
      <c r="Q36" s="4"/>
      <c r="R36" s="4"/>
      <c r="S36" s="4"/>
      <c r="T36" s="4"/>
      <c r="U36" s="4"/>
      <c r="V36" s="4"/>
      <c r="W36" s="4"/>
      <c r="X36" s="4"/>
      <c r="Y36" s="4"/>
      <c r="Z36" s="4"/>
    </row>
    <row r="37" ht="15.75" customHeight="1">
      <c r="A37" s="11" t="s">
        <v>146</v>
      </c>
      <c r="B37" s="10" t="str">
        <f>'1조'!B$32</f>
        <v>+</v>
      </c>
      <c r="C37" s="11" t="str">
        <f>'1조'!C32</f>
        <v>[+] Event 기반 실행: Event가 발생했을 때만 Subscriber가 동작하도록 구성할 수 있어 불필요한 Polling을 줄일 수 있다.
[+] 저장 비용 없음: 별도의 Buffer에 Event를 저장하고 관리하는 자원이 필요하지 않다.</v>
      </c>
      <c r="D37" s="10" t="str">
        <f>'1조'!D$32</f>
        <v>+</v>
      </c>
      <c r="E37" s="11" t="str">
        <f>'1조'!E32</f>
        <v>[+] 비동기 처리: Consumer가 자신의 처리 능력에 맞게 Message를 가져가 처리하여 자원 사용을 조절할 수 있다.
[-] Broker 운영: Message Broker를 지속적으로 운영하기 위한 추가적인 에너지가 필요하다.</v>
      </c>
      <c r="F37" s="12" t="s">
        <v>148</v>
      </c>
      <c r="G37" s="4"/>
      <c r="H37" s="4"/>
      <c r="I37" s="4"/>
      <c r="J37" s="4"/>
      <c r="K37" s="4"/>
      <c r="L37" s="4"/>
      <c r="M37" s="4"/>
      <c r="N37" s="4"/>
      <c r="O37" s="4"/>
      <c r="P37" s="4"/>
      <c r="Q37" s="4"/>
      <c r="R37" s="4"/>
      <c r="S37" s="4"/>
      <c r="T37" s="4"/>
      <c r="U37" s="4"/>
      <c r="V37" s="4"/>
      <c r="W37" s="4"/>
      <c r="X37" s="4"/>
      <c r="Y37" s="4"/>
      <c r="Z37" s="4"/>
    </row>
    <row r="38" ht="15.75" customHeight="1">
      <c r="A38" s="11" t="s">
        <v>150</v>
      </c>
      <c r="B38" s="10" t="str">
        <f>'2조'!B$32</f>
        <v>++</v>
      </c>
      <c r="C38" s="13" t="str">
        <f>'2조'!C$32</f>
        <v>메시지 브로커 상시 구동, 디스크 큐 I/O, 패킷 전송 오버헤드가 전혀 없으므로 불필요한 시스템 자원 낭비가 없어 에너지 소비 관점에서 가장 우수함.</v>
      </c>
      <c r="D38" s="10" t="str">
        <f>'2조'!D$32</f>
        <v>-</v>
      </c>
      <c r="E38" s="13" t="str">
        <f>'2조'!E$32</f>
        <v>buffer 저장과 전달에 자원이 들고, 간접 호출 overhead 가 있다</v>
      </c>
      <c r="G38" s="4"/>
      <c r="H38" s="4"/>
      <c r="I38" s="4"/>
      <c r="J38" s="4"/>
      <c r="K38" s="4"/>
      <c r="L38" s="4"/>
      <c r="M38" s="4"/>
      <c r="N38" s="4"/>
      <c r="O38" s="4"/>
      <c r="P38" s="4"/>
      <c r="Q38" s="4"/>
      <c r="R38" s="4"/>
      <c r="S38" s="4"/>
      <c r="T38" s="4"/>
      <c r="U38" s="4"/>
      <c r="V38" s="4"/>
      <c r="W38" s="4"/>
      <c r="X38" s="4"/>
      <c r="Y38" s="4"/>
      <c r="Z38" s="4"/>
    </row>
    <row r="39" ht="15.75" customHeight="1">
      <c r="A39" s="11" t="s">
        <v>154</v>
      </c>
      <c r="B39" s="10" t="str">
        <f>'3조'!B$32</f>
        <v>0</v>
      </c>
      <c r="C39" s="13" t="str">
        <f>'3조'!C$32</f>
        <v>Event 발생 시에만 Listener가 실행되어 polling을 줄일 수 있지만 indirect invocation의 추가 overhead도 존재하므로 Energy Efficiency에 대한 전반적인 영향은 구현에 따라 달라진다.</v>
      </c>
      <c r="D39" s="10" t="str">
        <f>'3조'!D$32</f>
        <v>-</v>
      </c>
      <c r="E39" s="13" t="str">
        <f>'3조'!E$32</f>
        <v>Queue 관리를 위해, 네트워크, 디스크 I/O 등 에너지를 추가적으로 사용하므로, energy efficiency에 불리하다.</v>
      </c>
      <c r="G39" s="4"/>
      <c r="H39" s="4"/>
      <c r="I39" s="4"/>
      <c r="J39" s="4"/>
      <c r="K39" s="4"/>
      <c r="L39" s="4"/>
      <c r="M39" s="4"/>
      <c r="N39" s="4"/>
      <c r="O39" s="4"/>
      <c r="P39" s="4"/>
      <c r="Q39" s="4"/>
      <c r="R39" s="4"/>
      <c r="S39" s="4"/>
      <c r="T39" s="4"/>
      <c r="U39" s="4"/>
      <c r="V39" s="4"/>
      <c r="W39" s="4"/>
      <c r="X39" s="4"/>
      <c r="Y39" s="4"/>
      <c r="Z39" s="4"/>
    </row>
    <row r="40" ht="15.75" customHeight="1">
      <c r="A40" s="11" t="s">
        <v>157</v>
      </c>
      <c r="B40" s="10">
        <f>'4조'!B$32</f>
        <v>0</v>
      </c>
      <c r="C40" s="13" t="str">
        <f>'4조'!C$32</f>
        <v>이벤트를 저장하는 비용은 없지만, 실제 전력 소모는 실행되는 작업량에 따라 달라진다.</v>
      </c>
      <c r="D40" s="10" t="str">
        <f>'4조'!D$32</f>
        <v>0</v>
      </c>
      <c r="E40" s="13" t="str">
        <f>'4조'!E$32</f>
        <v>배치 처리와 부하 평준화로 자원 사용이 고르게 되어 과잉 프로비저닝을 피하지만, 메시지 영속화와 복제에 추가 저장·I/O 비용이 든다.</v>
      </c>
      <c r="G40" s="4"/>
      <c r="H40" s="4"/>
      <c r="I40" s="4"/>
      <c r="J40" s="4"/>
      <c r="K40" s="4"/>
      <c r="L40" s="4"/>
      <c r="M40" s="4"/>
      <c r="N40" s="4"/>
      <c r="O40" s="4"/>
      <c r="P40" s="4"/>
      <c r="Q40" s="4"/>
      <c r="R40" s="4"/>
      <c r="S40" s="4"/>
      <c r="T40" s="4"/>
      <c r="U40" s="4"/>
      <c r="V40" s="4"/>
      <c r="W40" s="4"/>
      <c r="X40" s="4"/>
      <c r="Y40" s="4"/>
      <c r="Z40" s="4"/>
    </row>
    <row r="41" ht="15.75" customHeight="1">
      <c r="A41" s="11" t="s">
        <v>162</v>
      </c>
      <c r="B41" s="10" t="str">
        <f>'5조'!B$32</f>
        <v>0</v>
      </c>
      <c r="C41" s="13" t="str">
        <f>'5조'!C$32</f>
        <v>메시지 저장·영속화에 따른 오버헤드는 적지만 이벤트가 발생할 때마다 즉시 처리되므로 Batch 처리나 자원 활성화 횟수 감소 등의 에너지 절감 효과는 보장되지 않아 전체적으로는 중립적이다.</v>
      </c>
      <c r="D41" s="10" t="str">
        <f>'5조'!D$32</f>
        <v>+</v>
      </c>
      <c r="E41" s="13" t="str">
        <f>'5조'!E$32</f>
        <v>비동기 처리로 component가 항시 대기 필요없고, 메시지 queue도 일괄 처리 가능</v>
      </c>
      <c r="G41" s="4"/>
      <c r="H41" s="4"/>
      <c r="I41" s="4"/>
      <c r="J41" s="4"/>
      <c r="K41" s="4"/>
      <c r="L41" s="4"/>
      <c r="M41" s="4"/>
      <c r="N41" s="4"/>
      <c r="O41" s="4"/>
      <c r="P41" s="4"/>
      <c r="Q41" s="4"/>
      <c r="R41" s="4"/>
      <c r="S41" s="4"/>
      <c r="T41" s="4"/>
      <c r="U41" s="4"/>
      <c r="V41" s="4"/>
      <c r="W41" s="4"/>
      <c r="X41" s="4"/>
      <c r="Y41" s="4"/>
      <c r="Z41" s="4"/>
    </row>
    <row r="42" ht="15.75" customHeight="1">
      <c r="A42" s="11" t="s">
        <v>165</v>
      </c>
      <c r="B42" s="10" t="str">
        <f>'6조'!B$32</f>
        <v>--</v>
      </c>
      <c r="C42" s="13" t="str">
        <f>'6조'!C$32</f>
        <v>prooducer 동작 시 customer 가 통신을 받지 않는 이상은 이벤트가 낭비된다.</v>
      </c>
      <c r="D42" s="10" t="str">
        <f>'6조'!D$32</f>
        <v>-</v>
      </c>
      <c r="E42" s="13" t="str">
        <f>'6조'!E$32</f>
        <v>메시지 저장과 전달, 직렬화·역직렬화, Broker 운영 및 재시도 처리에 추가적인 계산·저장·통신 자원이 필요하다.</v>
      </c>
      <c r="G42" s="4"/>
      <c r="H42" s="4"/>
      <c r="I42" s="4"/>
      <c r="J42" s="4"/>
      <c r="K42" s="4"/>
      <c r="L42" s="4"/>
      <c r="M42" s="4"/>
      <c r="N42" s="4"/>
      <c r="O42" s="4"/>
      <c r="P42" s="4"/>
      <c r="Q42" s="4"/>
      <c r="R42" s="4"/>
      <c r="S42" s="4"/>
      <c r="T42" s="4"/>
      <c r="U42" s="4"/>
      <c r="V42" s="4"/>
      <c r="W42" s="4"/>
      <c r="X42" s="4"/>
      <c r="Y42" s="4"/>
      <c r="Z42" s="4"/>
    </row>
    <row r="43" ht="15.75" customHeight="1">
      <c r="A43" s="11" t="s">
        <v>167</v>
      </c>
      <c r="B43" s="10" t="str">
        <f>'7조'!B$32</f>
        <v/>
      </c>
      <c r="C43" s="13" t="str">
        <f>'7조'!C$32</f>
        <v>7조 - Non-Buffered Event Based - Energy Efficiency</v>
      </c>
      <c r="D43" s="10" t="str">
        <f>'7조'!D$32</f>
        <v/>
      </c>
      <c r="E43" s="13" t="str">
        <f>'7조'!E$32</f>
        <v>7조 - Buffered Message Based - Energy Efficiency</v>
      </c>
      <c r="F43" s="4"/>
      <c r="G43" s="4"/>
      <c r="H43" s="4"/>
      <c r="I43" s="4"/>
      <c r="J43" s="4"/>
      <c r="K43" s="4"/>
      <c r="L43" s="4"/>
      <c r="M43" s="4"/>
      <c r="N43" s="4"/>
      <c r="O43" s="4"/>
      <c r="P43" s="4"/>
      <c r="Q43" s="4"/>
      <c r="R43" s="4"/>
      <c r="S43" s="4"/>
      <c r="T43" s="4"/>
      <c r="U43" s="4"/>
      <c r="V43" s="4"/>
      <c r="W43" s="4"/>
      <c r="X43" s="4"/>
      <c r="Y43" s="4"/>
      <c r="Z43" s="4"/>
    </row>
    <row r="44" ht="15.75" customHeight="1">
      <c r="A44" s="11" t="s">
        <v>172</v>
      </c>
      <c r="B44" s="10" t="str">
        <f>'8조'!B$32</f>
        <v/>
      </c>
      <c r="C44" s="13" t="str">
        <f>'8조'!C$32</f>
        <v>8조 - Non-Buffered Event Based - Energy Efficiency</v>
      </c>
      <c r="D44" s="10" t="str">
        <f>'8조'!D$32</f>
        <v/>
      </c>
      <c r="E44" s="13" t="str">
        <f>'8조'!E$32</f>
        <v>8조 - Buffered Message Based - Energy Efficiency</v>
      </c>
      <c r="F44" s="4"/>
      <c r="G44" s="4"/>
      <c r="H44" s="4"/>
      <c r="I44" s="4"/>
      <c r="J44" s="4"/>
      <c r="K44" s="4"/>
      <c r="L44" s="4"/>
      <c r="M44" s="4"/>
      <c r="N44" s="4"/>
      <c r="O44" s="4"/>
      <c r="P44" s="4"/>
      <c r="Q44" s="4"/>
      <c r="R44" s="4"/>
      <c r="S44" s="4"/>
      <c r="T44" s="4"/>
      <c r="U44" s="4"/>
      <c r="V44" s="4"/>
      <c r="W44" s="4"/>
      <c r="X44" s="4"/>
      <c r="Y44" s="4"/>
      <c r="Z44" s="4"/>
    </row>
    <row r="45" ht="15.75" customHeight="1">
      <c r="A45" s="11" t="s">
        <v>176</v>
      </c>
      <c r="B45" s="10" t="str">
        <f>'9조'!B$32</f>
        <v/>
      </c>
      <c r="C45" s="13" t="str">
        <f>'9조'!C$32</f>
        <v>9조 - Non-Buffered Event Based - Energy Efficiency</v>
      </c>
      <c r="D45" s="10" t="str">
        <f>'9조'!D$32</f>
        <v/>
      </c>
      <c r="E45" s="13" t="str">
        <f>'9조'!E$32</f>
        <v>9조 - Buffered Message Based - Energy Efficiency</v>
      </c>
      <c r="F45" s="4"/>
      <c r="G45" s="4"/>
      <c r="H45" s="4"/>
      <c r="I45" s="4"/>
      <c r="J45" s="4"/>
      <c r="K45" s="4"/>
      <c r="L45" s="4"/>
      <c r="M45" s="4"/>
      <c r="N45" s="4"/>
      <c r="O45" s="4"/>
      <c r="P45" s="4"/>
      <c r="Q45" s="4"/>
      <c r="R45" s="4"/>
      <c r="S45" s="4"/>
      <c r="T45" s="4"/>
      <c r="U45" s="4"/>
      <c r="V45" s="4"/>
      <c r="W45" s="4"/>
      <c r="X45" s="4"/>
      <c r="Y45" s="4"/>
      <c r="Z45" s="4"/>
    </row>
    <row r="46" ht="15.75" customHeight="1">
      <c r="A46" s="11"/>
      <c r="B46" s="14"/>
      <c r="C46" s="11"/>
      <c r="D46" s="14"/>
      <c r="E46" s="11"/>
      <c r="F46" s="4"/>
      <c r="G46" s="4"/>
      <c r="H46" s="4"/>
      <c r="I46" s="4"/>
      <c r="J46" s="4"/>
      <c r="K46" s="4"/>
      <c r="L46" s="4"/>
      <c r="M46" s="4"/>
      <c r="N46" s="4"/>
      <c r="O46" s="4"/>
      <c r="P46" s="4"/>
      <c r="Q46" s="4"/>
      <c r="R46" s="4"/>
      <c r="S46" s="4"/>
      <c r="T46" s="4"/>
      <c r="U46" s="4"/>
      <c r="V46" s="4"/>
      <c r="W46" s="4"/>
      <c r="X46" s="4"/>
      <c r="Y46" s="4"/>
      <c r="Z46" s="4"/>
    </row>
    <row r="47" ht="15.75" customHeight="1">
      <c r="A47" s="7" t="s">
        <v>151</v>
      </c>
      <c r="B47" s="7" t="str">
        <f>'Detailed Reasoning'!B$33</f>
        <v/>
      </c>
      <c r="C47" s="7" t="str">
        <f>'Detailed Reasoning'!C$33</f>
        <v/>
      </c>
      <c r="D47" s="7" t="str">
        <f>'Detailed Reasoning'!D$33</f>
        <v/>
      </c>
      <c r="E47" s="7" t="str">
        <f>'Detailed Reasoning'!E$33</f>
        <v/>
      </c>
      <c r="F47" s="4"/>
      <c r="G47" s="4"/>
      <c r="H47" s="4"/>
      <c r="I47" s="4"/>
      <c r="J47" s="4"/>
      <c r="K47" s="4"/>
      <c r="L47" s="4"/>
      <c r="M47" s="4"/>
      <c r="N47" s="4"/>
      <c r="O47" s="4"/>
      <c r="P47" s="4"/>
      <c r="Q47" s="4"/>
      <c r="R47" s="4"/>
      <c r="S47" s="4"/>
      <c r="T47" s="4"/>
      <c r="U47" s="4"/>
      <c r="V47" s="4"/>
      <c r="W47" s="4"/>
      <c r="X47" s="4"/>
      <c r="Y47" s="4"/>
      <c r="Z47" s="4"/>
    </row>
    <row r="48" ht="15.75" customHeight="1">
      <c r="A48" s="9" t="s">
        <v>183</v>
      </c>
      <c r="B48" s="10" t="str">
        <f>'1조'!B$33</f>
        <v>++</v>
      </c>
      <c r="C48" s="16" t="str">
        <f>'1조'!C33</f>
        <v>[+] 낮은 결합도: Publisher가 Subscriber의 구현을 알 필요가 없어 Subscriber 변경이 Publisher에 미치는 영향이 작다.
[+] 기능 추가: 새로운 Subscriber를 추가하여 기존 기능을 변경하지 않고 새로운 기능을 확장할 수 있다.</v>
      </c>
      <c r="D48" s="10" t="str">
        <f>'1조'!D$33</f>
        <v>+</v>
      </c>
      <c r="E48" s="11" t="str">
        <f>'1조'!E33</f>
        <v>[+] 낮은 결합도: Producer와 Consumer가 직접 의존하지 않아 각각 독립적으로 변경하기 쉽다.
[+] Consumer 추가/교체: 동일 Message를 처리할 수 있는 Consumer를 쉽게 추가하거나 교체할 수 있다.
[-] Message Schema 변경: 공통 Message 형식의 변경은 관련 Producer와 Consumer에 영향을 줄 수 있다.</v>
      </c>
      <c r="F48" s="12" t="s">
        <v>187</v>
      </c>
      <c r="G48" s="4"/>
      <c r="H48" s="4"/>
      <c r="I48" s="4"/>
      <c r="J48" s="4"/>
      <c r="K48" s="4"/>
      <c r="L48" s="4"/>
      <c r="M48" s="4"/>
      <c r="N48" s="4"/>
      <c r="O48" s="4"/>
      <c r="P48" s="4"/>
      <c r="Q48" s="4"/>
      <c r="R48" s="4"/>
      <c r="S48" s="4"/>
      <c r="T48" s="4"/>
      <c r="U48" s="4"/>
      <c r="V48" s="4"/>
      <c r="W48" s="4"/>
      <c r="X48" s="4"/>
      <c r="Y48" s="4"/>
      <c r="Z48" s="4"/>
    </row>
    <row r="49" ht="15.75" customHeight="1">
      <c r="A49" s="9" t="s">
        <v>188</v>
      </c>
      <c r="B49" s="10" t="str">
        <f>'2조'!B$33</f>
        <v>++</v>
      </c>
      <c r="C49" s="17" t="str">
        <f>'2조'!C$33</f>
        <v>event source 와 listener 를 각각 갱신하기 쉬워 유지보수와 진화가 쉽다</v>
      </c>
      <c r="D49" s="10" t="str">
        <f>'2조'!D$33</f>
        <v>++</v>
      </c>
      <c r="E49" s="13" t="str">
        <f>'2조'!E$33</f>
        <v>producer 와 consumer 가 서로를 모르므로 한쪽을 바꿔도 다른 쪽에 영향이 없다</v>
      </c>
      <c r="G49" s="4"/>
      <c r="H49" s="4"/>
      <c r="I49" s="4"/>
      <c r="J49" s="4"/>
      <c r="K49" s="4"/>
      <c r="L49" s="4"/>
      <c r="M49" s="4"/>
      <c r="N49" s="4"/>
      <c r="O49" s="4"/>
      <c r="P49" s="4"/>
      <c r="Q49" s="4"/>
      <c r="R49" s="4"/>
      <c r="S49" s="4"/>
      <c r="T49" s="4"/>
      <c r="U49" s="4"/>
      <c r="V49" s="4"/>
      <c r="W49" s="4"/>
      <c r="X49" s="4"/>
      <c r="Y49" s="4"/>
      <c r="Z49" s="4"/>
    </row>
    <row r="50" ht="15.75" customHeight="1">
      <c r="A50" s="9" t="s">
        <v>194</v>
      </c>
      <c r="B50" s="10" t="str">
        <f>'3조'!B$33</f>
        <v>++</v>
      </c>
      <c r="C50" s="17" t="str">
        <f>'3조'!C$33</f>
        <v>Event Source와 Listener가 Event 인터페이스를 통해 분리되고 Listener를 동적으로 등록·해제할 수 있어 기존 구조에 미치는 영향을 최소화하면서 기능을 추가·변경하기 쉽다.</v>
      </c>
      <c r="D50" s="10" t="str">
        <f>'3조'!D$33</f>
        <v>++</v>
      </c>
      <c r="E50" s="13" t="str">
        <f>'3조'!E$33</f>
        <v>약한 결합을 바탕으로, producer와 consumer 별 수정이 용이하다.</v>
      </c>
      <c r="G50" s="4"/>
      <c r="H50" s="4"/>
      <c r="I50" s="4"/>
      <c r="J50" s="4"/>
      <c r="K50" s="4"/>
      <c r="L50" s="4"/>
      <c r="M50" s="4"/>
      <c r="N50" s="4"/>
      <c r="O50" s="4"/>
      <c r="P50" s="4"/>
      <c r="Q50" s="4"/>
      <c r="R50" s="4"/>
      <c r="S50" s="4"/>
      <c r="T50" s="4"/>
      <c r="U50" s="4"/>
      <c r="V50" s="4"/>
      <c r="W50" s="4"/>
      <c r="X50" s="4"/>
      <c r="Y50" s="4"/>
      <c r="Z50" s="4"/>
    </row>
    <row r="51" ht="15.75" customHeight="1">
      <c r="A51" s="9" t="s">
        <v>197</v>
      </c>
      <c r="B51" s="10" t="str">
        <f>'4조'!B$33</f>
        <v>++</v>
      </c>
      <c r="C51" s="17" t="str">
        <f>'4조'!C$33</f>
        <v>이벤트 규칙을 유지하면, 보내는 쪽을 크게 수정하지 않고 받는 기능을 추가하거나 바꾸기 쉽다.</v>
      </c>
      <c r="D51" s="10" t="str">
        <f>'4조'!D$33</f>
        <v>++</v>
      </c>
      <c r="E51" s="13" t="str">
        <f>'4조'!E$33</f>
        <v>메시지 스키마만이 결합점이라 생산자와 소비자 내부는 자유롭게 바꿀 수 있다.</v>
      </c>
      <c r="G51" s="4"/>
      <c r="H51" s="4"/>
      <c r="I51" s="4"/>
      <c r="J51" s="4"/>
      <c r="K51" s="4"/>
      <c r="L51" s="4"/>
      <c r="M51" s="4"/>
      <c r="N51" s="4"/>
      <c r="O51" s="4"/>
      <c r="P51" s="4"/>
      <c r="Q51" s="4"/>
      <c r="R51" s="4"/>
      <c r="S51" s="4"/>
      <c r="T51" s="4"/>
      <c r="U51" s="4"/>
      <c r="V51" s="4"/>
      <c r="W51" s="4"/>
      <c r="X51" s="4"/>
      <c r="Y51" s="4"/>
      <c r="Z51" s="4"/>
    </row>
    <row r="52" ht="15.75" customHeight="1">
      <c r="A52" s="9" t="s">
        <v>201</v>
      </c>
      <c r="B52" s="10" t="str">
        <f>'5조'!B$33</f>
        <v>++</v>
      </c>
      <c r="C52" s="17" t="str">
        <f>'5조'!C$33</f>
        <v>이벤트 인터페이스가 유지되는 한 발행자와 소비자를 독립적으로 추가·수정·교체할 수 있어 변경 파급 범위가 작고 시스템 확장이 용이하다.</v>
      </c>
      <c r="D52" s="10" t="str">
        <f>'5조'!D$33</f>
        <v>++</v>
      </c>
      <c r="E52" s="13" t="str">
        <f>'5조'!E$33</f>
        <v>publisher와 subscriber가 서로에 영향을 주지 않는 구조이기 때문에 시스템 수정 및 확장이 용이하다.</v>
      </c>
      <c r="G52" s="4"/>
      <c r="H52" s="4"/>
      <c r="I52" s="4"/>
      <c r="J52" s="4"/>
      <c r="K52" s="4"/>
      <c r="L52" s="4"/>
      <c r="M52" s="4"/>
      <c r="N52" s="4"/>
      <c r="O52" s="4"/>
      <c r="P52" s="4"/>
      <c r="Q52" s="4"/>
      <c r="R52" s="4"/>
      <c r="S52" s="4"/>
      <c r="T52" s="4"/>
      <c r="U52" s="4"/>
      <c r="V52" s="4"/>
      <c r="W52" s="4"/>
      <c r="X52" s="4"/>
      <c r="Y52" s="4"/>
      <c r="Z52" s="4"/>
    </row>
    <row r="53" ht="15.75" customHeight="1">
      <c r="A53" s="9" t="s">
        <v>205</v>
      </c>
      <c r="B53" s="10" t="str">
        <f>'6조'!B$33</f>
        <v>+</v>
      </c>
      <c r="C53" s="17" t="str">
        <f>'6조'!C$33</f>
        <v>producer및 customer 확장이 자유롭다</v>
      </c>
      <c r="D53" s="10" t="str">
        <f>'6조'!D$33</f>
        <v>+</v>
      </c>
      <c r="E53" s="13" t="str">
        <f>'6조'!E$33</f>
        <v>Producer와 Consumer가 서로의 구현을 알지 않는 약한 결합 구조이므로 한쪽의 변경이 다른 쪽에 미치는 영향이 작다.</v>
      </c>
      <c r="G53" s="4"/>
      <c r="H53" s="4"/>
      <c r="I53" s="4"/>
      <c r="J53" s="4"/>
      <c r="K53" s="4"/>
      <c r="L53" s="4"/>
      <c r="M53" s="4"/>
      <c r="N53" s="4"/>
      <c r="O53" s="4"/>
      <c r="P53" s="4"/>
      <c r="Q53" s="4"/>
      <c r="R53" s="4"/>
      <c r="S53" s="4"/>
      <c r="T53" s="4"/>
      <c r="U53" s="4"/>
      <c r="V53" s="4"/>
      <c r="W53" s="4"/>
      <c r="X53" s="4"/>
      <c r="Y53" s="4"/>
      <c r="Z53" s="4"/>
    </row>
    <row r="54" ht="15.75" customHeight="1">
      <c r="A54" s="9" t="s">
        <v>207</v>
      </c>
      <c r="B54" s="10" t="str">
        <f>'7조'!B$33</f>
        <v/>
      </c>
      <c r="C54" s="13" t="str">
        <f>'7조'!C$33</f>
        <v>7조 - Non-Buffered Event Based - Modifiability</v>
      </c>
      <c r="D54" s="10" t="str">
        <f>'7조'!D$33</f>
        <v/>
      </c>
      <c r="E54" s="13" t="str">
        <f>'7조'!E$33</f>
        <v>7조 - Buffered Message Based - Modifiability</v>
      </c>
      <c r="F54" s="4"/>
      <c r="G54" s="4"/>
      <c r="H54" s="4"/>
      <c r="I54" s="4"/>
      <c r="J54" s="4"/>
      <c r="K54" s="4"/>
      <c r="L54" s="4"/>
      <c r="M54" s="4"/>
      <c r="N54" s="4"/>
      <c r="O54" s="4"/>
      <c r="P54" s="4"/>
      <c r="Q54" s="4"/>
      <c r="R54" s="4"/>
      <c r="S54" s="4"/>
      <c r="T54" s="4"/>
      <c r="U54" s="4"/>
      <c r="V54" s="4"/>
      <c r="W54" s="4"/>
      <c r="X54" s="4"/>
      <c r="Y54" s="4"/>
      <c r="Z54" s="4"/>
    </row>
    <row r="55" ht="15.75" customHeight="1">
      <c r="A55" s="9" t="s">
        <v>211</v>
      </c>
      <c r="B55" s="10" t="str">
        <f>'8조'!B$33</f>
        <v/>
      </c>
      <c r="C55" s="13" t="str">
        <f>'8조'!C$33</f>
        <v>8조 - Non-Buffered Event Based - Modifiability</v>
      </c>
      <c r="D55" s="10" t="str">
        <f>'8조'!D$33</f>
        <v/>
      </c>
      <c r="E55" s="13" t="str">
        <f>'8조'!E$33</f>
        <v>8조 - Buffered Message Based - Modifiability</v>
      </c>
      <c r="F55" s="4"/>
      <c r="G55" s="4"/>
      <c r="H55" s="4"/>
      <c r="I55" s="4"/>
      <c r="J55" s="4"/>
      <c r="K55" s="4"/>
      <c r="L55" s="4"/>
      <c r="M55" s="4"/>
      <c r="N55" s="4"/>
      <c r="O55" s="4"/>
      <c r="P55" s="4"/>
      <c r="Q55" s="4"/>
      <c r="R55" s="4"/>
      <c r="S55" s="4"/>
      <c r="T55" s="4"/>
      <c r="U55" s="4"/>
      <c r="V55" s="4"/>
      <c r="W55" s="4"/>
      <c r="X55" s="4"/>
      <c r="Y55" s="4"/>
      <c r="Z55" s="4"/>
    </row>
    <row r="56" ht="15.75" customHeight="1">
      <c r="A56" s="9" t="s">
        <v>214</v>
      </c>
      <c r="B56" s="10" t="str">
        <f>'9조'!B$33</f>
        <v/>
      </c>
      <c r="C56" s="13" t="str">
        <f>'9조'!C$33</f>
        <v>9조 - Non-Buffered Event Based - Modifiability</v>
      </c>
      <c r="D56" s="10" t="str">
        <f>'9조'!D$33</f>
        <v/>
      </c>
      <c r="E56" s="13" t="str">
        <f>'9조'!E$33</f>
        <v>9조 - Buffered Message Based - Modifiability</v>
      </c>
      <c r="F56" s="4"/>
      <c r="G56" s="4"/>
      <c r="H56" s="4"/>
      <c r="I56" s="4"/>
      <c r="J56" s="4"/>
      <c r="K56" s="4"/>
      <c r="L56" s="4"/>
      <c r="M56" s="4"/>
      <c r="N56" s="4"/>
      <c r="O56" s="4"/>
      <c r="P56" s="4"/>
      <c r="Q56" s="4"/>
      <c r="R56" s="4"/>
      <c r="S56" s="4"/>
      <c r="T56" s="4"/>
      <c r="U56" s="4"/>
      <c r="V56" s="4"/>
      <c r="W56" s="4"/>
      <c r="X56" s="4"/>
      <c r="Y56" s="4"/>
      <c r="Z56" s="4"/>
    </row>
    <row r="57" ht="15.75" customHeight="1">
      <c r="A57" s="11"/>
      <c r="B57" s="14"/>
      <c r="C57" s="11"/>
      <c r="D57" s="14"/>
      <c r="E57" s="11"/>
      <c r="F57" s="4"/>
      <c r="G57" s="4"/>
      <c r="H57" s="4"/>
      <c r="I57" s="4"/>
      <c r="J57" s="4"/>
      <c r="K57" s="4"/>
      <c r="L57" s="4"/>
      <c r="M57" s="4"/>
      <c r="N57" s="4"/>
      <c r="O57" s="4"/>
      <c r="P57" s="4"/>
      <c r="Q57" s="4"/>
      <c r="R57" s="4"/>
      <c r="S57" s="4"/>
      <c r="T57" s="4"/>
      <c r="U57" s="4"/>
      <c r="V57" s="4"/>
      <c r="W57" s="4"/>
      <c r="X57" s="4"/>
      <c r="Y57" s="4"/>
      <c r="Z57" s="4"/>
    </row>
    <row r="58" ht="15.75" customHeight="1">
      <c r="A58" s="7" t="s">
        <v>186</v>
      </c>
      <c r="B58" s="7" t="str">
        <f>'Detailed Reasoning'!B$34</f>
        <v/>
      </c>
      <c r="C58" s="7" t="str">
        <f>'Detailed Reasoning'!C$34</f>
        <v/>
      </c>
      <c r="D58" s="7" t="str">
        <f>'Detailed Reasoning'!D$34</f>
        <v/>
      </c>
      <c r="E58" s="7" t="str">
        <f>'Detailed Reasoning'!E$34</f>
        <v/>
      </c>
      <c r="F58" s="4"/>
      <c r="G58" s="4"/>
      <c r="H58" s="4"/>
      <c r="I58" s="4"/>
      <c r="J58" s="4"/>
      <c r="K58" s="4"/>
      <c r="L58" s="4"/>
      <c r="M58" s="4"/>
      <c r="N58" s="4"/>
      <c r="O58" s="4"/>
      <c r="P58" s="4"/>
      <c r="Q58" s="4"/>
      <c r="R58" s="4"/>
      <c r="S58" s="4"/>
      <c r="T58" s="4"/>
      <c r="U58" s="4"/>
      <c r="V58" s="4"/>
      <c r="W58" s="4"/>
      <c r="X58" s="4"/>
      <c r="Y58" s="4"/>
      <c r="Z58" s="4"/>
    </row>
    <row r="59" ht="15.75" customHeight="1">
      <c r="A59" s="9" t="s">
        <v>222</v>
      </c>
      <c r="B59" s="10" t="str">
        <f>'1조'!B$34</f>
        <v>+</v>
      </c>
      <c r="C59" s="11" t="str">
        <f>'1조'!C34</f>
        <v>[+] 즉시 전달: Buffer에 저장하는 과정 없이 Event 발생 시 Subscriber에게 즉시 전달할 수 있어 응답시간이 짧다.
[+] 비동기 처리: 여러 Subscriber가 Event를 독립적으로 처리하여 병렬성을 활용할 수 있다.
[-] 부하 조절 어려움: Event가 처리 능력보다 빠르게 발생하면 Subscriber에 과부하가 발생할 수 있다.</v>
      </c>
      <c r="D59" s="10" t="str">
        <f>'1조'!D$34</f>
        <v>+</v>
      </c>
      <c r="E59" s="11" t="str">
        <f>'1조'!E34</f>
        <v>[+] 비동기 처리: Producer가 Consumer의 처리를 기다릴 필요가 없어 Producer의 응답시간을 줄일 수 있다.
[+] 부하 완화: 순간적으로 Message가 많이 발생해도 Queue에 저장하여 Consumer의 처리 능력에 맞게 처리할 수 있다.
[-] Broker 오버헤드: Message의 저장·관리·전달에 추가적인 처리 비용이 발생한다.</v>
      </c>
      <c r="F59" s="12" t="s">
        <v>226</v>
      </c>
      <c r="G59" s="4"/>
      <c r="H59" s="4"/>
      <c r="I59" s="4"/>
      <c r="J59" s="4"/>
      <c r="K59" s="4"/>
      <c r="L59" s="4"/>
      <c r="M59" s="4"/>
      <c r="N59" s="4"/>
      <c r="O59" s="4"/>
      <c r="P59" s="4"/>
      <c r="Q59" s="4"/>
      <c r="R59" s="4"/>
      <c r="S59" s="4"/>
      <c r="T59" s="4"/>
      <c r="U59" s="4"/>
      <c r="V59" s="4"/>
      <c r="W59" s="4"/>
      <c r="X59" s="4"/>
      <c r="Y59" s="4"/>
      <c r="Z59" s="4"/>
    </row>
    <row r="60" ht="15.75" customHeight="1">
      <c r="A60" s="9" t="s">
        <v>227</v>
      </c>
      <c r="B60" s="10" t="str">
        <f>'2조'!B$34</f>
        <v>0</v>
      </c>
      <c r="C60" s="13" t="str">
        <f>'2조'!C$34</f>
        <v>직접 호출보다 간접 호출 overhead 가 있지만, 버퍼를 거치지 않아 message 방식보다는 빠르다</v>
      </c>
      <c r="D60" s="10" t="str">
        <f>'2조'!D$34</f>
        <v>-</v>
      </c>
      <c r="E60" s="13" t="str">
        <f>'2조'!E$34</f>
        <v>비동기 큐잉을 통해 피크 부하를 완충하고 다수 컨슈머 병렬 확장으로 처리량(Throughput)이 대폭 향상되나(+), 브로커 큐 I/O, 직렬화, 네트워크 홉으로 인한 지연(Latency)은 증가함(--)</v>
      </c>
      <c r="G60" s="4"/>
      <c r="H60" s="4"/>
      <c r="I60" s="4"/>
      <c r="J60" s="4"/>
      <c r="K60" s="4"/>
      <c r="L60" s="4"/>
      <c r="M60" s="4"/>
      <c r="N60" s="4"/>
      <c r="O60" s="4"/>
      <c r="P60" s="4"/>
      <c r="Q60" s="4"/>
      <c r="R60" s="4"/>
      <c r="S60" s="4"/>
      <c r="T60" s="4"/>
      <c r="U60" s="4"/>
      <c r="V60" s="4"/>
      <c r="W60" s="4"/>
      <c r="X60" s="4"/>
      <c r="Y60" s="4"/>
      <c r="Z60" s="4"/>
    </row>
    <row r="61" ht="15.75" customHeight="1">
      <c r="A61" s="9" t="s">
        <v>232</v>
      </c>
      <c r="B61" s="10" t="str">
        <f>'3조'!B$34</f>
        <v>0</v>
      </c>
      <c r="C61" s="13" t="str">
        <f>'3조'!C$34</f>
        <v>Buffer나 네트워크 없이 동일 프로세스에서 즉시 호출하므로 전달 latency는 낮지만, synchronous Listener 실행과 indirect invocation overhead가 전체 처리 시간을 증가시킬 수 있어 장단점이 공존한다.</v>
      </c>
      <c r="D61" s="10" t="str">
        <f>'3조'!D$34</f>
        <v>+</v>
      </c>
      <c r="E61" s="13" t="str">
        <f>'3조'!E$34</f>
        <v>비동기 병력 처리를 통해, conccurrency 및 througput을 향상 시킬수 있다.</v>
      </c>
      <c r="G61" s="4"/>
      <c r="H61" s="4"/>
      <c r="I61" s="4"/>
      <c r="J61" s="4"/>
      <c r="K61" s="4"/>
      <c r="L61" s="4"/>
      <c r="M61" s="4"/>
      <c r="N61" s="4"/>
      <c r="O61" s="4"/>
      <c r="P61" s="4"/>
      <c r="Q61" s="4"/>
      <c r="R61" s="4"/>
      <c r="S61" s="4"/>
      <c r="T61" s="4"/>
      <c r="U61" s="4"/>
      <c r="V61" s="4"/>
      <c r="W61" s="4"/>
      <c r="X61" s="4"/>
      <c r="Y61" s="4"/>
      <c r="Z61" s="4"/>
    </row>
    <row r="62" ht="15.75" customHeight="1">
      <c r="A62" s="9" t="s">
        <v>236</v>
      </c>
      <c r="B62" s="10" t="str">
        <f>'4조'!B$34</f>
        <v>+</v>
      </c>
      <c r="C62" s="13" t="str">
        <f>'4조'!C$34</f>
        <v>메모리 내 직접 디스패치라 큐잉 오버헤드 없이 지연이 매우 낮다. 반면 동기 전달이라 느린 구독자가 발행자를 막을 위험이 있다.</v>
      </c>
      <c r="D62" s="10" t="str">
        <f>'4조'!D$34</f>
        <v>0</v>
      </c>
      <c r="E62" s="13" t="str">
        <f>'4조'!E$34</f>
        <v>트래픽이 몰릴 때 요청을 큐에 저장해 서버 과부하를 막을 수 있지만, 대기 시간이 생기므로 처리 자체가 빨라지는 것은 아니다.</v>
      </c>
      <c r="G62" s="4"/>
      <c r="H62" s="4"/>
      <c r="I62" s="4"/>
      <c r="J62" s="4"/>
      <c r="K62" s="4"/>
      <c r="L62" s="4"/>
      <c r="M62" s="4"/>
      <c r="N62" s="4"/>
      <c r="O62" s="4"/>
      <c r="P62" s="4"/>
      <c r="Q62" s="4"/>
      <c r="R62" s="4"/>
      <c r="S62" s="4"/>
      <c r="T62" s="4"/>
      <c r="U62" s="4"/>
      <c r="V62" s="4"/>
      <c r="W62" s="4"/>
      <c r="X62" s="4"/>
      <c r="Y62" s="4"/>
      <c r="Z62" s="4"/>
    </row>
    <row r="63" ht="15.75" customHeight="1">
      <c r="A63" s="9" t="s">
        <v>240</v>
      </c>
      <c r="B63" s="10" t="str">
        <f>'5조'!B$34</f>
        <v>-</v>
      </c>
      <c r="C63" s="13" t="str">
        <f>'5조'!C$34</f>
        <v>간접호출(indirect invocation)의 overhead 가 문제가될수있다</v>
      </c>
      <c r="D63" s="10" t="str">
        <f>'5조'!D$34</f>
        <v>-</v>
      </c>
      <c r="E63" s="13" t="str">
        <f>'5조'!E$34</f>
        <v>간접호출(indirect invocation)의 overhead 가 문제가될수있다</v>
      </c>
      <c r="G63" s="4"/>
      <c r="H63" s="4"/>
      <c r="I63" s="4"/>
      <c r="J63" s="4"/>
      <c r="K63" s="4"/>
      <c r="L63" s="4"/>
      <c r="M63" s="4"/>
      <c r="N63" s="4"/>
      <c r="O63" s="4"/>
      <c r="P63" s="4"/>
      <c r="Q63" s="4"/>
      <c r="R63" s="4"/>
      <c r="S63" s="4"/>
      <c r="T63" s="4"/>
      <c r="U63" s="4"/>
      <c r="V63" s="4"/>
      <c r="W63" s="4"/>
      <c r="X63" s="4"/>
      <c r="Y63" s="4"/>
      <c r="Z63" s="4"/>
    </row>
    <row r="64" ht="15.75" customHeight="1">
      <c r="A64" s="9" t="s">
        <v>244</v>
      </c>
      <c r="B64" s="10" t="str">
        <f>'6조'!B$34</f>
        <v>-</v>
      </c>
      <c r="C64" s="13" t="str">
        <f>'6조'!C$34</f>
        <v>동기 실행이라 producer의 응답 시간이 모든 consumer 처리 시간의 합이 되어 고빈도·저지연 상황에서 병목이 된다.</v>
      </c>
      <c r="D64" s="10" t="str">
        <f>'6조'!D$34</f>
        <v>0</v>
      </c>
      <c r="E64" s="13" t="str">
        <f>'6조'!E$34</f>
        <v>비동기 처리로 동시성은 높지만 큐를 거치는 간접 전달이라 즉시 응답이 필요한 요청엔 지연이 생길 수 있다.</v>
      </c>
      <c r="G64" s="4"/>
      <c r="H64" s="4"/>
      <c r="I64" s="4"/>
      <c r="J64" s="4"/>
      <c r="K64" s="4"/>
      <c r="L64" s="4"/>
      <c r="M64" s="4"/>
      <c r="N64" s="4"/>
      <c r="O64" s="4"/>
      <c r="P64" s="4"/>
      <c r="Q64" s="4"/>
      <c r="R64" s="4"/>
      <c r="S64" s="4"/>
      <c r="T64" s="4"/>
      <c r="U64" s="4"/>
      <c r="V64" s="4"/>
      <c r="W64" s="4"/>
      <c r="X64" s="4"/>
      <c r="Y64" s="4"/>
      <c r="Z64" s="4"/>
    </row>
    <row r="65" ht="15.75" customHeight="1">
      <c r="A65" s="9" t="s">
        <v>246</v>
      </c>
      <c r="B65" s="10" t="str">
        <f>'7조'!B$34</f>
        <v/>
      </c>
      <c r="C65" s="13" t="str">
        <f>'7조'!C$34</f>
        <v>7조 - Non-Buffered Event Based - Performance</v>
      </c>
      <c r="D65" s="10" t="str">
        <f>'7조'!D$34</f>
        <v/>
      </c>
      <c r="E65" s="13" t="str">
        <f>'7조'!E$34</f>
        <v>7조 - Buffered Message Based - Performance</v>
      </c>
      <c r="F65" s="4"/>
      <c r="G65" s="4"/>
      <c r="H65" s="4"/>
      <c r="I65" s="4"/>
      <c r="J65" s="4"/>
      <c r="K65" s="4"/>
      <c r="L65" s="4"/>
      <c r="M65" s="4"/>
      <c r="N65" s="4"/>
      <c r="O65" s="4"/>
      <c r="P65" s="4"/>
      <c r="Q65" s="4"/>
      <c r="R65" s="4"/>
      <c r="S65" s="4"/>
      <c r="T65" s="4"/>
      <c r="U65" s="4"/>
      <c r="V65" s="4"/>
      <c r="W65" s="4"/>
      <c r="X65" s="4"/>
      <c r="Y65" s="4"/>
      <c r="Z65" s="4"/>
    </row>
    <row r="66" ht="15.75" customHeight="1">
      <c r="A66" s="9" t="s">
        <v>249</v>
      </c>
      <c r="B66" s="10" t="str">
        <f>'8조'!B$34</f>
        <v/>
      </c>
      <c r="C66" s="13" t="str">
        <f>'8조'!C$34</f>
        <v>8조 - Non-Buffered Event Based - Performance</v>
      </c>
      <c r="D66" s="10" t="str">
        <f>'8조'!D$34</f>
        <v/>
      </c>
      <c r="E66" s="13" t="str">
        <f>'8조'!E$34</f>
        <v>8조 - Buffered Message Based - Performance</v>
      </c>
      <c r="F66" s="4"/>
      <c r="G66" s="4"/>
      <c r="H66" s="4"/>
      <c r="I66" s="4"/>
      <c r="J66" s="4"/>
      <c r="K66" s="4"/>
      <c r="L66" s="4"/>
      <c r="M66" s="4"/>
      <c r="N66" s="4"/>
      <c r="O66" s="4"/>
      <c r="P66" s="4"/>
      <c r="Q66" s="4"/>
      <c r="R66" s="4"/>
      <c r="S66" s="4"/>
      <c r="T66" s="4"/>
      <c r="U66" s="4"/>
      <c r="V66" s="4"/>
      <c r="W66" s="4"/>
      <c r="X66" s="4"/>
      <c r="Y66" s="4"/>
      <c r="Z66" s="4"/>
    </row>
    <row r="67" ht="15.75" customHeight="1">
      <c r="A67" s="9" t="s">
        <v>252</v>
      </c>
      <c r="B67" s="10" t="str">
        <f>'9조'!B$34</f>
        <v/>
      </c>
      <c r="C67" s="13" t="str">
        <f>'9조'!C$34</f>
        <v>9조 - Non-Buffered Event Based - Performance</v>
      </c>
      <c r="D67" s="10" t="str">
        <f>'9조'!D$34</f>
        <v/>
      </c>
      <c r="E67" s="13" t="str">
        <f>'9조'!E$34</f>
        <v>9조 - Buffered Message Based - Performance</v>
      </c>
      <c r="F67" s="4"/>
      <c r="G67" s="4"/>
      <c r="H67" s="4"/>
      <c r="I67" s="4"/>
      <c r="J67" s="4"/>
      <c r="K67" s="4"/>
      <c r="L67" s="4"/>
      <c r="M67" s="4"/>
      <c r="N67" s="4"/>
      <c r="O67" s="4"/>
      <c r="P67" s="4"/>
      <c r="Q67" s="4"/>
      <c r="R67" s="4"/>
      <c r="S67" s="4"/>
      <c r="T67" s="4"/>
      <c r="U67" s="4"/>
      <c r="V67" s="4"/>
      <c r="W67" s="4"/>
      <c r="X67" s="4"/>
      <c r="Y67" s="4"/>
      <c r="Z67" s="4"/>
    </row>
    <row r="68" ht="15.75" customHeight="1">
      <c r="A68" s="11"/>
      <c r="B68" s="14"/>
      <c r="C68" s="11"/>
      <c r="D68" s="14"/>
      <c r="E68" s="11"/>
      <c r="F68" s="4"/>
      <c r="G68" s="4"/>
      <c r="H68" s="4"/>
      <c r="I68" s="4"/>
      <c r="J68" s="4"/>
      <c r="K68" s="4"/>
      <c r="L68" s="4"/>
      <c r="M68" s="4"/>
      <c r="N68" s="4"/>
      <c r="O68" s="4"/>
      <c r="P68" s="4"/>
      <c r="Q68" s="4"/>
      <c r="R68" s="4"/>
      <c r="S68" s="4"/>
      <c r="T68" s="4"/>
      <c r="U68" s="4"/>
      <c r="V68" s="4"/>
      <c r="W68" s="4"/>
      <c r="X68" s="4"/>
      <c r="Y68" s="4"/>
      <c r="Z68" s="4"/>
    </row>
    <row r="69" ht="15.75" customHeight="1">
      <c r="A69" s="7" t="s">
        <v>221</v>
      </c>
      <c r="B69" s="7" t="str">
        <f>'Detailed Reasoning'!B$35</f>
        <v/>
      </c>
      <c r="C69" s="7" t="str">
        <f>'Detailed Reasoning'!C$35</f>
        <v/>
      </c>
      <c r="D69" s="7" t="str">
        <f>'Detailed Reasoning'!D$35</f>
        <v/>
      </c>
      <c r="E69" s="7" t="str">
        <f>'Detailed Reasoning'!E$35</f>
        <v/>
      </c>
      <c r="F69" s="4"/>
      <c r="G69" s="4"/>
      <c r="H69" s="4"/>
      <c r="I69" s="4"/>
      <c r="J69" s="4"/>
      <c r="K69" s="4"/>
      <c r="L69" s="4"/>
      <c r="M69" s="4"/>
      <c r="N69" s="4"/>
      <c r="O69" s="4"/>
      <c r="P69" s="4"/>
      <c r="Q69" s="4"/>
      <c r="R69" s="4"/>
      <c r="S69" s="4"/>
      <c r="T69" s="4"/>
      <c r="U69" s="4"/>
      <c r="V69" s="4"/>
      <c r="W69" s="4"/>
      <c r="X69" s="4"/>
      <c r="Y69" s="4"/>
      <c r="Z69" s="4"/>
    </row>
    <row r="70" ht="15.75" customHeight="1">
      <c r="A70" s="9" t="s">
        <v>260</v>
      </c>
      <c r="B70" s="10" t="str">
        <f>'1조'!B$35</f>
        <v>-</v>
      </c>
      <c r="C70" s="11" t="str">
        <f>'1조'!C35</f>
        <v>[-] Event 유실: 중요한 Event가 Subscriber의 장애나 과부하로 유실되면 위험한 상태에 적절히 대응하지 못할 수 있다.
[-] 처리 보장 어려움: 중요한 Event가 반드시 처리되었다는 것을 보장하기 어렵다.</v>
      </c>
      <c r="D70" s="10" t="str">
        <f>'1조'!D$35</f>
        <v>0</v>
      </c>
      <c r="E70" s="11" t="str">
        <f>'1조'!E35</f>
        <v>[+] 재처리: 실패한 Message를 다시 처리하도록 구성하여 Fault에 대응할 수 있다.
[-] 중복 처리: 재전송 과정에서 동일 Message가 중복 처리되면 잘못된 동작이 발생할 수 있어 별도의 대응이 필요하다.</v>
      </c>
      <c r="F70" s="4"/>
      <c r="G70" s="4"/>
      <c r="H70" s="4"/>
      <c r="I70" s="4"/>
      <c r="J70" s="4"/>
      <c r="K70" s="4"/>
      <c r="L70" s="4"/>
      <c r="M70" s="4"/>
      <c r="N70" s="4"/>
      <c r="O70" s="4"/>
      <c r="P70" s="4"/>
      <c r="Q70" s="4"/>
      <c r="R70" s="4"/>
      <c r="S70" s="4"/>
      <c r="T70" s="4"/>
      <c r="U70" s="4"/>
      <c r="V70" s="4"/>
      <c r="W70" s="4"/>
      <c r="X70" s="4"/>
      <c r="Y70" s="4"/>
      <c r="Z70" s="4"/>
    </row>
    <row r="71" ht="15.75" customHeight="1">
      <c r="A71" s="9" t="s">
        <v>263</v>
      </c>
      <c r="B71" s="10" t="str">
        <f>'2조'!B$35</f>
        <v>-</v>
      </c>
      <c r="C71" s="13" t="str">
        <f>'2조'!C$35</f>
        <v>event 가 유실되어도 알 수 없고, 처리 순서가 보장되지 않아 위험 상황 대응을 맡기기 어렵다</v>
      </c>
      <c r="D71" s="10" t="str">
        <f>'2조'!D$35</f>
        <v>-</v>
      </c>
      <c r="E71" s="13" t="str">
        <f>'2조'!E$35</f>
        <v>비동기 큐잉 특성상 메시지 전달 타이밍의 비결정성, 메시지 도착 순서 역전, 큐 오버플로우로 인한 메시지 유실 위험이 존재하여 엄격한 시간 제약의 안전 필수 시스템에는 부적합함.</v>
      </c>
      <c r="F71" s="12" t="s">
        <v>266</v>
      </c>
      <c r="G71" s="4"/>
      <c r="H71" s="4"/>
      <c r="I71" s="4"/>
      <c r="J71" s="4"/>
      <c r="K71" s="4"/>
      <c r="L71" s="4"/>
      <c r="M71" s="4"/>
      <c r="N71" s="4"/>
      <c r="O71" s="4"/>
      <c r="P71" s="4"/>
      <c r="Q71" s="4"/>
      <c r="R71" s="4"/>
      <c r="S71" s="4"/>
      <c r="T71" s="4"/>
      <c r="U71" s="4"/>
      <c r="V71" s="4"/>
      <c r="W71" s="4"/>
      <c r="X71" s="4"/>
      <c r="Y71" s="4"/>
      <c r="Z71" s="4"/>
    </row>
    <row r="72" ht="15.75" customHeight="1">
      <c r="A72" s="9" t="s">
        <v>267</v>
      </c>
      <c r="B72" s="10" t="str">
        <f>'3조'!B$35</f>
        <v>-</v>
      </c>
      <c r="C72" s="13" t="str">
        <f>'3조'!C$35</f>
        <v>Listener의 반응과 실행 순서를 예측·검증하기 어려우며 Listener 장애가 동기 호출 경로에 영향을 줄 수 있어 safety-critical 동작의 결정성과 검증 가능성이 낮아진다.</v>
      </c>
      <c r="D72" s="10" t="str">
        <f>'3조'!D$35</f>
        <v>+</v>
      </c>
      <c r="E72" s="13" t="str">
        <f>'3조'!E$35</f>
        <v>메시지 큐 내에서 priority,expiration 등을 설정해서 서비스 reliablity를 향상 시킬수 있다.</v>
      </c>
      <c r="G72" s="4"/>
      <c r="H72" s="4"/>
      <c r="I72" s="4"/>
      <c r="J72" s="4"/>
      <c r="K72" s="4"/>
      <c r="L72" s="4"/>
      <c r="M72" s="4"/>
      <c r="N72" s="4"/>
      <c r="O72" s="4"/>
      <c r="P72" s="4"/>
      <c r="Q72" s="4"/>
      <c r="R72" s="4"/>
      <c r="S72" s="4"/>
      <c r="T72" s="4"/>
      <c r="U72" s="4"/>
      <c r="V72" s="4"/>
      <c r="W72" s="4"/>
      <c r="X72" s="4"/>
      <c r="Y72" s="4"/>
      <c r="Z72" s="4"/>
    </row>
    <row r="73" ht="15.75" customHeight="1">
      <c r="A73" s="9" t="s">
        <v>270</v>
      </c>
      <c r="B73" s="10" t="str">
        <f>'4조'!B$35</f>
        <v>-</v>
      </c>
      <c r="C73" s="13" t="str">
        <f>'4조'!C$35</f>
        <v>중요한 위험 알림을 놓치거나 늦게 처리하면 안전 문제가 생길 수 있다.</v>
      </c>
      <c r="D73" s="10" t="str">
        <f>'4조'!D$35</f>
        <v>+</v>
      </c>
      <c r="E73" s="13" t="str">
        <f>'4조'!E$35</f>
        <v>영속화와 확인응답으로 재시도와 최소 1회 전달이 가능해 중요한 작업이 조용히 사라지지 않는다. 다만 중복 전달은 소비자가 처리해야 한다.</v>
      </c>
      <c r="G73" s="4"/>
      <c r="H73" s="4"/>
      <c r="I73" s="4"/>
      <c r="J73" s="4"/>
      <c r="K73" s="4"/>
      <c r="L73" s="4"/>
      <c r="M73" s="4"/>
      <c r="N73" s="4"/>
      <c r="O73" s="4"/>
      <c r="P73" s="4"/>
      <c r="Q73" s="4"/>
      <c r="R73" s="4"/>
      <c r="S73" s="4"/>
      <c r="T73" s="4"/>
      <c r="U73" s="4"/>
      <c r="V73" s="4"/>
      <c r="W73" s="4"/>
      <c r="X73" s="4"/>
      <c r="Y73" s="4"/>
      <c r="Z73" s="4"/>
    </row>
    <row r="74" ht="15.75" customHeight="1">
      <c r="A74" s="9" t="s">
        <v>274</v>
      </c>
      <c r="B74" s="10" t="str">
        <f>'5조'!B$35</f>
        <v>0</v>
      </c>
      <c r="C74" s="13" t="str">
        <f>'5조'!C$35</f>
        <v>일반 시스템에서는 Safety와 직접적인 연관이 크지 않음.</v>
      </c>
      <c r="D74" s="10" t="str">
        <f>'5조'!D$35</f>
        <v>0</v>
      </c>
      <c r="E74" s="13" t="str">
        <f>'5조'!E$35</f>
        <v>중요 이벤트의 손실 방지와 재처리를 통해 안전성에 간접적으로 기여할 수 있지만, 시스템의 물리적 위험을 직접 제어하거나 Safety를 보장하는 구조는 아니므로 일반적인 영향은 중립적이다.</v>
      </c>
      <c r="G74" s="4"/>
      <c r="H74" s="4"/>
      <c r="I74" s="4"/>
      <c r="J74" s="4"/>
      <c r="K74" s="4"/>
      <c r="L74" s="4"/>
      <c r="M74" s="4"/>
      <c r="N74" s="4"/>
      <c r="O74" s="4"/>
      <c r="P74" s="4"/>
      <c r="Q74" s="4"/>
      <c r="R74" s="4"/>
      <c r="S74" s="4"/>
      <c r="T74" s="4"/>
      <c r="U74" s="4"/>
      <c r="V74" s="4"/>
      <c r="W74" s="4"/>
      <c r="X74" s="4"/>
      <c r="Y74" s="4"/>
      <c r="Z74" s="4"/>
    </row>
    <row r="75" ht="15.75" customHeight="1">
      <c r="A75" s="9" t="s">
        <v>277</v>
      </c>
      <c r="B75" s="10" t="str">
        <f>'6조'!B$35</f>
        <v>-</v>
      </c>
      <c r="C75" s="13" t="str">
        <f>'6조'!C$35</f>
        <v>이벤트가 저장되지 않고 실행 순서도 보장되지 않아, 유실·중복·순서 역전이 조용히 발생하며 검출 수단이 없다.</v>
      </c>
      <c r="D75" s="10" t="str">
        <f>'6조'!D$35</f>
        <v>0</v>
      </c>
      <c r="E75" s="13" t="str">
        <f>'6조'!E$35</f>
        <v>메시지 저장과 재처리는 오류 전파를 줄이지만, 메시지의 중복·순서 변경·지연 처리로 인해 잘못된 상태가 발생할 수도 있다.</v>
      </c>
      <c r="G75" s="4"/>
      <c r="H75" s="4"/>
      <c r="I75" s="4"/>
      <c r="J75" s="4"/>
      <c r="K75" s="4"/>
      <c r="L75" s="4"/>
      <c r="M75" s="4"/>
      <c r="N75" s="4"/>
      <c r="O75" s="4"/>
      <c r="P75" s="4"/>
      <c r="Q75" s="4"/>
      <c r="R75" s="4"/>
      <c r="S75" s="4"/>
      <c r="T75" s="4"/>
      <c r="U75" s="4"/>
      <c r="V75" s="4"/>
      <c r="W75" s="4"/>
      <c r="X75" s="4"/>
      <c r="Y75" s="4"/>
      <c r="Z75" s="4"/>
    </row>
    <row r="76" ht="15.75" customHeight="1">
      <c r="A76" s="9" t="s">
        <v>278</v>
      </c>
      <c r="B76" s="10" t="str">
        <f>'7조'!B$35</f>
        <v/>
      </c>
      <c r="C76" s="13" t="str">
        <f>'7조'!C$35</f>
        <v>7조 - Non-Buffered Event Based - Safety</v>
      </c>
      <c r="D76" s="10" t="str">
        <f>'7조'!D$35</f>
        <v/>
      </c>
      <c r="E76" s="13" t="str">
        <f>'7조'!E$35</f>
        <v>7조 - Buffered Message Based - Safety</v>
      </c>
      <c r="F76" s="4"/>
      <c r="G76" s="4"/>
      <c r="H76" s="4"/>
      <c r="I76" s="4"/>
      <c r="J76" s="4"/>
      <c r="K76" s="4"/>
      <c r="L76" s="4"/>
      <c r="M76" s="4"/>
      <c r="N76" s="4"/>
      <c r="O76" s="4"/>
      <c r="P76" s="4"/>
      <c r="Q76" s="4"/>
      <c r="R76" s="4"/>
      <c r="S76" s="4"/>
      <c r="T76" s="4"/>
      <c r="U76" s="4"/>
      <c r="V76" s="4"/>
      <c r="W76" s="4"/>
      <c r="X76" s="4"/>
      <c r="Y76" s="4"/>
      <c r="Z76" s="4"/>
    </row>
    <row r="77" ht="15.75" customHeight="1">
      <c r="A77" s="9" t="s">
        <v>280</v>
      </c>
      <c r="B77" s="10" t="str">
        <f>'8조'!B$35</f>
        <v/>
      </c>
      <c r="C77" s="13" t="str">
        <f>'8조'!C$35</f>
        <v>8조 - Non-Buffered Event Based - Safety</v>
      </c>
      <c r="D77" s="10" t="str">
        <f>'8조'!D$35</f>
        <v/>
      </c>
      <c r="E77" s="13" t="str">
        <f>'8조'!E$35</f>
        <v>8조 - Buffered Message Based - Safety</v>
      </c>
      <c r="F77" s="4"/>
      <c r="G77" s="4"/>
      <c r="H77" s="4"/>
      <c r="I77" s="4"/>
      <c r="J77" s="4"/>
      <c r="K77" s="4"/>
      <c r="L77" s="4"/>
      <c r="M77" s="4"/>
      <c r="N77" s="4"/>
      <c r="O77" s="4"/>
      <c r="P77" s="4"/>
      <c r="Q77" s="4"/>
      <c r="R77" s="4"/>
      <c r="S77" s="4"/>
      <c r="T77" s="4"/>
      <c r="U77" s="4"/>
      <c r="V77" s="4"/>
      <c r="W77" s="4"/>
      <c r="X77" s="4"/>
      <c r="Y77" s="4"/>
      <c r="Z77" s="4"/>
    </row>
    <row r="78" ht="15.75" customHeight="1">
      <c r="A78" s="9" t="s">
        <v>283</v>
      </c>
      <c r="B78" s="10" t="str">
        <f>'9조'!B$35</f>
        <v/>
      </c>
      <c r="C78" s="13" t="str">
        <f>'9조'!C$35</f>
        <v>9조 - Non-Buffered Event Based - Safety</v>
      </c>
      <c r="D78" s="10" t="str">
        <f>'9조'!D$35</f>
        <v/>
      </c>
      <c r="E78" s="13" t="str">
        <f>'9조'!E$35</f>
        <v>9조 - Buffered Message Based - Safety</v>
      </c>
      <c r="F78" s="4"/>
      <c r="G78" s="4"/>
      <c r="H78" s="4"/>
      <c r="I78" s="4"/>
      <c r="J78" s="4"/>
      <c r="K78" s="4"/>
      <c r="L78" s="4"/>
      <c r="M78" s="4"/>
      <c r="N78" s="4"/>
      <c r="O78" s="4"/>
      <c r="P78" s="4"/>
      <c r="Q78" s="4"/>
      <c r="R78" s="4"/>
      <c r="S78" s="4"/>
      <c r="T78" s="4"/>
      <c r="U78" s="4"/>
      <c r="V78" s="4"/>
      <c r="W78" s="4"/>
      <c r="X78" s="4"/>
      <c r="Y78" s="4"/>
      <c r="Z78" s="4"/>
    </row>
    <row r="79" ht="15.75" customHeight="1">
      <c r="A79" s="11"/>
      <c r="B79" s="14"/>
      <c r="C79" s="11"/>
      <c r="D79" s="14"/>
      <c r="E79" s="11"/>
      <c r="F79" s="4"/>
      <c r="G79" s="4"/>
      <c r="H79" s="4"/>
      <c r="I79" s="4"/>
      <c r="J79" s="4"/>
      <c r="K79" s="4"/>
      <c r="L79" s="4"/>
      <c r="M79" s="4"/>
      <c r="N79" s="4"/>
      <c r="O79" s="4"/>
      <c r="P79" s="4"/>
      <c r="Q79" s="4"/>
      <c r="R79" s="4"/>
      <c r="S79" s="4"/>
      <c r="T79" s="4"/>
      <c r="U79" s="4"/>
      <c r="V79" s="4"/>
      <c r="W79" s="4"/>
      <c r="X79" s="4"/>
      <c r="Y79" s="4"/>
      <c r="Z79" s="4"/>
    </row>
    <row r="80" ht="15.75" customHeight="1">
      <c r="A80" s="7" t="s">
        <v>261</v>
      </c>
      <c r="B80" s="7" t="str">
        <f>'Detailed Reasoning'!B$36</f>
        <v/>
      </c>
      <c r="C80" s="7" t="str">
        <f>'Detailed Reasoning'!C$36</f>
        <v/>
      </c>
      <c r="D80" s="7" t="str">
        <f>'Detailed Reasoning'!D$36</f>
        <v/>
      </c>
      <c r="E80" s="7" t="str">
        <f>'Detailed Reasoning'!E$36</f>
        <v/>
      </c>
      <c r="F80" s="4"/>
      <c r="G80" s="4"/>
      <c r="H80" s="4"/>
      <c r="I80" s="4"/>
      <c r="J80" s="4"/>
      <c r="K80" s="4"/>
      <c r="L80" s="4"/>
      <c r="M80" s="4"/>
      <c r="N80" s="4"/>
      <c r="O80" s="4"/>
      <c r="P80" s="4"/>
      <c r="Q80" s="4"/>
      <c r="R80" s="4"/>
      <c r="S80" s="4"/>
      <c r="T80" s="4"/>
      <c r="U80" s="4"/>
      <c r="V80" s="4"/>
      <c r="W80" s="4"/>
      <c r="X80" s="4"/>
      <c r="Y80" s="4"/>
      <c r="Z80" s="4"/>
    </row>
    <row r="81" ht="15.75" customHeight="1">
      <c r="A81" s="9" t="s">
        <v>290</v>
      </c>
      <c r="B81" s="10" t="str">
        <f>'1조'!B$36</f>
        <v>-</v>
      </c>
      <c r="C81" s="11" t="str">
        <f>'1조'!C36</f>
        <v>[-] 다중 수신: Event가 여러 Subscriber에게 전달되는 구조에서는 권한이 없는 Subscriber가 정보를 수신하지 않도록 관리해야 한다.
[-] Event 위·변조: Event의 출처와 무결성을 별도로 검증하지 않으면 악의적인 Event가 전달될 수 있다.</v>
      </c>
      <c r="D81" s="10" t="str">
        <f>'1조'!D$36</f>
        <v>0</v>
      </c>
      <c r="E81" s="11" t="str">
        <f>'1조'!E36</f>
        <v>[+] 중앙 통제: Message Broker에서 인증, 권한 관리 등의 보안 정책을 적용하기 용이하다.
[-] Broker 공격: Broker가 공격받으면 다수의 Producer와 Consumer에 영향을 줄 수 있다.</v>
      </c>
      <c r="F81" s="12" t="s">
        <v>292</v>
      </c>
      <c r="G81" s="4"/>
      <c r="H81" s="4"/>
      <c r="I81" s="4"/>
      <c r="J81" s="4"/>
      <c r="K81" s="4"/>
      <c r="L81" s="4"/>
      <c r="M81" s="4"/>
      <c r="N81" s="4"/>
      <c r="O81" s="4"/>
      <c r="P81" s="4"/>
      <c r="Q81" s="4"/>
      <c r="R81" s="4"/>
      <c r="S81" s="4"/>
      <c r="T81" s="4"/>
      <c r="U81" s="4"/>
      <c r="V81" s="4"/>
      <c r="W81" s="4"/>
      <c r="X81" s="4"/>
      <c r="Y81" s="4"/>
      <c r="Z81" s="4"/>
    </row>
    <row r="82" ht="15.75" customHeight="1">
      <c r="A82" s="9" t="s">
        <v>294</v>
      </c>
      <c r="B82" s="10" t="str">
        <f>'2조'!B$36</f>
        <v>0</v>
      </c>
      <c r="C82" s="13" t="str">
        <f>'2조'!C$36</f>
        <v>등록만 하면 event 를 받을 수 있어 통제가 필요하지만, 스타일 자체가 보안을 좌우하지는 않는다</v>
      </c>
      <c r="D82" s="10" t="str">
        <f>'2조'!D$36</f>
        <v>+</v>
      </c>
      <c r="E82" s="13" t="str">
        <f>'2조'!E$36</f>
        <v>중앙 메시지 브로커/큐 채널에서 토픽별 접근 제어(ACL), TLS 암호화, 발행자/구독자 인증 및 메시지 무결성 검증을 중앙 집중식으로 일관되게 적용할 수 있음.</v>
      </c>
      <c r="G82" s="4"/>
      <c r="H82" s="4"/>
      <c r="I82" s="4"/>
      <c r="J82" s="4"/>
      <c r="K82" s="4"/>
      <c r="L82" s="4"/>
      <c r="M82" s="4"/>
      <c r="N82" s="4"/>
      <c r="O82" s="4"/>
      <c r="P82" s="4"/>
      <c r="Q82" s="4"/>
      <c r="R82" s="4"/>
      <c r="S82" s="4"/>
      <c r="T82" s="4"/>
      <c r="U82" s="4"/>
      <c r="V82" s="4"/>
      <c r="W82" s="4"/>
      <c r="X82" s="4"/>
      <c r="Y82" s="4"/>
      <c r="Z82" s="4"/>
    </row>
    <row r="83" ht="15.75" customHeight="1">
      <c r="A83" s="9" t="s">
        <v>297</v>
      </c>
      <c r="B83" s="10" t="str">
        <f>'3조'!B$36</f>
        <v>0</v>
      </c>
      <c r="C83" s="13" t="str">
        <f>'3조'!C$36</f>
        <v>Event-Based Style 자체는 인증·인가·Event 무결성 등의 보안 메커니즘을 제공하지 않으며 실제 Security 수준은 Event 등록 및 전달 메커니즘의 구현에 좌우된다.</v>
      </c>
      <c r="D83" s="10" t="str">
        <f>'3조'!D$36</f>
        <v>0</v>
      </c>
      <c r="E83" s="13" t="str">
        <f>'3조'!E$36</f>
        <v>메시지 큐가 공격 포인트가 될수 있지만, 보안 통제 지점이 될수 있다.</v>
      </c>
      <c r="G83" s="4"/>
      <c r="H83" s="4"/>
      <c r="I83" s="4"/>
      <c r="J83" s="4"/>
      <c r="K83" s="4"/>
      <c r="L83" s="4"/>
      <c r="M83" s="4"/>
      <c r="N83" s="4"/>
      <c r="O83" s="4"/>
      <c r="P83" s="4"/>
      <c r="Q83" s="4"/>
      <c r="R83" s="4"/>
      <c r="S83" s="4"/>
      <c r="T83" s="4"/>
      <c r="U83" s="4"/>
      <c r="V83" s="4"/>
      <c r="W83" s="4"/>
      <c r="X83" s="4"/>
      <c r="Y83" s="4"/>
      <c r="Z83" s="4"/>
    </row>
    <row r="84" ht="15.75" customHeight="1">
      <c r="A84" s="9" t="s">
        <v>300</v>
      </c>
      <c r="B84" s="10" t="str">
        <f>'4조'!B$36</f>
        <v>0</v>
      </c>
      <c r="C84" s="13" t="str">
        <f>'4조'!C$36</f>
        <v>이 방식 자체가 보안을 높여주지는 않는다. 인증과 접근 권한은 따로 설계해야 한다.</v>
      </c>
      <c r="D84" s="10" t="str">
        <f>'4조'!D$36</f>
        <v>0</v>
      </c>
      <c r="E84" s="13" t="str">
        <f>'4조'!E$36</f>
        <v>중앙 브로커에서 인증·인가를 일괄 적용할 수 있지만, 큐에 쌓인 메시지 자체에 대한 보호가 따로 필요하다.</v>
      </c>
      <c r="G84" s="4"/>
      <c r="H84" s="4"/>
      <c r="I84" s="4"/>
      <c r="J84" s="4"/>
      <c r="K84" s="4"/>
      <c r="L84" s="4"/>
      <c r="M84" s="4"/>
      <c r="N84" s="4"/>
      <c r="O84" s="4"/>
      <c r="P84" s="4"/>
      <c r="Q84" s="4"/>
      <c r="R84" s="4"/>
      <c r="S84" s="4"/>
      <c r="T84" s="4"/>
      <c r="U84" s="4"/>
      <c r="V84" s="4"/>
      <c r="W84" s="4"/>
      <c r="X84" s="4"/>
      <c r="Y84" s="4"/>
      <c r="Z84" s="4"/>
    </row>
    <row r="85" ht="15.75" customHeight="1">
      <c r="A85" s="9" t="s">
        <v>302</v>
      </c>
      <c r="B85" s="10" t="str">
        <f>'5조'!B$36</f>
        <v>-</v>
      </c>
      <c r="C85" s="13" t="str">
        <f>'5조'!C$36</f>
        <v>이벤트 전달 경로와 참여 컴포넌트가 분산되어 있어 중앙 집중식 접근 제어와 모니터링이 어렵고, 비인가 이벤트 발행·구독을 방지하기 위한 추가적인 보안 메커니즘이 필요하다</v>
      </c>
      <c r="D85" s="10" t="str">
        <f>'5조'!D$36</f>
        <v>0</v>
      </c>
      <c r="E85" s="13" t="str">
        <f>'5조'!E$36</f>
        <v>중앙 Broker를 통해 인증·인가와 보안 정책을 일관되게 적용할 수 있다는 장점이 있지만, Broker 및 저장된 메시지가 추가적인 공격면과 중요한 보안 자산이 되므로 전체적인 영향은 구성에 따라 달라진다.</v>
      </c>
      <c r="G85" s="4"/>
      <c r="H85" s="4"/>
      <c r="I85" s="4"/>
      <c r="J85" s="4"/>
      <c r="K85" s="4"/>
      <c r="L85" s="4"/>
      <c r="M85" s="4"/>
      <c r="N85" s="4"/>
      <c r="O85" s="4"/>
      <c r="P85" s="4"/>
      <c r="Q85" s="4"/>
      <c r="R85" s="4"/>
      <c r="S85" s="4"/>
      <c r="T85" s="4"/>
      <c r="U85" s="4"/>
      <c r="V85" s="4"/>
      <c r="W85" s="4"/>
      <c r="X85" s="4"/>
      <c r="Y85" s="4"/>
      <c r="Z85" s="4"/>
    </row>
    <row r="86" ht="15.75" customHeight="1">
      <c r="A86" s="9" t="s">
        <v>305</v>
      </c>
      <c r="B86" s="10" t="str">
        <f>'6조'!B$36</f>
        <v>-</v>
      </c>
      <c r="C86" s="13" t="str">
        <f>'6조'!C$36</f>
        <v>producer 가 타겟 전송 범위를 지정하기 힘들다.</v>
      </c>
      <c r="D86" s="10" t="str">
        <f>'6조'!D$36</f>
        <v>0</v>
      </c>
      <c r="E86" s="13" t="str">
        <f>'6조'!E$36</f>
        <v>익명성이 오히려 인가되지 않은 구독자를 걸러내기 어렵게 만들 수 있으면서도 Broker가 인증·인가·감사와 메시지 접근 통제를 집중적으로 적용할 수 있다.</v>
      </c>
      <c r="G86" s="4"/>
      <c r="H86" s="4"/>
      <c r="I86" s="4"/>
      <c r="J86" s="4"/>
      <c r="K86" s="4"/>
      <c r="L86" s="4"/>
      <c r="M86" s="4"/>
      <c r="N86" s="4"/>
      <c r="O86" s="4"/>
      <c r="P86" s="4"/>
      <c r="Q86" s="4"/>
      <c r="R86" s="4"/>
      <c r="S86" s="4"/>
      <c r="T86" s="4"/>
      <c r="U86" s="4"/>
      <c r="V86" s="4"/>
      <c r="W86" s="4"/>
      <c r="X86" s="4"/>
      <c r="Y86" s="4"/>
      <c r="Z86" s="4"/>
    </row>
    <row r="87" ht="15.75" customHeight="1">
      <c r="A87" s="9" t="s">
        <v>309</v>
      </c>
      <c r="B87" s="10" t="str">
        <f>'7조'!B$36</f>
        <v/>
      </c>
      <c r="C87" s="13" t="str">
        <f>'7조'!C$36</f>
        <v>7조 - Non-Buffered Event Based - Security</v>
      </c>
      <c r="D87" s="10" t="str">
        <f>'7조'!D$36</f>
        <v/>
      </c>
      <c r="E87" s="13" t="str">
        <f>'7조'!E$36</f>
        <v>7조 - Buffered Message Based - Security</v>
      </c>
      <c r="F87" s="4"/>
      <c r="G87" s="4"/>
      <c r="H87" s="4"/>
      <c r="I87" s="4"/>
      <c r="J87" s="4"/>
      <c r="K87" s="4"/>
      <c r="L87" s="4"/>
      <c r="M87" s="4"/>
      <c r="N87" s="4"/>
      <c r="O87" s="4"/>
      <c r="P87" s="4"/>
      <c r="Q87" s="4"/>
      <c r="R87" s="4"/>
      <c r="S87" s="4"/>
      <c r="T87" s="4"/>
      <c r="U87" s="4"/>
      <c r="V87" s="4"/>
      <c r="W87" s="4"/>
      <c r="X87" s="4"/>
      <c r="Y87" s="4"/>
      <c r="Z87" s="4"/>
    </row>
    <row r="88" ht="15.75" customHeight="1">
      <c r="A88" s="9" t="s">
        <v>312</v>
      </c>
      <c r="B88" s="10" t="str">
        <f>'8조'!B$36</f>
        <v/>
      </c>
      <c r="C88" s="13" t="str">
        <f>'8조'!C$36</f>
        <v>8조 - Non-Buffered Event Based - Security</v>
      </c>
      <c r="D88" s="10" t="str">
        <f>'8조'!D$36</f>
        <v/>
      </c>
      <c r="E88" s="13" t="str">
        <f>'8조'!E$36</f>
        <v>8조 - Buffered Message Based - Security</v>
      </c>
      <c r="F88" s="4"/>
      <c r="G88" s="4"/>
      <c r="H88" s="4"/>
      <c r="I88" s="4"/>
      <c r="J88" s="4"/>
      <c r="K88" s="4"/>
      <c r="L88" s="4"/>
      <c r="M88" s="4"/>
      <c r="N88" s="4"/>
      <c r="O88" s="4"/>
      <c r="P88" s="4"/>
      <c r="Q88" s="4"/>
      <c r="R88" s="4"/>
      <c r="S88" s="4"/>
      <c r="T88" s="4"/>
      <c r="U88" s="4"/>
      <c r="V88" s="4"/>
      <c r="W88" s="4"/>
      <c r="X88" s="4"/>
      <c r="Y88" s="4"/>
      <c r="Z88" s="4"/>
    </row>
    <row r="89" ht="15.75" customHeight="1">
      <c r="A89" s="9" t="s">
        <v>315</v>
      </c>
      <c r="B89" s="10" t="str">
        <f>'9조'!B$36</f>
        <v/>
      </c>
      <c r="C89" s="13" t="str">
        <f>'9조'!C$36</f>
        <v>9조 - Non-Buffered Event Based - Security</v>
      </c>
      <c r="D89" s="10" t="str">
        <f>'9조'!D$36</f>
        <v/>
      </c>
      <c r="E89" s="13" t="str">
        <f>'9조'!E$36</f>
        <v>9조 - Buffered Message Based - Security</v>
      </c>
      <c r="F89" s="4"/>
      <c r="G89" s="4"/>
      <c r="H89" s="4"/>
      <c r="I89" s="4"/>
      <c r="J89" s="4"/>
      <c r="K89" s="4"/>
      <c r="L89" s="4"/>
      <c r="M89" s="4"/>
      <c r="N89" s="4"/>
      <c r="O89" s="4"/>
      <c r="P89" s="4"/>
      <c r="Q89" s="4"/>
      <c r="R89" s="4"/>
      <c r="S89" s="4"/>
      <c r="T89" s="4"/>
      <c r="U89" s="4"/>
      <c r="V89" s="4"/>
      <c r="W89" s="4"/>
      <c r="X89" s="4"/>
      <c r="Y89" s="4"/>
      <c r="Z89" s="4"/>
    </row>
    <row r="90" ht="15.75" customHeight="1">
      <c r="A90" s="11"/>
      <c r="B90" s="14"/>
      <c r="C90" s="11"/>
      <c r="D90" s="14"/>
      <c r="E90" s="11"/>
      <c r="F90" s="4"/>
      <c r="G90" s="4"/>
      <c r="H90" s="4"/>
      <c r="I90" s="4"/>
      <c r="J90" s="4"/>
      <c r="K90" s="4"/>
      <c r="L90" s="4"/>
      <c r="M90" s="4"/>
      <c r="N90" s="4"/>
      <c r="O90" s="4"/>
      <c r="P90" s="4"/>
      <c r="Q90" s="4"/>
      <c r="R90" s="4"/>
      <c r="S90" s="4"/>
      <c r="T90" s="4"/>
      <c r="U90" s="4"/>
      <c r="V90" s="4"/>
      <c r="W90" s="4"/>
      <c r="X90" s="4"/>
      <c r="Y90" s="4"/>
      <c r="Z90" s="4"/>
    </row>
    <row r="91" ht="15.75" customHeight="1">
      <c r="A91" s="7" t="s">
        <v>310</v>
      </c>
      <c r="B91" s="7" t="str">
        <f>'Detailed Reasoning'!B$37</f>
        <v/>
      </c>
      <c r="C91" s="7" t="str">
        <f>'Detailed Reasoning'!C$37</f>
        <v/>
      </c>
      <c r="D91" s="7" t="str">
        <f>'Detailed Reasoning'!D$37</f>
        <v/>
      </c>
      <c r="E91" s="7" t="str">
        <f>'Detailed Reasoning'!E$37</f>
        <v/>
      </c>
      <c r="F91" s="4"/>
      <c r="G91" s="4"/>
      <c r="H91" s="4"/>
      <c r="I91" s="4"/>
      <c r="J91" s="4"/>
      <c r="K91" s="4"/>
      <c r="L91" s="4"/>
      <c r="M91" s="4"/>
      <c r="N91" s="4"/>
      <c r="O91" s="4"/>
      <c r="P91" s="4"/>
      <c r="Q91" s="4"/>
      <c r="R91" s="4"/>
      <c r="S91" s="4"/>
      <c r="T91" s="4"/>
      <c r="U91" s="4"/>
      <c r="V91" s="4"/>
      <c r="W91" s="4"/>
      <c r="X91" s="4"/>
      <c r="Y91" s="4"/>
      <c r="Z91" s="4"/>
    </row>
    <row r="92" ht="15.75" customHeight="1">
      <c r="A92" s="9" t="s">
        <v>324</v>
      </c>
      <c r="B92" s="10" t="str">
        <f>'1조'!B$37</f>
        <v>-</v>
      </c>
      <c r="C92" s="11" t="str">
        <f>'1조'!C37</f>
        <v>[+] 컴포넌트 분리: Publisher와 Subscriber를 각각 독립적으로 단위 테스트할 수 있다.
[-] 비동기 동작: Event의 발생과 처리 시점이 비동기적이어서 실행 순서와 결과를 예측하기 어려울 수 있다.
[-] Event 추적: 하나의 Event가 여러 Subscriber를 호출하면 전체 실행 흐름과 오류 발생 위치를 추적하기 어렵다.</v>
      </c>
      <c r="D92" s="10" t="str">
        <f>'1조'!D$37</f>
        <v>+</v>
      </c>
      <c r="E92" s="11" t="str">
        <f>'1조'!E37</f>
        <v>[+] Message 확인: Queue에 저장된 Message를 확인할 수 있어 송수신 과정을 추적하기 쉽다.
[+] 재현 가능: 동일한 Message를 다시 전달하여 테스트 상황을 재현하기 용이하다.
[-] 비동기성: Message 처리 시점과 순서에 따라 결과가 달라질 수 있어 통합 테스트가 복잡해질 수 있다.</v>
      </c>
      <c r="F92" s="12" t="s">
        <v>327</v>
      </c>
      <c r="G92" s="4"/>
      <c r="H92" s="4"/>
      <c r="I92" s="4"/>
      <c r="J92" s="4"/>
      <c r="K92" s="4"/>
      <c r="L92" s="4"/>
      <c r="M92" s="4"/>
      <c r="N92" s="4"/>
      <c r="O92" s="4"/>
      <c r="P92" s="4"/>
      <c r="Q92" s="4"/>
      <c r="R92" s="4"/>
      <c r="S92" s="4"/>
      <c r="T92" s="4"/>
      <c r="U92" s="4"/>
      <c r="V92" s="4"/>
      <c r="W92" s="4"/>
      <c r="X92" s="4"/>
      <c r="Y92" s="4"/>
      <c r="Z92" s="4"/>
    </row>
    <row r="93" ht="15.75" customHeight="1">
      <c r="A93" s="9" t="s">
        <v>328</v>
      </c>
      <c r="B93" s="10" t="str">
        <f>'2조'!B$37</f>
        <v>--</v>
      </c>
      <c r="C93" s="13" t="str">
        <f>'2조'!C$37</f>
        <v>listener 의 응답과 응답 순서를 예측·검증하기 어려워 테스트와 디버깅이 어렵다</v>
      </c>
      <c r="D93" s="10" t="str">
        <f>'2조'!D$37</f>
        <v>-</v>
      </c>
      <c r="E93" s="13" t="str">
        <f>'2조'!E$37</f>
        <v>비동기라 언제 처리될지 정해지지 않아 디버깅이 어렵다. 다만 message 를 기록해 재현할 수는 있다</v>
      </c>
      <c r="G93" s="4"/>
      <c r="H93" s="4"/>
      <c r="I93" s="4"/>
      <c r="J93" s="4"/>
      <c r="K93" s="4"/>
      <c r="L93" s="4"/>
      <c r="M93" s="4"/>
      <c r="N93" s="4"/>
      <c r="O93" s="4"/>
      <c r="P93" s="4"/>
      <c r="Q93" s="4"/>
      <c r="R93" s="4"/>
      <c r="S93" s="4"/>
      <c r="T93" s="4"/>
      <c r="U93" s="4"/>
      <c r="V93" s="4"/>
      <c r="W93" s="4"/>
      <c r="X93" s="4"/>
      <c r="Y93" s="4"/>
      <c r="Z93" s="4"/>
    </row>
    <row r="94" ht="15.75" customHeight="1">
      <c r="A94" s="9" t="s">
        <v>332</v>
      </c>
      <c r="B94" s="10" t="str">
        <f>'3조'!B$37</f>
        <v>--</v>
      </c>
      <c r="C94" s="13" t="str">
        <f>'3조'!C$37</f>
        <v>암시적 호출로 인해 어떤 Listener가 반응하는지와 Listener의 응답 순서를 예측·검증하기 어렵고 제어 흐름이 명시적으로 드러나지 않아 테스트와 디버깅이 어렵다.</v>
      </c>
      <c r="D94" s="10" t="str">
        <f>'3조'!D$37</f>
        <v>--</v>
      </c>
      <c r="E94" s="13" t="str">
        <f>'3조'!E$37</f>
        <v>비동기 방식 처리, 큐 용량, 다양한 정책 지원으로 인해 테스트를 진행하기 어렵다.</v>
      </c>
      <c r="G94" s="4"/>
      <c r="H94" s="4"/>
      <c r="I94" s="4"/>
      <c r="J94" s="4"/>
      <c r="K94" s="4"/>
      <c r="L94" s="4"/>
      <c r="M94" s="4"/>
      <c r="N94" s="4"/>
      <c r="O94" s="4"/>
      <c r="P94" s="4"/>
      <c r="Q94" s="4"/>
      <c r="R94" s="4"/>
      <c r="S94" s="4"/>
      <c r="T94" s="4"/>
      <c r="U94" s="4"/>
      <c r="V94" s="4"/>
      <c r="W94" s="4"/>
      <c r="X94" s="4"/>
      <c r="Y94" s="4"/>
      <c r="Z94" s="4"/>
    </row>
    <row r="95" ht="15.75" customHeight="1">
      <c r="A95" s="9" t="s">
        <v>337</v>
      </c>
      <c r="B95" s="10" t="str">
        <f>'4조'!B$37</f>
        <v>-</v>
      </c>
      <c r="C95" s="13" t="str">
        <f>'4조'!C$37</f>
        <v>개별 기능은 시험하기 쉽지만, 여러 이벤트가 이어지는 전체 흐름은 확인하기 어렵다.</v>
      </c>
      <c r="D95" s="10" t="str">
        <f>'4조'!D$37</f>
        <v>-</v>
      </c>
      <c r="E95" s="13" t="str">
        <f>'4조'!E$37</f>
        <v>비동기성과 타이밍 때문에 종단 간 테스트가 비결정적이다. 다만 양쪽 모두 가짜 큐를 두고 개별 테스트는 가능하다.</v>
      </c>
      <c r="G95" s="4"/>
      <c r="H95" s="4"/>
      <c r="I95" s="4"/>
      <c r="J95" s="4"/>
      <c r="K95" s="4"/>
      <c r="L95" s="4"/>
      <c r="M95" s="4"/>
      <c r="N95" s="4"/>
      <c r="O95" s="4"/>
      <c r="P95" s="4"/>
      <c r="Q95" s="4"/>
      <c r="R95" s="4"/>
      <c r="S95" s="4"/>
      <c r="T95" s="4"/>
      <c r="U95" s="4"/>
      <c r="V95" s="4"/>
      <c r="W95" s="4"/>
      <c r="X95" s="4"/>
      <c r="Y95" s="4"/>
      <c r="Z95" s="4"/>
    </row>
    <row r="96" ht="15.75" customHeight="1">
      <c r="A96" s="9" t="s">
        <v>340</v>
      </c>
      <c r="B96" s="10" t="str">
        <f>'5조'!B$37</f>
        <v>-</v>
      </c>
      <c r="C96" s="13" t="str">
        <f>'5조'!C$37</f>
        <v>비동기적이고 암시적인 이벤트 흐름으로 인해 실행 순서 제어, 테스트 재현, 장애 원인 추적이 어려워 전체적으로 Testability에 불리하다.</v>
      </c>
      <c r="D96" s="10" t="str">
        <f>'5조'!D$37</f>
        <v>-</v>
      </c>
      <c r="E96" s="13" t="str">
        <f>'5조'!E$37</f>
        <v>전체 비동기 흐름의 추적은 별도 Tracing이 필요.</v>
      </c>
      <c r="G96" s="4"/>
      <c r="H96" s="4"/>
      <c r="I96" s="4"/>
      <c r="J96" s="4"/>
      <c r="K96" s="4"/>
      <c r="L96" s="4"/>
      <c r="M96" s="4"/>
      <c r="N96" s="4"/>
      <c r="O96" s="4"/>
      <c r="P96" s="4"/>
      <c r="Q96" s="4"/>
      <c r="R96" s="4"/>
      <c r="S96" s="4"/>
      <c r="T96" s="4"/>
      <c r="U96" s="4"/>
      <c r="V96" s="4"/>
      <c r="W96" s="4"/>
      <c r="X96" s="4"/>
      <c r="Y96" s="4"/>
      <c r="Z96" s="4"/>
    </row>
    <row r="97" ht="15.75" customHeight="1">
      <c r="A97" s="9" t="s">
        <v>343</v>
      </c>
      <c r="B97" s="10" t="str">
        <f>'6조'!B$37</f>
        <v>-</v>
      </c>
      <c r="C97" s="13" t="str">
        <f>'6조'!C$37</f>
        <v>관계성이 명시되어있지 않아 파악이 힘들다</v>
      </c>
      <c r="D97" s="10" t="str">
        <f>'6조'!D$37</f>
        <v>-</v>
      </c>
      <c r="E97" s="13" t="str">
        <f>'6조'!E$37</f>
        <v>메시지가 비동기로 큐를 거쳐 도착하는 타이밍에 의존해 시나리오 재현이 어렵다.</v>
      </c>
      <c r="G97" s="4"/>
      <c r="H97" s="4"/>
      <c r="I97" s="4"/>
      <c r="J97" s="4"/>
      <c r="K97" s="4"/>
      <c r="L97" s="4"/>
      <c r="M97" s="4"/>
      <c r="N97" s="4"/>
      <c r="O97" s="4"/>
      <c r="P97" s="4"/>
      <c r="Q97" s="4"/>
      <c r="R97" s="4"/>
      <c r="S97" s="4"/>
      <c r="T97" s="4"/>
      <c r="U97" s="4"/>
      <c r="V97" s="4"/>
      <c r="W97" s="4"/>
      <c r="X97" s="4"/>
      <c r="Y97" s="4"/>
      <c r="Z97" s="4"/>
    </row>
    <row r="98" ht="15.75" customHeight="1">
      <c r="A98" s="9" t="s">
        <v>347</v>
      </c>
      <c r="B98" s="10" t="str">
        <f>'7조'!B$37</f>
        <v/>
      </c>
      <c r="C98" s="13" t="str">
        <f>'7조'!C$37</f>
        <v>7조 - Non-Buffered Event Based - Testability</v>
      </c>
      <c r="D98" s="10" t="str">
        <f>'7조'!D$37</f>
        <v/>
      </c>
      <c r="E98" s="13" t="str">
        <f>'7조'!E$37</f>
        <v>7조 - Buffered Message Based - Testability</v>
      </c>
      <c r="F98" s="4"/>
      <c r="G98" s="4"/>
      <c r="H98" s="4"/>
      <c r="I98" s="4"/>
      <c r="J98" s="4"/>
      <c r="K98" s="4"/>
      <c r="L98" s="4"/>
      <c r="M98" s="4"/>
      <c r="N98" s="4"/>
      <c r="O98" s="4"/>
      <c r="P98" s="4"/>
      <c r="Q98" s="4"/>
      <c r="R98" s="4"/>
      <c r="S98" s="4"/>
      <c r="T98" s="4"/>
      <c r="U98" s="4"/>
      <c r="V98" s="4"/>
      <c r="W98" s="4"/>
      <c r="X98" s="4"/>
      <c r="Y98" s="4"/>
      <c r="Z98" s="4"/>
    </row>
    <row r="99" ht="15.75" customHeight="1">
      <c r="A99" s="9" t="s">
        <v>350</v>
      </c>
      <c r="B99" s="10" t="str">
        <f>'8조'!B$37</f>
        <v/>
      </c>
      <c r="C99" s="13" t="str">
        <f>'8조'!C$37</f>
        <v>8조 - Non-Buffered Event Based - Testability</v>
      </c>
      <c r="D99" s="10" t="str">
        <f>'8조'!D$37</f>
        <v/>
      </c>
      <c r="E99" s="13" t="str">
        <f>'8조'!E$37</f>
        <v>8조 - Buffered Message Based - Testability</v>
      </c>
      <c r="F99" s="4"/>
      <c r="G99" s="4"/>
      <c r="H99" s="4"/>
      <c r="I99" s="4"/>
      <c r="J99" s="4"/>
      <c r="K99" s="4"/>
      <c r="L99" s="4"/>
      <c r="M99" s="4"/>
      <c r="N99" s="4"/>
      <c r="O99" s="4"/>
      <c r="P99" s="4"/>
      <c r="Q99" s="4"/>
      <c r="R99" s="4"/>
      <c r="S99" s="4"/>
      <c r="T99" s="4"/>
      <c r="U99" s="4"/>
      <c r="V99" s="4"/>
      <c r="W99" s="4"/>
      <c r="X99" s="4"/>
      <c r="Y99" s="4"/>
      <c r="Z99" s="4"/>
    </row>
    <row r="100" ht="15.75" customHeight="1">
      <c r="A100" s="9" t="s">
        <v>354</v>
      </c>
      <c r="B100" s="10" t="str">
        <f>'9조'!B$37</f>
        <v/>
      </c>
      <c r="C100" s="13" t="str">
        <f>'9조'!C$37</f>
        <v>9조 - Non-Buffered Event Based - Testability</v>
      </c>
      <c r="D100" s="10" t="str">
        <f>'9조'!D$37</f>
        <v/>
      </c>
      <c r="E100" s="13" t="str">
        <f>'9조'!E$37</f>
        <v>9조 - Buffered Message Based - Testability</v>
      </c>
      <c r="F100" s="4"/>
      <c r="G100" s="4"/>
      <c r="H100" s="4"/>
      <c r="I100" s="4"/>
      <c r="J100" s="4"/>
      <c r="K100" s="4"/>
      <c r="L100" s="4"/>
      <c r="M100" s="4"/>
      <c r="N100" s="4"/>
      <c r="O100" s="4"/>
      <c r="P100" s="4"/>
      <c r="Q100" s="4"/>
      <c r="R100" s="4"/>
      <c r="S100" s="4"/>
      <c r="T100" s="4"/>
      <c r="U100" s="4"/>
      <c r="V100" s="4"/>
      <c r="W100" s="4"/>
      <c r="X100" s="4"/>
      <c r="Y100" s="4"/>
      <c r="Z100" s="4"/>
    </row>
    <row r="101" ht="15.0" customHeight="1">
      <c r="A101" s="11"/>
      <c r="B101" s="14"/>
      <c r="C101" s="11"/>
      <c r="D101" s="14"/>
      <c r="E101" s="11"/>
      <c r="F101" s="4"/>
      <c r="G101" s="4"/>
      <c r="H101" s="4"/>
      <c r="I101" s="4"/>
      <c r="J101" s="4"/>
      <c r="K101" s="4"/>
      <c r="L101" s="4"/>
      <c r="M101" s="4"/>
      <c r="N101" s="4"/>
      <c r="O101" s="4"/>
      <c r="P101" s="4"/>
      <c r="Q101" s="4"/>
      <c r="R101" s="4"/>
      <c r="S101" s="4"/>
      <c r="T101" s="4"/>
      <c r="U101" s="4"/>
      <c r="V101" s="4"/>
      <c r="W101" s="4"/>
      <c r="X101" s="4"/>
      <c r="Y101" s="4"/>
      <c r="Z101" s="4"/>
    </row>
    <row r="102" ht="15.75" customHeight="1">
      <c r="A102" s="7" t="s">
        <v>346</v>
      </c>
      <c r="B102" s="7" t="str">
        <f>'Detailed Reasoning'!B$38</f>
        <v/>
      </c>
      <c r="C102" s="7" t="str">
        <f>'Detailed Reasoning'!C$38</f>
        <v/>
      </c>
      <c r="D102" s="7" t="str">
        <f>'Detailed Reasoning'!D$38</f>
        <v/>
      </c>
      <c r="E102" s="7" t="str">
        <f>'Detailed Reasoning'!E$38</f>
        <v/>
      </c>
      <c r="F102" s="4"/>
      <c r="G102" s="4"/>
      <c r="H102" s="4"/>
      <c r="I102" s="4"/>
      <c r="J102" s="4"/>
      <c r="K102" s="4"/>
      <c r="L102" s="4"/>
      <c r="M102" s="4"/>
      <c r="N102" s="4"/>
      <c r="O102" s="4"/>
      <c r="P102" s="4"/>
      <c r="Q102" s="4"/>
      <c r="R102" s="4"/>
      <c r="S102" s="4"/>
      <c r="T102" s="4"/>
      <c r="U102" s="4"/>
      <c r="V102" s="4"/>
      <c r="W102" s="4"/>
      <c r="X102" s="4"/>
      <c r="Y102" s="4"/>
      <c r="Z102" s="4"/>
    </row>
    <row r="103" ht="15.75" customHeight="1">
      <c r="A103" s="9" t="s">
        <v>359</v>
      </c>
      <c r="B103" s="10" t="str">
        <f>'1조'!B$38</f>
        <v>-</v>
      </c>
      <c r="C103" s="11" t="str">
        <f>'1조'!C38</f>
        <v>[+] 빠른 반응: Event가 즉시 전달되므로 사용자 행동에 대한 시스템 반응을 빠르게 제공할 수 있다.
[-] Event 유실: 사용자 요청과 관련된 Event가 유실되면 예상한 동작이 수행되지 않을 수 있다.</v>
      </c>
      <c r="D103" s="10" t="str">
        <f>'1조'!D$38</f>
        <v>0</v>
      </c>
      <c r="E103" s="11" t="str">
        <f>'1조'!E38</f>
        <v>[+] 안정적인 요청 처리: 일시적으로 Consumer가 처리하지 못해도 Message를 보관하여 사용자의 요청이 유실될 가능성을 줄일 수 있다.
[-] 응답 지연: Queue에 Message가 쌓이면 사용자가 결과를 받기까지 시간이 길어질 수 있다.</v>
      </c>
      <c r="F103" s="12" t="s">
        <v>362</v>
      </c>
      <c r="G103" s="4"/>
      <c r="H103" s="4"/>
      <c r="I103" s="4"/>
      <c r="J103" s="4"/>
      <c r="K103" s="4"/>
      <c r="L103" s="4"/>
      <c r="M103" s="4"/>
      <c r="N103" s="4"/>
      <c r="O103" s="4"/>
      <c r="P103" s="4"/>
      <c r="Q103" s="4"/>
      <c r="R103" s="4"/>
      <c r="S103" s="4"/>
      <c r="T103" s="4"/>
      <c r="U103" s="4"/>
      <c r="V103" s="4"/>
      <c r="W103" s="4"/>
      <c r="X103" s="4"/>
      <c r="Y103" s="4"/>
      <c r="Z103" s="4"/>
    </row>
    <row r="104" ht="15.75" customHeight="1">
      <c r="A104" s="9" t="s">
        <v>364</v>
      </c>
      <c r="B104" s="10" t="str">
        <f>'2조'!B$38</f>
        <v>++</v>
      </c>
      <c r="C104" s="13" t="str">
        <f>'2조'!C$38</f>
        <v>GUI 애플리케이션(Java Swing 등)에서 사용자의 버튼 클릭, 입력 이벤트에 대해 화면 제어기가 즉시 반응하여 지연 없는 매끄러운 사용자 경험을 제공함.</v>
      </c>
      <c r="D104" s="10" t="str">
        <f>'2조'!D$38</f>
        <v>-</v>
      </c>
      <c r="E104" s="13" t="str">
        <f>'2조'!E$38</f>
        <v>요청이 즉시 처리된다는 보장이 없어, 사용자에게 결과를 바로 보여주기 어렵다</v>
      </c>
      <c r="G104" s="4"/>
      <c r="H104" s="4"/>
      <c r="I104" s="4"/>
      <c r="J104" s="4"/>
      <c r="K104" s="4"/>
      <c r="L104" s="4"/>
      <c r="M104" s="4"/>
      <c r="N104" s="4"/>
      <c r="O104" s="4"/>
      <c r="P104" s="4"/>
      <c r="Q104" s="4"/>
      <c r="R104" s="4"/>
      <c r="S104" s="4"/>
      <c r="T104" s="4"/>
      <c r="U104" s="4"/>
      <c r="V104" s="4"/>
      <c r="W104" s="4"/>
      <c r="X104" s="4"/>
      <c r="Y104" s="4"/>
      <c r="Z104" s="4"/>
    </row>
    <row r="105" ht="15.75" customHeight="1">
      <c r="A105" s="9" t="s">
        <v>366</v>
      </c>
      <c r="B105" s="10" t="str">
        <f>'3조'!B$38</f>
        <v>+</v>
      </c>
      <c r="C105" s="13" t="str">
        <f>'3조'!C$38</f>
        <v>사용자 입력이나 상태 변화 Event에 즉시 반응하는 구조를 구성하기 쉬워 interactive UI의 responsiveness를 지원할 수 있다.</v>
      </c>
      <c r="D105" s="10" t="str">
        <f>'3조'!D$38</f>
        <v>+</v>
      </c>
      <c r="E105" s="13" t="str">
        <f>'3조'!E$38</f>
        <v>비동기 처리를 지원하여, UI lantency를 향상시킬수 있다.</v>
      </c>
      <c r="G105" s="4"/>
      <c r="H105" s="4"/>
      <c r="I105" s="4"/>
      <c r="J105" s="4"/>
      <c r="K105" s="4"/>
      <c r="L105" s="4"/>
      <c r="M105" s="4"/>
      <c r="N105" s="4"/>
      <c r="O105" s="4"/>
      <c r="P105" s="4"/>
      <c r="Q105" s="4"/>
      <c r="R105" s="4"/>
      <c r="S105" s="4"/>
      <c r="T105" s="4"/>
      <c r="U105" s="4"/>
      <c r="V105" s="4"/>
      <c r="W105" s="4"/>
      <c r="X105" s="4"/>
      <c r="Y105" s="4"/>
      <c r="Z105" s="4"/>
    </row>
    <row r="106" ht="15.75" customHeight="1">
      <c r="A106" s="9" t="s">
        <v>369</v>
      </c>
      <c r="B106" s="10" t="str">
        <f>'4조'!B$38</f>
        <v>+</v>
      </c>
      <c r="C106" s="13" t="str">
        <f>'4조'!C$38</f>
        <v>사용자 입력에 맞춰 화면이나 기능이 반응하도록 만들기 좋다. 단, 처리가 오래 걸리면 장점이 줄어든다.</v>
      </c>
      <c r="D106" s="10" t="str">
        <f>'4조'!D$38</f>
        <v>0</v>
      </c>
      <c r="E106" s="13" t="str">
        <f>'4조'!E$38</f>
        <v>사용자는 즉시가 아닌 최종적 결과를 보게 되므로 UI가 처리 중 상태를 알려줘야 한다.</v>
      </c>
      <c r="G106" s="4"/>
      <c r="H106" s="4"/>
      <c r="I106" s="4"/>
      <c r="J106" s="4"/>
      <c r="K106" s="4"/>
      <c r="L106" s="4"/>
      <c r="M106" s="4"/>
      <c r="N106" s="4"/>
      <c r="O106" s="4"/>
      <c r="P106" s="4"/>
      <c r="Q106" s="4"/>
      <c r="R106" s="4"/>
      <c r="S106" s="4"/>
      <c r="T106" s="4"/>
      <c r="U106" s="4"/>
      <c r="V106" s="4"/>
      <c r="W106" s="4"/>
      <c r="X106" s="4"/>
      <c r="Y106" s="4"/>
      <c r="Z106" s="4"/>
    </row>
    <row r="107" ht="15.75" customHeight="1">
      <c r="A107" s="9" t="s">
        <v>371</v>
      </c>
      <c r="B107" s="10" t="str">
        <f>'5조'!B$38</f>
        <v>0</v>
      </c>
      <c r="C107" s="13" t="str">
        <f>'5조'!C$38</f>
        <v>이벤트 기반 구조가 빠른 피드백을 통해 사용성을 간접적으로 향상시킬 수는 있지만, 사용성은 주로 UI/UX 설계에 의해 결정되므로 아키텍처 스타일 자체의 직접적인 영향은 제한적이</v>
      </c>
      <c r="D107" s="10" t="str">
        <f>'5조'!D$38</f>
        <v>0</v>
      </c>
      <c r="E107" s="13" t="str">
        <f>'5조'!E$38</f>
        <v>비동기 처리로 사용자 체감 응답성을 개선할 수 있지만, Buffered Message-Based 자체는 UI나 조작성에 직접 영향을 주는 구조가 아니므로 Usability에 대한 직접적인 영향은 제한</v>
      </c>
      <c r="G107" s="4"/>
      <c r="H107" s="4"/>
      <c r="I107" s="4"/>
      <c r="J107" s="4"/>
      <c r="K107" s="4"/>
      <c r="L107" s="4"/>
      <c r="M107" s="4"/>
      <c r="N107" s="4"/>
      <c r="O107" s="4"/>
      <c r="P107" s="4"/>
      <c r="Q107" s="4"/>
      <c r="R107" s="4"/>
      <c r="S107" s="4"/>
      <c r="T107" s="4"/>
      <c r="U107" s="4"/>
      <c r="V107" s="4"/>
      <c r="W107" s="4"/>
      <c r="X107" s="4"/>
      <c r="Y107" s="4"/>
      <c r="Z107" s="4"/>
    </row>
    <row r="108" ht="15.75" customHeight="1">
      <c r="A108" s="9" t="s">
        <v>374</v>
      </c>
      <c r="B108" s="10" t="str">
        <f>'6조'!B$38</f>
        <v>-</v>
      </c>
      <c r="C108" s="13" t="str">
        <f>'6조'!C$38</f>
        <v>sync 관계이며, customer 가 producer 를 잡고있으면 그동안은 불가용상태이다.</v>
      </c>
      <c r="D108" s="10" t="str">
        <f>'6조'!D$38</f>
        <v>+</v>
      </c>
      <c r="E108" s="13" t="str">
        <f>'6조'!E$38</f>
        <v>긴 작업을 비동기로 처리할 수 있어 사용자 요청을 차단하지 않고 화면의 응답성을 유지할 수 있다.</v>
      </c>
      <c r="G108" s="4"/>
      <c r="H108" s="4"/>
      <c r="I108" s="4"/>
      <c r="J108" s="4"/>
      <c r="K108" s="4"/>
      <c r="L108" s="4"/>
      <c r="M108" s="4"/>
      <c r="N108" s="4"/>
      <c r="O108" s="4"/>
      <c r="P108" s="4"/>
      <c r="Q108" s="4"/>
      <c r="R108" s="4"/>
      <c r="S108" s="4"/>
      <c r="T108" s="4"/>
      <c r="U108" s="4"/>
      <c r="V108" s="4"/>
      <c r="W108" s="4"/>
      <c r="X108" s="4"/>
      <c r="Y108" s="4"/>
      <c r="Z108" s="4"/>
    </row>
    <row r="109" ht="15.75" customHeight="1">
      <c r="A109" s="9" t="s">
        <v>376</v>
      </c>
      <c r="B109" s="10" t="str">
        <f>'7조'!B$38</f>
        <v/>
      </c>
      <c r="C109" s="13" t="str">
        <f>'7조'!C$38</f>
        <v>7조 - Non-Buffered Event Based - Usability</v>
      </c>
      <c r="D109" s="10" t="str">
        <f>'7조'!D$38</f>
        <v/>
      </c>
      <c r="E109" s="13" t="str">
        <f>'7조'!E$38</f>
        <v>7조 - Buffered Message Based - Usability</v>
      </c>
      <c r="F109" s="4"/>
      <c r="G109" s="4"/>
      <c r="H109" s="4"/>
      <c r="I109" s="4"/>
      <c r="J109" s="4"/>
      <c r="K109" s="4"/>
      <c r="L109" s="4"/>
      <c r="M109" s="4"/>
      <c r="N109" s="4"/>
      <c r="O109" s="4"/>
      <c r="P109" s="4"/>
      <c r="Q109" s="4"/>
      <c r="R109" s="4"/>
      <c r="S109" s="4"/>
      <c r="T109" s="4"/>
      <c r="U109" s="4"/>
      <c r="V109" s="4"/>
      <c r="W109" s="4"/>
      <c r="X109" s="4"/>
      <c r="Y109" s="4"/>
      <c r="Z109" s="4"/>
    </row>
    <row r="110" ht="15.75" customHeight="1">
      <c r="A110" s="9" t="s">
        <v>380</v>
      </c>
      <c r="B110" s="10" t="str">
        <f>'8조'!B$38</f>
        <v/>
      </c>
      <c r="C110" s="13" t="str">
        <f>'8조'!C$38</f>
        <v>8조 - Non-Buffered Event Based - Usability</v>
      </c>
      <c r="D110" s="10" t="str">
        <f>'8조'!D$38</f>
        <v/>
      </c>
      <c r="E110" s="13" t="str">
        <f>'8조'!E$38</f>
        <v>8조 - Buffered Message Based - Usability</v>
      </c>
      <c r="F110" s="4"/>
      <c r="G110" s="4"/>
      <c r="H110" s="4"/>
      <c r="I110" s="4"/>
      <c r="J110" s="4"/>
      <c r="K110" s="4"/>
      <c r="L110" s="4"/>
      <c r="M110" s="4"/>
      <c r="N110" s="4"/>
      <c r="O110" s="4"/>
      <c r="P110" s="4"/>
      <c r="Q110" s="4"/>
      <c r="R110" s="4"/>
      <c r="S110" s="4"/>
      <c r="T110" s="4"/>
      <c r="U110" s="4"/>
      <c r="V110" s="4"/>
      <c r="W110" s="4"/>
      <c r="X110" s="4"/>
      <c r="Y110" s="4"/>
      <c r="Z110" s="4"/>
    </row>
    <row r="111" ht="15.75" customHeight="1">
      <c r="A111" s="9" t="s">
        <v>383</v>
      </c>
      <c r="B111" s="10" t="str">
        <f>'9조'!B$38</f>
        <v/>
      </c>
      <c r="C111" s="13" t="str">
        <f>'9조'!C$38</f>
        <v>9조 - Non-Buffered Event Based - Usability</v>
      </c>
      <c r="D111" s="10" t="str">
        <f>'9조'!D$38</f>
        <v/>
      </c>
      <c r="E111" s="13" t="str">
        <f>'9조'!E$38</f>
        <v>9조 - Buffered Message Based - Usability</v>
      </c>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8:F53"/>
    <mergeCell ref="F59:F64"/>
    <mergeCell ref="F71:F75"/>
    <mergeCell ref="F81:F86"/>
    <mergeCell ref="F92:F97"/>
    <mergeCell ref="F103:F108"/>
    <mergeCell ref="A1:A2"/>
    <mergeCell ref="B1:C1"/>
    <mergeCell ref="D1:E1"/>
    <mergeCell ref="F4:F9"/>
    <mergeCell ref="F15:F20"/>
    <mergeCell ref="F26:F31"/>
    <mergeCell ref="F37:F42"/>
  </mergeCell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1.43"/>
    <col customWidth="1" min="2" max="2" width="7.71"/>
    <col customWidth="1" min="3" max="3" width="29.29"/>
    <col customWidth="1" min="4" max="4" width="7.71"/>
    <col customWidth="1" min="5" max="5" width="28.57"/>
    <col customWidth="1" min="6" max="6" width="50.29"/>
  </cols>
  <sheetData>
    <row r="1">
      <c r="A1" s="1" t="s">
        <v>7</v>
      </c>
      <c r="B1" s="2" t="s">
        <v>10</v>
      </c>
      <c r="C1" s="3"/>
      <c r="D1" s="2" t="s">
        <v>13</v>
      </c>
      <c r="E1" s="3"/>
      <c r="F1" s="4"/>
      <c r="G1" s="4"/>
      <c r="H1" s="4"/>
      <c r="I1" s="4"/>
      <c r="J1" s="4"/>
      <c r="K1" s="4"/>
      <c r="L1" s="4"/>
      <c r="M1" s="4"/>
      <c r="N1" s="4"/>
      <c r="O1" s="4"/>
      <c r="P1" s="4"/>
      <c r="Q1" s="4"/>
      <c r="R1" s="4"/>
      <c r="S1" s="4"/>
      <c r="T1" s="4"/>
      <c r="U1" s="4"/>
      <c r="V1" s="4"/>
      <c r="W1" s="4"/>
      <c r="X1" s="4"/>
      <c r="Y1" s="4"/>
      <c r="Z1" s="4"/>
    </row>
    <row r="2">
      <c r="A2" s="5"/>
      <c r="B2" s="6" t="s">
        <v>11</v>
      </c>
      <c r="C2" s="6" t="s">
        <v>12</v>
      </c>
      <c r="D2" s="6" t="s">
        <v>11</v>
      </c>
      <c r="E2" s="6" t="s">
        <v>12</v>
      </c>
      <c r="F2" s="4"/>
      <c r="G2" s="4"/>
      <c r="H2" s="4"/>
      <c r="I2" s="4"/>
      <c r="J2" s="4"/>
      <c r="K2" s="4"/>
      <c r="L2" s="4"/>
      <c r="M2" s="4"/>
      <c r="N2" s="4"/>
      <c r="O2" s="4"/>
      <c r="P2" s="4"/>
      <c r="Q2" s="4"/>
      <c r="R2" s="4"/>
      <c r="S2" s="4"/>
      <c r="T2" s="4"/>
      <c r="U2" s="4"/>
      <c r="V2" s="4"/>
      <c r="W2" s="4"/>
      <c r="X2" s="4"/>
      <c r="Y2" s="4"/>
      <c r="Z2" s="4"/>
    </row>
    <row r="3" ht="15.0" customHeight="1">
      <c r="A3" s="7" t="s">
        <v>14</v>
      </c>
      <c r="B3" s="7" t="str">
        <f>'Detailed Reasoning'!B$42</f>
        <v/>
      </c>
      <c r="C3" s="7" t="str">
        <f>'Detailed Reasoning'!C$42</f>
        <v/>
      </c>
      <c r="D3" s="7" t="str">
        <f>'Detailed Reasoning'!D$42</f>
        <v/>
      </c>
      <c r="E3" s="7" t="str">
        <f>'Detailed Reasoning'!E$42</f>
        <v/>
      </c>
      <c r="F3" s="4"/>
      <c r="G3" s="4"/>
      <c r="H3" s="4"/>
      <c r="I3" s="4"/>
      <c r="J3" s="4"/>
      <c r="K3" s="4"/>
      <c r="L3" s="4"/>
      <c r="M3" s="4"/>
      <c r="N3" s="4"/>
      <c r="O3" s="4"/>
      <c r="P3" s="4"/>
      <c r="Q3" s="4"/>
      <c r="R3" s="4"/>
      <c r="S3" s="4"/>
      <c r="T3" s="4"/>
      <c r="U3" s="4"/>
      <c r="V3" s="4"/>
      <c r="W3" s="4"/>
      <c r="X3" s="4"/>
      <c r="Y3" s="4"/>
      <c r="Z3" s="4"/>
    </row>
    <row r="4">
      <c r="A4" s="9" t="s">
        <v>15</v>
      </c>
      <c r="B4" s="10" t="str">
        <f>'1조'!B$42</f>
        <v/>
      </c>
      <c r="C4" s="11" t="str">
        <f>'1조'!C42</f>
        <v>1조 - MVC - Availability</v>
      </c>
      <c r="D4" s="10" t="str">
        <f>'1조'!D$42</f>
        <v/>
      </c>
      <c r="E4" s="11" t="str">
        <f>'1조'!E42</f>
        <v>1조 - PAC - Availability</v>
      </c>
      <c r="F4" s="12" t="s">
        <v>17</v>
      </c>
      <c r="G4" s="4"/>
      <c r="H4" s="4"/>
      <c r="I4" s="4"/>
      <c r="J4" s="4"/>
      <c r="K4" s="4"/>
      <c r="L4" s="4"/>
      <c r="M4" s="4"/>
      <c r="N4" s="4"/>
      <c r="O4" s="4"/>
      <c r="P4" s="4"/>
      <c r="Q4" s="4"/>
      <c r="R4" s="4"/>
      <c r="S4" s="4"/>
      <c r="T4" s="4"/>
      <c r="U4" s="4"/>
      <c r="V4" s="4"/>
      <c r="W4" s="4"/>
      <c r="X4" s="4"/>
      <c r="Y4" s="4"/>
      <c r="Z4" s="4"/>
    </row>
    <row r="5">
      <c r="A5" s="9" t="s">
        <v>19</v>
      </c>
      <c r="B5" s="10" t="str">
        <f>'2조'!B$42</f>
        <v/>
      </c>
      <c r="C5" s="13" t="str">
        <f>'2조'!C$42</f>
        <v>2조 - MVC - Availability</v>
      </c>
      <c r="D5" s="10" t="str">
        <f>'2조'!D$42</f>
        <v/>
      </c>
      <c r="E5" s="13" t="str">
        <f>'2조'!E$42</f>
        <v>2조 - PAC - Availability</v>
      </c>
      <c r="G5" s="4"/>
      <c r="H5" s="4"/>
      <c r="I5" s="4"/>
      <c r="J5" s="4"/>
      <c r="K5" s="4"/>
      <c r="L5" s="4"/>
      <c r="M5" s="4"/>
      <c r="N5" s="4"/>
      <c r="O5" s="4"/>
      <c r="P5" s="4"/>
      <c r="Q5" s="4"/>
      <c r="R5" s="4"/>
      <c r="S5" s="4"/>
      <c r="T5" s="4"/>
      <c r="U5" s="4"/>
      <c r="V5" s="4"/>
      <c r="W5" s="4"/>
      <c r="X5" s="4"/>
      <c r="Y5" s="4"/>
      <c r="Z5" s="4"/>
    </row>
    <row r="6">
      <c r="A6" s="9" t="s">
        <v>21</v>
      </c>
      <c r="B6" s="10" t="str">
        <f>'3조'!B$42</f>
        <v/>
      </c>
      <c r="C6" s="13" t="str">
        <f>'3조'!C$42</f>
        <v>3조 - MVC - Availability</v>
      </c>
      <c r="D6" s="10" t="str">
        <f>'3조'!D$42</f>
        <v/>
      </c>
      <c r="E6" s="13" t="str">
        <f>'3조'!E$42</f>
        <v>3조 - PAC - Availability</v>
      </c>
      <c r="G6" s="4"/>
      <c r="H6" s="4"/>
      <c r="I6" s="4"/>
      <c r="J6" s="4"/>
      <c r="K6" s="4"/>
      <c r="L6" s="4"/>
      <c r="M6" s="4"/>
      <c r="N6" s="4"/>
      <c r="O6" s="4"/>
      <c r="P6" s="4"/>
      <c r="Q6" s="4"/>
      <c r="R6" s="4"/>
      <c r="S6" s="4"/>
      <c r="T6" s="4"/>
      <c r="U6" s="4"/>
      <c r="V6" s="4"/>
      <c r="W6" s="4"/>
      <c r="X6" s="4"/>
      <c r="Y6" s="4"/>
      <c r="Z6" s="4"/>
    </row>
    <row r="7">
      <c r="A7" s="9" t="s">
        <v>23</v>
      </c>
      <c r="B7" s="10" t="str">
        <f>'4조'!B$42</f>
        <v/>
      </c>
      <c r="C7" s="13" t="str">
        <f>'4조'!C$42</f>
        <v>Human - MVC - Availability</v>
      </c>
      <c r="D7" s="10" t="str">
        <f>'4조'!D$42</f>
        <v/>
      </c>
      <c r="E7" s="13" t="str">
        <f>'4조'!E$42</f>
        <v>Human - PAC - Availability</v>
      </c>
      <c r="G7" s="4"/>
      <c r="H7" s="4"/>
      <c r="I7" s="4"/>
      <c r="J7" s="4"/>
      <c r="K7" s="4"/>
      <c r="L7" s="4"/>
      <c r="M7" s="4"/>
      <c r="N7" s="4"/>
      <c r="O7" s="4"/>
      <c r="P7" s="4"/>
      <c r="Q7" s="4"/>
      <c r="R7" s="4"/>
      <c r="S7" s="4"/>
      <c r="T7" s="4"/>
      <c r="U7" s="4"/>
      <c r="V7" s="4"/>
      <c r="W7" s="4"/>
      <c r="X7" s="4"/>
      <c r="Y7" s="4"/>
      <c r="Z7" s="4"/>
    </row>
    <row r="8">
      <c r="A8" s="9" t="s">
        <v>26</v>
      </c>
      <c r="B8" s="10" t="str">
        <f>'5조'!B$42</f>
        <v/>
      </c>
      <c r="C8" s="13" t="str">
        <f>'5조'!C$42</f>
        <v>5조 - MVC - Availability</v>
      </c>
      <c r="D8" s="10" t="str">
        <f>'5조'!D$42</f>
        <v/>
      </c>
      <c r="E8" s="13" t="str">
        <f>'5조'!E$42</f>
        <v>5조 - PAC - Availability</v>
      </c>
      <c r="G8" s="4"/>
      <c r="H8" s="4"/>
      <c r="I8" s="4"/>
      <c r="J8" s="4"/>
      <c r="K8" s="4"/>
      <c r="L8" s="4"/>
      <c r="M8" s="4"/>
      <c r="N8" s="4"/>
      <c r="O8" s="4"/>
      <c r="P8" s="4"/>
      <c r="Q8" s="4"/>
      <c r="R8" s="4"/>
      <c r="S8" s="4"/>
      <c r="T8" s="4"/>
      <c r="U8" s="4"/>
      <c r="V8" s="4"/>
      <c r="W8" s="4"/>
      <c r="X8" s="4"/>
      <c r="Y8" s="4"/>
      <c r="Z8" s="4"/>
    </row>
    <row r="9">
      <c r="A9" s="9" t="s">
        <v>30</v>
      </c>
      <c r="B9" s="10" t="str">
        <f>'6조'!B$42</f>
        <v/>
      </c>
      <c r="C9" s="13" t="str">
        <f>'6조'!C$42</f>
        <v>6조 - MVC - Availability</v>
      </c>
      <c r="D9" s="10" t="str">
        <f>'6조'!D$42</f>
        <v/>
      </c>
      <c r="E9" s="13" t="str">
        <f>'6조'!E$42</f>
        <v>6조 - PAC - Availability</v>
      </c>
      <c r="G9" s="4"/>
      <c r="H9" s="4"/>
      <c r="I9" s="4"/>
      <c r="J9" s="4"/>
      <c r="K9" s="4"/>
      <c r="L9" s="4"/>
      <c r="M9" s="4"/>
      <c r="N9" s="4"/>
      <c r="O9" s="4"/>
      <c r="P9" s="4"/>
      <c r="Q9" s="4"/>
      <c r="R9" s="4"/>
      <c r="S9" s="4"/>
      <c r="T9" s="4"/>
      <c r="U9" s="4"/>
      <c r="V9" s="4"/>
      <c r="W9" s="4"/>
      <c r="X9" s="4"/>
      <c r="Y9" s="4"/>
      <c r="Z9" s="4"/>
    </row>
    <row r="10">
      <c r="A10" s="9" t="s">
        <v>34</v>
      </c>
      <c r="B10" s="10" t="str">
        <f>'7조'!B$42</f>
        <v/>
      </c>
      <c r="C10" s="13" t="str">
        <f>'7조'!C$42</f>
        <v>7조 - MVC - Availability</v>
      </c>
      <c r="D10" s="10" t="str">
        <f>'7조'!D$42</f>
        <v/>
      </c>
      <c r="E10" s="13" t="str">
        <f>'7조'!E$42</f>
        <v>7조 - PAC - Availability</v>
      </c>
      <c r="F10" s="4"/>
      <c r="G10" s="4"/>
      <c r="H10" s="4"/>
      <c r="I10" s="4"/>
      <c r="J10" s="4"/>
      <c r="K10" s="4"/>
      <c r="L10" s="4"/>
      <c r="M10" s="4"/>
      <c r="N10" s="4"/>
      <c r="O10" s="4"/>
      <c r="P10" s="4"/>
      <c r="Q10" s="4"/>
      <c r="R10" s="4"/>
      <c r="S10" s="4"/>
      <c r="T10" s="4"/>
      <c r="U10" s="4"/>
      <c r="V10" s="4"/>
      <c r="W10" s="4"/>
      <c r="X10" s="4"/>
      <c r="Y10" s="4"/>
      <c r="Z10" s="4"/>
    </row>
    <row r="11">
      <c r="A11" s="9" t="s">
        <v>39</v>
      </c>
      <c r="B11" s="10" t="str">
        <f>'8조'!B$42</f>
        <v/>
      </c>
      <c r="C11" s="13" t="str">
        <f>'8조'!C$42</f>
        <v>8조 - MVC - Availability</v>
      </c>
      <c r="D11" s="10" t="str">
        <f>'8조'!D$42</f>
        <v/>
      </c>
      <c r="E11" s="13" t="str">
        <f>'8조'!E$42</f>
        <v>8조 - PAC - Availability</v>
      </c>
      <c r="F11" s="4"/>
      <c r="G11" s="4"/>
      <c r="H11" s="4"/>
      <c r="I11" s="4"/>
      <c r="J11" s="4"/>
      <c r="K11" s="4"/>
      <c r="L11" s="4"/>
      <c r="M11" s="4"/>
      <c r="N11" s="4"/>
      <c r="O11" s="4"/>
      <c r="P11" s="4"/>
      <c r="Q11" s="4"/>
      <c r="R11" s="4"/>
      <c r="S11" s="4"/>
      <c r="T11" s="4"/>
      <c r="U11" s="4"/>
      <c r="V11" s="4"/>
      <c r="W11" s="4"/>
      <c r="X11" s="4"/>
      <c r="Y11" s="4"/>
      <c r="Z11" s="4"/>
    </row>
    <row r="12">
      <c r="A12" s="9" t="s">
        <v>41</v>
      </c>
      <c r="B12" s="10" t="str">
        <f>'9조'!B$42</f>
        <v/>
      </c>
      <c r="C12" s="13" t="str">
        <f>'9조'!C$42</f>
        <v>9조 - MVC - Availability</v>
      </c>
      <c r="D12" s="10" t="str">
        <f>'9조'!D$42</f>
        <v/>
      </c>
      <c r="E12" s="13" t="str">
        <f>'9조'!E$42</f>
        <v>9조 - PAC - Availability</v>
      </c>
      <c r="F12" s="4"/>
      <c r="G12" s="4"/>
      <c r="H12" s="4"/>
      <c r="I12" s="4"/>
      <c r="J12" s="4"/>
      <c r="K12" s="4"/>
      <c r="L12" s="4"/>
      <c r="M12" s="4"/>
      <c r="N12" s="4"/>
      <c r="O12" s="4"/>
      <c r="P12" s="4"/>
      <c r="Q12" s="4"/>
      <c r="R12" s="4"/>
      <c r="S12" s="4"/>
      <c r="T12" s="4"/>
      <c r="U12" s="4"/>
      <c r="V12" s="4"/>
      <c r="W12" s="4"/>
      <c r="X12" s="4"/>
      <c r="Y12" s="4"/>
      <c r="Z12" s="4"/>
    </row>
    <row r="13">
      <c r="A13" s="11"/>
      <c r="B13" s="14"/>
      <c r="C13" s="11"/>
      <c r="D13" s="14"/>
      <c r="E13" s="11"/>
      <c r="F13" s="4"/>
      <c r="G13" s="4"/>
      <c r="H13" s="4"/>
      <c r="I13" s="4"/>
      <c r="J13" s="4"/>
      <c r="K13" s="4"/>
      <c r="L13" s="4"/>
      <c r="M13" s="4"/>
      <c r="N13" s="4"/>
      <c r="O13" s="4"/>
      <c r="P13" s="4"/>
      <c r="Q13" s="4"/>
      <c r="R13" s="4"/>
      <c r="S13" s="4"/>
      <c r="T13" s="4"/>
      <c r="U13" s="4"/>
      <c r="V13" s="4"/>
      <c r="W13" s="4"/>
      <c r="X13" s="4"/>
      <c r="Y13" s="4"/>
      <c r="Z13" s="4"/>
    </row>
    <row r="14" ht="15.0" customHeight="1">
      <c r="A14" s="7" t="s">
        <v>47</v>
      </c>
      <c r="B14" s="7" t="str">
        <f>'Detailed Reasoning'!B$43</f>
        <v/>
      </c>
      <c r="C14" s="7" t="str">
        <f>'Detailed Reasoning'!C$43</f>
        <v/>
      </c>
      <c r="D14" s="7" t="str">
        <f>'Detailed Reasoning'!D$43</f>
        <v/>
      </c>
      <c r="E14" s="7" t="str">
        <f>'Detailed Reasoning'!E$43</f>
        <v/>
      </c>
      <c r="F14" s="4"/>
      <c r="G14" s="4"/>
      <c r="H14" s="4"/>
      <c r="I14" s="4"/>
      <c r="J14" s="4"/>
      <c r="K14" s="4"/>
      <c r="L14" s="4"/>
      <c r="M14" s="4"/>
      <c r="N14" s="4"/>
      <c r="O14" s="4"/>
      <c r="P14" s="4"/>
      <c r="Q14" s="4"/>
      <c r="R14" s="4"/>
      <c r="S14" s="4"/>
      <c r="T14" s="4"/>
      <c r="U14" s="4"/>
      <c r="V14" s="4"/>
      <c r="W14" s="4"/>
      <c r="X14" s="4"/>
      <c r="Y14" s="4"/>
      <c r="Z14" s="4"/>
    </row>
    <row r="15">
      <c r="A15" s="9" t="s">
        <v>50</v>
      </c>
      <c r="B15" s="10" t="str">
        <f>'1조'!B$43</f>
        <v/>
      </c>
      <c r="C15" s="11" t="str">
        <f>'1조'!C43</f>
        <v>1조 - MVC - Deployability</v>
      </c>
      <c r="D15" s="10" t="str">
        <f>'1조'!D$43</f>
        <v/>
      </c>
      <c r="E15" s="11" t="str">
        <f>'1조'!E43</f>
        <v>1조 - PAC - Deployability</v>
      </c>
      <c r="F15" s="12" t="s">
        <v>52</v>
      </c>
      <c r="G15" s="4"/>
      <c r="H15" s="4"/>
      <c r="I15" s="4"/>
      <c r="J15" s="4"/>
      <c r="K15" s="4"/>
      <c r="L15" s="4"/>
      <c r="M15" s="4"/>
      <c r="N15" s="4"/>
      <c r="O15" s="4"/>
      <c r="P15" s="4"/>
      <c r="Q15" s="4"/>
      <c r="R15" s="4"/>
      <c r="S15" s="4"/>
      <c r="T15" s="4"/>
      <c r="U15" s="4"/>
      <c r="V15" s="4"/>
      <c r="W15" s="4"/>
      <c r="X15" s="4"/>
      <c r="Y15" s="4"/>
      <c r="Z15" s="4"/>
    </row>
    <row r="16">
      <c r="A16" s="9" t="s">
        <v>54</v>
      </c>
      <c r="B16" s="10" t="str">
        <f>'2조'!B$43</f>
        <v/>
      </c>
      <c r="C16" s="13" t="str">
        <f>'2조'!C$43</f>
        <v>2조 - MVC - Deployability</v>
      </c>
      <c r="D16" s="10" t="str">
        <f>'2조'!D$43</f>
        <v/>
      </c>
      <c r="E16" s="13" t="str">
        <f>'2조'!E$43</f>
        <v>2조 - PAC - Deployability</v>
      </c>
      <c r="G16" s="4"/>
      <c r="H16" s="4"/>
      <c r="I16" s="4"/>
      <c r="J16" s="4"/>
      <c r="K16" s="4"/>
      <c r="L16" s="4"/>
      <c r="M16" s="4"/>
      <c r="N16" s="4"/>
      <c r="O16" s="4"/>
      <c r="P16" s="4"/>
      <c r="Q16" s="4"/>
      <c r="R16" s="4"/>
      <c r="S16" s="4"/>
      <c r="T16" s="4"/>
      <c r="U16" s="4"/>
      <c r="V16" s="4"/>
      <c r="W16" s="4"/>
      <c r="X16" s="4"/>
      <c r="Y16" s="4"/>
      <c r="Z16" s="4"/>
    </row>
    <row r="17">
      <c r="A17" s="9" t="s">
        <v>57</v>
      </c>
      <c r="B17" s="10" t="str">
        <f>'3조'!B$43</f>
        <v/>
      </c>
      <c r="C17" s="13" t="str">
        <f>'3조'!C$43</f>
        <v>3조 - MVC - Deployability</v>
      </c>
      <c r="D17" s="10" t="str">
        <f>'3조'!D$43</f>
        <v/>
      </c>
      <c r="E17" s="13" t="str">
        <f>'3조'!E$43</f>
        <v>3조 - PAC - Deployability</v>
      </c>
      <c r="G17" s="4"/>
      <c r="H17" s="4"/>
      <c r="I17" s="4"/>
      <c r="J17" s="4"/>
      <c r="K17" s="4"/>
      <c r="L17" s="4"/>
      <c r="M17" s="4"/>
      <c r="N17" s="4"/>
      <c r="O17" s="4"/>
      <c r="P17" s="4"/>
      <c r="Q17" s="4"/>
      <c r="R17" s="4"/>
      <c r="S17" s="4"/>
      <c r="T17" s="4"/>
      <c r="U17" s="4"/>
      <c r="V17" s="4"/>
      <c r="W17" s="4"/>
      <c r="X17" s="4"/>
      <c r="Y17" s="4"/>
      <c r="Z17" s="4"/>
    </row>
    <row r="18">
      <c r="A18" s="9" t="s">
        <v>61</v>
      </c>
      <c r="B18" s="10" t="str">
        <f>'4조'!B$43</f>
        <v/>
      </c>
      <c r="C18" s="13" t="str">
        <f>'4조'!C$43</f>
        <v>Human - MVC - Deployability</v>
      </c>
      <c r="D18" s="10" t="str">
        <f>'4조'!D$43</f>
        <v/>
      </c>
      <c r="E18" s="13" t="str">
        <f>'4조'!E$43</f>
        <v>Human - PAC - Deployability</v>
      </c>
      <c r="G18" s="4"/>
      <c r="H18" s="4"/>
      <c r="I18" s="4"/>
      <c r="J18" s="4"/>
      <c r="K18" s="4"/>
      <c r="L18" s="4"/>
      <c r="M18" s="4"/>
      <c r="N18" s="4"/>
      <c r="O18" s="4"/>
      <c r="P18" s="4"/>
      <c r="Q18" s="4"/>
      <c r="R18" s="4"/>
      <c r="S18" s="4"/>
      <c r="T18" s="4"/>
      <c r="U18" s="4"/>
      <c r="V18" s="4"/>
      <c r="W18" s="4"/>
      <c r="X18" s="4"/>
      <c r="Y18" s="4"/>
      <c r="Z18" s="4"/>
    </row>
    <row r="19">
      <c r="A19" s="9" t="s">
        <v>63</v>
      </c>
      <c r="B19" s="10" t="str">
        <f>'5조'!B$43</f>
        <v/>
      </c>
      <c r="C19" s="13" t="str">
        <f>'5조'!C$43</f>
        <v>5조 - MVC - Deployability</v>
      </c>
      <c r="D19" s="10" t="str">
        <f>'5조'!D$43</f>
        <v/>
      </c>
      <c r="E19" s="13" t="str">
        <f>'5조'!E$43</f>
        <v>5조 - PAC - Deployability</v>
      </c>
      <c r="G19" s="4"/>
      <c r="H19" s="4"/>
      <c r="I19" s="4"/>
      <c r="J19" s="4"/>
      <c r="K19" s="4"/>
      <c r="L19" s="4"/>
      <c r="M19" s="4"/>
      <c r="N19" s="4"/>
      <c r="O19" s="4"/>
      <c r="P19" s="4"/>
      <c r="Q19" s="4"/>
      <c r="R19" s="4"/>
      <c r="S19" s="4"/>
      <c r="T19" s="4"/>
      <c r="U19" s="4"/>
      <c r="V19" s="4"/>
      <c r="W19" s="4"/>
      <c r="X19" s="4"/>
      <c r="Y19" s="4"/>
      <c r="Z19" s="4"/>
    </row>
    <row r="20">
      <c r="A20" s="9" t="s">
        <v>65</v>
      </c>
      <c r="B20" s="10" t="str">
        <f>'6조'!B$43</f>
        <v/>
      </c>
      <c r="C20" s="13" t="str">
        <f>'6조'!C$43</f>
        <v>6조 - MVC - Deployability</v>
      </c>
      <c r="D20" s="10" t="str">
        <f>'6조'!D$43</f>
        <v/>
      </c>
      <c r="E20" s="13" t="str">
        <f>'6조'!E$43</f>
        <v>6조 - PAC - Deployability</v>
      </c>
      <c r="G20" s="4"/>
      <c r="H20" s="4"/>
      <c r="I20" s="4"/>
      <c r="J20" s="4"/>
      <c r="K20" s="4"/>
      <c r="L20" s="4"/>
      <c r="M20" s="4"/>
      <c r="N20" s="4"/>
      <c r="O20" s="4"/>
      <c r="P20" s="4"/>
      <c r="Q20" s="4"/>
      <c r="R20" s="4"/>
      <c r="S20" s="4"/>
      <c r="T20" s="4"/>
      <c r="U20" s="4"/>
      <c r="V20" s="4"/>
      <c r="W20" s="4"/>
      <c r="X20" s="4"/>
      <c r="Y20" s="4"/>
      <c r="Z20" s="4"/>
    </row>
    <row r="21" ht="15.75" customHeight="1">
      <c r="A21" s="9" t="s">
        <v>68</v>
      </c>
      <c r="B21" s="10" t="str">
        <f>'7조'!B$43</f>
        <v/>
      </c>
      <c r="C21" s="13" t="str">
        <f>'7조'!C$43</f>
        <v>7조 - MVC - Deployability</v>
      </c>
      <c r="D21" s="10" t="str">
        <f>'7조'!D$43</f>
        <v/>
      </c>
      <c r="E21" s="13" t="str">
        <f>'7조'!E$43</f>
        <v>7조 - PAC - Deployability</v>
      </c>
      <c r="F21" s="4"/>
      <c r="G21" s="4"/>
      <c r="H21" s="4"/>
      <c r="I21" s="4"/>
      <c r="J21" s="4"/>
      <c r="K21" s="4"/>
      <c r="L21" s="4"/>
      <c r="M21" s="4"/>
      <c r="N21" s="4"/>
      <c r="O21" s="4"/>
      <c r="P21" s="4"/>
      <c r="Q21" s="4"/>
      <c r="R21" s="4"/>
      <c r="S21" s="4"/>
      <c r="T21" s="4"/>
      <c r="U21" s="4"/>
      <c r="V21" s="4"/>
      <c r="W21" s="4"/>
      <c r="X21" s="4"/>
      <c r="Y21" s="4"/>
      <c r="Z21" s="4"/>
    </row>
    <row r="22" ht="15.75" customHeight="1">
      <c r="A22" s="9" t="s">
        <v>72</v>
      </c>
      <c r="B22" s="10" t="str">
        <f>'8조'!B$43</f>
        <v/>
      </c>
      <c r="C22" s="13" t="str">
        <f>'8조'!C$43</f>
        <v>8조 - MVC - Deployability</v>
      </c>
      <c r="D22" s="10" t="str">
        <f>'8조'!D$43</f>
        <v/>
      </c>
      <c r="E22" s="13" t="str">
        <f>'8조'!E$43</f>
        <v>8조 - PAC - Deployability</v>
      </c>
      <c r="F22" s="4"/>
      <c r="G22" s="4"/>
      <c r="H22" s="4"/>
      <c r="I22" s="4"/>
      <c r="J22" s="4"/>
      <c r="K22" s="4"/>
      <c r="L22" s="4"/>
      <c r="M22" s="4"/>
      <c r="N22" s="4"/>
      <c r="O22" s="4"/>
      <c r="P22" s="4"/>
      <c r="Q22" s="4"/>
      <c r="R22" s="4"/>
      <c r="S22" s="4"/>
      <c r="T22" s="4"/>
      <c r="U22" s="4"/>
      <c r="V22" s="4"/>
      <c r="W22" s="4"/>
      <c r="X22" s="4"/>
      <c r="Y22" s="4"/>
      <c r="Z22" s="4"/>
    </row>
    <row r="23" ht="15.75" customHeight="1">
      <c r="A23" s="9" t="s">
        <v>75</v>
      </c>
      <c r="B23" s="10" t="str">
        <f>'9조'!B$43</f>
        <v/>
      </c>
      <c r="C23" s="13" t="str">
        <f>'9조'!C$43</f>
        <v>9조 - MVC - Deployability</v>
      </c>
      <c r="D23" s="10" t="str">
        <f>'9조'!D$43</f>
        <v/>
      </c>
      <c r="E23" s="13" t="str">
        <f>'9조'!E$43</f>
        <v>9조 - PAC - Deployability</v>
      </c>
      <c r="F23" s="4"/>
      <c r="G23" s="4"/>
      <c r="H23" s="4"/>
      <c r="I23" s="4"/>
      <c r="J23" s="4"/>
      <c r="K23" s="4"/>
      <c r="L23" s="4"/>
      <c r="M23" s="4"/>
      <c r="N23" s="4"/>
      <c r="O23" s="4"/>
      <c r="P23" s="4"/>
      <c r="Q23" s="4"/>
      <c r="R23" s="4"/>
      <c r="S23" s="4"/>
      <c r="T23" s="4"/>
      <c r="U23" s="4"/>
      <c r="V23" s="4"/>
      <c r="W23" s="4"/>
      <c r="X23" s="4"/>
      <c r="Y23" s="4"/>
      <c r="Z23" s="4"/>
    </row>
    <row r="24" ht="15.75" customHeight="1">
      <c r="A24" s="11"/>
      <c r="B24" s="14"/>
      <c r="C24" s="11"/>
      <c r="D24" s="14"/>
      <c r="E24" s="11"/>
      <c r="F24" s="4"/>
      <c r="G24" s="4"/>
      <c r="H24" s="4"/>
      <c r="I24" s="4"/>
      <c r="J24" s="4"/>
      <c r="K24" s="4"/>
      <c r="L24" s="4"/>
      <c r="M24" s="4"/>
      <c r="N24" s="4"/>
      <c r="O24" s="4"/>
      <c r="P24" s="4"/>
      <c r="Q24" s="4"/>
      <c r="R24" s="4"/>
      <c r="S24" s="4"/>
      <c r="T24" s="4"/>
      <c r="U24" s="4"/>
      <c r="V24" s="4"/>
      <c r="W24" s="4"/>
      <c r="X24" s="4"/>
      <c r="Y24" s="4"/>
      <c r="Z24" s="4"/>
    </row>
    <row r="25" ht="15.0" customHeight="1">
      <c r="A25" s="7" t="s">
        <v>80</v>
      </c>
      <c r="B25" s="7" t="str">
        <f>'Detailed Reasoning'!B$44</f>
        <v/>
      </c>
      <c r="C25" s="7" t="str">
        <f>'Detailed Reasoning'!C$44</f>
        <v/>
      </c>
      <c r="D25" s="7" t="str">
        <f>'Detailed Reasoning'!D$44</f>
        <v/>
      </c>
      <c r="E25" s="7" t="str">
        <f>'Detailed Reasoning'!E$44</f>
        <v/>
      </c>
      <c r="F25" s="4"/>
      <c r="G25" s="4"/>
      <c r="H25" s="4"/>
      <c r="I25" s="4"/>
      <c r="J25" s="4"/>
      <c r="K25" s="4"/>
      <c r="L25" s="4"/>
      <c r="M25" s="4"/>
      <c r="N25" s="4"/>
      <c r="O25" s="4"/>
      <c r="P25" s="4"/>
      <c r="Q25" s="4"/>
      <c r="R25" s="4"/>
      <c r="S25" s="4"/>
      <c r="T25" s="4"/>
      <c r="U25" s="4"/>
      <c r="V25" s="4"/>
      <c r="W25" s="4"/>
      <c r="X25" s="4"/>
      <c r="Y25" s="4"/>
      <c r="Z25" s="4"/>
    </row>
    <row r="26" ht="15.75" customHeight="1">
      <c r="A26" s="9" t="s">
        <v>83</v>
      </c>
      <c r="B26" s="10" t="str">
        <f>'1조'!B$44</f>
        <v/>
      </c>
      <c r="C26" s="11" t="str">
        <f>'1조'!C44</f>
        <v>1조 - MVC - Integrability</v>
      </c>
      <c r="D26" s="10" t="str">
        <f>'1조'!D$44</f>
        <v/>
      </c>
      <c r="E26" s="11" t="str">
        <f>'1조'!E44</f>
        <v>1조 - PAC - Integrability</v>
      </c>
      <c r="F26" s="12" t="s">
        <v>85</v>
      </c>
      <c r="G26" s="4"/>
      <c r="H26" s="4"/>
      <c r="I26" s="4"/>
      <c r="J26" s="4"/>
      <c r="K26" s="4"/>
      <c r="L26" s="4"/>
      <c r="M26" s="4"/>
      <c r="N26" s="4"/>
      <c r="O26" s="4"/>
      <c r="P26" s="4"/>
      <c r="Q26" s="4"/>
      <c r="R26" s="4"/>
      <c r="S26" s="4"/>
      <c r="T26" s="4"/>
      <c r="U26" s="4"/>
      <c r="V26" s="4"/>
      <c r="W26" s="4"/>
      <c r="X26" s="4"/>
      <c r="Y26" s="4"/>
      <c r="Z26" s="4"/>
    </row>
    <row r="27" ht="15.75" customHeight="1">
      <c r="A27" s="9" t="s">
        <v>88</v>
      </c>
      <c r="B27" s="10" t="str">
        <f>'2조'!B$44</f>
        <v/>
      </c>
      <c r="C27" s="13" t="str">
        <f>'2조'!C$44</f>
        <v>2조 - MVC - Integrability</v>
      </c>
      <c r="D27" s="10" t="str">
        <f>'2조'!D$44</f>
        <v/>
      </c>
      <c r="E27" s="13" t="str">
        <f>'2조'!E$44</f>
        <v>2조 - PAC - Integrability</v>
      </c>
      <c r="G27" s="4"/>
      <c r="H27" s="4"/>
      <c r="I27" s="4"/>
      <c r="J27" s="4"/>
      <c r="K27" s="4"/>
      <c r="L27" s="4"/>
      <c r="M27" s="4"/>
      <c r="N27" s="4"/>
      <c r="O27" s="4"/>
      <c r="P27" s="4"/>
      <c r="Q27" s="4"/>
      <c r="R27" s="4"/>
      <c r="S27" s="4"/>
      <c r="T27" s="4"/>
      <c r="U27" s="4"/>
      <c r="V27" s="4"/>
      <c r="W27" s="4"/>
      <c r="X27" s="4"/>
      <c r="Y27" s="4"/>
      <c r="Z27" s="4"/>
    </row>
    <row r="28" ht="15.75" customHeight="1">
      <c r="A28" s="9" t="s">
        <v>92</v>
      </c>
      <c r="B28" s="10" t="str">
        <f>'3조'!B$44</f>
        <v/>
      </c>
      <c r="C28" s="13" t="str">
        <f>'3조'!C$44</f>
        <v>3조 - MVC - Integrability</v>
      </c>
      <c r="D28" s="10" t="str">
        <f>'3조'!D$44</f>
        <v/>
      </c>
      <c r="E28" s="13" t="str">
        <f>'3조'!E$44</f>
        <v>3조 - PAC - Integrability</v>
      </c>
      <c r="G28" s="4"/>
      <c r="H28" s="4"/>
      <c r="I28" s="4"/>
      <c r="J28" s="4"/>
      <c r="K28" s="4"/>
      <c r="L28" s="4"/>
      <c r="M28" s="4"/>
      <c r="N28" s="4"/>
      <c r="O28" s="4"/>
      <c r="P28" s="4"/>
      <c r="Q28" s="4"/>
      <c r="R28" s="4"/>
      <c r="S28" s="4"/>
      <c r="T28" s="4"/>
      <c r="U28" s="4"/>
      <c r="V28" s="4"/>
      <c r="W28" s="4"/>
      <c r="X28" s="4"/>
      <c r="Y28" s="4"/>
      <c r="Z28" s="4"/>
    </row>
    <row r="29" ht="15.75" customHeight="1">
      <c r="A29" s="9" t="s">
        <v>96</v>
      </c>
      <c r="B29" s="10" t="str">
        <f>'4조'!B$44</f>
        <v/>
      </c>
      <c r="C29" s="13" t="str">
        <f>'4조'!C$44</f>
        <v>Human - MVC - Integrability</v>
      </c>
      <c r="D29" s="10" t="str">
        <f>'4조'!D$44</f>
        <v/>
      </c>
      <c r="E29" s="13" t="str">
        <f>'4조'!E$44</f>
        <v>Human - PAC - Integrability</v>
      </c>
      <c r="G29" s="4"/>
      <c r="H29" s="4"/>
      <c r="I29" s="4"/>
      <c r="J29" s="4"/>
      <c r="K29" s="4"/>
      <c r="L29" s="4"/>
      <c r="M29" s="4"/>
      <c r="N29" s="4"/>
      <c r="O29" s="4"/>
      <c r="P29" s="4"/>
      <c r="Q29" s="4"/>
      <c r="R29" s="4"/>
      <c r="S29" s="4"/>
      <c r="T29" s="4"/>
      <c r="U29" s="4"/>
      <c r="V29" s="4"/>
      <c r="W29" s="4"/>
      <c r="X29" s="4"/>
      <c r="Y29" s="4"/>
      <c r="Z29" s="4"/>
    </row>
    <row r="30" ht="15.75" customHeight="1">
      <c r="A30" s="9" t="s">
        <v>101</v>
      </c>
      <c r="B30" s="10" t="str">
        <f>'5조'!B$44</f>
        <v/>
      </c>
      <c r="C30" s="13" t="str">
        <f>'5조'!C$44</f>
        <v>5조 - MVC - Integrability</v>
      </c>
      <c r="D30" s="10" t="str">
        <f>'5조'!D$44</f>
        <v/>
      </c>
      <c r="E30" s="13" t="str">
        <f>'5조'!E$44</f>
        <v>5조 - PAC - Integrability</v>
      </c>
      <c r="G30" s="4"/>
      <c r="H30" s="4"/>
      <c r="I30" s="4"/>
      <c r="J30" s="4"/>
      <c r="K30" s="4"/>
      <c r="L30" s="4"/>
      <c r="M30" s="4"/>
      <c r="N30" s="4"/>
      <c r="O30" s="4"/>
      <c r="P30" s="4"/>
      <c r="Q30" s="4"/>
      <c r="R30" s="4"/>
      <c r="S30" s="4"/>
      <c r="T30" s="4"/>
      <c r="U30" s="4"/>
      <c r="V30" s="4"/>
      <c r="W30" s="4"/>
      <c r="X30" s="4"/>
      <c r="Y30" s="4"/>
      <c r="Z30" s="4"/>
    </row>
    <row r="31" ht="15.75" customHeight="1">
      <c r="A31" s="9" t="s">
        <v>103</v>
      </c>
      <c r="B31" s="10" t="str">
        <f>'6조'!B$44</f>
        <v/>
      </c>
      <c r="C31" s="13" t="str">
        <f>'6조'!C$44</f>
        <v>6조 - MVC - Integrability</v>
      </c>
      <c r="D31" s="10" t="str">
        <f>'6조'!D$44</f>
        <v/>
      </c>
      <c r="E31" s="13" t="str">
        <f>'6조'!E$44</f>
        <v>6조 - PAC - Integrability</v>
      </c>
      <c r="G31" s="4"/>
      <c r="H31" s="4"/>
      <c r="I31" s="4"/>
      <c r="J31" s="4"/>
      <c r="K31" s="4"/>
      <c r="L31" s="4"/>
      <c r="M31" s="4"/>
      <c r="N31" s="4"/>
      <c r="O31" s="4"/>
      <c r="P31" s="4"/>
      <c r="Q31" s="4"/>
      <c r="R31" s="4"/>
      <c r="S31" s="4"/>
      <c r="T31" s="4"/>
      <c r="U31" s="4"/>
      <c r="V31" s="4"/>
      <c r="W31" s="4"/>
      <c r="X31" s="4"/>
      <c r="Y31" s="4"/>
      <c r="Z31" s="4"/>
    </row>
    <row r="32" ht="15.75" customHeight="1">
      <c r="A32" s="9" t="s">
        <v>106</v>
      </c>
      <c r="B32" s="10" t="str">
        <f>'7조'!B$44</f>
        <v/>
      </c>
      <c r="C32" s="13" t="str">
        <f>'7조'!C$44</f>
        <v>7조 - MVC - Integrability</v>
      </c>
      <c r="D32" s="10" t="str">
        <f>'7조'!D$44</f>
        <v/>
      </c>
      <c r="E32" s="13" t="str">
        <f>'7조'!E$44</f>
        <v>7조 - PAC - Integrability</v>
      </c>
      <c r="F32" s="4"/>
      <c r="G32" s="4"/>
      <c r="H32" s="4"/>
      <c r="I32" s="4"/>
      <c r="J32" s="4"/>
      <c r="K32" s="4"/>
      <c r="L32" s="4"/>
      <c r="M32" s="4"/>
      <c r="N32" s="4"/>
      <c r="O32" s="4"/>
      <c r="P32" s="4"/>
      <c r="Q32" s="4"/>
      <c r="R32" s="4"/>
      <c r="S32" s="4"/>
      <c r="T32" s="4"/>
      <c r="U32" s="4"/>
      <c r="V32" s="4"/>
      <c r="W32" s="4"/>
      <c r="X32" s="4"/>
      <c r="Y32" s="4"/>
      <c r="Z32" s="4"/>
    </row>
    <row r="33" ht="15.75" customHeight="1">
      <c r="A33" s="9" t="s">
        <v>109</v>
      </c>
      <c r="B33" s="10" t="str">
        <f>'8조'!B$44</f>
        <v/>
      </c>
      <c r="C33" s="13" t="str">
        <f>'8조'!C$44</f>
        <v>8조 - MVC - Integrability</v>
      </c>
      <c r="D33" s="10" t="str">
        <f>'8조'!D$44</f>
        <v/>
      </c>
      <c r="E33" s="13" t="str">
        <f>'8조'!E$44</f>
        <v>8조 - PAC - Integrability</v>
      </c>
      <c r="F33" s="4"/>
      <c r="G33" s="4"/>
      <c r="H33" s="4"/>
      <c r="I33" s="4"/>
      <c r="J33" s="4"/>
      <c r="K33" s="4"/>
      <c r="L33" s="4"/>
      <c r="M33" s="4"/>
      <c r="N33" s="4"/>
      <c r="O33" s="4"/>
      <c r="P33" s="4"/>
      <c r="Q33" s="4"/>
      <c r="R33" s="4"/>
      <c r="S33" s="4"/>
      <c r="T33" s="4"/>
      <c r="U33" s="4"/>
      <c r="V33" s="4"/>
      <c r="W33" s="4"/>
      <c r="X33" s="4"/>
      <c r="Y33" s="4"/>
      <c r="Z33" s="4"/>
    </row>
    <row r="34" ht="15.75" customHeight="1">
      <c r="A34" s="9" t="s">
        <v>112</v>
      </c>
      <c r="B34" s="10" t="str">
        <f>'9조'!B$44</f>
        <v/>
      </c>
      <c r="C34" s="13" t="str">
        <f>'9조'!C$44</f>
        <v>9조 - MVC - Integrability</v>
      </c>
      <c r="D34" s="10" t="str">
        <f>'9조'!D$44</f>
        <v/>
      </c>
      <c r="E34" s="13" t="str">
        <f>'9조'!E$44</f>
        <v>9조 - PAC - Integrability</v>
      </c>
      <c r="F34" s="4"/>
      <c r="G34" s="4"/>
      <c r="H34" s="4"/>
      <c r="I34" s="4"/>
      <c r="J34" s="4"/>
      <c r="K34" s="4"/>
      <c r="L34" s="4"/>
      <c r="M34" s="4"/>
      <c r="N34" s="4"/>
      <c r="O34" s="4"/>
      <c r="P34" s="4"/>
      <c r="Q34" s="4"/>
      <c r="R34" s="4"/>
      <c r="S34" s="4"/>
      <c r="T34" s="4"/>
      <c r="U34" s="4"/>
      <c r="V34" s="4"/>
      <c r="W34" s="4"/>
      <c r="X34" s="4"/>
      <c r="Y34" s="4"/>
      <c r="Z34" s="4"/>
    </row>
    <row r="35" ht="15.75" customHeight="1">
      <c r="A35" s="11"/>
      <c r="B35" s="14"/>
      <c r="C35" s="11"/>
      <c r="D35" s="14"/>
      <c r="E35" s="11"/>
      <c r="F35" s="4"/>
      <c r="G35" s="4"/>
      <c r="H35" s="4"/>
      <c r="I35" s="4"/>
      <c r="J35" s="4"/>
      <c r="K35" s="4"/>
      <c r="L35" s="4"/>
      <c r="M35" s="4"/>
      <c r="N35" s="4"/>
      <c r="O35" s="4"/>
      <c r="P35" s="4"/>
      <c r="Q35" s="4"/>
      <c r="R35" s="4"/>
      <c r="S35" s="4"/>
      <c r="T35" s="4"/>
      <c r="U35" s="4"/>
      <c r="V35" s="4"/>
      <c r="W35" s="4"/>
      <c r="X35" s="4"/>
      <c r="Y35" s="4"/>
      <c r="Z35" s="4"/>
    </row>
    <row r="36" ht="15.75" customHeight="1">
      <c r="A36" s="7" t="s">
        <v>117</v>
      </c>
      <c r="B36" s="7" t="str">
        <f>'Detailed Reasoning'!B$45</f>
        <v/>
      </c>
      <c r="C36" s="7" t="str">
        <f>'Detailed Reasoning'!C$45</f>
        <v/>
      </c>
      <c r="D36" s="7" t="str">
        <f>'Detailed Reasoning'!D$45</f>
        <v/>
      </c>
      <c r="E36" s="7" t="str">
        <f>'Detailed Reasoning'!E$45</f>
        <v/>
      </c>
      <c r="F36" s="4"/>
      <c r="G36" s="4"/>
      <c r="H36" s="4"/>
      <c r="I36" s="4"/>
      <c r="J36" s="4"/>
      <c r="K36" s="4"/>
      <c r="L36" s="4"/>
      <c r="M36" s="4"/>
      <c r="N36" s="4"/>
      <c r="O36" s="4"/>
      <c r="P36" s="4"/>
      <c r="Q36" s="4"/>
      <c r="R36" s="4"/>
      <c r="S36" s="4"/>
      <c r="T36" s="4"/>
      <c r="U36" s="4"/>
      <c r="V36" s="4"/>
      <c r="W36" s="4"/>
      <c r="X36" s="4"/>
      <c r="Y36" s="4"/>
      <c r="Z36" s="4"/>
    </row>
    <row r="37" ht="15.75" customHeight="1">
      <c r="A37" s="11" t="s">
        <v>119</v>
      </c>
      <c r="B37" s="10" t="str">
        <f>'1조'!B$45</f>
        <v/>
      </c>
      <c r="C37" s="11" t="str">
        <f>'1조'!C45</f>
        <v>1조 - MVC - Energy Efficiency</v>
      </c>
      <c r="D37" s="10" t="str">
        <f>'1조'!D$45</f>
        <v/>
      </c>
      <c r="E37" s="11" t="str">
        <f>'1조'!E45</f>
        <v>1조 - PAC - Energy Efficiency</v>
      </c>
      <c r="F37" s="12" t="s">
        <v>123</v>
      </c>
      <c r="G37" s="4"/>
      <c r="H37" s="4"/>
      <c r="I37" s="4"/>
      <c r="J37" s="4"/>
      <c r="K37" s="4"/>
      <c r="L37" s="4"/>
      <c r="M37" s="4"/>
      <c r="N37" s="4"/>
      <c r="O37" s="4"/>
      <c r="P37" s="4"/>
      <c r="Q37" s="4"/>
      <c r="R37" s="4"/>
      <c r="S37" s="4"/>
      <c r="T37" s="4"/>
      <c r="U37" s="4"/>
      <c r="V37" s="4"/>
      <c r="W37" s="4"/>
      <c r="X37" s="4"/>
      <c r="Y37" s="4"/>
      <c r="Z37" s="4"/>
    </row>
    <row r="38" ht="15.75" customHeight="1">
      <c r="A38" s="11" t="s">
        <v>124</v>
      </c>
      <c r="B38" s="10" t="str">
        <f>'2조'!B$45</f>
        <v/>
      </c>
      <c r="C38" s="13" t="str">
        <f>'2조'!C$45</f>
        <v>2조 - MVC - Energy Efficiency</v>
      </c>
      <c r="D38" s="10" t="str">
        <f>'2조'!D$45</f>
        <v/>
      </c>
      <c r="E38" s="13" t="str">
        <f>'2조'!E$45</f>
        <v>2조 - PAC - Energy Efficiency</v>
      </c>
      <c r="G38" s="4"/>
      <c r="H38" s="4"/>
      <c r="I38" s="4"/>
      <c r="J38" s="4"/>
      <c r="K38" s="4"/>
      <c r="L38" s="4"/>
      <c r="M38" s="4"/>
      <c r="N38" s="4"/>
      <c r="O38" s="4"/>
      <c r="P38" s="4"/>
      <c r="Q38" s="4"/>
      <c r="R38" s="4"/>
      <c r="S38" s="4"/>
      <c r="T38" s="4"/>
      <c r="U38" s="4"/>
      <c r="V38" s="4"/>
      <c r="W38" s="4"/>
      <c r="X38" s="4"/>
      <c r="Y38" s="4"/>
      <c r="Z38" s="4"/>
    </row>
    <row r="39" ht="15.75" customHeight="1">
      <c r="A39" s="11" t="s">
        <v>127</v>
      </c>
      <c r="B39" s="10" t="str">
        <f>'3조'!B$45</f>
        <v/>
      </c>
      <c r="C39" s="13" t="str">
        <f>'3조'!C$45</f>
        <v>3조 - MVC - Energy Efficiency</v>
      </c>
      <c r="D39" s="10" t="str">
        <f>'3조'!D$45</f>
        <v/>
      </c>
      <c r="E39" s="13" t="str">
        <f>'3조'!E$45</f>
        <v>3조 - PAC - Energy Efficiency</v>
      </c>
      <c r="G39" s="4"/>
      <c r="H39" s="4"/>
      <c r="I39" s="4"/>
      <c r="J39" s="4"/>
      <c r="K39" s="4"/>
      <c r="L39" s="4"/>
      <c r="M39" s="4"/>
      <c r="N39" s="4"/>
      <c r="O39" s="4"/>
      <c r="P39" s="4"/>
      <c r="Q39" s="4"/>
      <c r="R39" s="4"/>
      <c r="S39" s="4"/>
      <c r="T39" s="4"/>
      <c r="U39" s="4"/>
      <c r="V39" s="4"/>
      <c r="W39" s="4"/>
      <c r="X39" s="4"/>
      <c r="Y39" s="4"/>
      <c r="Z39" s="4"/>
    </row>
    <row r="40" ht="15.75" customHeight="1">
      <c r="A40" s="11" t="s">
        <v>128</v>
      </c>
      <c r="B40" s="10" t="str">
        <f>'4조'!B$45</f>
        <v/>
      </c>
      <c r="C40" s="13" t="str">
        <f>'4조'!C$45</f>
        <v>Human - MVC - Energy Efficiency</v>
      </c>
      <c r="D40" s="10" t="str">
        <f>'4조'!D$45</f>
        <v/>
      </c>
      <c r="E40" s="13" t="str">
        <f>'4조'!E$45</f>
        <v>Human - PAC - Energy Efficiency</v>
      </c>
      <c r="G40" s="4"/>
      <c r="H40" s="4"/>
      <c r="I40" s="4"/>
      <c r="J40" s="4"/>
      <c r="K40" s="4"/>
      <c r="L40" s="4"/>
      <c r="M40" s="4"/>
      <c r="N40" s="4"/>
      <c r="O40" s="4"/>
      <c r="P40" s="4"/>
      <c r="Q40" s="4"/>
      <c r="R40" s="4"/>
      <c r="S40" s="4"/>
      <c r="T40" s="4"/>
      <c r="U40" s="4"/>
      <c r="V40" s="4"/>
      <c r="W40" s="4"/>
      <c r="X40" s="4"/>
      <c r="Y40" s="4"/>
      <c r="Z40" s="4"/>
    </row>
    <row r="41" ht="15.75" customHeight="1">
      <c r="A41" s="11" t="s">
        <v>131</v>
      </c>
      <c r="B41" s="10" t="str">
        <f>'5조'!B$45</f>
        <v/>
      </c>
      <c r="C41" s="13" t="str">
        <f>'5조'!C$45</f>
        <v>5조 - MVC - Energy Efficiency</v>
      </c>
      <c r="D41" s="10" t="str">
        <f>'5조'!D$45</f>
        <v/>
      </c>
      <c r="E41" s="13" t="str">
        <f>'5조'!E$45</f>
        <v>5조 - PAC - Energy Efficiency</v>
      </c>
      <c r="G41" s="4"/>
      <c r="H41" s="4"/>
      <c r="I41" s="4"/>
      <c r="J41" s="4"/>
      <c r="K41" s="4"/>
      <c r="L41" s="4"/>
      <c r="M41" s="4"/>
      <c r="N41" s="4"/>
      <c r="O41" s="4"/>
      <c r="P41" s="4"/>
      <c r="Q41" s="4"/>
      <c r="R41" s="4"/>
      <c r="S41" s="4"/>
      <c r="T41" s="4"/>
      <c r="U41" s="4"/>
      <c r="V41" s="4"/>
      <c r="W41" s="4"/>
      <c r="X41" s="4"/>
      <c r="Y41" s="4"/>
      <c r="Z41" s="4"/>
    </row>
    <row r="42" ht="15.75" customHeight="1">
      <c r="A42" s="11" t="s">
        <v>135</v>
      </c>
      <c r="B42" s="10" t="str">
        <f>'6조'!B$45</f>
        <v/>
      </c>
      <c r="C42" s="13" t="str">
        <f>'6조'!C$45</f>
        <v>6조 - MVC - Energy Efficiency</v>
      </c>
      <c r="D42" s="10" t="str">
        <f>'6조'!D$45</f>
        <v/>
      </c>
      <c r="E42" s="13" t="str">
        <f>'6조'!E$45</f>
        <v>6조 - PAC - Energy Efficiency</v>
      </c>
      <c r="G42" s="4"/>
      <c r="H42" s="4"/>
      <c r="I42" s="4"/>
      <c r="J42" s="4"/>
      <c r="K42" s="4"/>
      <c r="L42" s="4"/>
      <c r="M42" s="4"/>
      <c r="N42" s="4"/>
      <c r="O42" s="4"/>
      <c r="P42" s="4"/>
      <c r="Q42" s="4"/>
      <c r="R42" s="4"/>
      <c r="S42" s="4"/>
      <c r="T42" s="4"/>
      <c r="U42" s="4"/>
      <c r="V42" s="4"/>
      <c r="W42" s="4"/>
      <c r="X42" s="4"/>
      <c r="Y42" s="4"/>
      <c r="Z42" s="4"/>
    </row>
    <row r="43" ht="15.75" customHeight="1">
      <c r="A43" s="11" t="s">
        <v>140</v>
      </c>
      <c r="B43" s="10" t="str">
        <f>'7조'!B$45</f>
        <v/>
      </c>
      <c r="C43" s="13" t="str">
        <f>'7조'!C$45</f>
        <v>7조 - MVC - Energy Efficiency</v>
      </c>
      <c r="D43" s="10" t="str">
        <f>'7조'!D$45</f>
        <v/>
      </c>
      <c r="E43" s="13" t="str">
        <f>'7조'!E$45</f>
        <v>7조 - PAC - Energy Efficiency</v>
      </c>
      <c r="F43" s="4"/>
      <c r="G43" s="4"/>
      <c r="H43" s="4"/>
      <c r="I43" s="4"/>
      <c r="J43" s="4"/>
      <c r="K43" s="4"/>
      <c r="L43" s="4"/>
      <c r="M43" s="4"/>
      <c r="N43" s="4"/>
      <c r="O43" s="4"/>
      <c r="P43" s="4"/>
      <c r="Q43" s="4"/>
      <c r="R43" s="4"/>
      <c r="S43" s="4"/>
      <c r="T43" s="4"/>
      <c r="U43" s="4"/>
      <c r="V43" s="4"/>
      <c r="W43" s="4"/>
      <c r="X43" s="4"/>
      <c r="Y43" s="4"/>
      <c r="Z43" s="4"/>
    </row>
    <row r="44" ht="15.75" customHeight="1">
      <c r="A44" s="11" t="s">
        <v>142</v>
      </c>
      <c r="B44" s="10" t="str">
        <f>'8조'!B$45</f>
        <v/>
      </c>
      <c r="C44" s="13" t="str">
        <f>'8조'!C$45</f>
        <v>8조 - MVC - Energy Efficiency</v>
      </c>
      <c r="D44" s="10" t="str">
        <f>'8조'!D$45</f>
        <v/>
      </c>
      <c r="E44" s="13" t="str">
        <f>'8조'!E$45</f>
        <v>8조 - PAC - Energy Efficiency</v>
      </c>
      <c r="F44" s="4"/>
      <c r="G44" s="4"/>
      <c r="H44" s="4"/>
      <c r="I44" s="4"/>
      <c r="J44" s="4"/>
      <c r="K44" s="4"/>
      <c r="L44" s="4"/>
      <c r="M44" s="4"/>
      <c r="N44" s="4"/>
      <c r="O44" s="4"/>
      <c r="P44" s="4"/>
      <c r="Q44" s="4"/>
      <c r="R44" s="4"/>
      <c r="S44" s="4"/>
      <c r="T44" s="4"/>
      <c r="U44" s="4"/>
      <c r="V44" s="4"/>
      <c r="W44" s="4"/>
      <c r="X44" s="4"/>
      <c r="Y44" s="4"/>
      <c r="Z44" s="4"/>
    </row>
    <row r="45" ht="15.75" customHeight="1">
      <c r="A45" s="11" t="s">
        <v>145</v>
      </c>
      <c r="B45" s="10" t="str">
        <f>'9조'!B$45</f>
        <v/>
      </c>
      <c r="C45" s="13" t="str">
        <f>'9조'!C$45</f>
        <v>9조 - MVC - Energy Efficiency</v>
      </c>
      <c r="D45" s="10" t="str">
        <f>'9조'!D$45</f>
        <v/>
      </c>
      <c r="E45" s="13" t="str">
        <f>'9조'!E$45</f>
        <v>9조 - PAC - Energy Efficiency</v>
      </c>
      <c r="F45" s="4"/>
      <c r="G45" s="4"/>
      <c r="H45" s="4"/>
      <c r="I45" s="4"/>
      <c r="J45" s="4"/>
      <c r="K45" s="4"/>
      <c r="L45" s="4"/>
      <c r="M45" s="4"/>
      <c r="N45" s="4"/>
      <c r="O45" s="4"/>
      <c r="P45" s="4"/>
      <c r="Q45" s="4"/>
      <c r="R45" s="4"/>
      <c r="S45" s="4"/>
      <c r="T45" s="4"/>
      <c r="U45" s="4"/>
      <c r="V45" s="4"/>
      <c r="W45" s="4"/>
      <c r="X45" s="4"/>
      <c r="Y45" s="4"/>
      <c r="Z45" s="4"/>
    </row>
    <row r="46" ht="15.75" customHeight="1">
      <c r="A46" s="11"/>
      <c r="B46" s="14"/>
      <c r="C46" s="11"/>
      <c r="D46" s="14"/>
      <c r="E46" s="11"/>
      <c r="F46" s="4"/>
      <c r="G46" s="4"/>
      <c r="H46" s="4"/>
      <c r="I46" s="4"/>
      <c r="J46" s="4"/>
      <c r="K46" s="4"/>
      <c r="L46" s="4"/>
      <c r="M46" s="4"/>
      <c r="N46" s="4"/>
      <c r="O46" s="4"/>
      <c r="P46" s="4"/>
      <c r="Q46" s="4"/>
      <c r="R46" s="4"/>
      <c r="S46" s="4"/>
      <c r="T46" s="4"/>
      <c r="U46" s="4"/>
      <c r="V46" s="4"/>
      <c r="W46" s="4"/>
      <c r="X46" s="4"/>
      <c r="Y46" s="4"/>
      <c r="Z46" s="4"/>
    </row>
    <row r="47" ht="15.75" customHeight="1">
      <c r="A47" s="7" t="s">
        <v>151</v>
      </c>
      <c r="B47" s="7" t="str">
        <f>'Detailed Reasoning'!B$46</f>
        <v/>
      </c>
      <c r="C47" s="7" t="str">
        <f>'Detailed Reasoning'!C$46</f>
        <v/>
      </c>
      <c r="D47" s="7" t="str">
        <f>'Detailed Reasoning'!D$46</f>
        <v/>
      </c>
      <c r="E47" s="7" t="str">
        <f>'Detailed Reasoning'!E$46</f>
        <v/>
      </c>
      <c r="F47" s="4"/>
      <c r="G47" s="4"/>
      <c r="H47" s="4"/>
      <c r="I47" s="4"/>
      <c r="J47" s="4"/>
      <c r="K47" s="4"/>
      <c r="L47" s="4"/>
      <c r="M47" s="4"/>
      <c r="N47" s="4"/>
      <c r="O47" s="4"/>
      <c r="P47" s="4"/>
      <c r="Q47" s="4"/>
      <c r="R47" s="4"/>
      <c r="S47" s="4"/>
      <c r="T47" s="4"/>
      <c r="U47" s="4"/>
      <c r="V47" s="4"/>
      <c r="W47" s="4"/>
      <c r="X47" s="4"/>
      <c r="Y47" s="4"/>
      <c r="Z47" s="4"/>
    </row>
    <row r="48" ht="15.75" customHeight="1">
      <c r="A48" s="9" t="s">
        <v>156</v>
      </c>
      <c r="B48" s="10" t="str">
        <f>'1조'!B$46</f>
        <v/>
      </c>
      <c r="C48" s="11" t="str">
        <f>'1조'!C46</f>
        <v>1조 - MVC - Modifiability</v>
      </c>
      <c r="D48" s="10" t="str">
        <f>'1조'!D$46</f>
        <v/>
      </c>
      <c r="E48" s="11" t="str">
        <f>'1조'!E46</f>
        <v>1조 - PAC - Modifiability</v>
      </c>
      <c r="F48" s="12" t="s">
        <v>159</v>
      </c>
      <c r="G48" s="4"/>
      <c r="H48" s="4"/>
      <c r="I48" s="4"/>
      <c r="J48" s="4"/>
      <c r="K48" s="4"/>
      <c r="L48" s="4"/>
      <c r="M48" s="4"/>
      <c r="N48" s="4"/>
      <c r="O48" s="4"/>
      <c r="P48" s="4"/>
      <c r="Q48" s="4"/>
      <c r="R48" s="4"/>
      <c r="S48" s="4"/>
      <c r="T48" s="4"/>
      <c r="U48" s="4"/>
      <c r="V48" s="4"/>
      <c r="W48" s="4"/>
      <c r="X48" s="4"/>
      <c r="Y48" s="4"/>
      <c r="Z48" s="4"/>
    </row>
    <row r="49" ht="15.75" customHeight="1">
      <c r="A49" s="9" t="s">
        <v>161</v>
      </c>
      <c r="B49" s="10" t="str">
        <f>'2조'!B$46</f>
        <v/>
      </c>
      <c r="C49" s="13" t="str">
        <f>'2조'!C$46</f>
        <v>2조 - MVC - Modifiability</v>
      </c>
      <c r="D49" s="10" t="str">
        <f>'2조'!D$46</f>
        <v/>
      </c>
      <c r="E49" s="13" t="str">
        <f>'2조'!E$46</f>
        <v>2조 - PAC - Modifiability</v>
      </c>
      <c r="G49" s="4"/>
      <c r="H49" s="4"/>
      <c r="I49" s="4"/>
      <c r="J49" s="4"/>
      <c r="K49" s="4"/>
      <c r="L49" s="4"/>
      <c r="M49" s="4"/>
      <c r="N49" s="4"/>
      <c r="O49" s="4"/>
      <c r="P49" s="4"/>
      <c r="Q49" s="4"/>
      <c r="R49" s="4"/>
      <c r="S49" s="4"/>
      <c r="T49" s="4"/>
      <c r="U49" s="4"/>
      <c r="V49" s="4"/>
      <c r="W49" s="4"/>
      <c r="X49" s="4"/>
      <c r="Y49" s="4"/>
      <c r="Z49" s="4"/>
    </row>
    <row r="50" ht="15.75" customHeight="1">
      <c r="A50" s="9" t="s">
        <v>164</v>
      </c>
      <c r="B50" s="10" t="str">
        <f>'3조'!B$46</f>
        <v/>
      </c>
      <c r="C50" s="13" t="str">
        <f>'3조'!C$46</f>
        <v>3조 - MVC - Modifiability</v>
      </c>
      <c r="D50" s="10" t="str">
        <f>'3조'!D$46</f>
        <v/>
      </c>
      <c r="E50" s="13" t="str">
        <f>'3조'!E$46</f>
        <v>3조 - PAC - Modifiability</v>
      </c>
      <c r="G50" s="4"/>
      <c r="H50" s="4"/>
      <c r="I50" s="4"/>
      <c r="J50" s="4"/>
      <c r="K50" s="4"/>
      <c r="L50" s="4"/>
      <c r="M50" s="4"/>
      <c r="N50" s="4"/>
      <c r="O50" s="4"/>
      <c r="P50" s="4"/>
      <c r="Q50" s="4"/>
      <c r="R50" s="4"/>
      <c r="S50" s="4"/>
      <c r="T50" s="4"/>
      <c r="U50" s="4"/>
      <c r="V50" s="4"/>
      <c r="W50" s="4"/>
      <c r="X50" s="4"/>
      <c r="Y50" s="4"/>
      <c r="Z50" s="4"/>
    </row>
    <row r="51" ht="15.75" customHeight="1">
      <c r="A51" s="9" t="s">
        <v>166</v>
      </c>
      <c r="B51" s="10" t="str">
        <f>'4조'!B$46</f>
        <v/>
      </c>
      <c r="C51" s="13" t="str">
        <f>'4조'!C$46</f>
        <v>Human - MVC - Modifiability</v>
      </c>
      <c r="D51" s="10" t="str">
        <f>'4조'!D$46</f>
        <v/>
      </c>
      <c r="E51" s="13" t="str">
        <f>'4조'!E$46</f>
        <v>Human - PAC - Modifiability</v>
      </c>
      <c r="G51" s="4"/>
      <c r="H51" s="4"/>
      <c r="I51" s="4"/>
      <c r="J51" s="4"/>
      <c r="K51" s="4"/>
      <c r="L51" s="4"/>
      <c r="M51" s="4"/>
      <c r="N51" s="4"/>
      <c r="O51" s="4"/>
      <c r="P51" s="4"/>
      <c r="Q51" s="4"/>
      <c r="R51" s="4"/>
      <c r="S51" s="4"/>
      <c r="T51" s="4"/>
      <c r="U51" s="4"/>
      <c r="V51" s="4"/>
      <c r="W51" s="4"/>
      <c r="X51" s="4"/>
      <c r="Y51" s="4"/>
      <c r="Z51" s="4"/>
    </row>
    <row r="52" ht="15.75" customHeight="1">
      <c r="A52" s="9" t="s">
        <v>168</v>
      </c>
      <c r="B52" s="10" t="str">
        <f>'5조'!B$46</f>
        <v/>
      </c>
      <c r="C52" s="13" t="str">
        <f>'5조'!C$46</f>
        <v>5조 - MVC - Modifiability</v>
      </c>
      <c r="D52" s="10" t="str">
        <f>'5조'!D$46</f>
        <v/>
      </c>
      <c r="E52" s="13" t="str">
        <f>'5조'!E$46</f>
        <v>5조 - PAC - Modifiability</v>
      </c>
      <c r="G52" s="4"/>
      <c r="H52" s="4"/>
      <c r="I52" s="4"/>
      <c r="J52" s="4"/>
      <c r="K52" s="4"/>
      <c r="L52" s="4"/>
      <c r="M52" s="4"/>
      <c r="N52" s="4"/>
      <c r="O52" s="4"/>
      <c r="P52" s="4"/>
      <c r="Q52" s="4"/>
      <c r="R52" s="4"/>
      <c r="S52" s="4"/>
      <c r="T52" s="4"/>
      <c r="U52" s="4"/>
      <c r="V52" s="4"/>
      <c r="W52" s="4"/>
      <c r="X52" s="4"/>
      <c r="Y52" s="4"/>
      <c r="Z52" s="4"/>
    </row>
    <row r="53" ht="15.75" customHeight="1">
      <c r="A53" s="9" t="s">
        <v>170</v>
      </c>
      <c r="B53" s="10" t="str">
        <f>'6조'!B$46</f>
        <v/>
      </c>
      <c r="C53" s="13" t="str">
        <f>'6조'!C$46</f>
        <v>6조 - MVC - Modifiability</v>
      </c>
      <c r="D53" s="10" t="str">
        <f>'6조'!D$46</f>
        <v/>
      </c>
      <c r="E53" s="13" t="str">
        <f>'6조'!E$46</f>
        <v>6조 - PAC - Modifiability</v>
      </c>
      <c r="G53" s="4"/>
      <c r="H53" s="4"/>
      <c r="I53" s="4"/>
      <c r="J53" s="4"/>
      <c r="K53" s="4"/>
      <c r="L53" s="4"/>
      <c r="M53" s="4"/>
      <c r="N53" s="4"/>
      <c r="O53" s="4"/>
      <c r="P53" s="4"/>
      <c r="Q53" s="4"/>
      <c r="R53" s="4"/>
      <c r="S53" s="4"/>
      <c r="T53" s="4"/>
      <c r="U53" s="4"/>
      <c r="V53" s="4"/>
      <c r="W53" s="4"/>
      <c r="X53" s="4"/>
      <c r="Y53" s="4"/>
      <c r="Z53" s="4"/>
    </row>
    <row r="54" ht="15.75" customHeight="1">
      <c r="A54" s="9" t="s">
        <v>175</v>
      </c>
      <c r="B54" s="10" t="str">
        <f>'7조'!B$46</f>
        <v/>
      </c>
      <c r="C54" s="13" t="str">
        <f>'7조'!C$46</f>
        <v>7조 - MVC - Modifiability</v>
      </c>
      <c r="D54" s="10" t="str">
        <f>'7조'!D$46</f>
        <v/>
      </c>
      <c r="E54" s="13" t="str">
        <f>'7조'!E$46</f>
        <v>7조 - PAC - Modifiability</v>
      </c>
      <c r="F54" s="4"/>
      <c r="G54" s="4"/>
      <c r="H54" s="4"/>
      <c r="I54" s="4"/>
      <c r="J54" s="4"/>
      <c r="K54" s="4"/>
      <c r="L54" s="4"/>
      <c r="M54" s="4"/>
      <c r="N54" s="4"/>
      <c r="O54" s="4"/>
      <c r="P54" s="4"/>
      <c r="Q54" s="4"/>
      <c r="R54" s="4"/>
      <c r="S54" s="4"/>
      <c r="T54" s="4"/>
      <c r="U54" s="4"/>
      <c r="V54" s="4"/>
      <c r="W54" s="4"/>
      <c r="X54" s="4"/>
      <c r="Y54" s="4"/>
      <c r="Z54" s="4"/>
    </row>
    <row r="55" ht="15.75" customHeight="1">
      <c r="A55" s="9" t="s">
        <v>178</v>
      </c>
      <c r="B55" s="10" t="str">
        <f>'8조'!B$46</f>
        <v/>
      </c>
      <c r="C55" s="13" t="str">
        <f>'8조'!C$46</f>
        <v>8조 - MVC - Modifiability</v>
      </c>
      <c r="D55" s="10" t="str">
        <f>'8조'!D$46</f>
        <v/>
      </c>
      <c r="E55" s="13" t="str">
        <f>'8조'!E$46</f>
        <v>8조 - PAC - Modifiability</v>
      </c>
      <c r="F55" s="4"/>
      <c r="G55" s="4"/>
      <c r="H55" s="4"/>
      <c r="I55" s="4"/>
      <c r="J55" s="4"/>
      <c r="K55" s="4"/>
      <c r="L55" s="4"/>
      <c r="M55" s="4"/>
      <c r="N55" s="4"/>
      <c r="O55" s="4"/>
      <c r="P55" s="4"/>
      <c r="Q55" s="4"/>
      <c r="R55" s="4"/>
      <c r="S55" s="4"/>
      <c r="T55" s="4"/>
      <c r="U55" s="4"/>
      <c r="V55" s="4"/>
      <c r="W55" s="4"/>
      <c r="X55" s="4"/>
      <c r="Y55" s="4"/>
      <c r="Z55" s="4"/>
    </row>
    <row r="56" ht="15.75" customHeight="1">
      <c r="A56" s="9" t="s">
        <v>181</v>
      </c>
      <c r="B56" s="10" t="str">
        <f>'9조'!B$46</f>
        <v/>
      </c>
      <c r="C56" s="13" t="str">
        <f>'9조'!C$46</f>
        <v>9조 - MVC - Modifiability</v>
      </c>
      <c r="D56" s="10" t="str">
        <f>'9조'!D$46</f>
        <v/>
      </c>
      <c r="E56" s="13" t="str">
        <f>'9조'!E$46</f>
        <v>9조 - PAC - Modifiability</v>
      </c>
      <c r="F56" s="4"/>
      <c r="G56" s="4"/>
      <c r="H56" s="4"/>
      <c r="I56" s="4"/>
      <c r="J56" s="4"/>
      <c r="K56" s="4"/>
      <c r="L56" s="4"/>
      <c r="M56" s="4"/>
      <c r="N56" s="4"/>
      <c r="O56" s="4"/>
      <c r="P56" s="4"/>
      <c r="Q56" s="4"/>
      <c r="R56" s="4"/>
      <c r="S56" s="4"/>
      <c r="T56" s="4"/>
      <c r="U56" s="4"/>
      <c r="V56" s="4"/>
      <c r="W56" s="4"/>
      <c r="X56" s="4"/>
      <c r="Y56" s="4"/>
      <c r="Z56" s="4"/>
    </row>
    <row r="57" ht="15.75" customHeight="1">
      <c r="A57" s="11"/>
      <c r="B57" s="14"/>
      <c r="C57" s="11"/>
      <c r="D57" s="14"/>
      <c r="E57" s="11"/>
      <c r="F57" s="4"/>
      <c r="G57" s="4"/>
      <c r="H57" s="4"/>
      <c r="I57" s="4"/>
      <c r="J57" s="4"/>
      <c r="K57" s="4"/>
      <c r="L57" s="4"/>
      <c r="M57" s="4"/>
      <c r="N57" s="4"/>
      <c r="O57" s="4"/>
      <c r="P57" s="4"/>
      <c r="Q57" s="4"/>
      <c r="R57" s="4"/>
      <c r="S57" s="4"/>
      <c r="T57" s="4"/>
      <c r="U57" s="4"/>
      <c r="V57" s="4"/>
      <c r="W57" s="4"/>
      <c r="X57" s="4"/>
      <c r="Y57" s="4"/>
      <c r="Z57" s="4"/>
    </row>
    <row r="58" ht="15.75" customHeight="1">
      <c r="A58" s="7" t="s">
        <v>186</v>
      </c>
      <c r="B58" s="7" t="str">
        <f>'Detailed Reasoning'!B$47</f>
        <v/>
      </c>
      <c r="C58" s="7" t="str">
        <f>'Detailed Reasoning'!C$47</f>
        <v/>
      </c>
      <c r="D58" s="7" t="str">
        <f>'Detailed Reasoning'!D$47</f>
        <v/>
      </c>
      <c r="E58" s="7" t="str">
        <f>'Detailed Reasoning'!E$47</f>
        <v/>
      </c>
      <c r="F58" s="4"/>
      <c r="G58" s="4"/>
      <c r="H58" s="4"/>
      <c r="I58" s="4"/>
      <c r="J58" s="4"/>
      <c r="K58" s="4"/>
      <c r="L58" s="4"/>
      <c r="M58" s="4"/>
      <c r="N58" s="4"/>
      <c r="O58" s="4"/>
      <c r="P58" s="4"/>
      <c r="Q58" s="4"/>
      <c r="R58" s="4"/>
      <c r="S58" s="4"/>
      <c r="T58" s="4"/>
      <c r="U58" s="4"/>
      <c r="V58" s="4"/>
      <c r="W58" s="4"/>
      <c r="X58" s="4"/>
      <c r="Y58" s="4"/>
      <c r="Z58" s="4"/>
    </row>
    <row r="59" ht="15.75" customHeight="1">
      <c r="A59" s="9" t="s">
        <v>190</v>
      </c>
      <c r="B59" s="10" t="str">
        <f>'1조'!B$47</f>
        <v/>
      </c>
      <c r="C59" s="11" t="str">
        <f>'1조'!C47</f>
        <v>1조 - MVC - Performance</v>
      </c>
      <c r="D59" s="10" t="str">
        <f>'1조'!D$47</f>
        <v/>
      </c>
      <c r="E59" s="11" t="str">
        <f>'1조'!E47</f>
        <v>1조 - PAC - Performance</v>
      </c>
      <c r="F59" s="12" t="s">
        <v>192</v>
      </c>
      <c r="G59" s="4"/>
      <c r="H59" s="4"/>
      <c r="I59" s="4"/>
      <c r="J59" s="4"/>
      <c r="K59" s="4"/>
      <c r="L59" s="4"/>
      <c r="M59" s="4"/>
      <c r="N59" s="4"/>
      <c r="O59" s="4"/>
      <c r="P59" s="4"/>
      <c r="Q59" s="4"/>
      <c r="R59" s="4"/>
      <c r="S59" s="4"/>
      <c r="T59" s="4"/>
      <c r="U59" s="4"/>
      <c r="V59" s="4"/>
      <c r="W59" s="4"/>
      <c r="X59" s="4"/>
      <c r="Y59" s="4"/>
      <c r="Z59" s="4"/>
    </row>
    <row r="60" ht="15.75" customHeight="1">
      <c r="A60" s="9" t="s">
        <v>196</v>
      </c>
      <c r="B60" s="10" t="str">
        <f>'2조'!B$47</f>
        <v/>
      </c>
      <c r="C60" s="13" t="str">
        <f>'2조'!C$47</f>
        <v>2조 - MVC - Performance</v>
      </c>
      <c r="D60" s="10" t="str">
        <f>'2조'!D$47</f>
        <v/>
      </c>
      <c r="E60" s="13" t="str">
        <f>'2조'!E$47</f>
        <v>2조 - PAC - Performance</v>
      </c>
      <c r="G60" s="4"/>
      <c r="H60" s="4"/>
      <c r="I60" s="4"/>
      <c r="J60" s="4"/>
      <c r="K60" s="4"/>
      <c r="L60" s="4"/>
      <c r="M60" s="4"/>
      <c r="N60" s="4"/>
      <c r="O60" s="4"/>
      <c r="P60" s="4"/>
      <c r="Q60" s="4"/>
      <c r="R60" s="4"/>
      <c r="S60" s="4"/>
      <c r="T60" s="4"/>
      <c r="U60" s="4"/>
      <c r="V60" s="4"/>
      <c r="W60" s="4"/>
      <c r="X60" s="4"/>
      <c r="Y60" s="4"/>
      <c r="Z60" s="4"/>
    </row>
    <row r="61" ht="15.75" customHeight="1">
      <c r="A61" s="9" t="s">
        <v>200</v>
      </c>
      <c r="B61" s="10" t="str">
        <f>'3조'!B$47</f>
        <v/>
      </c>
      <c r="C61" s="13" t="str">
        <f>'3조'!C$47</f>
        <v>3조 - MVC - Performance</v>
      </c>
      <c r="D61" s="10" t="str">
        <f>'3조'!D$47</f>
        <v/>
      </c>
      <c r="E61" s="13" t="str">
        <f>'3조'!E$47</f>
        <v>3조 - PAC - Performance</v>
      </c>
      <c r="G61" s="4"/>
      <c r="H61" s="4"/>
      <c r="I61" s="4"/>
      <c r="J61" s="4"/>
      <c r="K61" s="4"/>
      <c r="L61" s="4"/>
      <c r="M61" s="4"/>
      <c r="N61" s="4"/>
      <c r="O61" s="4"/>
      <c r="P61" s="4"/>
      <c r="Q61" s="4"/>
      <c r="R61" s="4"/>
      <c r="S61" s="4"/>
      <c r="T61" s="4"/>
      <c r="U61" s="4"/>
      <c r="V61" s="4"/>
      <c r="W61" s="4"/>
      <c r="X61" s="4"/>
      <c r="Y61" s="4"/>
      <c r="Z61" s="4"/>
    </row>
    <row r="62" ht="15.75" customHeight="1">
      <c r="A62" s="9" t="s">
        <v>202</v>
      </c>
      <c r="B62" s="10" t="str">
        <f>'4조'!B$47</f>
        <v/>
      </c>
      <c r="C62" s="13" t="str">
        <f>'4조'!C$47</f>
        <v>Human - MVC - Performance</v>
      </c>
      <c r="D62" s="10" t="str">
        <f>'4조'!D$47</f>
        <v/>
      </c>
      <c r="E62" s="13" t="str">
        <f>'4조'!E$47</f>
        <v>Human - PAC - Performance</v>
      </c>
      <c r="G62" s="4"/>
      <c r="H62" s="4"/>
      <c r="I62" s="4"/>
      <c r="J62" s="4"/>
      <c r="K62" s="4"/>
      <c r="L62" s="4"/>
      <c r="M62" s="4"/>
      <c r="N62" s="4"/>
      <c r="O62" s="4"/>
      <c r="P62" s="4"/>
      <c r="Q62" s="4"/>
      <c r="R62" s="4"/>
      <c r="S62" s="4"/>
      <c r="T62" s="4"/>
      <c r="U62" s="4"/>
      <c r="V62" s="4"/>
      <c r="W62" s="4"/>
      <c r="X62" s="4"/>
      <c r="Y62" s="4"/>
      <c r="Z62" s="4"/>
    </row>
    <row r="63" ht="15.75" customHeight="1">
      <c r="A63" s="9" t="s">
        <v>206</v>
      </c>
      <c r="B63" s="10" t="str">
        <f>'5조'!B$47</f>
        <v/>
      </c>
      <c r="C63" s="13" t="str">
        <f>'5조'!C$47</f>
        <v>5조 - MVC - Performance</v>
      </c>
      <c r="D63" s="10" t="str">
        <f>'5조'!D$47</f>
        <v/>
      </c>
      <c r="E63" s="13" t="str">
        <f>'5조'!E$47</f>
        <v>5조 - PAC - Performance</v>
      </c>
      <c r="G63" s="4"/>
      <c r="H63" s="4"/>
      <c r="I63" s="4"/>
      <c r="J63" s="4"/>
      <c r="K63" s="4"/>
      <c r="L63" s="4"/>
      <c r="M63" s="4"/>
      <c r="N63" s="4"/>
      <c r="O63" s="4"/>
      <c r="P63" s="4"/>
      <c r="Q63" s="4"/>
      <c r="R63" s="4"/>
      <c r="S63" s="4"/>
      <c r="T63" s="4"/>
      <c r="U63" s="4"/>
      <c r="V63" s="4"/>
      <c r="W63" s="4"/>
      <c r="X63" s="4"/>
      <c r="Y63" s="4"/>
      <c r="Z63" s="4"/>
    </row>
    <row r="64" ht="15.75" customHeight="1">
      <c r="A64" s="9" t="s">
        <v>208</v>
      </c>
      <c r="B64" s="10" t="str">
        <f>'6조'!B$47</f>
        <v/>
      </c>
      <c r="C64" s="13" t="str">
        <f>'6조'!C$47</f>
        <v>6조 - MVC - Performance</v>
      </c>
      <c r="D64" s="10" t="str">
        <f>'6조'!D$47</f>
        <v/>
      </c>
      <c r="E64" s="13" t="str">
        <f>'6조'!E$47</f>
        <v>6조 - PAC - Performance</v>
      </c>
      <c r="G64" s="4"/>
      <c r="H64" s="4"/>
      <c r="I64" s="4"/>
      <c r="J64" s="4"/>
      <c r="K64" s="4"/>
      <c r="L64" s="4"/>
      <c r="M64" s="4"/>
      <c r="N64" s="4"/>
      <c r="O64" s="4"/>
      <c r="P64" s="4"/>
      <c r="Q64" s="4"/>
      <c r="R64" s="4"/>
      <c r="S64" s="4"/>
      <c r="T64" s="4"/>
      <c r="U64" s="4"/>
      <c r="V64" s="4"/>
      <c r="W64" s="4"/>
      <c r="X64" s="4"/>
      <c r="Y64" s="4"/>
      <c r="Z64" s="4"/>
    </row>
    <row r="65" ht="15.75" customHeight="1">
      <c r="A65" s="9" t="s">
        <v>212</v>
      </c>
      <c r="B65" s="10" t="str">
        <f>'7조'!B$47</f>
        <v/>
      </c>
      <c r="C65" s="13" t="str">
        <f>'7조'!C$47</f>
        <v>7조 - MVC - Performance</v>
      </c>
      <c r="D65" s="10" t="str">
        <f>'7조'!D$47</f>
        <v/>
      </c>
      <c r="E65" s="13" t="str">
        <f>'7조'!E$47</f>
        <v>7조 - PAC - Performance</v>
      </c>
      <c r="F65" s="4"/>
      <c r="G65" s="4"/>
      <c r="H65" s="4"/>
      <c r="I65" s="4"/>
      <c r="J65" s="4"/>
      <c r="K65" s="4"/>
      <c r="L65" s="4"/>
      <c r="M65" s="4"/>
      <c r="N65" s="4"/>
      <c r="O65" s="4"/>
      <c r="P65" s="4"/>
      <c r="Q65" s="4"/>
      <c r="R65" s="4"/>
      <c r="S65" s="4"/>
      <c r="T65" s="4"/>
      <c r="U65" s="4"/>
      <c r="V65" s="4"/>
      <c r="W65" s="4"/>
      <c r="X65" s="4"/>
      <c r="Y65" s="4"/>
      <c r="Z65" s="4"/>
    </row>
    <row r="66" ht="15.75" customHeight="1">
      <c r="A66" s="9" t="s">
        <v>216</v>
      </c>
      <c r="B66" s="10" t="str">
        <f>'8조'!B$47</f>
        <v/>
      </c>
      <c r="C66" s="13" t="str">
        <f>'8조'!C$47</f>
        <v>8조 - MVC - Performance</v>
      </c>
      <c r="D66" s="10" t="str">
        <f>'8조'!D$47</f>
        <v/>
      </c>
      <c r="E66" s="13" t="str">
        <f>'8조'!E$47</f>
        <v>8조 - PAC - Performance</v>
      </c>
      <c r="F66" s="4"/>
      <c r="G66" s="4"/>
      <c r="H66" s="4"/>
      <c r="I66" s="4"/>
      <c r="J66" s="4"/>
      <c r="K66" s="4"/>
      <c r="L66" s="4"/>
      <c r="M66" s="4"/>
      <c r="N66" s="4"/>
      <c r="O66" s="4"/>
      <c r="P66" s="4"/>
      <c r="Q66" s="4"/>
      <c r="R66" s="4"/>
      <c r="S66" s="4"/>
      <c r="T66" s="4"/>
      <c r="U66" s="4"/>
      <c r="V66" s="4"/>
      <c r="W66" s="4"/>
      <c r="X66" s="4"/>
      <c r="Y66" s="4"/>
      <c r="Z66" s="4"/>
    </row>
    <row r="67" ht="15.75" customHeight="1">
      <c r="A67" s="9" t="s">
        <v>217</v>
      </c>
      <c r="B67" s="10" t="str">
        <f>'9조'!B$47</f>
        <v/>
      </c>
      <c r="C67" s="13" t="str">
        <f>'9조'!C$47</f>
        <v>9조 - MVC - Performance</v>
      </c>
      <c r="D67" s="10" t="str">
        <f>'9조'!D$47</f>
        <v/>
      </c>
      <c r="E67" s="13" t="str">
        <f>'9조'!E$47</f>
        <v>9조 - PAC - Performance</v>
      </c>
      <c r="F67" s="4"/>
      <c r="G67" s="4"/>
      <c r="H67" s="4"/>
      <c r="I67" s="4"/>
      <c r="J67" s="4"/>
      <c r="K67" s="4"/>
      <c r="L67" s="4"/>
      <c r="M67" s="4"/>
      <c r="N67" s="4"/>
      <c r="O67" s="4"/>
      <c r="P67" s="4"/>
      <c r="Q67" s="4"/>
      <c r="R67" s="4"/>
      <c r="S67" s="4"/>
      <c r="T67" s="4"/>
      <c r="U67" s="4"/>
      <c r="V67" s="4"/>
      <c r="W67" s="4"/>
      <c r="X67" s="4"/>
      <c r="Y67" s="4"/>
      <c r="Z67" s="4"/>
    </row>
    <row r="68" ht="15.75" customHeight="1">
      <c r="A68" s="11"/>
      <c r="B68" s="14"/>
      <c r="C68" s="11"/>
      <c r="D68" s="14"/>
      <c r="E68" s="11"/>
      <c r="F68" s="4"/>
      <c r="G68" s="4"/>
      <c r="H68" s="4"/>
      <c r="I68" s="4"/>
      <c r="J68" s="4"/>
      <c r="K68" s="4"/>
      <c r="L68" s="4"/>
      <c r="M68" s="4"/>
      <c r="N68" s="4"/>
      <c r="O68" s="4"/>
      <c r="P68" s="4"/>
      <c r="Q68" s="4"/>
      <c r="R68" s="4"/>
      <c r="S68" s="4"/>
      <c r="T68" s="4"/>
      <c r="U68" s="4"/>
      <c r="V68" s="4"/>
      <c r="W68" s="4"/>
      <c r="X68" s="4"/>
      <c r="Y68" s="4"/>
      <c r="Z68" s="4"/>
    </row>
    <row r="69" ht="15.75" customHeight="1">
      <c r="A69" s="7" t="s">
        <v>221</v>
      </c>
      <c r="B69" s="7" t="str">
        <f>'Detailed Reasoning'!B$48</f>
        <v/>
      </c>
      <c r="C69" s="7" t="str">
        <f>'Detailed Reasoning'!C$48</f>
        <v/>
      </c>
      <c r="D69" s="7" t="str">
        <f>'Detailed Reasoning'!D$48</f>
        <v/>
      </c>
      <c r="E69" s="7" t="str">
        <f>'Detailed Reasoning'!E$48</f>
        <v/>
      </c>
      <c r="F69" s="4"/>
      <c r="G69" s="4"/>
      <c r="H69" s="4"/>
      <c r="I69" s="4"/>
      <c r="J69" s="4"/>
      <c r="K69" s="4"/>
      <c r="L69" s="4"/>
      <c r="M69" s="4"/>
      <c r="N69" s="4"/>
      <c r="O69" s="4"/>
      <c r="P69" s="4"/>
      <c r="Q69" s="4"/>
      <c r="R69" s="4"/>
      <c r="S69" s="4"/>
      <c r="T69" s="4"/>
      <c r="U69" s="4"/>
      <c r="V69" s="4"/>
      <c r="W69" s="4"/>
      <c r="X69" s="4"/>
      <c r="Y69" s="4"/>
      <c r="Z69" s="4"/>
    </row>
    <row r="70" ht="15.75" customHeight="1">
      <c r="A70" s="9" t="s">
        <v>224</v>
      </c>
      <c r="B70" s="10" t="str">
        <f>'1조'!B$48</f>
        <v/>
      </c>
      <c r="C70" s="11" t="str">
        <f>'1조'!C48</f>
        <v>1조 - MVC - Safety</v>
      </c>
      <c r="D70" s="10" t="str">
        <f>'1조'!D$48</f>
        <v/>
      </c>
      <c r="E70" s="11" t="str">
        <f>'1조'!E48</f>
        <v>1조 - PAC - Safety</v>
      </c>
      <c r="F70" s="12" t="s">
        <v>228</v>
      </c>
      <c r="G70" s="4"/>
      <c r="H70" s="4"/>
      <c r="I70" s="4"/>
      <c r="J70" s="4"/>
      <c r="K70" s="4"/>
      <c r="L70" s="4"/>
      <c r="M70" s="4"/>
      <c r="N70" s="4"/>
      <c r="O70" s="4"/>
      <c r="P70" s="4"/>
      <c r="Q70" s="4"/>
      <c r="R70" s="4"/>
      <c r="S70" s="4"/>
      <c r="T70" s="4"/>
      <c r="U70" s="4"/>
      <c r="V70" s="4"/>
      <c r="W70" s="4"/>
      <c r="X70" s="4"/>
      <c r="Y70" s="4"/>
      <c r="Z70" s="4"/>
    </row>
    <row r="71" ht="15.75" customHeight="1">
      <c r="A71" s="9" t="s">
        <v>231</v>
      </c>
      <c r="B71" s="10" t="str">
        <f>'2조'!B$48</f>
        <v/>
      </c>
      <c r="C71" s="13" t="str">
        <f>'2조'!C$48</f>
        <v>2조 - MVC - Safety</v>
      </c>
      <c r="D71" s="10" t="str">
        <f>'2조'!D$48</f>
        <v/>
      </c>
      <c r="E71" s="13" t="str">
        <f>'2조'!E$48</f>
        <v>2조 - PAC - Safety</v>
      </c>
      <c r="G71" s="4"/>
      <c r="H71" s="4"/>
      <c r="I71" s="4"/>
      <c r="J71" s="4"/>
      <c r="K71" s="4"/>
      <c r="L71" s="4"/>
      <c r="M71" s="4"/>
      <c r="N71" s="4"/>
      <c r="O71" s="4"/>
      <c r="P71" s="4"/>
      <c r="Q71" s="4"/>
      <c r="R71" s="4"/>
      <c r="S71" s="4"/>
      <c r="T71" s="4"/>
      <c r="U71" s="4"/>
      <c r="V71" s="4"/>
      <c r="W71" s="4"/>
      <c r="X71" s="4"/>
      <c r="Y71" s="4"/>
      <c r="Z71" s="4"/>
    </row>
    <row r="72" ht="15.75" customHeight="1">
      <c r="A72" s="9" t="s">
        <v>233</v>
      </c>
      <c r="B72" s="10" t="str">
        <f>'3조'!B$48</f>
        <v/>
      </c>
      <c r="C72" s="13" t="str">
        <f>'3조'!C$48</f>
        <v>3조 - MVC - Safety</v>
      </c>
      <c r="D72" s="10" t="str">
        <f>'3조'!D$48</f>
        <v/>
      </c>
      <c r="E72" s="13" t="str">
        <f>'3조'!E$48</f>
        <v>3조 - PAC - Safety</v>
      </c>
      <c r="G72" s="4"/>
      <c r="H72" s="4"/>
      <c r="I72" s="4"/>
      <c r="J72" s="4"/>
      <c r="K72" s="4"/>
      <c r="L72" s="4"/>
      <c r="M72" s="4"/>
      <c r="N72" s="4"/>
      <c r="O72" s="4"/>
      <c r="P72" s="4"/>
      <c r="Q72" s="4"/>
      <c r="R72" s="4"/>
      <c r="S72" s="4"/>
      <c r="T72" s="4"/>
      <c r="U72" s="4"/>
      <c r="V72" s="4"/>
      <c r="W72" s="4"/>
      <c r="X72" s="4"/>
      <c r="Y72" s="4"/>
      <c r="Z72" s="4"/>
    </row>
    <row r="73" ht="15.75" customHeight="1">
      <c r="A73" s="9" t="s">
        <v>238</v>
      </c>
      <c r="B73" s="10" t="str">
        <f>'4조'!B$48</f>
        <v/>
      </c>
      <c r="C73" s="13" t="str">
        <f>'4조'!C$48</f>
        <v>Human - MVC - Safety</v>
      </c>
      <c r="D73" s="10" t="str">
        <f>'4조'!D$48</f>
        <v/>
      </c>
      <c r="E73" s="13" t="str">
        <f>'4조'!E$48</f>
        <v>Human - PAC - Safety</v>
      </c>
      <c r="G73" s="4"/>
      <c r="H73" s="4"/>
      <c r="I73" s="4"/>
      <c r="J73" s="4"/>
      <c r="K73" s="4"/>
      <c r="L73" s="4"/>
      <c r="M73" s="4"/>
      <c r="N73" s="4"/>
      <c r="O73" s="4"/>
      <c r="P73" s="4"/>
      <c r="Q73" s="4"/>
      <c r="R73" s="4"/>
      <c r="S73" s="4"/>
      <c r="T73" s="4"/>
      <c r="U73" s="4"/>
      <c r="V73" s="4"/>
      <c r="W73" s="4"/>
      <c r="X73" s="4"/>
      <c r="Y73" s="4"/>
      <c r="Z73" s="4"/>
    </row>
    <row r="74" ht="15.75" customHeight="1">
      <c r="A74" s="9" t="s">
        <v>241</v>
      </c>
      <c r="B74" s="10" t="str">
        <f>'5조'!B$48</f>
        <v/>
      </c>
      <c r="C74" s="13" t="str">
        <f>'5조'!C$48</f>
        <v>5조 - MVC - Safety</v>
      </c>
      <c r="D74" s="10" t="str">
        <f>'5조'!D$48</f>
        <v/>
      </c>
      <c r="E74" s="13" t="str">
        <f>'5조'!E$48</f>
        <v>5조 - PAC - Safety</v>
      </c>
      <c r="G74" s="4"/>
      <c r="H74" s="4"/>
      <c r="I74" s="4"/>
      <c r="J74" s="4"/>
      <c r="K74" s="4"/>
      <c r="L74" s="4"/>
      <c r="M74" s="4"/>
      <c r="N74" s="4"/>
      <c r="O74" s="4"/>
      <c r="P74" s="4"/>
      <c r="Q74" s="4"/>
      <c r="R74" s="4"/>
      <c r="S74" s="4"/>
      <c r="T74" s="4"/>
      <c r="U74" s="4"/>
      <c r="V74" s="4"/>
      <c r="W74" s="4"/>
      <c r="X74" s="4"/>
      <c r="Y74" s="4"/>
      <c r="Z74" s="4"/>
    </row>
    <row r="75" ht="15.75" customHeight="1">
      <c r="A75" s="9" t="s">
        <v>245</v>
      </c>
      <c r="B75" s="10" t="str">
        <f>'6조'!B$48</f>
        <v/>
      </c>
      <c r="C75" s="13" t="str">
        <f>'6조'!C$48</f>
        <v>6조 - MVC - Safety</v>
      </c>
      <c r="D75" s="10" t="str">
        <f>'6조'!D$48</f>
        <v/>
      </c>
      <c r="E75" s="13" t="str">
        <f>'6조'!E$48</f>
        <v>6조 - PAC - Safety</v>
      </c>
      <c r="G75" s="4"/>
      <c r="H75" s="4"/>
      <c r="I75" s="4"/>
      <c r="J75" s="4"/>
      <c r="K75" s="4"/>
      <c r="L75" s="4"/>
      <c r="M75" s="4"/>
      <c r="N75" s="4"/>
      <c r="O75" s="4"/>
      <c r="P75" s="4"/>
      <c r="Q75" s="4"/>
      <c r="R75" s="4"/>
      <c r="S75" s="4"/>
      <c r="T75" s="4"/>
      <c r="U75" s="4"/>
      <c r="V75" s="4"/>
      <c r="W75" s="4"/>
      <c r="X75" s="4"/>
      <c r="Y75" s="4"/>
      <c r="Z75" s="4"/>
    </row>
    <row r="76" ht="15.75" customHeight="1">
      <c r="A76" s="9" t="s">
        <v>248</v>
      </c>
      <c r="B76" s="10" t="str">
        <f>'7조'!B$48</f>
        <v/>
      </c>
      <c r="C76" s="13" t="str">
        <f>'7조'!C$48</f>
        <v>7조 - MVC - Safety</v>
      </c>
      <c r="D76" s="10" t="str">
        <f>'7조'!D$48</f>
        <v/>
      </c>
      <c r="E76" s="13" t="str">
        <f>'7조'!E$48</f>
        <v>7조 - PAC - Safety</v>
      </c>
      <c r="F76" s="4"/>
      <c r="G76" s="4"/>
      <c r="H76" s="4"/>
      <c r="I76" s="4"/>
      <c r="J76" s="4"/>
      <c r="K76" s="4"/>
      <c r="L76" s="4"/>
      <c r="M76" s="4"/>
      <c r="N76" s="4"/>
      <c r="O76" s="4"/>
      <c r="P76" s="4"/>
      <c r="Q76" s="4"/>
      <c r="R76" s="4"/>
      <c r="S76" s="4"/>
      <c r="T76" s="4"/>
      <c r="U76" s="4"/>
      <c r="V76" s="4"/>
      <c r="W76" s="4"/>
      <c r="X76" s="4"/>
      <c r="Y76" s="4"/>
      <c r="Z76" s="4"/>
    </row>
    <row r="77" ht="15.75" customHeight="1">
      <c r="A77" s="9" t="s">
        <v>254</v>
      </c>
      <c r="B77" s="10" t="str">
        <f>'8조'!B$48</f>
        <v/>
      </c>
      <c r="C77" s="13" t="str">
        <f>'8조'!C$48</f>
        <v>8조 - MVC - Safety</v>
      </c>
      <c r="D77" s="10" t="str">
        <f>'8조'!D$48</f>
        <v/>
      </c>
      <c r="E77" s="13" t="str">
        <f>'8조'!E$48</f>
        <v>8조 - PAC - Safety</v>
      </c>
      <c r="F77" s="4"/>
      <c r="G77" s="4"/>
      <c r="H77" s="4"/>
      <c r="I77" s="4"/>
      <c r="J77" s="4"/>
      <c r="K77" s="4"/>
      <c r="L77" s="4"/>
      <c r="M77" s="4"/>
      <c r="N77" s="4"/>
      <c r="O77" s="4"/>
      <c r="P77" s="4"/>
      <c r="Q77" s="4"/>
      <c r="R77" s="4"/>
      <c r="S77" s="4"/>
      <c r="T77" s="4"/>
      <c r="U77" s="4"/>
      <c r="V77" s="4"/>
      <c r="W77" s="4"/>
      <c r="X77" s="4"/>
      <c r="Y77" s="4"/>
      <c r="Z77" s="4"/>
    </row>
    <row r="78" ht="15.75" customHeight="1">
      <c r="A78" s="9" t="s">
        <v>258</v>
      </c>
      <c r="B78" s="10" t="str">
        <f>'9조'!B$48</f>
        <v/>
      </c>
      <c r="C78" s="13" t="str">
        <f>'9조'!C$48</f>
        <v>9조 - MVC - Safety</v>
      </c>
      <c r="D78" s="10" t="str">
        <f>'9조'!D$48</f>
        <v/>
      </c>
      <c r="E78" s="13" t="str">
        <f>'9조'!E$48</f>
        <v>9조 - PAC - Safety</v>
      </c>
      <c r="F78" s="4"/>
      <c r="G78" s="4"/>
      <c r="H78" s="4"/>
      <c r="I78" s="4"/>
      <c r="J78" s="4"/>
      <c r="K78" s="4"/>
      <c r="L78" s="4"/>
      <c r="M78" s="4"/>
      <c r="N78" s="4"/>
      <c r="O78" s="4"/>
      <c r="P78" s="4"/>
      <c r="Q78" s="4"/>
      <c r="R78" s="4"/>
      <c r="S78" s="4"/>
      <c r="T78" s="4"/>
      <c r="U78" s="4"/>
      <c r="V78" s="4"/>
      <c r="W78" s="4"/>
      <c r="X78" s="4"/>
      <c r="Y78" s="4"/>
      <c r="Z78" s="4"/>
    </row>
    <row r="79" ht="15.75" customHeight="1">
      <c r="A79" s="11"/>
      <c r="B79" s="14"/>
      <c r="C79" s="11"/>
      <c r="D79" s="14"/>
      <c r="E79" s="11"/>
      <c r="F79" s="4"/>
      <c r="G79" s="4"/>
      <c r="H79" s="4"/>
      <c r="I79" s="4"/>
      <c r="J79" s="4"/>
      <c r="K79" s="4"/>
      <c r="L79" s="4"/>
      <c r="M79" s="4"/>
      <c r="N79" s="4"/>
      <c r="O79" s="4"/>
      <c r="P79" s="4"/>
      <c r="Q79" s="4"/>
      <c r="R79" s="4"/>
      <c r="S79" s="4"/>
      <c r="T79" s="4"/>
      <c r="U79" s="4"/>
      <c r="V79" s="4"/>
      <c r="W79" s="4"/>
      <c r="X79" s="4"/>
      <c r="Y79" s="4"/>
      <c r="Z79" s="4"/>
    </row>
    <row r="80" ht="15.75" customHeight="1">
      <c r="A80" s="7" t="s">
        <v>261</v>
      </c>
      <c r="B80" s="7" t="str">
        <f>'Detailed Reasoning'!B$49</f>
        <v/>
      </c>
      <c r="C80" s="7" t="str">
        <f>'Detailed Reasoning'!C$49</f>
        <v/>
      </c>
      <c r="D80" s="7" t="str">
        <f>'Detailed Reasoning'!D$49</f>
        <v/>
      </c>
      <c r="E80" s="7" t="str">
        <f>'Detailed Reasoning'!E$49</f>
        <v/>
      </c>
      <c r="F80" s="4"/>
      <c r="G80" s="4"/>
      <c r="H80" s="4"/>
      <c r="I80" s="4"/>
      <c r="J80" s="4"/>
      <c r="K80" s="4"/>
      <c r="L80" s="4"/>
      <c r="M80" s="4"/>
      <c r="N80" s="4"/>
      <c r="O80" s="4"/>
      <c r="P80" s="4"/>
      <c r="Q80" s="4"/>
      <c r="R80" s="4"/>
      <c r="S80" s="4"/>
      <c r="T80" s="4"/>
      <c r="U80" s="4"/>
      <c r="V80" s="4"/>
      <c r="W80" s="4"/>
      <c r="X80" s="4"/>
      <c r="Y80" s="4"/>
      <c r="Z80" s="4"/>
    </row>
    <row r="81" ht="15.75" customHeight="1">
      <c r="A81" s="9" t="s">
        <v>264</v>
      </c>
      <c r="B81" s="10" t="str">
        <f>'1조'!B$49</f>
        <v/>
      </c>
      <c r="C81" s="11" t="str">
        <f>'1조'!C49</f>
        <v>1조 - MVC - Security</v>
      </c>
      <c r="D81" s="10" t="str">
        <f>'1조'!D$49</f>
        <v/>
      </c>
      <c r="E81" s="11" t="str">
        <f>'1조'!E49</f>
        <v>1조 - PAC - Security</v>
      </c>
      <c r="F81" s="12" t="s">
        <v>52</v>
      </c>
      <c r="G81" s="4"/>
      <c r="H81" s="4"/>
      <c r="I81" s="4"/>
      <c r="J81" s="4"/>
      <c r="K81" s="4"/>
      <c r="L81" s="4"/>
      <c r="M81" s="4"/>
      <c r="N81" s="4"/>
      <c r="O81" s="4"/>
      <c r="P81" s="4"/>
      <c r="Q81" s="4"/>
      <c r="R81" s="4"/>
      <c r="S81" s="4"/>
      <c r="T81" s="4"/>
      <c r="U81" s="4"/>
      <c r="V81" s="4"/>
      <c r="W81" s="4"/>
      <c r="X81" s="4"/>
      <c r="Y81" s="4"/>
      <c r="Z81" s="4"/>
    </row>
    <row r="82" ht="15.75" customHeight="1">
      <c r="A82" s="9" t="s">
        <v>269</v>
      </c>
      <c r="B82" s="10" t="str">
        <f>'2조'!B$49</f>
        <v/>
      </c>
      <c r="C82" s="13" t="str">
        <f>'2조'!C$49</f>
        <v>2조 - MVC - Security</v>
      </c>
      <c r="D82" s="10" t="str">
        <f>'2조'!D$49</f>
        <v/>
      </c>
      <c r="E82" s="13" t="str">
        <f>'2조'!E$49</f>
        <v>2조 - PAC - Security</v>
      </c>
      <c r="G82" s="4"/>
      <c r="H82" s="4"/>
      <c r="I82" s="4"/>
      <c r="J82" s="4"/>
      <c r="K82" s="4"/>
      <c r="L82" s="4"/>
      <c r="M82" s="4"/>
      <c r="N82" s="4"/>
      <c r="O82" s="4"/>
      <c r="P82" s="4"/>
      <c r="Q82" s="4"/>
      <c r="R82" s="4"/>
      <c r="S82" s="4"/>
      <c r="T82" s="4"/>
      <c r="U82" s="4"/>
      <c r="V82" s="4"/>
      <c r="W82" s="4"/>
      <c r="X82" s="4"/>
      <c r="Y82" s="4"/>
      <c r="Z82" s="4"/>
    </row>
    <row r="83" ht="15.75" customHeight="1">
      <c r="A83" s="9" t="s">
        <v>272</v>
      </c>
      <c r="B83" s="10" t="str">
        <f>'3조'!B$49</f>
        <v/>
      </c>
      <c r="C83" s="13" t="str">
        <f>'3조'!C$49</f>
        <v>3조 - MVC - Security</v>
      </c>
      <c r="D83" s="10" t="str">
        <f>'3조'!D$49</f>
        <v/>
      </c>
      <c r="E83" s="13" t="str">
        <f>'3조'!E$49</f>
        <v>3조 - PAC - Security</v>
      </c>
      <c r="G83" s="4"/>
      <c r="H83" s="4"/>
      <c r="I83" s="4"/>
      <c r="J83" s="4"/>
      <c r="K83" s="4"/>
      <c r="L83" s="4"/>
      <c r="M83" s="4"/>
      <c r="N83" s="4"/>
      <c r="O83" s="4"/>
      <c r="P83" s="4"/>
      <c r="Q83" s="4"/>
      <c r="R83" s="4"/>
      <c r="S83" s="4"/>
      <c r="T83" s="4"/>
      <c r="U83" s="4"/>
      <c r="V83" s="4"/>
      <c r="W83" s="4"/>
      <c r="X83" s="4"/>
      <c r="Y83" s="4"/>
      <c r="Z83" s="4"/>
    </row>
    <row r="84" ht="15.75" customHeight="1">
      <c r="A84" s="9" t="s">
        <v>296</v>
      </c>
      <c r="B84" s="10" t="str">
        <f>'4조'!B$49</f>
        <v/>
      </c>
      <c r="C84" s="13" t="str">
        <f>'4조'!C$49</f>
        <v>Human - MVC - Security</v>
      </c>
      <c r="D84" s="10" t="str">
        <f>'4조'!D$49</f>
        <v/>
      </c>
      <c r="E84" s="13" t="str">
        <f>'4조'!E$49</f>
        <v>Human - PAC - Security</v>
      </c>
      <c r="G84" s="4"/>
      <c r="H84" s="4"/>
      <c r="I84" s="4"/>
      <c r="J84" s="4"/>
      <c r="K84" s="4"/>
      <c r="L84" s="4"/>
      <c r="M84" s="4"/>
      <c r="N84" s="4"/>
      <c r="O84" s="4"/>
      <c r="P84" s="4"/>
      <c r="Q84" s="4"/>
      <c r="R84" s="4"/>
      <c r="S84" s="4"/>
      <c r="T84" s="4"/>
      <c r="U84" s="4"/>
      <c r="V84" s="4"/>
      <c r="W84" s="4"/>
      <c r="X84" s="4"/>
      <c r="Y84" s="4"/>
      <c r="Z84" s="4"/>
    </row>
    <row r="85" ht="15.75" customHeight="1">
      <c r="A85" s="9" t="s">
        <v>304</v>
      </c>
      <c r="B85" s="10" t="str">
        <f>'5조'!B$49</f>
        <v/>
      </c>
      <c r="C85" s="13" t="str">
        <f>'5조'!C$49</f>
        <v>5조 - MVC - Security</v>
      </c>
      <c r="D85" s="10" t="str">
        <f>'5조'!D$49</f>
        <v/>
      </c>
      <c r="E85" s="13" t="str">
        <f>'5조'!E$49</f>
        <v>5조 - PAC - Security</v>
      </c>
      <c r="G85" s="4"/>
      <c r="H85" s="4"/>
      <c r="I85" s="4"/>
      <c r="J85" s="4"/>
      <c r="K85" s="4"/>
      <c r="L85" s="4"/>
      <c r="M85" s="4"/>
      <c r="N85" s="4"/>
      <c r="O85" s="4"/>
      <c r="P85" s="4"/>
      <c r="Q85" s="4"/>
      <c r="R85" s="4"/>
      <c r="S85" s="4"/>
      <c r="T85" s="4"/>
      <c r="U85" s="4"/>
      <c r="V85" s="4"/>
      <c r="W85" s="4"/>
      <c r="X85" s="4"/>
      <c r="Y85" s="4"/>
      <c r="Z85" s="4"/>
    </row>
    <row r="86" ht="15.75" customHeight="1">
      <c r="A86" s="9" t="s">
        <v>307</v>
      </c>
      <c r="B86" s="10" t="str">
        <f>'6조'!B$49</f>
        <v/>
      </c>
      <c r="C86" s="13" t="str">
        <f>'6조'!C$49</f>
        <v>6조 - MVC - Security</v>
      </c>
      <c r="D86" s="10" t="str">
        <f>'6조'!D$49</f>
        <v/>
      </c>
      <c r="E86" s="13" t="str">
        <f>'6조'!E$49</f>
        <v>6조 - PAC - Security</v>
      </c>
      <c r="G86" s="4"/>
      <c r="H86" s="4"/>
      <c r="I86" s="4"/>
      <c r="J86" s="4"/>
      <c r="K86" s="4"/>
      <c r="L86" s="4"/>
      <c r="M86" s="4"/>
      <c r="N86" s="4"/>
      <c r="O86" s="4"/>
      <c r="P86" s="4"/>
      <c r="Q86" s="4"/>
      <c r="R86" s="4"/>
      <c r="S86" s="4"/>
      <c r="T86" s="4"/>
      <c r="U86" s="4"/>
      <c r="V86" s="4"/>
      <c r="W86" s="4"/>
      <c r="X86" s="4"/>
      <c r="Y86" s="4"/>
      <c r="Z86" s="4"/>
    </row>
    <row r="87" ht="15.75" customHeight="1">
      <c r="A87" s="9" t="s">
        <v>311</v>
      </c>
      <c r="B87" s="10" t="str">
        <f>'7조'!B$49</f>
        <v/>
      </c>
      <c r="C87" s="13" t="str">
        <f>'7조'!C$49</f>
        <v>7조 - MVC - Security</v>
      </c>
      <c r="D87" s="10" t="str">
        <f>'7조'!D$49</f>
        <v/>
      </c>
      <c r="E87" s="13" t="str">
        <f>'7조'!E$49</f>
        <v>7조 - PAC - Security</v>
      </c>
      <c r="F87" s="4"/>
      <c r="G87" s="4"/>
      <c r="H87" s="4"/>
      <c r="I87" s="4"/>
      <c r="J87" s="4"/>
      <c r="K87" s="4"/>
      <c r="L87" s="4"/>
      <c r="M87" s="4"/>
      <c r="N87" s="4"/>
      <c r="O87" s="4"/>
      <c r="P87" s="4"/>
      <c r="Q87" s="4"/>
      <c r="R87" s="4"/>
      <c r="S87" s="4"/>
      <c r="T87" s="4"/>
      <c r="U87" s="4"/>
      <c r="V87" s="4"/>
      <c r="W87" s="4"/>
      <c r="X87" s="4"/>
      <c r="Y87" s="4"/>
      <c r="Z87" s="4"/>
    </row>
    <row r="88" ht="15.75" customHeight="1">
      <c r="A88" s="9" t="s">
        <v>316</v>
      </c>
      <c r="B88" s="10" t="str">
        <f>'8조'!B$49</f>
        <v/>
      </c>
      <c r="C88" s="13" t="str">
        <f>'8조'!C$49</f>
        <v>8조 - MVC - Security</v>
      </c>
      <c r="D88" s="10" t="str">
        <f>'8조'!D$49</f>
        <v/>
      </c>
      <c r="E88" s="13" t="str">
        <f>'8조'!E$49</f>
        <v>8조 - PAC - Security</v>
      </c>
      <c r="F88" s="4"/>
      <c r="G88" s="4"/>
      <c r="H88" s="4"/>
      <c r="I88" s="4"/>
      <c r="J88" s="4"/>
      <c r="K88" s="4"/>
      <c r="L88" s="4"/>
      <c r="M88" s="4"/>
      <c r="N88" s="4"/>
      <c r="O88" s="4"/>
      <c r="P88" s="4"/>
      <c r="Q88" s="4"/>
      <c r="R88" s="4"/>
      <c r="S88" s="4"/>
      <c r="T88" s="4"/>
      <c r="U88" s="4"/>
      <c r="V88" s="4"/>
      <c r="W88" s="4"/>
      <c r="X88" s="4"/>
      <c r="Y88" s="4"/>
      <c r="Z88" s="4"/>
    </row>
    <row r="89" ht="15.75" customHeight="1">
      <c r="A89" s="9" t="s">
        <v>320</v>
      </c>
      <c r="B89" s="10" t="str">
        <f>'9조'!B$49</f>
        <v/>
      </c>
      <c r="C89" s="13" t="str">
        <f>'9조'!C$49</f>
        <v>9조 - MVC - Security</v>
      </c>
      <c r="D89" s="10" t="str">
        <f>'9조'!D$49</f>
        <v/>
      </c>
      <c r="E89" s="13" t="str">
        <f>'9조'!E$49</f>
        <v>9조 - PAC - Security</v>
      </c>
      <c r="F89" s="4"/>
      <c r="G89" s="4"/>
      <c r="H89" s="4"/>
      <c r="I89" s="4"/>
      <c r="J89" s="4"/>
      <c r="K89" s="4"/>
      <c r="L89" s="4"/>
      <c r="M89" s="4"/>
      <c r="N89" s="4"/>
      <c r="O89" s="4"/>
      <c r="P89" s="4"/>
      <c r="Q89" s="4"/>
      <c r="R89" s="4"/>
      <c r="S89" s="4"/>
      <c r="T89" s="4"/>
      <c r="U89" s="4"/>
      <c r="V89" s="4"/>
      <c r="W89" s="4"/>
      <c r="X89" s="4"/>
      <c r="Y89" s="4"/>
      <c r="Z89" s="4"/>
    </row>
    <row r="90" ht="15.75" customHeight="1">
      <c r="A90" s="11"/>
      <c r="B90" s="14"/>
      <c r="C90" s="11"/>
      <c r="D90" s="14"/>
      <c r="E90" s="11"/>
      <c r="F90" s="4"/>
      <c r="G90" s="4"/>
      <c r="H90" s="4"/>
      <c r="I90" s="4"/>
      <c r="J90" s="4"/>
      <c r="K90" s="4"/>
      <c r="L90" s="4"/>
      <c r="M90" s="4"/>
      <c r="N90" s="4"/>
      <c r="O90" s="4"/>
      <c r="P90" s="4"/>
      <c r="Q90" s="4"/>
      <c r="R90" s="4"/>
      <c r="S90" s="4"/>
      <c r="T90" s="4"/>
      <c r="U90" s="4"/>
      <c r="V90" s="4"/>
      <c r="W90" s="4"/>
      <c r="X90" s="4"/>
      <c r="Y90" s="4"/>
      <c r="Z90" s="4"/>
    </row>
    <row r="91" ht="15.75" customHeight="1">
      <c r="A91" s="7" t="s">
        <v>310</v>
      </c>
      <c r="B91" s="7" t="str">
        <f>'Detailed Reasoning'!B$50</f>
        <v/>
      </c>
      <c r="C91" s="7" t="str">
        <f>'Detailed Reasoning'!C$50</f>
        <v/>
      </c>
      <c r="D91" s="7" t="str">
        <f>'Detailed Reasoning'!D$50</f>
        <v/>
      </c>
      <c r="E91" s="7" t="str">
        <f>'Detailed Reasoning'!E$50</f>
        <v/>
      </c>
      <c r="F91" s="4"/>
      <c r="G91" s="4"/>
      <c r="H91" s="4"/>
      <c r="I91" s="4"/>
      <c r="J91" s="4"/>
      <c r="K91" s="4"/>
      <c r="L91" s="4"/>
      <c r="M91" s="4"/>
      <c r="N91" s="4"/>
      <c r="O91" s="4"/>
      <c r="P91" s="4"/>
      <c r="Q91" s="4"/>
      <c r="R91" s="4"/>
      <c r="S91" s="4"/>
      <c r="T91" s="4"/>
      <c r="U91" s="4"/>
      <c r="V91" s="4"/>
      <c r="W91" s="4"/>
      <c r="X91" s="4"/>
      <c r="Y91" s="4"/>
      <c r="Z91" s="4"/>
    </row>
    <row r="92" ht="15.75" customHeight="1">
      <c r="A92" s="9" t="s">
        <v>331</v>
      </c>
      <c r="B92" s="10" t="str">
        <f>'1조'!B$50</f>
        <v/>
      </c>
      <c r="C92" s="11" t="str">
        <f>'1조'!C50</f>
        <v>1조 - MVC - Testability</v>
      </c>
      <c r="D92" s="10" t="str">
        <f>'1조'!D$50</f>
        <v/>
      </c>
      <c r="E92" s="11" t="str">
        <f>'1조'!E50</f>
        <v>1조 - PAC - Testability</v>
      </c>
      <c r="F92" s="12" t="s">
        <v>334</v>
      </c>
      <c r="G92" s="4"/>
      <c r="H92" s="4"/>
      <c r="I92" s="4"/>
      <c r="J92" s="4"/>
      <c r="K92" s="4"/>
      <c r="L92" s="4"/>
      <c r="M92" s="4"/>
      <c r="N92" s="4"/>
      <c r="O92" s="4"/>
      <c r="P92" s="4"/>
      <c r="Q92" s="4"/>
      <c r="R92" s="4"/>
      <c r="S92" s="4"/>
      <c r="T92" s="4"/>
      <c r="U92" s="4"/>
      <c r="V92" s="4"/>
      <c r="W92" s="4"/>
      <c r="X92" s="4"/>
      <c r="Y92" s="4"/>
      <c r="Z92" s="4"/>
    </row>
    <row r="93" ht="15.75" customHeight="1">
      <c r="A93" s="9" t="s">
        <v>336</v>
      </c>
      <c r="B93" s="10" t="str">
        <f>'2조'!B$50</f>
        <v/>
      </c>
      <c r="C93" s="13" t="str">
        <f>'2조'!C$50</f>
        <v>2조 - MVC - Testability</v>
      </c>
      <c r="D93" s="10" t="str">
        <f>'2조'!D$50</f>
        <v/>
      </c>
      <c r="E93" s="13" t="str">
        <f>'2조'!E$50</f>
        <v>2조 - PAC - Testability</v>
      </c>
      <c r="G93" s="4"/>
      <c r="H93" s="4"/>
      <c r="I93" s="4"/>
      <c r="J93" s="4"/>
      <c r="K93" s="4"/>
      <c r="L93" s="4"/>
      <c r="M93" s="4"/>
      <c r="N93" s="4"/>
      <c r="O93" s="4"/>
      <c r="P93" s="4"/>
      <c r="Q93" s="4"/>
      <c r="R93" s="4"/>
      <c r="S93" s="4"/>
      <c r="T93" s="4"/>
      <c r="U93" s="4"/>
      <c r="V93" s="4"/>
      <c r="W93" s="4"/>
      <c r="X93" s="4"/>
      <c r="Y93" s="4"/>
      <c r="Z93" s="4"/>
    </row>
    <row r="94" ht="15.75" customHeight="1">
      <c r="A94" s="9" t="s">
        <v>341</v>
      </c>
      <c r="B94" s="10" t="str">
        <f>'3조'!B$50</f>
        <v/>
      </c>
      <c r="C94" s="13" t="str">
        <f>'3조'!C$50</f>
        <v>3조 - MVC - Testability</v>
      </c>
      <c r="D94" s="10" t="str">
        <f>'3조'!D$50</f>
        <v/>
      </c>
      <c r="E94" s="13" t="str">
        <f>'3조'!E$50</f>
        <v>3조 - PAC - Testability</v>
      </c>
      <c r="G94" s="4"/>
      <c r="H94" s="4"/>
      <c r="I94" s="4"/>
      <c r="J94" s="4"/>
      <c r="K94" s="4"/>
      <c r="L94" s="4"/>
      <c r="M94" s="4"/>
      <c r="N94" s="4"/>
      <c r="O94" s="4"/>
      <c r="P94" s="4"/>
      <c r="Q94" s="4"/>
      <c r="R94" s="4"/>
      <c r="S94" s="4"/>
      <c r="T94" s="4"/>
      <c r="U94" s="4"/>
      <c r="V94" s="4"/>
      <c r="W94" s="4"/>
      <c r="X94" s="4"/>
      <c r="Y94" s="4"/>
      <c r="Z94" s="4"/>
    </row>
    <row r="95" ht="15.75" customHeight="1">
      <c r="A95" s="9" t="s">
        <v>344</v>
      </c>
      <c r="B95" s="10" t="str">
        <f>'4조'!B$50</f>
        <v/>
      </c>
      <c r="C95" s="13" t="str">
        <f>'4조'!C$50</f>
        <v>Human - MVC - Testability</v>
      </c>
      <c r="D95" s="10" t="str">
        <f>'4조'!D$50</f>
        <v/>
      </c>
      <c r="E95" s="13" t="str">
        <f>'4조'!E$50</f>
        <v>Human - PAC - Testability</v>
      </c>
      <c r="G95" s="4"/>
      <c r="H95" s="4"/>
      <c r="I95" s="4"/>
      <c r="J95" s="4"/>
      <c r="K95" s="4"/>
      <c r="L95" s="4"/>
      <c r="M95" s="4"/>
      <c r="N95" s="4"/>
      <c r="O95" s="4"/>
      <c r="P95" s="4"/>
      <c r="Q95" s="4"/>
      <c r="R95" s="4"/>
      <c r="S95" s="4"/>
      <c r="T95" s="4"/>
      <c r="U95" s="4"/>
      <c r="V95" s="4"/>
      <c r="W95" s="4"/>
      <c r="X95" s="4"/>
      <c r="Y95" s="4"/>
      <c r="Z95" s="4"/>
    </row>
    <row r="96" ht="15.75" customHeight="1">
      <c r="A96" s="9" t="s">
        <v>348</v>
      </c>
      <c r="B96" s="10" t="str">
        <f>'5조'!B$50</f>
        <v/>
      </c>
      <c r="C96" s="13" t="str">
        <f>'5조'!C$50</f>
        <v>5조 - MVC - Testability</v>
      </c>
      <c r="D96" s="10" t="str">
        <f>'5조'!D$50</f>
        <v/>
      </c>
      <c r="E96" s="13" t="str">
        <f>'5조'!E$50</f>
        <v>5조 - PAC - Testability</v>
      </c>
      <c r="G96" s="4"/>
      <c r="H96" s="4"/>
      <c r="I96" s="4"/>
      <c r="J96" s="4"/>
      <c r="K96" s="4"/>
      <c r="L96" s="4"/>
      <c r="M96" s="4"/>
      <c r="N96" s="4"/>
      <c r="O96" s="4"/>
      <c r="P96" s="4"/>
      <c r="Q96" s="4"/>
      <c r="R96" s="4"/>
      <c r="S96" s="4"/>
      <c r="T96" s="4"/>
      <c r="U96" s="4"/>
      <c r="V96" s="4"/>
      <c r="W96" s="4"/>
      <c r="X96" s="4"/>
      <c r="Y96" s="4"/>
      <c r="Z96" s="4"/>
    </row>
    <row r="97" ht="15.75" customHeight="1">
      <c r="A97" s="9" t="s">
        <v>352</v>
      </c>
      <c r="B97" s="10" t="str">
        <f>'6조'!B$50</f>
        <v/>
      </c>
      <c r="C97" s="13" t="str">
        <f>'6조'!C$50</f>
        <v>6조 - MVC - Testability</v>
      </c>
      <c r="D97" s="10" t="str">
        <f>'6조'!D$50</f>
        <v/>
      </c>
      <c r="E97" s="13" t="str">
        <f>'6조'!E$50</f>
        <v>6조 - PAC - Testability</v>
      </c>
      <c r="G97" s="4"/>
      <c r="H97" s="4"/>
      <c r="I97" s="4"/>
      <c r="J97" s="4"/>
      <c r="K97" s="4"/>
      <c r="L97" s="4"/>
      <c r="M97" s="4"/>
      <c r="N97" s="4"/>
      <c r="O97" s="4"/>
      <c r="P97" s="4"/>
      <c r="Q97" s="4"/>
      <c r="R97" s="4"/>
      <c r="S97" s="4"/>
      <c r="T97" s="4"/>
      <c r="U97" s="4"/>
      <c r="V97" s="4"/>
      <c r="W97" s="4"/>
      <c r="X97" s="4"/>
      <c r="Y97" s="4"/>
      <c r="Z97" s="4"/>
    </row>
    <row r="98" ht="15.75" customHeight="1">
      <c r="A98" s="9" t="s">
        <v>357</v>
      </c>
      <c r="B98" s="10" t="str">
        <f>'7조'!B$50</f>
        <v/>
      </c>
      <c r="C98" s="13" t="str">
        <f>'7조'!C$50</f>
        <v>7조 - MVC - Testability</v>
      </c>
      <c r="D98" s="10" t="str">
        <f>'7조'!D$50</f>
        <v/>
      </c>
      <c r="E98" s="13" t="str">
        <f>'7조'!E$50</f>
        <v>7조 - PAC - Testability</v>
      </c>
      <c r="F98" s="4"/>
      <c r="G98" s="4"/>
      <c r="H98" s="4"/>
      <c r="I98" s="4"/>
      <c r="J98" s="4"/>
      <c r="K98" s="4"/>
      <c r="L98" s="4"/>
      <c r="M98" s="4"/>
      <c r="N98" s="4"/>
      <c r="O98" s="4"/>
      <c r="P98" s="4"/>
      <c r="Q98" s="4"/>
      <c r="R98" s="4"/>
      <c r="S98" s="4"/>
      <c r="T98" s="4"/>
      <c r="U98" s="4"/>
      <c r="V98" s="4"/>
      <c r="W98" s="4"/>
      <c r="X98" s="4"/>
      <c r="Y98" s="4"/>
      <c r="Z98" s="4"/>
    </row>
    <row r="99" ht="15.75" customHeight="1">
      <c r="A99" s="9" t="s">
        <v>360</v>
      </c>
      <c r="B99" s="10" t="str">
        <f>'8조'!B$50</f>
        <v/>
      </c>
      <c r="C99" s="13" t="str">
        <f>'8조'!C$50</f>
        <v>8조 - MVC - Testability</v>
      </c>
      <c r="D99" s="10" t="str">
        <f>'8조'!D$50</f>
        <v/>
      </c>
      <c r="E99" s="13" t="str">
        <f>'8조'!E$50</f>
        <v>8조 - PAC - Testability</v>
      </c>
      <c r="F99" s="4"/>
      <c r="G99" s="4"/>
      <c r="H99" s="4"/>
      <c r="I99" s="4"/>
      <c r="J99" s="4"/>
      <c r="K99" s="4"/>
      <c r="L99" s="4"/>
      <c r="M99" s="4"/>
      <c r="N99" s="4"/>
      <c r="O99" s="4"/>
      <c r="P99" s="4"/>
      <c r="Q99" s="4"/>
      <c r="R99" s="4"/>
      <c r="S99" s="4"/>
      <c r="T99" s="4"/>
      <c r="U99" s="4"/>
      <c r="V99" s="4"/>
      <c r="W99" s="4"/>
      <c r="X99" s="4"/>
      <c r="Y99" s="4"/>
      <c r="Z99" s="4"/>
    </row>
    <row r="100" ht="15.75" customHeight="1">
      <c r="A100" s="9" t="s">
        <v>365</v>
      </c>
      <c r="B100" s="10" t="str">
        <f>'9조'!B$50</f>
        <v/>
      </c>
      <c r="C100" s="13" t="str">
        <f>'9조'!C$50</f>
        <v>9조 - MVC - Testability</v>
      </c>
      <c r="D100" s="10" t="str">
        <f>'9조'!D$50</f>
        <v/>
      </c>
      <c r="E100" s="13" t="str">
        <f>'9조'!E$50</f>
        <v>9조 - PAC - Testability</v>
      </c>
      <c r="F100" s="4"/>
      <c r="G100" s="4"/>
      <c r="H100" s="4"/>
      <c r="I100" s="4"/>
      <c r="J100" s="4"/>
      <c r="K100" s="4"/>
      <c r="L100" s="4"/>
      <c r="M100" s="4"/>
      <c r="N100" s="4"/>
      <c r="O100" s="4"/>
      <c r="P100" s="4"/>
      <c r="Q100" s="4"/>
      <c r="R100" s="4"/>
      <c r="S100" s="4"/>
      <c r="T100" s="4"/>
      <c r="U100" s="4"/>
      <c r="V100" s="4"/>
      <c r="W100" s="4"/>
      <c r="X100" s="4"/>
      <c r="Y100" s="4"/>
      <c r="Z100" s="4"/>
    </row>
    <row r="101" ht="15.0" customHeight="1">
      <c r="A101" s="11"/>
      <c r="B101" s="14"/>
      <c r="C101" s="11"/>
      <c r="D101" s="14"/>
      <c r="E101" s="11"/>
      <c r="F101" s="4"/>
      <c r="G101" s="4"/>
      <c r="H101" s="4"/>
      <c r="I101" s="4"/>
      <c r="J101" s="4"/>
      <c r="K101" s="4"/>
      <c r="L101" s="4"/>
      <c r="M101" s="4"/>
      <c r="N101" s="4"/>
      <c r="O101" s="4"/>
      <c r="P101" s="4"/>
      <c r="Q101" s="4"/>
      <c r="R101" s="4"/>
      <c r="S101" s="4"/>
      <c r="T101" s="4"/>
      <c r="U101" s="4"/>
      <c r="V101" s="4"/>
      <c r="W101" s="4"/>
      <c r="X101" s="4"/>
      <c r="Y101" s="4"/>
      <c r="Z101" s="4"/>
    </row>
    <row r="102" ht="15.75" customHeight="1">
      <c r="A102" s="7" t="s">
        <v>346</v>
      </c>
      <c r="B102" s="7" t="str">
        <f>'Detailed Reasoning'!B$51</f>
        <v/>
      </c>
      <c r="C102" s="7" t="str">
        <f>'Detailed Reasoning'!C$51</f>
        <v/>
      </c>
      <c r="D102" s="7" t="str">
        <f>'Detailed Reasoning'!D$51</f>
        <v/>
      </c>
      <c r="E102" s="7" t="str">
        <f>'Detailed Reasoning'!E$51</f>
        <v/>
      </c>
      <c r="F102" s="4"/>
      <c r="G102" s="4"/>
      <c r="H102" s="4"/>
      <c r="I102" s="4"/>
      <c r="J102" s="4"/>
      <c r="K102" s="4"/>
      <c r="L102" s="4"/>
      <c r="M102" s="4"/>
      <c r="N102" s="4"/>
      <c r="O102" s="4"/>
      <c r="P102" s="4"/>
      <c r="Q102" s="4"/>
      <c r="R102" s="4"/>
      <c r="S102" s="4"/>
      <c r="T102" s="4"/>
      <c r="U102" s="4"/>
      <c r="V102" s="4"/>
      <c r="W102" s="4"/>
      <c r="X102" s="4"/>
      <c r="Y102" s="4"/>
      <c r="Z102" s="4"/>
    </row>
    <row r="103" ht="15.75" customHeight="1">
      <c r="A103" s="9" t="s">
        <v>378</v>
      </c>
      <c r="B103" s="10" t="str">
        <f>'1조'!B$51</f>
        <v/>
      </c>
      <c r="C103" s="11" t="str">
        <f>'1조'!C51</f>
        <v>1조 - MVC - Usability</v>
      </c>
      <c r="D103" s="10" t="str">
        <f>'1조'!D$51</f>
        <v/>
      </c>
      <c r="E103" s="11" t="str">
        <f>'1조'!E51</f>
        <v>1조 - PAC - Usability</v>
      </c>
      <c r="F103" s="12" t="s">
        <v>381</v>
      </c>
      <c r="G103" s="4"/>
      <c r="H103" s="4"/>
      <c r="I103" s="4"/>
      <c r="J103" s="4"/>
      <c r="K103" s="4"/>
      <c r="L103" s="4"/>
      <c r="M103" s="4"/>
      <c r="N103" s="4"/>
      <c r="O103" s="4"/>
      <c r="P103" s="4"/>
      <c r="Q103" s="4"/>
      <c r="R103" s="4"/>
      <c r="S103" s="4"/>
      <c r="T103" s="4"/>
      <c r="U103" s="4"/>
      <c r="V103" s="4"/>
      <c r="W103" s="4"/>
      <c r="X103" s="4"/>
      <c r="Y103" s="4"/>
      <c r="Z103" s="4"/>
    </row>
    <row r="104" ht="15.75" customHeight="1">
      <c r="A104" s="9" t="s">
        <v>382</v>
      </c>
      <c r="B104" s="10" t="str">
        <f>'2조'!B$51</f>
        <v/>
      </c>
      <c r="C104" s="13" t="str">
        <f>'2조'!C$51</f>
        <v>2조 - MVC - Usability</v>
      </c>
      <c r="D104" s="10" t="str">
        <f>'2조'!D$51</f>
        <v/>
      </c>
      <c r="E104" s="13" t="str">
        <f>'2조'!E$51</f>
        <v>2조 - PAC - Usability</v>
      </c>
      <c r="G104" s="4"/>
      <c r="H104" s="4"/>
      <c r="I104" s="4"/>
      <c r="J104" s="4"/>
      <c r="K104" s="4"/>
      <c r="L104" s="4"/>
      <c r="M104" s="4"/>
      <c r="N104" s="4"/>
      <c r="O104" s="4"/>
      <c r="P104" s="4"/>
      <c r="Q104" s="4"/>
      <c r="R104" s="4"/>
      <c r="S104" s="4"/>
      <c r="T104" s="4"/>
      <c r="U104" s="4"/>
      <c r="V104" s="4"/>
      <c r="W104" s="4"/>
      <c r="X104" s="4"/>
      <c r="Y104" s="4"/>
      <c r="Z104" s="4"/>
    </row>
    <row r="105" ht="15.75" customHeight="1">
      <c r="A105" s="9" t="s">
        <v>385</v>
      </c>
      <c r="B105" s="10" t="str">
        <f>'3조'!B$51</f>
        <v/>
      </c>
      <c r="C105" s="13" t="str">
        <f>'3조'!C$51</f>
        <v>3조 - MVC - Usability</v>
      </c>
      <c r="D105" s="10" t="str">
        <f>'3조'!D$51</f>
        <v/>
      </c>
      <c r="E105" s="13" t="str">
        <f>'3조'!E$51</f>
        <v>3조 - PAC - Usability</v>
      </c>
      <c r="G105" s="4"/>
      <c r="H105" s="4"/>
      <c r="I105" s="4"/>
      <c r="J105" s="4"/>
      <c r="K105" s="4"/>
      <c r="L105" s="4"/>
      <c r="M105" s="4"/>
      <c r="N105" s="4"/>
      <c r="O105" s="4"/>
      <c r="P105" s="4"/>
      <c r="Q105" s="4"/>
      <c r="R105" s="4"/>
      <c r="S105" s="4"/>
      <c r="T105" s="4"/>
      <c r="U105" s="4"/>
      <c r="V105" s="4"/>
      <c r="W105" s="4"/>
      <c r="X105" s="4"/>
      <c r="Y105" s="4"/>
      <c r="Z105" s="4"/>
    </row>
    <row r="106" ht="15.75" customHeight="1">
      <c r="A106" s="9" t="s">
        <v>387</v>
      </c>
      <c r="B106" s="10" t="str">
        <f>'4조'!B$51</f>
        <v/>
      </c>
      <c r="C106" s="13" t="str">
        <f>'4조'!C$51</f>
        <v>Human - MVC - Usability</v>
      </c>
      <c r="D106" s="10" t="str">
        <f>'4조'!D$51</f>
        <v/>
      </c>
      <c r="E106" s="13" t="str">
        <f>'4조'!E$51</f>
        <v>Human - PAC - Usability</v>
      </c>
      <c r="G106" s="4"/>
      <c r="H106" s="4"/>
      <c r="I106" s="4"/>
      <c r="J106" s="4"/>
      <c r="K106" s="4"/>
      <c r="L106" s="4"/>
      <c r="M106" s="4"/>
      <c r="N106" s="4"/>
      <c r="O106" s="4"/>
      <c r="P106" s="4"/>
      <c r="Q106" s="4"/>
      <c r="R106" s="4"/>
      <c r="S106" s="4"/>
      <c r="T106" s="4"/>
      <c r="U106" s="4"/>
      <c r="V106" s="4"/>
      <c r="W106" s="4"/>
      <c r="X106" s="4"/>
      <c r="Y106" s="4"/>
      <c r="Z106" s="4"/>
    </row>
    <row r="107" ht="15.75" customHeight="1">
      <c r="A107" s="9" t="s">
        <v>389</v>
      </c>
      <c r="B107" s="10" t="str">
        <f>'5조'!B$51</f>
        <v/>
      </c>
      <c r="C107" s="13" t="str">
        <f>'5조'!C$51</f>
        <v>5조 - MVC - Usability</v>
      </c>
      <c r="D107" s="10" t="str">
        <f>'5조'!D$51</f>
        <v/>
      </c>
      <c r="E107" s="13" t="str">
        <f>'5조'!E$51</f>
        <v>5조 - PAC - Usability</v>
      </c>
      <c r="G107" s="4"/>
      <c r="H107" s="4"/>
      <c r="I107" s="4"/>
      <c r="J107" s="4"/>
      <c r="K107" s="4"/>
      <c r="L107" s="4"/>
      <c r="M107" s="4"/>
      <c r="N107" s="4"/>
      <c r="O107" s="4"/>
      <c r="P107" s="4"/>
      <c r="Q107" s="4"/>
      <c r="R107" s="4"/>
      <c r="S107" s="4"/>
      <c r="T107" s="4"/>
      <c r="U107" s="4"/>
      <c r="V107" s="4"/>
      <c r="W107" s="4"/>
      <c r="X107" s="4"/>
      <c r="Y107" s="4"/>
      <c r="Z107" s="4"/>
    </row>
    <row r="108" ht="15.75" customHeight="1">
      <c r="A108" s="9" t="s">
        <v>390</v>
      </c>
      <c r="B108" s="10" t="str">
        <f>'6조'!B$51</f>
        <v/>
      </c>
      <c r="C108" s="13" t="str">
        <f>'6조'!C$51</f>
        <v>6조 - MVC - Usability</v>
      </c>
      <c r="D108" s="10" t="str">
        <f>'6조'!D$51</f>
        <v/>
      </c>
      <c r="E108" s="13" t="str">
        <f>'6조'!E$51</f>
        <v>6조 - PAC - Usability</v>
      </c>
      <c r="G108" s="4"/>
      <c r="H108" s="4"/>
      <c r="I108" s="4"/>
      <c r="J108" s="4"/>
      <c r="K108" s="4"/>
      <c r="L108" s="4"/>
      <c r="M108" s="4"/>
      <c r="N108" s="4"/>
      <c r="O108" s="4"/>
      <c r="P108" s="4"/>
      <c r="Q108" s="4"/>
      <c r="R108" s="4"/>
      <c r="S108" s="4"/>
      <c r="T108" s="4"/>
      <c r="U108" s="4"/>
      <c r="V108" s="4"/>
      <c r="W108" s="4"/>
      <c r="X108" s="4"/>
      <c r="Y108" s="4"/>
      <c r="Z108" s="4"/>
    </row>
    <row r="109" ht="15.75" customHeight="1">
      <c r="A109" s="9" t="s">
        <v>391</v>
      </c>
      <c r="B109" s="10" t="str">
        <f>'7조'!B$51</f>
        <v/>
      </c>
      <c r="C109" s="13" t="str">
        <f>'7조'!C$51</f>
        <v>7조 - MVC - Usability</v>
      </c>
      <c r="D109" s="10" t="str">
        <f>'7조'!D$51</f>
        <v/>
      </c>
      <c r="E109" s="13" t="str">
        <f>'7조'!E$51</f>
        <v>7조 - PAC - Usability</v>
      </c>
      <c r="F109" s="4"/>
      <c r="G109" s="4"/>
      <c r="H109" s="4"/>
      <c r="I109" s="4"/>
      <c r="J109" s="4"/>
      <c r="K109" s="4"/>
      <c r="L109" s="4"/>
      <c r="M109" s="4"/>
      <c r="N109" s="4"/>
      <c r="O109" s="4"/>
      <c r="P109" s="4"/>
      <c r="Q109" s="4"/>
      <c r="R109" s="4"/>
      <c r="S109" s="4"/>
      <c r="T109" s="4"/>
      <c r="U109" s="4"/>
      <c r="V109" s="4"/>
      <c r="W109" s="4"/>
      <c r="X109" s="4"/>
      <c r="Y109" s="4"/>
      <c r="Z109" s="4"/>
    </row>
    <row r="110" ht="15.75" customHeight="1">
      <c r="A110" s="9" t="s">
        <v>392</v>
      </c>
      <c r="B110" s="10" t="str">
        <f>'8조'!B$51</f>
        <v/>
      </c>
      <c r="C110" s="13" t="str">
        <f>'8조'!C$51</f>
        <v>8조 - MVC - Usability</v>
      </c>
      <c r="D110" s="10" t="str">
        <f>'8조'!D$51</f>
        <v/>
      </c>
      <c r="E110" s="13" t="str">
        <f>'8조'!E$51</f>
        <v>8조 - PAC - Usability</v>
      </c>
      <c r="F110" s="4"/>
      <c r="G110" s="4"/>
      <c r="H110" s="4"/>
      <c r="I110" s="4"/>
      <c r="J110" s="4"/>
      <c r="K110" s="4"/>
      <c r="L110" s="4"/>
      <c r="M110" s="4"/>
      <c r="N110" s="4"/>
      <c r="O110" s="4"/>
      <c r="P110" s="4"/>
      <c r="Q110" s="4"/>
      <c r="R110" s="4"/>
      <c r="S110" s="4"/>
      <c r="T110" s="4"/>
      <c r="U110" s="4"/>
      <c r="V110" s="4"/>
      <c r="W110" s="4"/>
      <c r="X110" s="4"/>
      <c r="Y110" s="4"/>
      <c r="Z110" s="4"/>
    </row>
    <row r="111" ht="15.75" customHeight="1">
      <c r="A111" s="9" t="s">
        <v>394</v>
      </c>
      <c r="B111" s="10" t="str">
        <f>'9조'!B$51</f>
        <v/>
      </c>
      <c r="C111" s="13" t="str">
        <f>'9조'!C$51</f>
        <v>9조 - MVC - Usability</v>
      </c>
      <c r="D111" s="10" t="str">
        <f>'9조'!D$51</f>
        <v/>
      </c>
      <c r="E111" s="13" t="str">
        <f>'9조'!E$51</f>
        <v>9조 - PAC - Usability</v>
      </c>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8:F53"/>
    <mergeCell ref="F59:F64"/>
    <mergeCell ref="F70:F75"/>
    <mergeCell ref="F81:F86"/>
    <mergeCell ref="F92:F97"/>
    <mergeCell ref="F103:F108"/>
    <mergeCell ref="A1:A2"/>
    <mergeCell ref="B1:C1"/>
    <mergeCell ref="D1:E1"/>
    <mergeCell ref="F4:F9"/>
    <mergeCell ref="F15:F20"/>
    <mergeCell ref="F26:F31"/>
    <mergeCell ref="F37:F42"/>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57.57"/>
    <col customWidth="1" min="4" max="4" width="7.71"/>
    <col customWidth="1" min="5" max="5" width="65.14"/>
    <col customWidth="1" min="6" max="6" width="53.43"/>
  </cols>
  <sheetData>
    <row r="1">
      <c r="A1" s="1" t="s">
        <v>413</v>
      </c>
      <c r="B1" s="2" t="s">
        <v>414</v>
      </c>
      <c r="C1" s="3"/>
      <c r="D1" s="2" t="s">
        <v>415</v>
      </c>
      <c r="E1" s="3"/>
      <c r="F1" s="4"/>
      <c r="G1" s="4"/>
      <c r="H1" s="4"/>
      <c r="I1" s="4"/>
      <c r="J1" s="4"/>
      <c r="K1" s="4"/>
      <c r="L1" s="4"/>
      <c r="M1" s="4"/>
      <c r="N1" s="4"/>
      <c r="O1" s="4"/>
      <c r="P1" s="4"/>
      <c r="Q1" s="4"/>
      <c r="R1" s="4"/>
      <c r="S1" s="4"/>
      <c r="T1" s="4"/>
      <c r="U1" s="4"/>
      <c r="V1" s="4"/>
      <c r="W1" s="4"/>
      <c r="X1" s="4"/>
      <c r="Y1" s="4"/>
      <c r="Z1" s="4"/>
    </row>
    <row r="2">
      <c r="A2" s="5"/>
      <c r="B2" s="6" t="s">
        <v>11</v>
      </c>
      <c r="C2" s="6" t="s">
        <v>12</v>
      </c>
      <c r="D2" s="6" t="s">
        <v>11</v>
      </c>
      <c r="E2" s="6" t="s">
        <v>12</v>
      </c>
      <c r="F2" s="4"/>
      <c r="G2" s="4"/>
      <c r="H2" s="4"/>
      <c r="I2" s="4"/>
      <c r="J2" s="4"/>
      <c r="K2" s="4"/>
      <c r="L2" s="4"/>
      <c r="M2" s="4"/>
      <c r="N2" s="4"/>
      <c r="O2" s="4"/>
      <c r="P2" s="4"/>
      <c r="Q2" s="4"/>
      <c r="R2" s="4"/>
      <c r="S2" s="4"/>
      <c r="T2" s="4"/>
      <c r="U2" s="4"/>
      <c r="V2" s="4"/>
      <c r="W2" s="4"/>
      <c r="X2" s="4"/>
      <c r="Y2" s="4"/>
      <c r="Z2" s="4"/>
    </row>
    <row r="3" ht="15.0" customHeight="1">
      <c r="A3" s="7" t="s">
        <v>14</v>
      </c>
      <c r="B3" s="7" t="str">
        <f>'Detailed Reasoning'!B$55</f>
        <v/>
      </c>
      <c r="C3" s="7" t="str">
        <f>'Detailed Reasoning'!C$55</f>
        <v/>
      </c>
      <c r="D3" s="7" t="str">
        <f>'Detailed Reasoning'!D$55</f>
        <v/>
      </c>
      <c r="E3" s="7" t="str">
        <f>'Detailed Reasoning'!E$55</f>
        <v/>
      </c>
      <c r="F3" s="4"/>
      <c r="G3" s="4"/>
      <c r="H3" s="4"/>
      <c r="I3" s="4"/>
      <c r="J3" s="4"/>
      <c r="K3" s="4"/>
      <c r="L3" s="4"/>
      <c r="M3" s="4"/>
      <c r="N3" s="4"/>
      <c r="O3" s="4"/>
      <c r="P3" s="4"/>
      <c r="Q3" s="4"/>
      <c r="R3" s="4"/>
      <c r="S3" s="4"/>
      <c r="T3" s="4"/>
      <c r="U3" s="4"/>
      <c r="V3" s="4"/>
      <c r="W3" s="4"/>
      <c r="X3" s="4"/>
      <c r="Y3" s="4"/>
      <c r="Z3" s="4"/>
    </row>
    <row r="4">
      <c r="A4" s="9" t="s">
        <v>416</v>
      </c>
      <c r="B4" s="10" t="str">
        <f>'1조'!B$55</f>
        <v>--</v>
      </c>
      <c r="C4" s="13" t="str">
        <f>'1조'!C$55</f>
        <v>[+] 구조가 단순하여 단일 모듈 오류 수정 및 복구 용이
[--] 메인 루틴 장애 시 전체 프로그램이 즉시 마비됨 (SPOF)</v>
      </c>
      <c r="D4" s="10" t="str">
        <f>'1조'!D$55</f>
        <v>+</v>
      </c>
      <c r="E4" s="13" t="str">
        <f>'1조'!E$55</f>
        <v>[+] 장애가 발생한 Slave의 작업을 대체 가능한 Slave에 재할당하여 처리를 지속할 수 있다
[-] Master 단일점 장애(SPOF) 발생 시 전체 분산 처리 마비</v>
      </c>
      <c r="F4" s="12" t="s">
        <v>417</v>
      </c>
      <c r="G4" s="4"/>
      <c r="H4" s="4"/>
      <c r="I4" s="4"/>
      <c r="J4" s="4"/>
      <c r="K4" s="4"/>
      <c r="L4" s="4"/>
      <c r="M4" s="4"/>
      <c r="N4" s="4"/>
      <c r="O4" s="4"/>
      <c r="P4" s="4"/>
      <c r="Q4" s="4"/>
      <c r="R4" s="4"/>
      <c r="S4" s="4"/>
      <c r="T4" s="4"/>
      <c r="U4" s="4"/>
      <c r="V4" s="4"/>
      <c r="W4" s="4"/>
      <c r="X4" s="4"/>
      <c r="Y4" s="4"/>
      <c r="Z4" s="4"/>
    </row>
    <row r="5">
      <c r="A5" s="9" t="s">
        <v>418</v>
      </c>
      <c r="B5" s="10" t="str">
        <f>'2조'!B$55</f>
        <v>-</v>
      </c>
      <c r="C5" s="13" t="str">
        <f>'2조'!C$55</f>
        <v>(+) 제어 흐름이 단순하여 오류 분석 용이. / (-) 단일 스레드 구조로 하위 서브루틴 실패 시 전체 프로세스 중단.</v>
      </c>
      <c r="D5" s="10" t="str">
        <f>'2조'!D$55</f>
        <v>+</v>
      </c>
      <c r="E5" s="13" t="str">
        <f>'2조'!E$55</f>
        <v>(+) Slave 실패 시 Master가 작업을 타 Slave에 재할당하여 중단 없이 지속(Fault tolerance). / (-) Master가 SPOF.</v>
      </c>
      <c r="G5" s="4"/>
      <c r="H5" s="4"/>
      <c r="I5" s="4"/>
      <c r="J5" s="4"/>
      <c r="K5" s="4"/>
      <c r="L5" s="4"/>
      <c r="M5" s="4"/>
      <c r="N5" s="4"/>
      <c r="O5" s="4"/>
      <c r="P5" s="4"/>
      <c r="Q5" s="4"/>
      <c r="R5" s="4"/>
      <c r="S5" s="4"/>
      <c r="T5" s="4"/>
      <c r="U5" s="4"/>
      <c r="V5" s="4"/>
      <c r="W5" s="4"/>
      <c r="X5" s="4"/>
      <c r="Y5" s="4"/>
      <c r="Z5" s="4"/>
    </row>
    <row r="6">
      <c r="A6" s="9" t="s">
        <v>419</v>
      </c>
      <c r="B6" s="10" t="str">
        <f>'3조'!B$55</f>
        <v>--</v>
      </c>
      <c r="C6" s="13" t="str">
        <f>'3조'!C$55</f>
        <v>단일 제어 흐름으로 인해, 상위 호출 흐름 실패시 전체 실행이 실패한다.</v>
      </c>
      <c r="D6" s="10" t="str">
        <f>'3조'!D$55</f>
        <v>+</v>
      </c>
      <c r="E6" s="13" t="str">
        <f>'3조'!E$55</f>
        <v>특정 Slave 장애 시 Master가 타 Slave에 작업을 재할당해 서비스가 지속(Fault Tolerance)됩니다. 단, Master 자체는 단일 장애점(SPOF)이 될 수 있습니다.</v>
      </c>
      <c r="G6" s="4"/>
      <c r="H6" s="4"/>
      <c r="I6" s="4"/>
      <c r="J6" s="4"/>
      <c r="K6" s="4"/>
      <c r="L6" s="4"/>
      <c r="M6" s="4"/>
      <c r="N6" s="4"/>
      <c r="O6" s="4"/>
      <c r="P6" s="4"/>
      <c r="Q6" s="4"/>
      <c r="R6" s="4"/>
      <c r="S6" s="4"/>
      <c r="T6" s="4"/>
      <c r="U6" s="4"/>
      <c r="V6" s="4"/>
      <c r="W6" s="4"/>
      <c r="X6" s="4"/>
      <c r="Y6" s="4"/>
      <c r="Z6" s="4"/>
    </row>
    <row r="7">
      <c r="A7" s="9" t="s">
        <v>423</v>
      </c>
      <c r="B7" s="10" t="str">
        <f>'4조'!B$55</f>
        <v>--</v>
      </c>
      <c r="C7" s="13" t="str">
        <f>'4조'!C$55</f>
        <v>이중화 없는 단일 프로세스다. 서브루틴 하나가 실패하면 프로그램 전체가 죽고 부분 동작도 불가능하다.</v>
      </c>
      <c r="D7" s="10" t="str">
        <f>'4조'!D$55</f>
        <v>+</v>
      </c>
      <c r="E7" s="13" t="str">
        <f>'4조'!E$55</f>
        <v>작업을 나누어 일부 작업자의 장애 영향을 줄일 수 있지만 Master 장애는 남는다.</v>
      </c>
      <c r="G7" s="4"/>
      <c r="H7" s="4"/>
      <c r="I7" s="4"/>
      <c r="J7" s="4"/>
      <c r="K7" s="4"/>
      <c r="L7" s="4"/>
      <c r="M7" s="4"/>
      <c r="N7" s="4"/>
      <c r="O7" s="4"/>
      <c r="P7" s="4"/>
      <c r="Q7" s="4"/>
      <c r="R7" s="4"/>
      <c r="S7" s="4"/>
      <c r="T7" s="4"/>
      <c r="U7" s="4"/>
      <c r="V7" s="4"/>
      <c r="W7" s="4"/>
      <c r="X7" s="4"/>
      <c r="Y7" s="4"/>
      <c r="Z7" s="4"/>
    </row>
    <row r="8">
      <c r="A8" s="9" t="s">
        <v>424</v>
      </c>
      <c r="B8" s="10" t="str">
        <f>'5조'!B$55</f>
        <v>-</v>
      </c>
      <c r="C8" s="13" t="str">
        <f>'5조'!C$55</f>
        <v>중앙 main과 Subroutine간의 강한 coupling으로 인해 main의 장애가 전체 프로그램의 중단으로 이어질 수 있다.</v>
      </c>
      <c r="D8" s="10" t="str">
        <f>'5조'!D$55</f>
        <v>+</v>
      </c>
      <c r="E8" s="13" t="str">
        <f>'5조'!E$55</f>
        <v>일부 Slave에 장애가 발생해도 다른 Slave가 대신 처리하거나 Master가 해당 Slave만 재시작할 수 있어 가용성이 높음</v>
      </c>
      <c r="G8" s="4"/>
      <c r="H8" s="4"/>
      <c r="I8" s="4"/>
      <c r="J8" s="4"/>
      <c r="K8" s="4"/>
      <c r="L8" s="4"/>
      <c r="M8" s="4"/>
      <c r="N8" s="4"/>
      <c r="O8" s="4"/>
      <c r="P8" s="4"/>
      <c r="Q8" s="4"/>
      <c r="R8" s="4"/>
      <c r="S8" s="4"/>
      <c r="T8" s="4"/>
      <c r="U8" s="4"/>
      <c r="V8" s="4"/>
      <c r="W8" s="4"/>
      <c r="X8" s="4"/>
      <c r="Y8" s="4"/>
      <c r="Z8" s="4"/>
    </row>
    <row r="9">
      <c r="A9" s="9" t="s">
        <v>425</v>
      </c>
      <c r="B9" s="10" t="str">
        <f>'6조'!B$55</f>
        <v>-</v>
      </c>
      <c r="C9" s="13" t="str">
        <f>'6조'!C$55</f>
        <v>Main이 여러 subroutine을 순차적으로 호출하는 구조라서 한  subroutine에 장애가 발생하면 전체 실행 흐름에 영향을 줄 가능성이 높음</v>
      </c>
      <c r="D9" s="10" t="str">
        <f>'6조'!D$55</f>
        <v>0</v>
      </c>
      <c r="E9" s="13" t="str">
        <f>'6조'!E$55</f>
        <v>Fault Tolerence 특징이 있지만 Master 단일 포인트 Fail 시 가용성이 훼손될 수 있다.</v>
      </c>
      <c r="G9" s="4"/>
      <c r="H9" s="4"/>
      <c r="I9" s="4"/>
      <c r="J9" s="4"/>
      <c r="K9" s="4"/>
      <c r="L9" s="4"/>
      <c r="M9" s="4"/>
      <c r="N9" s="4"/>
      <c r="O9" s="4"/>
      <c r="P9" s="4"/>
      <c r="Q9" s="4"/>
      <c r="R9" s="4"/>
      <c r="S9" s="4"/>
      <c r="T9" s="4"/>
      <c r="U9" s="4"/>
      <c r="V9" s="4"/>
      <c r="W9" s="4"/>
      <c r="X9" s="4"/>
      <c r="Y9" s="4"/>
      <c r="Z9" s="4"/>
    </row>
    <row r="10">
      <c r="A10" s="9" t="s">
        <v>427</v>
      </c>
      <c r="B10" s="10" t="str">
        <f>'7조'!B$55</f>
        <v/>
      </c>
      <c r="C10" s="13" t="str">
        <f>'7조'!C$55</f>
        <v>7조 - Main-subroutine - Availability</v>
      </c>
      <c r="D10" s="10" t="str">
        <f>'7조'!D$55</f>
        <v/>
      </c>
      <c r="E10" s="13" t="str">
        <f>'7조'!E$55</f>
        <v>7조 - Master-Slave - Availability</v>
      </c>
      <c r="F10" s="4"/>
      <c r="G10" s="4"/>
      <c r="H10" s="4"/>
      <c r="I10" s="4"/>
      <c r="J10" s="4"/>
      <c r="K10" s="4"/>
      <c r="L10" s="4"/>
      <c r="M10" s="4"/>
      <c r="N10" s="4"/>
      <c r="O10" s="4"/>
      <c r="P10" s="4"/>
      <c r="Q10" s="4"/>
      <c r="R10" s="4"/>
      <c r="S10" s="4"/>
      <c r="T10" s="4"/>
      <c r="U10" s="4"/>
      <c r="V10" s="4"/>
      <c r="W10" s="4"/>
      <c r="X10" s="4"/>
      <c r="Y10" s="4"/>
      <c r="Z10" s="4"/>
    </row>
    <row r="11">
      <c r="A11" s="9" t="s">
        <v>428</v>
      </c>
      <c r="B11" s="10" t="str">
        <f>'8조'!B$55</f>
        <v/>
      </c>
      <c r="C11" s="13" t="str">
        <f>'8조'!C$55</f>
        <v>8조 - Main-subroutine - Availability</v>
      </c>
      <c r="D11" s="10" t="str">
        <f>'8조'!D$55</f>
        <v/>
      </c>
      <c r="E11" s="13" t="str">
        <f>'8조'!E$55</f>
        <v>8조 - Master-Slave - Availability</v>
      </c>
      <c r="F11" s="4"/>
      <c r="G11" s="4"/>
      <c r="H11" s="4"/>
      <c r="I11" s="4"/>
      <c r="J11" s="4"/>
      <c r="K11" s="4"/>
      <c r="L11" s="4"/>
      <c r="M11" s="4"/>
      <c r="N11" s="4"/>
      <c r="O11" s="4"/>
      <c r="P11" s="4"/>
      <c r="Q11" s="4"/>
      <c r="R11" s="4"/>
      <c r="S11" s="4"/>
      <c r="T11" s="4"/>
      <c r="U11" s="4"/>
      <c r="V11" s="4"/>
      <c r="W11" s="4"/>
      <c r="X11" s="4"/>
      <c r="Y11" s="4"/>
      <c r="Z11" s="4"/>
    </row>
    <row r="12">
      <c r="A12" s="9" t="s">
        <v>431</v>
      </c>
      <c r="B12" s="10" t="str">
        <f>'9조'!B$55</f>
        <v/>
      </c>
      <c r="C12" s="13" t="str">
        <f>'9조'!C$55</f>
        <v>9조 - Main-subroutine - Availability</v>
      </c>
      <c r="D12" s="10" t="str">
        <f>'9조'!D$55</f>
        <v/>
      </c>
      <c r="E12" s="13" t="str">
        <f>'9조'!E$55</f>
        <v>9조 - Master-Slave - Availability</v>
      </c>
      <c r="F12" s="4"/>
      <c r="G12" s="4"/>
      <c r="H12" s="4"/>
      <c r="I12" s="4"/>
      <c r="J12" s="4"/>
      <c r="K12" s="4"/>
      <c r="L12" s="4"/>
      <c r="M12" s="4"/>
      <c r="N12" s="4"/>
      <c r="O12" s="4"/>
      <c r="P12" s="4"/>
      <c r="Q12" s="4"/>
      <c r="R12" s="4"/>
      <c r="S12" s="4"/>
      <c r="T12" s="4"/>
      <c r="U12" s="4"/>
      <c r="V12" s="4"/>
      <c r="W12" s="4"/>
      <c r="X12" s="4"/>
      <c r="Y12" s="4"/>
      <c r="Z12" s="4"/>
    </row>
    <row r="13">
      <c r="A13" s="11"/>
      <c r="B13" s="14"/>
      <c r="C13" s="11"/>
      <c r="D13" s="14"/>
      <c r="E13" s="11"/>
      <c r="F13" s="4"/>
      <c r="G13" s="4"/>
      <c r="H13" s="4"/>
      <c r="I13" s="4"/>
      <c r="J13" s="4"/>
      <c r="K13" s="4"/>
      <c r="L13" s="4"/>
      <c r="M13" s="4"/>
      <c r="N13" s="4"/>
      <c r="O13" s="4"/>
      <c r="P13" s="4"/>
      <c r="Q13" s="4"/>
      <c r="R13" s="4"/>
      <c r="S13" s="4"/>
      <c r="T13" s="4"/>
      <c r="U13" s="4"/>
      <c r="V13" s="4"/>
      <c r="W13" s="4"/>
      <c r="X13" s="4"/>
      <c r="Y13" s="4"/>
      <c r="Z13" s="4"/>
    </row>
    <row r="14" ht="15.0" customHeight="1">
      <c r="A14" s="7" t="s">
        <v>47</v>
      </c>
      <c r="B14" s="7" t="str">
        <f>'Detailed Reasoning'!B$56</f>
        <v/>
      </c>
      <c r="C14" s="7" t="str">
        <f>'Detailed Reasoning'!C$56</f>
        <v/>
      </c>
      <c r="D14" s="7" t="str">
        <f>'Detailed Reasoning'!D$56</f>
        <v/>
      </c>
      <c r="E14" s="7" t="str">
        <f>'Detailed Reasoning'!E$56</f>
        <v/>
      </c>
      <c r="F14" s="4"/>
      <c r="G14" s="4"/>
      <c r="H14" s="4"/>
      <c r="I14" s="4"/>
      <c r="J14" s="4"/>
      <c r="K14" s="4"/>
      <c r="L14" s="4"/>
      <c r="M14" s="4"/>
      <c r="N14" s="4"/>
      <c r="O14" s="4"/>
      <c r="P14" s="4"/>
      <c r="Q14" s="4"/>
      <c r="R14" s="4"/>
      <c r="S14" s="4"/>
      <c r="T14" s="4"/>
      <c r="U14" s="4"/>
      <c r="V14" s="4"/>
      <c r="W14" s="4"/>
      <c r="X14" s="4"/>
      <c r="Y14" s="4"/>
      <c r="Z14" s="4"/>
    </row>
    <row r="15">
      <c r="A15" s="9" t="s">
        <v>434</v>
      </c>
      <c r="B15" s="10" t="str">
        <f>'1조'!B$56</f>
        <v>-</v>
      </c>
      <c r="C15" s="13" t="str">
        <f>'1조'!C$56</f>
        <v>[+] 단일 실행 파일 빌드로 초기에 단순 배포 가능
[-] 부분 모듈 수정 시 전체 시스템 재컴파일 및 재배포 필요</v>
      </c>
      <c r="D15" s="10" t="str">
        <f>'1조'!D$56</f>
        <v>-</v>
      </c>
      <c r="E15" s="13" t="str">
        <f>'1조'!E$56</f>
        <v>[+] Slave 노드의 동적 추가 및 독립적 개별 배포 용이
[-] Master와 Slave 간 버전 동기화 배포 관리 필요</v>
      </c>
      <c r="F15" s="12" t="s">
        <v>435</v>
      </c>
      <c r="G15" s="4"/>
      <c r="H15" s="4"/>
      <c r="I15" s="4"/>
      <c r="J15" s="4"/>
      <c r="K15" s="4"/>
      <c r="L15" s="4"/>
      <c r="M15" s="4"/>
      <c r="N15" s="4"/>
      <c r="O15" s="4"/>
      <c r="P15" s="4"/>
      <c r="Q15" s="4"/>
      <c r="R15" s="4"/>
      <c r="S15" s="4"/>
      <c r="T15" s="4"/>
      <c r="U15" s="4"/>
      <c r="V15" s="4"/>
      <c r="W15" s="4"/>
      <c r="X15" s="4"/>
      <c r="Y15" s="4"/>
      <c r="Z15" s="4"/>
    </row>
    <row r="16">
      <c r="A16" s="9" t="s">
        <v>437</v>
      </c>
      <c r="B16" s="10" t="str">
        <f>'2조'!B$56</f>
        <v>-</v>
      </c>
      <c r="C16" s="13" t="str">
        <f>'2조'!C$56</f>
        <v>(+) 패키징 구조 단순. / (-) 모듈 간 강결합으로 작은 수정에도 전체를 다시 빌드하고 일괄 재배포해야 함.</v>
      </c>
      <c r="D16" s="10" t="str">
        <f>'2조'!D$56</f>
        <v>+</v>
      </c>
      <c r="E16" s="13" t="str">
        <f>'2조'!E$56</f>
        <v>(+) Slave 컴포넌트의 독립적인 추가, 확장 및 교체 배포 용이. / (-) Master-Slave 간 프로토콜 호환성 유지 필요.</v>
      </c>
      <c r="G16" s="4"/>
      <c r="H16" s="4"/>
      <c r="I16" s="4"/>
      <c r="J16" s="4"/>
      <c r="K16" s="4"/>
      <c r="L16" s="4"/>
      <c r="M16" s="4"/>
      <c r="N16" s="4"/>
      <c r="O16" s="4"/>
      <c r="P16" s="4"/>
      <c r="Q16" s="4"/>
      <c r="R16" s="4"/>
      <c r="S16" s="4"/>
      <c r="T16" s="4"/>
      <c r="U16" s="4"/>
      <c r="V16" s="4"/>
      <c r="W16" s="4"/>
      <c r="X16" s="4"/>
      <c r="Y16" s="4"/>
      <c r="Z16" s="4"/>
    </row>
    <row r="17">
      <c r="A17" s="9" t="s">
        <v>438</v>
      </c>
      <c r="B17" s="10" t="str">
        <f>'3조'!B$56</f>
        <v>--</v>
      </c>
      <c r="C17" s="13" t="str">
        <f>'3조'!C$56</f>
        <v>강하게 결합되어 있어,  subroutine만 독립적으로 배포가 어렵다.</v>
      </c>
      <c r="D17" s="10" t="str">
        <f>'3조'!D$56</f>
        <v>+</v>
      </c>
      <c r="E17" s="13" t="str">
        <f>'3조'!E$56</f>
        <v>Master-Slave 간 서비스 규격이 분리되어 있어, 시스템 가동 중에도 신규 Slave 인스턴스를 수평 확장(Scale-out) 배포하기 용이합니다.</v>
      </c>
      <c r="G17" s="4"/>
      <c r="H17" s="4"/>
      <c r="I17" s="4"/>
      <c r="J17" s="4"/>
      <c r="K17" s="4"/>
      <c r="L17" s="4"/>
      <c r="M17" s="4"/>
      <c r="N17" s="4"/>
      <c r="O17" s="4"/>
      <c r="P17" s="4"/>
      <c r="Q17" s="4"/>
      <c r="R17" s="4"/>
      <c r="S17" s="4"/>
      <c r="T17" s="4"/>
      <c r="U17" s="4"/>
      <c r="V17" s="4"/>
      <c r="W17" s="4"/>
      <c r="X17" s="4"/>
      <c r="Y17" s="4"/>
      <c r="Z17" s="4"/>
    </row>
    <row r="18">
      <c r="A18" s="9" t="s">
        <v>440</v>
      </c>
      <c r="B18" s="10" t="str">
        <f>'4조'!B$56</f>
        <v>-</v>
      </c>
      <c r="C18" s="13" t="str">
        <f>'4조'!C$56</f>
        <v>함수들이 같은 실행 프로그램에 묶여 있어 일부만 따로 배포하기 어렵다.</v>
      </c>
      <c r="D18" s="10" t="str">
        <f>'4조'!D$56</f>
        <v>+</v>
      </c>
      <c r="E18" s="13" t="str">
        <f>'4조'!E$56</f>
        <v>작업자를 분리해 교체하기 좋지만 Master와 주고받는 규칙은 유지해야 한다.</v>
      </c>
      <c r="G18" s="4"/>
      <c r="H18" s="4"/>
      <c r="I18" s="4"/>
      <c r="J18" s="4"/>
      <c r="K18" s="4"/>
      <c r="L18" s="4"/>
      <c r="M18" s="4"/>
      <c r="N18" s="4"/>
      <c r="O18" s="4"/>
      <c r="P18" s="4"/>
      <c r="Q18" s="4"/>
      <c r="R18" s="4"/>
      <c r="S18" s="4"/>
      <c r="T18" s="4"/>
      <c r="U18" s="4"/>
      <c r="V18" s="4"/>
      <c r="W18" s="4"/>
      <c r="X18" s="4"/>
      <c r="Y18" s="4"/>
      <c r="Z18" s="4"/>
    </row>
    <row r="19">
      <c r="A19" s="9" t="s">
        <v>442</v>
      </c>
      <c r="B19" s="10" t="str">
        <f>'5조'!B$56</f>
        <v>-</v>
      </c>
      <c r="C19" s="13" t="str">
        <f>'5조'!C$56</f>
        <v>Procedure끼리의 tight coupling으로 인하여 작은 변경도 재배포가 필요한 경우가 생긴다.</v>
      </c>
      <c r="D19" s="10" t="str">
        <f>'5조'!D$56</f>
        <v>+</v>
      </c>
      <c r="E19" s="13" t="str">
        <f>'5조'!E$56</f>
        <v>노드/프로세스를 독립적으로 배포하거나 동적으로 노드를  추가/제거할 수 있다</v>
      </c>
      <c r="G19" s="4"/>
      <c r="H19" s="4"/>
      <c r="I19" s="4"/>
      <c r="J19" s="4"/>
      <c r="K19" s="4"/>
      <c r="L19" s="4"/>
      <c r="M19" s="4"/>
      <c r="N19" s="4"/>
      <c r="O19" s="4"/>
      <c r="P19" s="4"/>
      <c r="Q19" s="4"/>
      <c r="R19" s="4"/>
      <c r="S19" s="4"/>
      <c r="T19" s="4"/>
      <c r="U19" s="4"/>
      <c r="V19" s="4"/>
      <c r="W19" s="4"/>
      <c r="X19" s="4"/>
      <c r="Y19" s="4"/>
      <c r="Z19" s="4"/>
    </row>
    <row r="20">
      <c r="A20" s="9" t="s">
        <v>444</v>
      </c>
      <c r="B20" s="10" t="str">
        <f>'6조'!B$56</f>
        <v>-</v>
      </c>
      <c r="C20" s="13" t="str">
        <f>'6조'!C$56</f>
        <v>Main과 subroutine이 하나의 바이너리로 강하게 묶여있어 특정 서브루틴만 독립적 배포 불가. 특정 서브루틴 고치면 전체 시스템 재빌드 및 재배포 필요. 배포시 무중단 배포가 불가능하다. </v>
      </c>
      <c r="D20" s="10" t="str">
        <f>'6조'!D$56</f>
        <v>0</v>
      </c>
      <c r="E20" s="13" t="str">
        <f>'6조'!E$56</f>
        <v>Slave를 교체할 때는 배포에 장점이 있지만, Slave-Master와의 호환성 문제가 생길 시 혹은 Master 교체 시 배포용이성이 떨어진다. </v>
      </c>
      <c r="G20" s="4"/>
      <c r="H20" s="4"/>
      <c r="I20" s="4"/>
      <c r="J20" s="4"/>
      <c r="K20" s="4"/>
      <c r="L20" s="4"/>
      <c r="M20" s="4"/>
      <c r="N20" s="4"/>
      <c r="O20" s="4"/>
      <c r="P20" s="4"/>
      <c r="Q20" s="4"/>
      <c r="R20" s="4"/>
      <c r="S20" s="4"/>
      <c r="T20" s="4"/>
      <c r="U20" s="4"/>
      <c r="V20" s="4"/>
      <c r="W20" s="4"/>
      <c r="X20" s="4"/>
      <c r="Y20" s="4"/>
      <c r="Z20" s="4"/>
    </row>
    <row r="21" ht="15.75" customHeight="1">
      <c r="A21" s="9" t="s">
        <v>446</v>
      </c>
      <c r="B21" s="10" t="str">
        <f>'7조'!B$56</f>
        <v/>
      </c>
      <c r="C21" s="13" t="str">
        <f>'7조'!C$56</f>
        <v>7조 - Main-subroutine - Deployability</v>
      </c>
      <c r="D21" s="10" t="str">
        <f>'7조'!D$56</f>
        <v/>
      </c>
      <c r="E21" s="13" t="str">
        <f>'7조'!E$56</f>
        <v>7조 - Master-Slave - Deployability</v>
      </c>
      <c r="F21" s="4"/>
      <c r="G21" s="4"/>
      <c r="H21" s="4"/>
      <c r="I21" s="4"/>
      <c r="J21" s="4"/>
      <c r="K21" s="4"/>
      <c r="L21" s="4"/>
      <c r="M21" s="4"/>
      <c r="N21" s="4"/>
      <c r="O21" s="4"/>
      <c r="P21" s="4"/>
      <c r="Q21" s="4"/>
      <c r="R21" s="4"/>
      <c r="S21" s="4"/>
      <c r="T21" s="4"/>
      <c r="U21" s="4"/>
      <c r="V21" s="4"/>
      <c r="W21" s="4"/>
      <c r="X21" s="4"/>
      <c r="Y21" s="4"/>
      <c r="Z21" s="4"/>
    </row>
    <row r="22" ht="15.75" customHeight="1">
      <c r="A22" s="9" t="s">
        <v>447</v>
      </c>
      <c r="B22" s="10" t="str">
        <f>'8조'!B$56</f>
        <v/>
      </c>
      <c r="C22" s="13" t="str">
        <f>'8조'!C$56</f>
        <v>8조 - Main-subroutine - Deployability</v>
      </c>
      <c r="D22" s="10" t="str">
        <f>'8조'!D$56</f>
        <v/>
      </c>
      <c r="E22" s="13" t="str">
        <f>'8조'!E$56</f>
        <v>8조 - Master-Slave - Deployability</v>
      </c>
      <c r="F22" s="4"/>
      <c r="G22" s="4"/>
      <c r="H22" s="4"/>
      <c r="I22" s="4"/>
      <c r="J22" s="4"/>
      <c r="K22" s="4"/>
      <c r="L22" s="4"/>
      <c r="M22" s="4"/>
      <c r="N22" s="4"/>
      <c r="O22" s="4"/>
      <c r="P22" s="4"/>
      <c r="Q22" s="4"/>
      <c r="R22" s="4"/>
      <c r="S22" s="4"/>
      <c r="T22" s="4"/>
      <c r="U22" s="4"/>
      <c r="V22" s="4"/>
      <c r="W22" s="4"/>
      <c r="X22" s="4"/>
      <c r="Y22" s="4"/>
      <c r="Z22" s="4"/>
    </row>
    <row r="23" ht="15.75" customHeight="1">
      <c r="A23" s="9" t="s">
        <v>448</v>
      </c>
      <c r="B23" s="10" t="str">
        <f>'9조'!B$56</f>
        <v/>
      </c>
      <c r="C23" s="13" t="str">
        <f>'9조'!C$56</f>
        <v>9조 - Main-subroutine - Deployability</v>
      </c>
      <c r="D23" s="10" t="str">
        <f>'9조'!D$56</f>
        <v/>
      </c>
      <c r="E23" s="13" t="str">
        <f>'9조'!E$56</f>
        <v>9조 - Master-Slave - Deployability</v>
      </c>
      <c r="F23" s="4"/>
      <c r="G23" s="4"/>
      <c r="H23" s="4"/>
      <c r="I23" s="4"/>
      <c r="J23" s="4"/>
      <c r="K23" s="4"/>
      <c r="L23" s="4"/>
      <c r="M23" s="4"/>
      <c r="N23" s="4"/>
      <c r="O23" s="4"/>
      <c r="P23" s="4"/>
      <c r="Q23" s="4"/>
      <c r="R23" s="4"/>
      <c r="S23" s="4"/>
      <c r="T23" s="4"/>
      <c r="U23" s="4"/>
      <c r="V23" s="4"/>
      <c r="W23" s="4"/>
      <c r="X23" s="4"/>
      <c r="Y23" s="4"/>
      <c r="Z23" s="4"/>
    </row>
    <row r="24" ht="15.75" customHeight="1">
      <c r="A24" s="11"/>
      <c r="B24" s="14"/>
      <c r="C24" s="11"/>
      <c r="D24" s="14"/>
      <c r="E24" s="11"/>
      <c r="F24" s="4"/>
      <c r="G24" s="4"/>
      <c r="H24" s="4"/>
      <c r="I24" s="4"/>
      <c r="J24" s="4"/>
      <c r="K24" s="4"/>
      <c r="L24" s="4"/>
      <c r="M24" s="4"/>
      <c r="N24" s="4"/>
      <c r="O24" s="4"/>
      <c r="P24" s="4"/>
      <c r="Q24" s="4"/>
      <c r="R24" s="4"/>
      <c r="S24" s="4"/>
      <c r="T24" s="4"/>
      <c r="U24" s="4"/>
      <c r="V24" s="4"/>
      <c r="W24" s="4"/>
      <c r="X24" s="4"/>
      <c r="Y24" s="4"/>
      <c r="Z24" s="4"/>
    </row>
    <row r="25" ht="15.0" customHeight="1">
      <c r="A25" s="7" t="s">
        <v>80</v>
      </c>
      <c r="B25" s="7" t="str">
        <f>'Detailed Reasoning'!B$57</f>
        <v/>
      </c>
      <c r="C25" s="7" t="str">
        <f>'Detailed Reasoning'!C$57</f>
        <v/>
      </c>
      <c r="D25" s="7" t="str">
        <f>'Detailed Reasoning'!D$57</f>
        <v/>
      </c>
      <c r="E25" s="7" t="str">
        <f>'Detailed Reasoning'!E$57</f>
        <v/>
      </c>
      <c r="F25" s="4"/>
      <c r="G25" s="4"/>
      <c r="H25" s="4"/>
      <c r="I25" s="4"/>
      <c r="J25" s="4"/>
      <c r="K25" s="4"/>
      <c r="L25" s="4"/>
      <c r="M25" s="4"/>
      <c r="N25" s="4"/>
      <c r="O25" s="4"/>
      <c r="P25" s="4"/>
      <c r="Q25" s="4"/>
      <c r="R25" s="4"/>
      <c r="S25" s="4"/>
      <c r="T25" s="4"/>
      <c r="U25" s="4"/>
      <c r="V25" s="4"/>
      <c r="W25" s="4"/>
      <c r="X25" s="4"/>
      <c r="Y25" s="4"/>
      <c r="Z25" s="4"/>
    </row>
    <row r="26" ht="15.75" customHeight="1">
      <c r="A26" s="9" t="s">
        <v>452</v>
      </c>
      <c r="B26" s="10" t="str">
        <f>'1조'!B$57</f>
        <v>-</v>
      </c>
      <c r="C26" s="13" t="str">
        <f>'1조'!C$57</f>
        <v>[+] 표준 라이브러리 및 서브루틴 연동이 직관적임
[-] 강한 결합(Tight Coupling)으로 외부 시스템과의 연동 어려움</v>
      </c>
      <c r="D26" s="10" t="str">
        <f>'1조'!D$57</f>
        <v>+</v>
      </c>
      <c r="E26" s="13" t="str">
        <f>'1조'!E$57</f>
        <v>[+] 표준 분산 인터페이스를 통한 신규 Slave 확장 용이</v>
      </c>
      <c r="F26" s="12" t="s">
        <v>453</v>
      </c>
      <c r="G26" s="4"/>
      <c r="H26" s="4"/>
      <c r="I26" s="4"/>
      <c r="J26" s="4"/>
      <c r="K26" s="4"/>
      <c r="L26" s="4"/>
      <c r="M26" s="4"/>
      <c r="N26" s="4"/>
      <c r="O26" s="4"/>
      <c r="P26" s="4"/>
      <c r="Q26" s="4"/>
      <c r="R26" s="4"/>
      <c r="S26" s="4"/>
      <c r="T26" s="4"/>
      <c r="U26" s="4"/>
      <c r="V26" s="4"/>
      <c r="W26" s="4"/>
      <c r="X26" s="4"/>
      <c r="Y26" s="4"/>
      <c r="Z26" s="4"/>
    </row>
    <row r="27" ht="15.75" customHeight="1">
      <c r="A27" s="9" t="s">
        <v>455</v>
      </c>
      <c r="B27" s="10" t="str">
        <f>'2조'!B$57</f>
        <v>-</v>
      </c>
      <c r="C27" s="13" t="str">
        <f>'2조'!C$57</f>
        <v>(+) 동일 언어 내 라이브러리 연동 용이. / (-) 강한 결합 및 플랫폼 종속성으로 외부 이기종 시스템 통합 어려움.</v>
      </c>
      <c r="D27" s="10" t="str">
        <f>'2조'!D$57</f>
        <v>+</v>
      </c>
      <c r="E27" s="13" t="str">
        <f>'2조'!E$57</f>
        <v>slave 를 추가하면 되므로 확장이 쉽다. master 의 작업 분배 약속만 맞추면 된다</v>
      </c>
      <c r="G27" s="4"/>
      <c r="H27" s="4"/>
      <c r="I27" s="4"/>
      <c r="J27" s="4"/>
      <c r="K27" s="4"/>
      <c r="L27" s="4"/>
      <c r="M27" s="4"/>
      <c r="N27" s="4"/>
      <c r="O27" s="4"/>
      <c r="P27" s="4"/>
      <c r="Q27" s="4"/>
      <c r="R27" s="4"/>
      <c r="S27" s="4"/>
      <c r="T27" s="4"/>
      <c r="U27" s="4"/>
      <c r="V27" s="4"/>
      <c r="W27" s="4"/>
      <c r="X27" s="4"/>
      <c r="Y27" s="4"/>
      <c r="Z27" s="4"/>
    </row>
    <row r="28" ht="15.75" customHeight="1">
      <c r="A28" s="9" t="s">
        <v>456</v>
      </c>
      <c r="B28" s="10" t="str">
        <f>'3조'!B$57</f>
        <v>-</v>
      </c>
      <c r="C28" s="13" t="str">
        <f>'3조'!C$57</f>
        <v>함수 호출 구조와 공유 데이터에 의존하기 쉬워 외부 컴포넌트와 느슨하게 통합하기 어렵다.</v>
      </c>
      <c r="D28" s="10" t="str">
        <f>'3조'!D$57</f>
        <v>0</v>
      </c>
      <c r="E28" s="13" t="str">
        <f>'3조'!E$57</f>
        <v>Slave 추가는 가능하지만 Master가 호출 방식과 결과 선택을 통제하므로 통합 자유도는 제한적이다.</v>
      </c>
      <c r="G28" s="4"/>
      <c r="H28" s="4"/>
      <c r="I28" s="4"/>
      <c r="J28" s="4"/>
      <c r="K28" s="4"/>
      <c r="L28" s="4"/>
      <c r="M28" s="4"/>
      <c r="N28" s="4"/>
      <c r="O28" s="4"/>
      <c r="P28" s="4"/>
      <c r="Q28" s="4"/>
      <c r="R28" s="4"/>
      <c r="S28" s="4"/>
      <c r="T28" s="4"/>
      <c r="U28" s="4"/>
      <c r="V28" s="4"/>
      <c r="W28" s="4"/>
      <c r="X28" s="4"/>
      <c r="Y28" s="4"/>
      <c r="Z28" s="4"/>
    </row>
    <row r="29" ht="15.75" customHeight="1">
      <c r="A29" s="9" t="s">
        <v>458</v>
      </c>
      <c r="B29" s="10" t="str">
        <f>'4조'!B$57</f>
        <v>-</v>
      </c>
      <c r="C29" s="13" t="str">
        <f>'4조'!C$57</f>
        <v>함수별 연결은 쉽지만 호출 규칙과 공통 데이터에 대한 의존성이 있다.</v>
      </c>
      <c r="D29" s="10" t="str">
        <f>'4조'!D$57</f>
        <v>0</v>
      </c>
      <c r="E29" s="13" t="str">
        <f>'4조'!E$57</f>
        <v>같은 규칙의 작업자는 추가하기 쉽지만 다른 방식의 시스템을 연결하려면 조정이 필요하다.</v>
      </c>
      <c r="G29" s="4"/>
      <c r="H29" s="4"/>
      <c r="I29" s="4"/>
      <c r="J29" s="4"/>
      <c r="K29" s="4"/>
      <c r="L29" s="4"/>
      <c r="M29" s="4"/>
      <c r="N29" s="4"/>
      <c r="O29" s="4"/>
      <c r="P29" s="4"/>
      <c r="Q29" s="4"/>
      <c r="R29" s="4"/>
      <c r="S29" s="4"/>
      <c r="T29" s="4"/>
      <c r="U29" s="4"/>
      <c r="V29" s="4"/>
      <c r="W29" s="4"/>
      <c r="X29" s="4"/>
      <c r="Y29" s="4"/>
      <c r="Z29" s="4"/>
    </row>
    <row r="30" ht="15.75" customHeight="1">
      <c r="A30" s="9" t="s">
        <v>460</v>
      </c>
      <c r="B30" s="10" t="str">
        <f>'5조'!B$57</f>
        <v>-</v>
      </c>
      <c r="C30" s="13" t="str">
        <f>'5조'!C$57</f>
        <v>강한 결합 기반으로 외부 시스템을 통합 할 때의 flexibility가 떨어진다.</v>
      </c>
      <c r="D30" s="10" t="str">
        <f>'5조'!D$57</f>
        <v>-</v>
      </c>
      <c r="E30" s="13" t="str">
        <f>'5조'!E$57</f>
        <v>Slave가 Master의 작업·결과 규약에 맞아야 함</v>
      </c>
      <c r="G30" s="4"/>
      <c r="H30" s="4"/>
      <c r="I30" s="4"/>
      <c r="J30" s="4"/>
      <c r="K30" s="4"/>
      <c r="L30" s="4"/>
      <c r="M30" s="4"/>
      <c r="N30" s="4"/>
      <c r="O30" s="4"/>
      <c r="P30" s="4"/>
      <c r="Q30" s="4"/>
      <c r="R30" s="4"/>
      <c r="S30" s="4"/>
      <c r="T30" s="4"/>
      <c r="U30" s="4"/>
      <c r="V30" s="4"/>
      <c r="W30" s="4"/>
      <c r="X30" s="4"/>
      <c r="Y30" s="4"/>
      <c r="Z30" s="4"/>
    </row>
    <row r="31" ht="15.75" customHeight="1">
      <c r="A31" s="9" t="s">
        <v>462</v>
      </c>
      <c r="B31" s="10" t="str">
        <f>'6조'!B$57</f>
        <v>-</v>
      </c>
      <c r="C31" s="13" t="str">
        <f>'6조'!C$57</f>
        <v>Subroutine 간 interface를 통해 통합할 수 있지만, 기본적으로 호출 관계가 강하게 결합되어 있다.
새로운 외부 시스템이나 component를 추가하려면 기존 main/subroutine 구조를 수정해야 할 가능성이 있다.</v>
      </c>
      <c r="D31" s="10" t="str">
        <f>'6조'!D$57</f>
        <v>0</v>
      </c>
      <c r="E31" s="13" t="str">
        <f>'6조'!E$57</f>
        <v>다른 component를 slave로 추가할 componet의 인터페이스, 프로토콜 호환성이 중요하게 작용한다.
같은 규약을 가진 componet의 경우 통합용이성이 좋다.</v>
      </c>
      <c r="G31" s="4"/>
      <c r="H31" s="4"/>
      <c r="I31" s="4"/>
      <c r="J31" s="4"/>
      <c r="K31" s="4"/>
      <c r="L31" s="4"/>
      <c r="M31" s="4"/>
      <c r="N31" s="4"/>
      <c r="O31" s="4"/>
      <c r="P31" s="4"/>
      <c r="Q31" s="4"/>
      <c r="R31" s="4"/>
      <c r="S31" s="4"/>
      <c r="T31" s="4"/>
      <c r="U31" s="4"/>
      <c r="V31" s="4"/>
      <c r="W31" s="4"/>
      <c r="X31" s="4"/>
      <c r="Y31" s="4"/>
      <c r="Z31" s="4"/>
    </row>
    <row r="32" ht="15.75" customHeight="1">
      <c r="A32" s="9" t="s">
        <v>464</v>
      </c>
      <c r="B32" s="10" t="str">
        <f>'7조'!B$57</f>
        <v/>
      </c>
      <c r="C32" s="13" t="str">
        <f>'7조'!C$57</f>
        <v>7조 - Main-subroutine - Integrability</v>
      </c>
      <c r="D32" s="10" t="str">
        <f>'7조'!D$57</f>
        <v/>
      </c>
      <c r="E32" s="13" t="str">
        <f>'7조'!E$57</f>
        <v>7조 - Master-Slave - Integrability</v>
      </c>
      <c r="F32" s="4"/>
      <c r="G32" s="4"/>
      <c r="H32" s="4"/>
      <c r="I32" s="4"/>
      <c r="J32" s="4"/>
      <c r="K32" s="4"/>
      <c r="L32" s="4"/>
      <c r="M32" s="4"/>
      <c r="N32" s="4"/>
      <c r="O32" s="4"/>
      <c r="P32" s="4"/>
      <c r="Q32" s="4"/>
      <c r="R32" s="4"/>
      <c r="S32" s="4"/>
      <c r="T32" s="4"/>
      <c r="U32" s="4"/>
      <c r="V32" s="4"/>
      <c r="W32" s="4"/>
      <c r="X32" s="4"/>
      <c r="Y32" s="4"/>
      <c r="Z32" s="4"/>
    </row>
    <row r="33" ht="15.75" customHeight="1">
      <c r="A33" s="9" t="s">
        <v>465</v>
      </c>
      <c r="B33" s="10" t="str">
        <f>'8조'!B$57</f>
        <v/>
      </c>
      <c r="C33" s="13" t="str">
        <f>'8조'!C$57</f>
        <v>8조 - Main-subroutine - Integrability</v>
      </c>
      <c r="D33" s="10" t="str">
        <f>'8조'!D$57</f>
        <v/>
      </c>
      <c r="E33" s="13" t="str">
        <f>'8조'!E$57</f>
        <v>8조 - Master-Slave - Integrability</v>
      </c>
      <c r="F33" s="4"/>
      <c r="G33" s="4"/>
      <c r="H33" s="4"/>
      <c r="I33" s="4"/>
      <c r="J33" s="4"/>
      <c r="K33" s="4"/>
      <c r="L33" s="4"/>
      <c r="M33" s="4"/>
      <c r="N33" s="4"/>
      <c r="O33" s="4"/>
      <c r="P33" s="4"/>
      <c r="Q33" s="4"/>
      <c r="R33" s="4"/>
      <c r="S33" s="4"/>
      <c r="T33" s="4"/>
      <c r="U33" s="4"/>
      <c r="V33" s="4"/>
      <c r="W33" s="4"/>
      <c r="X33" s="4"/>
      <c r="Y33" s="4"/>
      <c r="Z33" s="4"/>
    </row>
    <row r="34" ht="15.75" customHeight="1">
      <c r="A34" s="9" t="s">
        <v>467</v>
      </c>
      <c r="B34" s="10" t="str">
        <f>'9조'!B$57</f>
        <v/>
      </c>
      <c r="C34" s="13" t="str">
        <f>'9조'!C$57</f>
        <v>9조 - Main-subroutine - Integrability</v>
      </c>
      <c r="D34" s="10" t="str">
        <f>'9조'!D$57</f>
        <v/>
      </c>
      <c r="E34" s="13" t="str">
        <f>'9조'!E$57</f>
        <v>9조 - Master-Slave - Integrability</v>
      </c>
      <c r="F34" s="4"/>
      <c r="G34" s="4"/>
      <c r="H34" s="4"/>
      <c r="I34" s="4"/>
      <c r="J34" s="4"/>
      <c r="K34" s="4"/>
      <c r="L34" s="4"/>
      <c r="M34" s="4"/>
      <c r="N34" s="4"/>
      <c r="O34" s="4"/>
      <c r="P34" s="4"/>
      <c r="Q34" s="4"/>
      <c r="R34" s="4"/>
      <c r="S34" s="4"/>
      <c r="T34" s="4"/>
      <c r="U34" s="4"/>
      <c r="V34" s="4"/>
      <c r="W34" s="4"/>
      <c r="X34" s="4"/>
      <c r="Y34" s="4"/>
      <c r="Z34" s="4"/>
    </row>
    <row r="35" ht="15.75" customHeight="1">
      <c r="A35" s="11"/>
      <c r="B35" s="14"/>
      <c r="C35" s="11"/>
      <c r="D35" s="14"/>
      <c r="E35" s="11"/>
      <c r="F35" s="4"/>
      <c r="G35" s="4"/>
      <c r="H35" s="4"/>
      <c r="I35" s="4"/>
      <c r="J35" s="4"/>
      <c r="K35" s="4"/>
      <c r="L35" s="4"/>
      <c r="M35" s="4"/>
      <c r="N35" s="4"/>
      <c r="O35" s="4"/>
      <c r="P35" s="4"/>
      <c r="Q35" s="4"/>
      <c r="R35" s="4"/>
      <c r="S35" s="4"/>
      <c r="T35" s="4"/>
      <c r="U35" s="4"/>
      <c r="V35" s="4"/>
      <c r="W35" s="4"/>
      <c r="X35" s="4"/>
      <c r="Y35" s="4"/>
      <c r="Z35" s="4"/>
    </row>
    <row r="36" ht="15.75" customHeight="1">
      <c r="A36" s="7" t="s">
        <v>117</v>
      </c>
      <c r="B36" s="7" t="str">
        <f>'Detailed Reasoning'!B$58</f>
        <v/>
      </c>
      <c r="C36" s="7" t="str">
        <f>'Detailed Reasoning'!C$58</f>
        <v/>
      </c>
      <c r="D36" s="7" t="str">
        <f>'Detailed Reasoning'!D$58</f>
        <v/>
      </c>
      <c r="E36" s="7" t="str">
        <f>'Detailed Reasoning'!E$58</f>
        <v/>
      </c>
      <c r="F36" s="4"/>
      <c r="G36" s="4"/>
      <c r="H36" s="4"/>
      <c r="I36" s="4"/>
      <c r="J36" s="4"/>
      <c r="K36" s="4"/>
      <c r="L36" s="4"/>
      <c r="M36" s="4"/>
      <c r="N36" s="4"/>
      <c r="O36" s="4"/>
      <c r="P36" s="4"/>
      <c r="Q36" s="4"/>
      <c r="R36" s="4"/>
      <c r="S36" s="4"/>
      <c r="T36" s="4"/>
      <c r="U36" s="4"/>
      <c r="V36" s="4"/>
      <c r="W36" s="4"/>
      <c r="X36" s="4"/>
      <c r="Y36" s="4"/>
      <c r="Z36" s="4"/>
    </row>
    <row r="37" ht="15.75" customHeight="1">
      <c r="A37" s="11" t="s">
        <v>469</v>
      </c>
      <c r="B37" s="10" t="str">
        <f>'1조'!B$58</f>
        <v>0</v>
      </c>
      <c r="C37" s="13" t="str">
        <f>'1조'!C$58</f>
        <v>요청이 여러 계층을 거치면서 추가적인 호출과 데이터 전달·변환이 발생할 수 있어 자원 사용과 에너지 소비가 증가할 수 있다.</v>
      </c>
      <c r="D37" s="10" t="str">
        <f>'1조'!D$58</f>
        <v>-</v>
      </c>
      <c r="E37" s="13" t="str">
        <f>'1조'!E$58</f>
        <v>[-] Master의 지속적 상태 모니터링 및 통신으로 전력 소모 발생</v>
      </c>
      <c r="F37" s="12" t="s">
        <v>471</v>
      </c>
      <c r="G37" s="4"/>
      <c r="H37" s="4"/>
      <c r="I37" s="4"/>
      <c r="J37" s="4"/>
      <c r="K37" s="4"/>
      <c r="L37" s="4"/>
      <c r="M37" s="4"/>
      <c r="N37" s="4"/>
      <c r="O37" s="4"/>
      <c r="P37" s="4"/>
      <c r="Q37" s="4"/>
      <c r="R37" s="4"/>
      <c r="S37" s="4"/>
      <c r="T37" s="4"/>
      <c r="U37" s="4"/>
      <c r="V37" s="4"/>
      <c r="W37" s="4"/>
      <c r="X37" s="4"/>
      <c r="Y37" s="4"/>
      <c r="Z37" s="4"/>
    </row>
    <row r="38" ht="15.75" customHeight="1">
      <c r="A38" s="11" t="s">
        <v>472</v>
      </c>
      <c r="B38" s="10" t="str">
        <f>'2조'!B$58</f>
        <v>++</v>
      </c>
      <c r="C38" s="13" t="str">
        <f>'2조'!C$58</f>
        <v>중간 계층이나 통신이 없어 군더더기가 가장 적다. 직접 호출이라 낭비가 없다</v>
      </c>
      <c r="D38" s="10" t="str">
        <f>'2조'!D$58</f>
        <v>-</v>
      </c>
      <c r="E38" s="13" t="str">
        <f>'2조'!E$58</f>
        <v>병렬 처리로 작업 시간 단축 후 유휴 전환 가능하나  다수 Slave 동시 구동 및 통신 비용 증가.</v>
      </c>
      <c r="G38" s="4"/>
      <c r="H38" s="4"/>
      <c r="I38" s="4"/>
      <c r="J38" s="4"/>
      <c r="K38" s="4"/>
      <c r="L38" s="4"/>
      <c r="M38" s="4"/>
      <c r="N38" s="4"/>
      <c r="O38" s="4"/>
      <c r="P38" s="4"/>
      <c r="Q38" s="4"/>
      <c r="R38" s="4"/>
      <c r="S38" s="4"/>
      <c r="T38" s="4"/>
      <c r="U38" s="4"/>
      <c r="V38" s="4"/>
      <c r="W38" s="4"/>
      <c r="X38" s="4"/>
      <c r="Y38" s="4"/>
      <c r="Z38" s="4"/>
    </row>
    <row r="39" ht="15.75" customHeight="1">
      <c r="A39" s="11" t="s">
        <v>475</v>
      </c>
      <c r="B39" s="10" t="str">
        <f>'3조'!B$58</f>
        <v>+</v>
      </c>
      <c r="C39" s="13" t="str">
        <f>'3조'!C$58</f>
        <v>단일 흐름의 직접 procedure call 구조라 별도 통신, 직렬화, 동기화 비용이 작다.</v>
      </c>
      <c r="D39" s="10" t="str">
        <f>'3조'!D$58</f>
        <v>-</v>
      </c>
      <c r="E39" s="13" t="str">
        <f>'3조'!E$58</f>
        <v>여러 Slave 실행, Master-Slave 통신, 결과 수집과 선택 과정이 추가되어 자원 사용량이 커질 수 있다.</v>
      </c>
      <c r="G39" s="4"/>
      <c r="H39" s="4"/>
      <c r="I39" s="4"/>
      <c r="J39" s="4"/>
      <c r="K39" s="4"/>
      <c r="L39" s="4"/>
      <c r="M39" s="4"/>
      <c r="N39" s="4"/>
      <c r="O39" s="4"/>
      <c r="P39" s="4"/>
      <c r="Q39" s="4"/>
      <c r="R39" s="4"/>
      <c r="S39" s="4"/>
      <c r="T39" s="4"/>
      <c r="U39" s="4"/>
      <c r="V39" s="4"/>
      <c r="W39" s="4"/>
      <c r="X39" s="4"/>
      <c r="Y39" s="4"/>
      <c r="Z39" s="4"/>
    </row>
    <row r="40" ht="15.75" customHeight="1">
      <c r="A40" s="11" t="s">
        <v>477</v>
      </c>
      <c r="B40" s="10" t="str">
        <f>'4조'!B$58</f>
        <v>++</v>
      </c>
      <c r="C40" s="13" t="str">
        <f>'4조'!C$58</f>
        <v>직접 호출하고 정보를 함께 사용하므로 통신과 데이터 복사 비용이 적다.</v>
      </c>
      <c r="D40" s="10" t="str">
        <f>'4조'!D$58</f>
        <v>-</v>
      </c>
      <c r="E40" s="13" t="str">
        <f>'4조'!E$58</f>
        <v>여러 작업자를 동시에 실행하고 결과를 모으는 데 추가 자원이 든다.</v>
      </c>
      <c r="G40" s="4"/>
      <c r="H40" s="4"/>
      <c r="I40" s="4"/>
      <c r="J40" s="4"/>
      <c r="K40" s="4"/>
      <c r="L40" s="4"/>
      <c r="M40" s="4"/>
      <c r="N40" s="4"/>
      <c r="O40" s="4"/>
      <c r="P40" s="4"/>
      <c r="Q40" s="4"/>
      <c r="R40" s="4"/>
      <c r="S40" s="4"/>
      <c r="T40" s="4"/>
      <c r="U40" s="4"/>
      <c r="V40" s="4"/>
      <c r="W40" s="4"/>
      <c r="X40" s="4"/>
      <c r="Y40" s="4"/>
      <c r="Z40" s="4"/>
    </row>
    <row r="41" ht="15.75" customHeight="1">
      <c r="A41" s="11" t="s">
        <v>478</v>
      </c>
      <c r="B41" s="10" t="str">
        <f>'5조'!B$58</f>
        <v>++</v>
      </c>
      <c r="C41" s="13" t="str">
        <f>'5조'!C$58</f>
        <v>직접 호출되는 방식으로 procedure간 메시지 전송 등 추가 런타임 오버헤드가 매우 작다.</v>
      </c>
      <c r="D41" s="10" t="str">
        <f>'5조'!D$58</f>
        <v>-</v>
      </c>
      <c r="E41" s="13" t="str">
        <f>'5조'!E$58</f>
        <v>작업 분배·결과 수집의 통신과 조정에 추가 에너지 소비</v>
      </c>
      <c r="G41" s="4"/>
      <c r="H41" s="4"/>
      <c r="I41" s="4"/>
      <c r="J41" s="4"/>
      <c r="K41" s="4"/>
      <c r="L41" s="4"/>
      <c r="M41" s="4"/>
      <c r="N41" s="4"/>
      <c r="O41" s="4"/>
      <c r="P41" s="4"/>
      <c r="Q41" s="4"/>
      <c r="R41" s="4"/>
      <c r="S41" s="4"/>
      <c r="T41" s="4"/>
      <c r="U41" s="4"/>
      <c r="V41" s="4"/>
      <c r="W41" s="4"/>
      <c r="X41" s="4"/>
      <c r="Y41" s="4"/>
      <c r="Z41" s="4"/>
    </row>
    <row r="42" ht="15.75" customHeight="1">
      <c r="A42" s="11" t="s">
        <v>480</v>
      </c>
      <c r="B42" s="10" t="str">
        <f>'6조'!B$58</f>
        <v>++</v>
      </c>
      <c r="C42" s="13" t="str">
        <f>'6조'!C$58</f>
        <v>불필요한 communication이나 middleware layer가 거의 없기 때문에 효율적</v>
      </c>
      <c r="D42" s="10" t="str">
        <f>'6조'!D$58</f>
        <v>-</v>
      </c>
      <c r="E42" s="13" t="str">
        <f>'6조'!E$58</f>
        <v>master-slave간 통신에서 overhead가 발생하여 추가적인 에너지 소모가 있을 수 있다.</v>
      </c>
      <c r="G42" s="4"/>
      <c r="H42" s="4"/>
      <c r="I42" s="4"/>
      <c r="J42" s="4"/>
      <c r="K42" s="4"/>
      <c r="L42" s="4"/>
      <c r="M42" s="4"/>
      <c r="N42" s="4"/>
      <c r="O42" s="4"/>
      <c r="P42" s="4"/>
      <c r="Q42" s="4"/>
      <c r="R42" s="4"/>
      <c r="S42" s="4"/>
      <c r="T42" s="4"/>
      <c r="U42" s="4"/>
      <c r="V42" s="4"/>
      <c r="W42" s="4"/>
      <c r="X42" s="4"/>
      <c r="Y42" s="4"/>
      <c r="Z42" s="4"/>
    </row>
    <row r="43" ht="15.75" customHeight="1">
      <c r="A43" s="11" t="s">
        <v>482</v>
      </c>
      <c r="B43" s="10" t="str">
        <f>'7조'!B$58</f>
        <v/>
      </c>
      <c r="C43" s="13" t="str">
        <f>'7조'!C$58</f>
        <v>7조 - Main-subroutine - Energy Efficiency</v>
      </c>
      <c r="D43" s="10" t="str">
        <f>'7조'!D$58</f>
        <v/>
      </c>
      <c r="E43" s="13" t="str">
        <f>'7조'!E$58</f>
        <v>7조 - Master-Slave - Energy Efficiency</v>
      </c>
      <c r="F43" s="4"/>
      <c r="G43" s="4"/>
      <c r="H43" s="4"/>
      <c r="I43" s="4"/>
      <c r="J43" s="4"/>
      <c r="K43" s="4"/>
      <c r="L43" s="4"/>
      <c r="M43" s="4"/>
      <c r="N43" s="4"/>
      <c r="O43" s="4"/>
      <c r="P43" s="4"/>
      <c r="Q43" s="4"/>
      <c r="R43" s="4"/>
      <c r="S43" s="4"/>
      <c r="T43" s="4"/>
      <c r="U43" s="4"/>
      <c r="V43" s="4"/>
      <c r="W43" s="4"/>
      <c r="X43" s="4"/>
      <c r="Y43" s="4"/>
      <c r="Z43" s="4"/>
    </row>
    <row r="44" ht="15.75" customHeight="1">
      <c r="A44" s="11" t="s">
        <v>483</v>
      </c>
      <c r="B44" s="10" t="str">
        <f>'8조'!B$58</f>
        <v/>
      </c>
      <c r="C44" s="13" t="str">
        <f>'8조'!C$58</f>
        <v>8조 - Main-subroutine - Energy Efficiency</v>
      </c>
      <c r="D44" s="10" t="str">
        <f>'8조'!D$58</f>
        <v/>
      </c>
      <c r="E44" s="13" t="str">
        <f>'8조'!E$58</f>
        <v>8조 - Master-Slave - Energy Efficiency</v>
      </c>
      <c r="F44" s="4"/>
      <c r="G44" s="4"/>
      <c r="H44" s="4"/>
      <c r="I44" s="4"/>
      <c r="J44" s="4"/>
      <c r="K44" s="4"/>
      <c r="L44" s="4"/>
      <c r="M44" s="4"/>
      <c r="N44" s="4"/>
      <c r="O44" s="4"/>
      <c r="P44" s="4"/>
      <c r="Q44" s="4"/>
      <c r="R44" s="4"/>
      <c r="S44" s="4"/>
      <c r="T44" s="4"/>
      <c r="U44" s="4"/>
      <c r="V44" s="4"/>
      <c r="W44" s="4"/>
      <c r="X44" s="4"/>
      <c r="Y44" s="4"/>
      <c r="Z44" s="4"/>
    </row>
    <row r="45" ht="15.75" customHeight="1">
      <c r="A45" s="11" t="s">
        <v>485</v>
      </c>
      <c r="B45" s="10" t="str">
        <f>'9조'!B$58</f>
        <v/>
      </c>
      <c r="C45" s="13" t="str">
        <f>'9조'!C$58</f>
        <v>9조 - Main-subroutine - Energy Efficiency</v>
      </c>
      <c r="D45" s="10" t="str">
        <f>'9조'!D$58</f>
        <v/>
      </c>
      <c r="E45" s="13" t="str">
        <f>'9조'!E$58</f>
        <v>9조 - Master-Slave - Energy Efficiency</v>
      </c>
      <c r="F45" s="4"/>
      <c r="G45" s="4"/>
      <c r="H45" s="4"/>
      <c r="I45" s="4"/>
      <c r="J45" s="4"/>
      <c r="K45" s="4"/>
      <c r="L45" s="4"/>
      <c r="M45" s="4"/>
      <c r="N45" s="4"/>
      <c r="O45" s="4"/>
      <c r="P45" s="4"/>
      <c r="Q45" s="4"/>
      <c r="R45" s="4"/>
      <c r="S45" s="4"/>
      <c r="T45" s="4"/>
      <c r="U45" s="4"/>
      <c r="V45" s="4"/>
      <c r="W45" s="4"/>
      <c r="X45" s="4"/>
      <c r="Y45" s="4"/>
      <c r="Z45" s="4"/>
    </row>
    <row r="46" ht="15.75" customHeight="1">
      <c r="A46" s="11"/>
      <c r="B46" s="14"/>
      <c r="C46" s="11"/>
      <c r="D46" s="14"/>
      <c r="E46" s="11"/>
      <c r="F46" s="4"/>
      <c r="G46" s="4"/>
      <c r="H46" s="4"/>
      <c r="I46" s="4"/>
      <c r="J46" s="4"/>
      <c r="K46" s="4"/>
      <c r="L46" s="4"/>
      <c r="M46" s="4"/>
      <c r="N46" s="4"/>
      <c r="O46" s="4"/>
      <c r="P46" s="4"/>
      <c r="Q46" s="4"/>
      <c r="R46" s="4"/>
      <c r="S46" s="4"/>
      <c r="T46" s="4"/>
      <c r="U46" s="4"/>
      <c r="V46" s="4"/>
      <c r="W46" s="4"/>
      <c r="X46" s="4"/>
      <c r="Y46" s="4"/>
      <c r="Z46" s="4"/>
    </row>
    <row r="47" ht="15.75" customHeight="1">
      <c r="A47" s="7" t="s">
        <v>151</v>
      </c>
      <c r="B47" s="7" t="str">
        <f>'Detailed Reasoning'!B$59</f>
        <v/>
      </c>
      <c r="C47" s="7" t="str">
        <f>'Detailed Reasoning'!C$59</f>
        <v/>
      </c>
      <c r="D47" s="7" t="str">
        <f>'Detailed Reasoning'!D$59</f>
        <v/>
      </c>
      <c r="E47" s="7" t="str">
        <f>'Detailed Reasoning'!E$59</f>
        <v/>
      </c>
      <c r="F47" s="4"/>
      <c r="G47" s="4"/>
      <c r="H47" s="4"/>
      <c r="I47" s="4"/>
      <c r="J47" s="4"/>
      <c r="K47" s="4"/>
      <c r="L47" s="4"/>
      <c r="M47" s="4"/>
      <c r="N47" s="4"/>
      <c r="O47" s="4"/>
      <c r="P47" s="4"/>
      <c r="Q47" s="4"/>
      <c r="R47" s="4"/>
      <c r="S47" s="4"/>
      <c r="T47" s="4"/>
      <c r="U47" s="4"/>
      <c r="V47" s="4"/>
      <c r="W47" s="4"/>
      <c r="X47" s="4"/>
      <c r="Y47" s="4"/>
      <c r="Z47" s="4"/>
    </row>
    <row r="48" ht="15.75" customHeight="1">
      <c r="A48" s="9" t="s">
        <v>488</v>
      </c>
      <c r="B48" s="10" t="str">
        <f>'1조'!B$59</f>
        <v>+</v>
      </c>
      <c r="C48" s="13" t="str">
        <f>'1조'!C$59</f>
        <v>[+] 개별 서브루틴 내부 로직 수정은 비교적 단순함</v>
      </c>
      <c r="D48" s="10" t="str">
        <f>'1조'!D$59</f>
        <v>-</v>
      </c>
      <c r="E48" s="13" t="str">
        <f>'1조'!E$59</f>
        <v>[+] Master 로직 영향 없이 Slave 알고리즘 독립 교체 가능
[-] Master-Slave 간 제어 프로토콜 변경 시 수정 파급력 큼</v>
      </c>
      <c r="F48" s="12" t="s">
        <v>489</v>
      </c>
      <c r="G48" s="4"/>
      <c r="H48" s="4"/>
      <c r="I48" s="4"/>
      <c r="J48" s="4"/>
      <c r="K48" s="4"/>
      <c r="L48" s="4"/>
      <c r="M48" s="4"/>
      <c r="N48" s="4"/>
      <c r="O48" s="4"/>
      <c r="P48" s="4"/>
      <c r="Q48" s="4"/>
      <c r="R48" s="4"/>
      <c r="S48" s="4"/>
      <c r="T48" s="4"/>
      <c r="U48" s="4"/>
      <c r="V48" s="4"/>
      <c r="W48" s="4"/>
      <c r="X48" s="4"/>
      <c r="Y48" s="4"/>
      <c r="Z48" s="4"/>
    </row>
    <row r="49" ht="15.75" customHeight="1">
      <c r="A49" s="9" t="s">
        <v>490</v>
      </c>
      <c r="B49" s="10" t="str">
        <f>'2조'!B$59</f>
        <v>--</v>
      </c>
      <c r="C49" s="13" t="str">
        <f>'2조'!C$59</f>
        <v>강한 결합 때문에 변경의 파급효과(ripple effect)가 크고, 전역 공유 데이터가 취약하다</v>
      </c>
      <c r="D49" s="10" t="str">
        <f>'2조'!D$59</f>
        <v>0</v>
      </c>
      <c r="E49" s="13" t="str">
        <f>'2조'!E$59</f>
        <v>slave 하나를 바꾸긴 쉽지만, 작업 분배 방식을 바꾸려면 master 를 고쳐야 한다</v>
      </c>
      <c r="G49" s="4"/>
      <c r="H49" s="4"/>
      <c r="I49" s="4"/>
      <c r="J49" s="4"/>
      <c r="K49" s="4"/>
      <c r="L49" s="4"/>
      <c r="M49" s="4"/>
      <c r="N49" s="4"/>
      <c r="O49" s="4"/>
      <c r="P49" s="4"/>
      <c r="Q49" s="4"/>
      <c r="R49" s="4"/>
      <c r="S49" s="4"/>
      <c r="T49" s="4"/>
      <c r="U49" s="4"/>
      <c r="V49" s="4"/>
      <c r="W49" s="4"/>
      <c r="X49" s="4"/>
      <c r="Y49" s="4"/>
      <c r="Z49" s="4"/>
    </row>
    <row r="50" ht="15.75" customHeight="1">
      <c r="A50" s="9" t="s">
        <v>492</v>
      </c>
      <c r="B50" s="10" t="str">
        <f>'3조'!B$59</f>
        <v>-</v>
      </c>
      <c r="C50" s="13" t="str">
        <f>'3조'!C$59</f>
        <v>강한 결합과 전역 공유 데이터(Globally shared data)로 인해 특정 모듈 수정 시 시스템 전반으로 번지는 파급 효과</v>
      </c>
      <c r="D50" s="10" t="str">
        <f>'3조'!D$59</f>
        <v>+</v>
      </c>
      <c r="E50" s="13" t="str">
        <f>'3조'!E$59</f>
        <v>Master의 규격만 충족하면 개별 Slave의 내부 로직을 수정하거나 새 Slave를 추가해도 시스템의 다른 부분에 영향이 없음</v>
      </c>
      <c r="G50" s="4"/>
      <c r="H50" s="4"/>
      <c r="I50" s="4"/>
      <c r="J50" s="4"/>
      <c r="K50" s="4"/>
      <c r="L50" s="4"/>
      <c r="M50" s="4"/>
      <c r="N50" s="4"/>
      <c r="O50" s="4"/>
      <c r="P50" s="4"/>
      <c r="Q50" s="4"/>
      <c r="R50" s="4"/>
      <c r="S50" s="4"/>
      <c r="T50" s="4"/>
      <c r="U50" s="4"/>
      <c r="V50" s="4"/>
      <c r="W50" s="4"/>
      <c r="X50" s="4"/>
      <c r="Y50" s="4"/>
      <c r="Z50" s="4"/>
    </row>
    <row r="51" ht="15.75" customHeight="1">
      <c r="A51" s="9" t="s">
        <v>496</v>
      </c>
      <c r="B51" s="10" t="str">
        <f>'4조'!B$59</f>
        <v>-</v>
      </c>
      <c r="C51" s="13" t="str">
        <f>'4조'!C$59</f>
        <v>기능은 나뉘어 있지만 호출 관계와 공통 데이터 변경이 다른 함수에도 영향을 준다.</v>
      </c>
      <c r="D51" s="10" t="str">
        <f>'4조'!D$59</f>
        <v>0</v>
      </c>
      <c r="E51" s="13" t="str">
        <f>'4조'!E$59</f>
        <v>작업자는 따로 수정하기 쉽지만 Master의 작업 배분 방식과는 맞춰야 한다.</v>
      </c>
      <c r="G51" s="4"/>
      <c r="H51" s="4"/>
      <c r="I51" s="4"/>
      <c r="J51" s="4"/>
      <c r="K51" s="4"/>
      <c r="L51" s="4"/>
      <c r="M51" s="4"/>
      <c r="N51" s="4"/>
      <c r="O51" s="4"/>
      <c r="P51" s="4"/>
      <c r="Q51" s="4"/>
      <c r="R51" s="4"/>
      <c r="S51" s="4"/>
      <c r="T51" s="4"/>
      <c r="U51" s="4"/>
      <c r="V51" s="4"/>
      <c r="W51" s="4"/>
      <c r="X51" s="4"/>
      <c r="Y51" s="4"/>
      <c r="Z51" s="4"/>
    </row>
    <row r="52" ht="15.75" customHeight="1">
      <c r="A52" s="9" t="s">
        <v>498</v>
      </c>
      <c r="B52" s="10" t="str">
        <f>'5조'!B$59</f>
        <v>-</v>
      </c>
      <c r="C52" s="13" t="str">
        <f>'5조'!C$59</f>
        <v>강한 결합으로 특정 procedure의 변경에 대한 연쇄 변경 side effect가 일어날 수 있다.</v>
      </c>
      <c r="D52" s="10" t="str">
        <f>'5조'!D$59</f>
        <v>+</v>
      </c>
      <c r="E52" s="13" t="str">
        <f>'5조'!E$59</f>
        <v>작업·결과 계약 유지 시 Slave 내부 처리 방식 변경 용이</v>
      </c>
      <c r="G52" s="4"/>
      <c r="H52" s="4"/>
      <c r="I52" s="4"/>
      <c r="J52" s="4"/>
      <c r="K52" s="4"/>
      <c r="L52" s="4"/>
      <c r="M52" s="4"/>
      <c r="N52" s="4"/>
      <c r="O52" s="4"/>
      <c r="P52" s="4"/>
      <c r="Q52" s="4"/>
      <c r="R52" s="4"/>
      <c r="S52" s="4"/>
      <c r="T52" s="4"/>
      <c r="U52" s="4"/>
      <c r="V52" s="4"/>
      <c r="W52" s="4"/>
      <c r="X52" s="4"/>
      <c r="Y52" s="4"/>
      <c r="Z52" s="4"/>
    </row>
    <row r="53" ht="15.75" customHeight="1">
      <c r="A53" s="9" t="s">
        <v>500</v>
      </c>
      <c r="B53" s="10" t="str">
        <f>'6조'!B$59</f>
        <v>--</v>
      </c>
      <c r="C53" s="13" t="str">
        <f>'6조'!C$59</f>
        <v>Main이 subroutine의 구조와 호출 순서를 강하게 알고 있기 때문에 변경의 영향이 상위 구조까지 전파될 수 있다.</v>
      </c>
      <c r="D53" s="10" t="str">
        <f>'6조'!D$59</f>
        <v>+</v>
      </c>
      <c r="E53" s="13" t="str">
        <f>'6조'!E$59</f>
        <v>component의 수정이 master에 영향을 주지 않는 한 다른 component에 영향을 미치지 않기 때문에 변경 용이성이 좋다.</v>
      </c>
      <c r="G53" s="4"/>
      <c r="H53" s="4"/>
      <c r="I53" s="4"/>
      <c r="J53" s="4"/>
      <c r="K53" s="4"/>
      <c r="L53" s="4"/>
      <c r="M53" s="4"/>
      <c r="N53" s="4"/>
      <c r="O53" s="4"/>
      <c r="P53" s="4"/>
      <c r="Q53" s="4"/>
      <c r="R53" s="4"/>
      <c r="S53" s="4"/>
      <c r="T53" s="4"/>
      <c r="U53" s="4"/>
      <c r="V53" s="4"/>
      <c r="W53" s="4"/>
      <c r="X53" s="4"/>
      <c r="Y53" s="4"/>
      <c r="Z53" s="4"/>
    </row>
    <row r="54" ht="15.75" customHeight="1">
      <c r="A54" s="9" t="s">
        <v>503</v>
      </c>
      <c r="B54" s="10" t="str">
        <f>'7조'!B$59</f>
        <v/>
      </c>
      <c r="C54" s="13" t="str">
        <f>'7조'!C$59</f>
        <v>7조 - Main-subroutine - Modifiability</v>
      </c>
      <c r="D54" s="10" t="str">
        <f>'7조'!D$59</f>
        <v/>
      </c>
      <c r="E54" s="13" t="str">
        <f>'7조'!E$59</f>
        <v>7조 - Master-Slave - Modifiability</v>
      </c>
      <c r="F54" s="4"/>
      <c r="G54" s="4"/>
      <c r="H54" s="4"/>
      <c r="I54" s="4"/>
      <c r="J54" s="4"/>
      <c r="K54" s="4"/>
      <c r="L54" s="4"/>
      <c r="M54" s="4"/>
      <c r="N54" s="4"/>
      <c r="O54" s="4"/>
      <c r="P54" s="4"/>
      <c r="Q54" s="4"/>
      <c r="R54" s="4"/>
      <c r="S54" s="4"/>
      <c r="T54" s="4"/>
      <c r="U54" s="4"/>
      <c r="V54" s="4"/>
      <c r="W54" s="4"/>
      <c r="X54" s="4"/>
      <c r="Y54" s="4"/>
      <c r="Z54" s="4"/>
    </row>
    <row r="55" ht="15.75" customHeight="1">
      <c r="A55" s="9" t="s">
        <v>506</v>
      </c>
      <c r="B55" s="10" t="str">
        <f>'8조'!B$59</f>
        <v/>
      </c>
      <c r="C55" s="13" t="str">
        <f>'8조'!C$59</f>
        <v>8조 - Main-subroutine - Modifiability</v>
      </c>
      <c r="D55" s="10" t="str">
        <f>'8조'!D$59</f>
        <v/>
      </c>
      <c r="E55" s="13" t="str">
        <f>'8조'!E$59</f>
        <v>8조 - Master-Slave - Modifiability</v>
      </c>
      <c r="F55" s="4"/>
      <c r="G55" s="4"/>
      <c r="H55" s="4"/>
      <c r="I55" s="4"/>
      <c r="J55" s="4"/>
      <c r="K55" s="4"/>
      <c r="L55" s="4"/>
      <c r="M55" s="4"/>
      <c r="N55" s="4"/>
      <c r="O55" s="4"/>
      <c r="P55" s="4"/>
      <c r="Q55" s="4"/>
      <c r="R55" s="4"/>
      <c r="S55" s="4"/>
      <c r="T55" s="4"/>
      <c r="U55" s="4"/>
      <c r="V55" s="4"/>
      <c r="W55" s="4"/>
      <c r="X55" s="4"/>
      <c r="Y55" s="4"/>
      <c r="Z55" s="4"/>
    </row>
    <row r="56" ht="15.75" customHeight="1">
      <c r="A56" s="9" t="s">
        <v>508</v>
      </c>
      <c r="B56" s="10" t="str">
        <f>'9조'!B$59</f>
        <v/>
      </c>
      <c r="C56" s="13" t="str">
        <f>'9조'!C$59</f>
        <v>9조 - Main-subroutine - Modifiability</v>
      </c>
      <c r="D56" s="10" t="str">
        <f>'9조'!D$59</f>
        <v/>
      </c>
      <c r="E56" s="13" t="str">
        <f>'9조'!E$59</f>
        <v>9조 - Master-Slave - Modifiability</v>
      </c>
      <c r="F56" s="4"/>
      <c r="G56" s="4"/>
      <c r="H56" s="4"/>
      <c r="I56" s="4"/>
      <c r="J56" s="4"/>
      <c r="K56" s="4"/>
      <c r="L56" s="4"/>
      <c r="M56" s="4"/>
      <c r="N56" s="4"/>
      <c r="O56" s="4"/>
      <c r="P56" s="4"/>
      <c r="Q56" s="4"/>
      <c r="R56" s="4"/>
      <c r="S56" s="4"/>
      <c r="T56" s="4"/>
      <c r="U56" s="4"/>
      <c r="V56" s="4"/>
      <c r="W56" s="4"/>
      <c r="X56" s="4"/>
      <c r="Y56" s="4"/>
      <c r="Z56" s="4"/>
    </row>
    <row r="57" ht="15.75" customHeight="1">
      <c r="A57" s="11"/>
      <c r="B57" s="14"/>
      <c r="C57" s="11"/>
      <c r="D57" s="14"/>
      <c r="E57" s="11"/>
      <c r="F57" s="4"/>
      <c r="G57" s="4"/>
      <c r="H57" s="4"/>
      <c r="I57" s="4"/>
      <c r="J57" s="4"/>
      <c r="K57" s="4"/>
      <c r="L57" s="4"/>
      <c r="M57" s="4"/>
      <c r="N57" s="4"/>
      <c r="O57" s="4"/>
      <c r="P57" s="4"/>
      <c r="Q57" s="4"/>
      <c r="R57" s="4"/>
      <c r="S57" s="4"/>
      <c r="T57" s="4"/>
      <c r="U57" s="4"/>
      <c r="V57" s="4"/>
      <c r="W57" s="4"/>
      <c r="X57" s="4"/>
      <c r="Y57" s="4"/>
      <c r="Z57" s="4"/>
    </row>
    <row r="58" ht="15.75" customHeight="1">
      <c r="A58" s="7" t="s">
        <v>186</v>
      </c>
      <c r="B58" s="7" t="str">
        <f>'Detailed Reasoning'!B$60</f>
        <v/>
      </c>
      <c r="C58" s="7" t="str">
        <f>'Detailed Reasoning'!C$60</f>
        <v/>
      </c>
      <c r="D58" s="7" t="str">
        <f>'Detailed Reasoning'!D$60</f>
        <v/>
      </c>
      <c r="E58" s="7" t="str">
        <f>'Detailed Reasoning'!E$60</f>
        <v/>
      </c>
      <c r="F58" s="4"/>
      <c r="G58" s="4"/>
      <c r="H58" s="4"/>
      <c r="I58" s="4"/>
      <c r="J58" s="4"/>
      <c r="K58" s="4"/>
      <c r="L58" s="4"/>
      <c r="M58" s="4"/>
      <c r="N58" s="4"/>
      <c r="O58" s="4"/>
      <c r="P58" s="4"/>
      <c r="Q58" s="4"/>
      <c r="R58" s="4"/>
      <c r="S58" s="4"/>
      <c r="T58" s="4"/>
      <c r="U58" s="4"/>
      <c r="V58" s="4"/>
      <c r="W58" s="4"/>
      <c r="X58" s="4"/>
      <c r="Y58" s="4"/>
      <c r="Z58" s="4"/>
    </row>
    <row r="59" ht="15.75" customHeight="1">
      <c r="A59" s="9" t="s">
        <v>514</v>
      </c>
      <c r="B59" s="10" t="str">
        <f>'1조'!B$60</f>
        <v>+</v>
      </c>
      <c r="C59" s="13" t="str">
        <f>'1조'!C$60</f>
        <v>절차적 호출로 인한 오버헤드가 적고 데이터 교환이 메인 메모리 내 직접 호출 방식으로 이루어져 응답 속도가 빠릅니다.</v>
      </c>
      <c r="D59" s="10" t="str">
        <f>'1조'!D$60</f>
        <v>-</v>
      </c>
      <c r="E59" s="13" t="str">
        <f>'1조'!E$60</f>
        <v>[-] Master의 작업 분배 및 결과 합산 시간 오버헤드 발생</v>
      </c>
      <c r="F59" s="12" t="s">
        <v>517</v>
      </c>
      <c r="G59" s="4"/>
      <c r="H59" s="4"/>
      <c r="I59" s="4"/>
      <c r="J59" s="4"/>
      <c r="K59" s="4"/>
      <c r="L59" s="4"/>
      <c r="M59" s="4"/>
      <c r="N59" s="4"/>
      <c r="O59" s="4"/>
      <c r="P59" s="4"/>
      <c r="Q59" s="4"/>
      <c r="R59" s="4"/>
      <c r="S59" s="4"/>
      <c r="T59" s="4"/>
      <c r="U59" s="4"/>
      <c r="V59" s="4"/>
      <c r="W59" s="4"/>
      <c r="X59" s="4"/>
      <c r="Y59" s="4"/>
      <c r="Z59" s="4"/>
    </row>
    <row r="60" ht="15.75" customHeight="1">
      <c r="A60" s="9" t="s">
        <v>519</v>
      </c>
      <c r="B60" s="10" t="str">
        <f>'2조'!B$60</f>
        <v>++</v>
      </c>
      <c r="C60" s="13" t="str">
        <f>'2조'!C$60</f>
        <v>직접 호출이라 중간 비용이 없다. 제어 흐름이 선형이라 예측 가능하다</v>
      </c>
      <c r="D60" s="10" t="str">
        <f>'2조'!D$60</f>
        <v>+</v>
      </c>
      <c r="E60" s="13" t="str">
        <f>'2조'!E$60</f>
        <v>모든 slave 를 병렬로 실행할 수 있다. 다만 master-slave 통신 overhead 가 그 이득을 상쇄할 수 있다 </v>
      </c>
      <c r="G60" s="4"/>
      <c r="H60" s="4"/>
      <c r="I60" s="4"/>
      <c r="J60" s="4"/>
      <c r="K60" s="4"/>
      <c r="L60" s="4"/>
      <c r="M60" s="4"/>
      <c r="N60" s="4"/>
      <c r="O60" s="4"/>
      <c r="P60" s="4"/>
      <c r="Q60" s="4"/>
      <c r="R60" s="4"/>
      <c r="S60" s="4"/>
      <c r="T60" s="4"/>
      <c r="U60" s="4"/>
      <c r="V60" s="4"/>
      <c r="W60" s="4"/>
      <c r="X60" s="4"/>
      <c r="Y60" s="4"/>
      <c r="Z60" s="4"/>
    </row>
    <row r="61" ht="15.75" customHeight="1">
      <c r="A61" s="9" t="s">
        <v>522</v>
      </c>
      <c r="B61" s="10" t="str">
        <f>'3조'!B$60</f>
        <v>+</v>
      </c>
      <c r="C61" s="13" t="str">
        <f>'3조'!C$60</f>
        <v>직접 함수 호출과 단순 제어 흐름으로 실행 overhead가 작다.</v>
      </c>
      <c r="D61" s="10" t="str">
        <f>'3조'!D$60</f>
        <v>0</v>
      </c>
      <c r="E61" s="13" t="str">
        <f>'3조'!E$60</f>
        <v>여러 Slave를 병렬 실행할 수 있으나, master과 slave 사이의 통신에서 overhead 발생 가능하여 성능 상쇄</v>
      </c>
      <c r="G61" s="4"/>
      <c r="H61" s="4"/>
      <c r="I61" s="4"/>
      <c r="J61" s="4"/>
      <c r="K61" s="4"/>
      <c r="L61" s="4"/>
      <c r="M61" s="4"/>
      <c r="N61" s="4"/>
      <c r="O61" s="4"/>
      <c r="P61" s="4"/>
      <c r="Q61" s="4"/>
      <c r="R61" s="4"/>
      <c r="S61" s="4"/>
      <c r="T61" s="4"/>
      <c r="U61" s="4"/>
      <c r="V61" s="4"/>
      <c r="W61" s="4"/>
      <c r="X61" s="4"/>
      <c r="Y61" s="4"/>
      <c r="Z61" s="4"/>
    </row>
    <row r="62" ht="15.75" customHeight="1">
      <c r="A62" s="9" t="s">
        <v>525</v>
      </c>
      <c r="B62" s="10" t="str">
        <f>'4조'!B$60</f>
        <v>0</v>
      </c>
      <c r="C62" s="13" t="str">
        <f>'4조'!C$60</f>
        <v>직접 호출은 빠르지만 순차 실행 때문에 앞 작업이 끝날 때까지 기다려야 한다.</v>
      </c>
      <c r="D62" s="10" t="str">
        <f>'4조'!D$60</f>
        <v>+</v>
      </c>
      <c r="E62" s="13" t="str">
        <f>'4조'!E$60</f>
        <v>슬레이브에 작업을 병렬 분산해 처리량과 읽기 확장성이 올라간다. 반면 마스터가 쓰기·조정 병목이 되고, 복제 지연으로 슬레이브 데이터가 낡는다.</v>
      </c>
      <c r="G62" s="4"/>
      <c r="H62" s="4"/>
      <c r="I62" s="4"/>
      <c r="J62" s="4"/>
      <c r="K62" s="4"/>
      <c r="L62" s="4"/>
      <c r="M62" s="4"/>
      <c r="N62" s="4"/>
      <c r="O62" s="4"/>
      <c r="P62" s="4"/>
      <c r="Q62" s="4"/>
      <c r="R62" s="4"/>
      <c r="S62" s="4"/>
      <c r="T62" s="4"/>
      <c r="U62" s="4"/>
      <c r="V62" s="4"/>
      <c r="W62" s="4"/>
      <c r="X62" s="4"/>
      <c r="Y62" s="4"/>
      <c r="Z62" s="4"/>
    </row>
    <row r="63" ht="15.75" customHeight="1">
      <c r="A63" s="9" t="s">
        <v>527</v>
      </c>
      <c r="B63" s="10" t="str">
        <f>'5조'!B$60</f>
        <v>-</v>
      </c>
      <c r="C63" s="13" t="str">
        <f>'5조'!C$60</f>
        <v>여러 서브루틴이 동일한 전역 데이터에 접근할 경우 데이터 동기화 및 경쟁 조건 처리 과정에서 처리 속도가 저하될 수 있습니다.</v>
      </c>
      <c r="D63" s="10" t="str">
        <f>'5조'!D$60</f>
        <v>++</v>
      </c>
      <c r="E63" s="13" t="str">
        <f>'5조'!E$60</f>
        <v>분할 가능한 작업을 Slave가 병렬 처리하여 완료 시간 단축 가능</v>
      </c>
      <c r="G63" s="4"/>
      <c r="H63" s="4"/>
      <c r="I63" s="4"/>
      <c r="J63" s="4"/>
      <c r="K63" s="4"/>
      <c r="L63" s="4"/>
      <c r="M63" s="4"/>
      <c r="N63" s="4"/>
      <c r="O63" s="4"/>
      <c r="P63" s="4"/>
      <c r="Q63" s="4"/>
      <c r="R63" s="4"/>
      <c r="S63" s="4"/>
      <c r="T63" s="4"/>
      <c r="U63" s="4"/>
      <c r="V63" s="4"/>
      <c r="W63" s="4"/>
      <c r="X63" s="4"/>
      <c r="Y63" s="4"/>
      <c r="Z63" s="4"/>
    </row>
    <row r="64" ht="15.75" customHeight="1">
      <c r="A64" s="9" t="s">
        <v>528</v>
      </c>
      <c r="B64" s="10" t="str">
        <f>'6조'!B$60</f>
        <v>++</v>
      </c>
      <c r="C64" s="13" t="str">
        <f>'6조'!C$60</f>
        <v>Main이 Subroutime을 함수 호출하므로 네트워크, IPC보다 처리속도가 매우 빠름</v>
      </c>
      <c r="D64" s="10" t="str">
        <f>'6조'!D$60</f>
        <v>+</v>
      </c>
      <c r="E64" s="13" t="str">
        <f>'6조'!E$60</f>
        <v>Slave를 늘리면 읽기 작업에 대한 시스템 응답시간을 줄임으로 인해 퍼포먼스를 증가시킬 수 있다. 단 쓰기 작업의 경우에는 마스터 업데이트 및 슬레이브 업데이트까지 데이터 무결성을 위한 동시성 작업이 요구되기 때문에 쓰기 작업에 대한 응답시간은 지연될 수 있다.</v>
      </c>
      <c r="G64" s="4"/>
      <c r="H64" s="4"/>
      <c r="I64" s="4"/>
      <c r="J64" s="4"/>
      <c r="K64" s="4"/>
      <c r="L64" s="4"/>
      <c r="M64" s="4"/>
      <c r="N64" s="4"/>
      <c r="O64" s="4"/>
      <c r="P64" s="4"/>
      <c r="Q64" s="4"/>
      <c r="R64" s="4"/>
      <c r="S64" s="4"/>
      <c r="T64" s="4"/>
      <c r="U64" s="4"/>
      <c r="V64" s="4"/>
      <c r="W64" s="4"/>
      <c r="X64" s="4"/>
      <c r="Y64" s="4"/>
      <c r="Z64" s="4"/>
    </row>
    <row r="65" ht="15.75" customHeight="1">
      <c r="A65" s="9" t="s">
        <v>533</v>
      </c>
      <c r="B65" s="10" t="str">
        <f>'7조'!B$60</f>
        <v/>
      </c>
      <c r="C65" s="13" t="str">
        <f>'7조'!C$60</f>
        <v>7조 - Main-subroutine - Performance</v>
      </c>
      <c r="D65" s="10" t="str">
        <f>'7조'!D$60</f>
        <v/>
      </c>
      <c r="E65" s="13" t="str">
        <f>'7조'!E$60</f>
        <v>7조 - Master-Slave - Performance</v>
      </c>
      <c r="F65" s="4"/>
      <c r="G65" s="4"/>
      <c r="H65" s="4"/>
      <c r="I65" s="4"/>
      <c r="J65" s="4"/>
      <c r="K65" s="4"/>
      <c r="L65" s="4"/>
      <c r="M65" s="4"/>
      <c r="N65" s="4"/>
      <c r="O65" s="4"/>
      <c r="P65" s="4"/>
      <c r="Q65" s="4"/>
      <c r="R65" s="4"/>
      <c r="S65" s="4"/>
      <c r="T65" s="4"/>
      <c r="U65" s="4"/>
      <c r="V65" s="4"/>
      <c r="W65" s="4"/>
      <c r="X65" s="4"/>
      <c r="Y65" s="4"/>
      <c r="Z65" s="4"/>
    </row>
    <row r="66" ht="15.75" customHeight="1">
      <c r="A66" s="9" t="s">
        <v>535</v>
      </c>
      <c r="B66" s="10" t="str">
        <f>'8조'!B$60</f>
        <v/>
      </c>
      <c r="C66" s="13" t="str">
        <f>'8조'!C$60</f>
        <v>8조 - Main-subroutine - Performance</v>
      </c>
      <c r="D66" s="10" t="str">
        <f>'8조'!D$60</f>
        <v/>
      </c>
      <c r="E66" s="13" t="str">
        <f>'8조'!E$60</f>
        <v>8조 - Master-Slave - Performance</v>
      </c>
      <c r="F66" s="4"/>
      <c r="G66" s="4"/>
      <c r="H66" s="4"/>
      <c r="I66" s="4"/>
      <c r="J66" s="4"/>
      <c r="K66" s="4"/>
      <c r="L66" s="4"/>
      <c r="M66" s="4"/>
      <c r="N66" s="4"/>
      <c r="O66" s="4"/>
      <c r="P66" s="4"/>
      <c r="Q66" s="4"/>
      <c r="R66" s="4"/>
      <c r="S66" s="4"/>
      <c r="T66" s="4"/>
      <c r="U66" s="4"/>
      <c r="V66" s="4"/>
      <c r="W66" s="4"/>
      <c r="X66" s="4"/>
      <c r="Y66" s="4"/>
      <c r="Z66" s="4"/>
    </row>
    <row r="67" ht="15.75" customHeight="1">
      <c r="A67" s="9" t="s">
        <v>537</v>
      </c>
      <c r="B67" s="10" t="str">
        <f>'9조'!B$60</f>
        <v/>
      </c>
      <c r="C67" s="13" t="str">
        <f>'9조'!C$60</f>
        <v>9조 - Main-subroutine - Performance</v>
      </c>
      <c r="D67" s="10" t="str">
        <f>'9조'!D$60</f>
        <v/>
      </c>
      <c r="E67" s="13" t="str">
        <f>'9조'!E$60</f>
        <v>9조 - Master-Slave - Performance</v>
      </c>
      <c r="F67" s="4"/>
      <c r="G67" s="4"/>
      <c r="H67" s="4"/>
      <c r="I67" s="4"/>
      <c r="J67" s="4"/>
      <c r="K67" s="4"/>
      <c r="L67" s="4"/>
      <c r="M67" s="4"/>
      <c r="N67" s="4"/>
      <c r="O67" s="4"/>
      <c r="P67" s="4"/>
      <c r="Q67" s="4"/>
      <c r="R67" s="4"/>
      <c r="S67" s="4"/>
      <c r="T67" s="4"/>
      <c r="U67" s="4"/>
      <c r="V67" s="4"/>
      <c r="W67" s="4"/>
      <c r="X67" s="4"/>
      <c r="Y67" s="4"/>
      <c r="Z67" s="4"/>
    </row>
    <row r="68" ht="15.75" customHeight="1">
      <c r="A68" s="11"/>
      <c r="B68" s="14"/>
      <c r="C68" s="11"/>
      <c r="D68" s="14"/>
      <c r="E68" s="11"/>
      <c r="F68" s="4"/>
      <c r="G68" s="4"/>
      <c r="H68" s="4"/>
      <c r="I68" s="4"/>
      <c r="J68" s="4"/>
      <c r="K68" s="4"/>
      <c r="L68" s="4"/>
      <c r="M68" s="4"/>
      <c r="N68" s="4"/>
      <c r="O68" s="4"/>
      <c r="P68" s="4"/>
      <c r="Q68" s="4"/>
      <c r="R68" s="4"/>
      <c r="S68" s="4"/>
      <c r="T68" s="4"/>
      <c r="U68" s="4"/>
      <c r="V68" s="4"/>
      <c r="W68" s="4"/>
      <c r="X68" s="4"/>
      <c r="Y68" s="4"/>
      <c r="Z68" s="4"/>
    </row>
    <row r="69" ht="15.75" customHeight="1">
      <c r="A69" s="7" t="s">
        <v>221</v>
      </c>
      <c r="B69" s="7" t="str">
        <f>'Detailed Reasoning'!B$61</f>
        <v/>
      </c>
      <c r="C69" s="7" t="str">
        <f>'Detailed Reasoning'!C$61</f>
        <v/>
      </c>
      <c r="D69" s="7" t="str">
        <f>'Detailed Reasoning'!D$61</f>
        <v/>
      </c>
      <c r="E69" s="7" t="str">
        <f>'Detailed Reasoning'!E$61</f>
        <v/>
      </c>
      <c r="F69" s="4"/>
      <c r="G69" s="4"/>
      <c r="H69" s="4"/>
      <c r="I69" s="4"/>
      <c r="J69" s="4"/>
      <c r="K69" s="4"/>
      <c r="L69" s="4"/>
      <c r="M69" s="4"/>
      <c r="N69" s="4"/>
      <c r="O69" s="4"/>
      <c r="P69" s="4"/>
      <c r="Q69" s="4"/>
      <c r="R69" s="4"/>
      <c r="S69" s="4"/>
      <c r="T69" s="4"/>
      <c r="U69" s="4"/>
      <c r="V69" s="4"/>
      <c r="W69" s="4"/>
      <c r="X69" s="4"/>
      <c r="Y69" s="4"/>
      <c r="Z69" s="4"/>
    </row>
    <row r="70" ht="15.75" customHeight="1">
      <c r="A70" s="9" t="s">
        <v>540</v>
      </c>
      <c r="B70" s="10" t="str">
        <f>'1조'!B$61</f>
        <v>-</v>
      </c>
      <c r="C70" s="13" t="str">
        <f>'1조'!C$61</f>
        <v>[-] 런타임 예외 발생 시 전체 프로세스 정지 위험</v>
      </c>
      <c r="D70" s="10" t="str">
        <f>'1조'!D$61</f>
        <v>+</v>
      </c>
      <c r="E70" s="13" t="str">
        <f>'1조'!E$61</f>
        <v>[+] Master가 Slave 작업 결과를 검증하여 결함 허용(Fault Tolerance) 구현
[-] Master 오작동 시 전체 Slave에 잘못된 명령 하달 위험</v>
      </c>
      <c r="F70" s="12" t="s">
        <v>542</v>
      </c>
      <c r="G70" s="4"/>
      <c r="H70" s="4"/>
      <c r="I70" s="4"/>
      <c r="J70" s="4"/>
      <c r="K70" s="4"/>
      <c r="L70" s="4"/>
      <c r="M70" s="4"/>
      <c r="N70" s="4"/>
      <c r="O70" s="4"/>
      <c r="P70" s="4"/>
      <c r="Q70" s="4"/>
      <c r="R70" s="4"/>
      <c r="S70" s="4"/>
      <c r="T70" s="4"/>
      <c r="U70" s="4"/>
      <c r="V70" s="4"/>
      <c r="W70" s="4"/>
      <c r="X70" s="4"/>
      <c r="Y70" s="4"/>
      <c r="Z70" s="4"/>
    </row>
    <row r="71" ht="15.75" customHeight="1">
      <c r="A71" s="9" t="s">
        <v>544</v>
      </c>
      <c r="B71" s="10" t="str">
        <f>'2조'!B$61</f>
        <v>0</v>
      </c>
      <c r="C71" s="13" t="str">
        <f>'2조'!C$61</f>
        <v> (+) 단일 제어 흐름의 결정적 실행으로 동작 예측 및 정적 안전성 검증/인증 용이.(-)전역으로 공유되는 데이터를 아무 데서나 건드릴 수 있어 잘못된 상태가 퍼지기 쉽다</v>
      </c>
      <c r="D71" s="10" t="str">
        <f>'2조'!D$61</f>
        <v>++</v>
      </c>
      <c r="E71" s="13" t="str">
        <f>'2조'!E$61</f>
        <v>다수 Slave 결과를 다수결 투표(Voting)로 검증하여 부정확한 결과를 걸러내고 계산 정확성 극대화.</v>
      </c>
      <c r="G71" s="4"/>
      <c r="H71" s="4"/>
      <c r="I71" s="4"/>
      <c r="J71" s="4"/>
      <c r="K71" s="4"/>
      <c r="L71" s="4"/>
      <c r="M71" s="4"/>
      <c r="N71" s="4"/>
      <c r="O71" s="4"/>
      <c r="P71" s="4"/>
      <c r="Q71" s="4"/>
      <c r="R71" s="4"/>
      <c r="S71" s="4"/>
      <c r="T71" s="4"/>
      <c r="U71" s="4"/>
      <c r="V71" s="4"/>
      <c r="W71" s="4"/>
      <c r="X71" s="4"/>
      <c r="Y71" s="4"/>
      <c r="Z71" s="4"/>
    </row>
    <row r="72" ht="15.75" customHeight="1">
      <c r="A72" s="9" t="s">
        <v>546</v>
      </c>
      <c r="B72" s="10" t="str">
        <f>'3조'!B$61</f>
        <v>0</v>
      </c>
      <c r="C72" s="13" t="str">
        <f>'3조'!C$61</f>
        <v>순차적이고 비교적 결정론적인 제어 흐름은 분석과 검증에는 유리하지만, 장애 발생 시 안전 상태를 보장하거나 오류를 차단하는 Safety mechanism을 구조적으로 제공하지는 않는다.</v>
      </c>
      <c r="D72" s="10" t="str">
        <f>'3조'!D$61</f>
        <v>+</v>
      </c>
      <c r="E72" s="13" t="str">
        <f>'3조'!E$61</f>
        <v>동일 작업을 여러 Slave가 중복 수행하고 결과 비교나 다수결을 적용하는 경우 단일 Slave의 오류를 탐지·차단할 수 있어 Safety에 유리하지만, 모든 Master-Slave 구현이 이러한 redundancy를 사용하는 것은 아니다.</v>
      </c>
      <c r="G72" s="4"/>
      <c r="H72" s="4"/>
      <c r="I72" s="4"/>
      <c r="J72" s="4"/>
      <c r="K72" s="4"/>
      <c r="L72" s="4"/>
      <c r="M72" s="4"/>
      <c r="N72" s="4"/>
      <c r="O72" s="4"/>
      <c r="P72" s="4"/>
      <c r="Q72" s="4"/>
      <c r="R72" s="4"/>
      <c r="S72" s="4"/>
      <c r="T72" s="4"/>
      <c r="U72" s="4"/>
      <c r="V72" s="4"/>
      <c r="W72" s="4"/>
      <c r="X72" s="4"/>
      <c r="Y72" s="4"/>
      <c r="Z72" s="4"/>
    </row>
    <row r="73" ht="15.75" customHeight="1">
      <c r="A73" s="9" t="s">
        <v>547</v>
      </c>
      <c r="B73" s="10" t="str">
        <f>'4조'!B$61</f>
        <v>-</v>
      </c>
      <c r="C73" s="13" t="str">
        <f>'4조'!C$61</f>
        <v>부분 간 격리가 전혀 없어 서브루틴 하나의 결함이 프로세스 전체를 오염시키고 그대로 중단시킨다. 결함 격리나 복구 수단이 없다.</v>
      </c>
      <c r="D73" s="10" t="str">
        <f>'4조'!D$61</f>
        <v>+</v>
      </c>
      <c r="E73" s="13" t="str">
        <f>'4조'!E$61</f>
        <v>작업을 나누어 오류 영향을 줄일 수 있지만 동시 실행과 결과 결합 오류는 점검해야 한다.</v>
      </c>
      <c r="G73" s="4"/>
      <c r="H73" s="4"/>
      <c r="I73" s="4"/>
      <c r="J73" s="4"/>
      <c r="K73" s="4"/>
      <c r="L73" s="4"/>
      <c r="M73" s="4"/>
      <c r="N73" s="4"/>
      <c r="O73" s="4"/>
      <c r="P73" s="4"/>
      <c r="Q73" s="4"/>
      <c r="R73" s="4"/>
      <c r="S73" s="4"/>
      <c r="T73" s="4"/>
      <c r="U73" s="4"/>
      <c r="V73" s="4"/>
      <c r="W73" s="4"/>
      <c r="X73" s="4"/>
      <c r="Y73" s="4"/>
      <c r="Z73" s="4"/>
    </row>
    <row r="74" ht="15.75" customHeight="1">
      <c r="A74" s="9" t="s">
        <v>548</v>
      </c>
      <c r="B74" s="10" t="str">
        <f>'5조'!B$61</f>
        <v>+</v>
      </c>
      <c r="C74" s="13" t="str">
        <f>'5조'!C$61</f>
        <v>제어 흐름이 명시적이여서 실행 경로 분석과 검증이 쉽다.</v>
      </c>
      <c r="D74" s="10" t="str">
        <f>'5조'!D$61</f>
        <v>-</v>
      </c>
      <c r="E74" s="13" t="str">
        <f>'5조'!E$61</f>
        <v>Master가 종료될 시, 서비스 전체가 동작하지 않음</v>
      </c>
      <c r="G74" s="4"/>
      <c r="H74" s="4"/>
      <c r="I74" s="4"/>
      <c r="J74" s="4"/>
      <c r="K74" s="4"/>
      <c r="L74" s="4"/>
      <c r="M74" s="4"/>
      <c r="N74" s="4"/>
      <c r="O74" s="4"/>
      <c r="P74" s="4"/>
      <c r="Q74" s="4"/>
      <c r="R74" s="4"/>
      <c r="S74" s="4"/>
      <c r="T74" s="4"/>
      <c r="U74" s="4"/>
      <c r="V74" s="4"/>
      <c r="W74" s="4"/>
      <c r="X74" s="4"/>
      <c r="Y74" s="4"/>
      <c r="Z74" s="4"/>
    </row>
    <row r="75" ht="15.75" customHeight="1">
      <c r="A75" s="9" t="s">
        <v>552</v>
      </c>
      <c r="B75" s="10" t="str">
        <f>'6조'!B$61</f>
        <v>-</v>
      </c>
      <c r="C75" s="13" t="str">
        <f>'6조'!C$61</f>
        <v>예외 처리가 호출 스택을 타고 상위로 전파되는 구조라 발생한 오류가 상위로 쉽게 전파됨</v>
      </c>
      <c r="D75" s="10" t="str">
        <f>'6조'!D$61</f>
        <v>++</v>
      </c>
      <c r="E75" s="13" t="str">
        <f>'6조'!E$61</f>
        <v>하나의 Slave에서 fault가 발생하더라도 다른 Slave에서 응답하면 되기 때문에 전체 시스템 fault를 야기하지 않을 수 있다.</v>
      </c>
      <c r="G75" s="4"/>
      <c r="H75" s="4"/>
      <c r="I75" s="4"/>
      <c r="J75" s="4"/>
      <c r="K75" s="4"/>
      <c r="L75" s="4"/>
      <c r="M75" s="4"/>
      <c r="N75" s="4"/>
      <c r="O75" s="4"/>
      <c r="P75" s="4"/>
      <c r="Q75" s="4"/>
      <c r="R75" s="4"/>
      <c r="S75" s="4"/>
      <c r="T75" s="4"/>
      <c r="U75" s="4"/>
      <c r="V75" s="4"/>
      <c r="W75" s="4"/>
      <c r="X75" s="4"/>
      <c r="Y75" s="4"/>
      <c r="Z75" s="4"/>
    </row>
    <row r="76" ht="15.75" customHeight="1">
      <c r="A76" s="9" t="s">
        <v>555</v>
      </c>
      <c r="B76" s="10" t="str">
        <f>'7조'!B$61</f>
        <v/>
      </c>
      <c r="C76" s="13" t="str">
        <f>'7조'!C$61</f>
        <v>7조 - Main-subroutine - Safety</v>
      </c>
      <c r="D76" s="10" t="str">
        <f>'7조'!D$61</f>
        <v/>
      </c>
      <c r="E76" s="13" t="str">
        <f>'7조'!E$61</f>
        <v>7조 - Master-Slave - Safety</v>
      </c>
      <c r="F76" s="4"/>
      <c r="G76" s="4"/>
      <c r="H76" s="4"/>
      <c r="I76" s="4"/>
      <c r="J76" s="4"/>
      <c r="K76" s="4"/>
      <c r="L76" s="4"/>
      <c r="M76" s="4"/>
      <c r="N76" s="4"/>
      <c r="O76" s="4"/>
      <c r="P76" s="4"/>
      <c r="Q76" s="4"/>
      <c r="R76" s="4"/>
      <c r="S76" s="4"/>
      <c r="T76" s="4"/>
      <c r="U76" s="4"/>
      <c r="V76" s="4"/>
      <c r="W76" s="4"/>
      <c r="X76" s="4"/>
      <c r="Y76" s="4"/>
      <c r="Z76" s="4"/>
    </row>
    <row r="77" ht="15.75" customHeight="1">
      <c r="A77" s="9" t="s">
        <v>557</v>
      </c>
      <c r="B77" s="10" t="str">
        <f>'8조'!B$61</f>
        <v/>
      </c>
      <c r="C77" s="13" t="str">
        <f>'8조'!C$61</f>
        <v>8조 - Main-subroutine - Safety</v>
      </c>
      <c r="D77" s="10" t="str">
        <f>'8조'!D$61</f>
        <v/>
      </c>
      <c r="E77" s="13" t="str">
        <f>'8조'!E$61</f>
        <v>8조 - Master-Slave - Safety</v>
      </c>
      <c r="F77" s="4"/>
      <c r="G77" s="4"/>
      <c r="H77" s="4"/>
      <c r="I77" s="4"/>
      <c r="J77" s="4"/>
      <c r="K77" s="4"/>
      <c r="L77" s="4"/>
      <c r="M77" s="4"/>
      <c r="N77" s="4"/>
      <c r="O77" s="4"/>
      <c r="P77" s="4"/>
      <c r="Q77" s="4"/>
      <c r="R77" s="4"/>
      <c r="S77" s="4"/>
      <c r="T77" s="4"/>
      <c r="U77" s="4"/>
      <c r="V77" s="4"/>
      <c r="W77" s="4"/>
      <c r="X77" s="4"/>
      <c r="Y77" s="4"/>
      <c r="Z77" s="4"/>
    </row>
    <row r="78" ht="15.75" customHeight="1">
      <c r="A78" s="9" t="s">
        <v>560</v>
      </c>
      <c r="B78" s="10" t="str">
        <f>'9조'!B$61</f>
        <v/>
      </c>
      <c r="C78" s="13" t="str">
        <f>'9조'!C$61</f>
        <v>9조 - Main-subroutine - Safety</v>
      </c>
      <c r="D78" s="10" t="str">
        <f>'9조'!D$61</f>
        <v/>
      </c>
      <c r="E78" s="13" t="str">
        <f>'9조'!E$61</f>
        <v>9조 - Master-Slave - Safety</v>
      </c>
      <c r="F78" s="4"/>
      <c r="G78" s="4"/>
      <c r="H78" s="4"/>
      <c r="I78" s="4"/>
      <c r="J78" s="4"/>
      <c r="K78" s="4"/>
      <c r="L78" s="4"/>
      <c r="M78" s="4"/>
      <c r="N78" s="4"/>
      <c r="O78" s="4"/>
      <c r="P78" s="4"/>
      <c r="Q78" s="4"/>
      <c r="R78" s="4"/>
      <c r="S78" s="4"/>
      <c r="T78" s="4"/>
      <c r="U78" s="4"/>
      <c r="V78" s="4"/>
      <c r="W78" s="4"/>
      <c r="X78" s="4"/>
      <c r="Y78" s="4"/>
      <c r="Z78" s="4"/>
    </row>
    <row r="79" ht="15.75" customHeight="1">
      <c r="A79" s="11"/>
      <c r="B79" s="14"/>
      <c r="C79" s="11"/>
      <c r="D79" s="14"/>
      <c r="E79" s="11"/>
      <c r="F79" s="4"/>
      <c r="G79" s="4"/>
      <c r="H79" s="4"/>
      <c r="I79" s="4"/>
      <c r="J79" s="4"/>
      <c r="K79" s="4"/>
      <c r="L79" s="4"/>
      <c r="M79" s="4"/>
      <c r="N79" s="4"/>
      <c r="O79" s="4"/>
      <c r="P79" s="4"/>
      <c r="Q79" s="4"/>
      <c r="R79" s="4"/>
      <c r="S79" s="4"/>
      <c r="T79" s="4"/>
      <c r="U79" s="4"/>
      <c r="V79" s="4"/>
      <c r="W79" s="4"/>
      <c r="X79" s="4"/>
      <c r="Y79" s="4"/>
      <c r="Z79" s="4"/>
    </row>
    <row r="80" ht="15.75" customHeight="1">
      <c r="A80" s="7" t="s">
        <v>261</v>
      </c>
      <c r="B80" s="7" t="str">
        <f>'Detailed Reasoning'!B$62</f>
        <v/>
      </c>
      <c r="C80" s="7" t="str">
        <f>'Detailed Reasoning'!C$62</f>
        <v/>
      </c>
      <c r="D80" s="7" t="str">
        <f>'Detailed Reasoning'!D$62</f>
        <v/>
      </c>
      <c r="E80" s="7" t="str">
        <f>'Detailed Reasoning'!E$62</f>
        <v/>
      </c>
      <c r="F80" s="4"/>
      <c r="G80" s="4"/>
      <c r="H80" s="4"/>
      <c r="I80" s="4"/>
      <c r="J80" s="4"/>
      <c r="K80" s="4"/>
      <c r="L80" s="4"/>
      <c r="M80" s="4"/>
      <c r="N80" s="4"/>
      <c r="O80" s="4"/>
      <c r="P80" s="4"/>
      <c r="Q80" s="4"/>
      <c r="R80" s="4"/>
      <c r="S80" s="4"/>
      <c r="T80" s="4"/>
      <c r="U80" s="4"/>
      <c r="V80" s="4"/>
      <c r="W80" s="4"/>
      <c r="X80" s="4"/>
      <c r="Y80" s="4"/>
      <c r="Z80" s="4"/>
    </row>
    <row r="81" ht="15.75" customHeight="1">
      <c r="A81" s="9" t="s">
        <v>562</v>
      </c>
      <c r="B81" s="10" t="str">
        <f>'1조'!B$62</f>
        <v>+</v>
      </c>
      <c r="C81" s="13" t="str">
        <f>'1조'!C$62</f>
        <v>[+] 단일 프로세스 메모리 영역 내부에서 보안 제어 용이
[-] 모듈 간 세부적 접근 제어 경계 설정 불가능</v>
      </c>
      <c r="D81" s="10" t="str">
        <f>'1조'!D$62</f>
        <v>-</v>
      </c>
      <c r="E81" s="13" t="str">
        <f>'1조'!E$62</f>
        <v>[+] Master 단일 관문에서 보안 통제 및 권한 검증 일괄 수행
[-] Master-Slave 간 네트워크 통신 구간 노출 위험</v>
      </c>
      <c r="F81" s="12" t="s">
        <v>565</v>
      </c>
      <c r="G81" s="4"/>
      <c r="H81" s="4"/>
      <c r="I81" s="4"/>
      <c r="J81" s="4"/>
      <c r="K81" s="4"/>
      <c r="L81" s="4"/>
      <c r="M81" s="4"/>
      <c r="N81" s="4"/>
      <c r="O81" s="4"/>
      <c r="P81" s="4"/>
      <c r="Q81" s="4"/>
      <c r="R81" s="4"/>
      <c r="S81" s="4"/>
      <c r="T81" s="4"/>
      <c r="U81" s="4"/>
      <c r="V81" s="4"/>
      <c r="W81" s="4"/>
      <c r="X81" s="4"/>
      <c r="Y81" s="4"/>
      <c r="Z81" s="4"/>
    </row>
    <row r="82" ht="15.75" customHeight="1">
      <c r="A82" s="9" t="s">
        <v>567</v>
      </c>
      <c r="B82" s="10" t="str">
        <f>'2조'!B$62</f>
        <v>-</v>
      </c>
      <c r="C82" s="13" t="str">
        <f>'2조'!C$62</f>
        <v>전역 데이터에 경계가 없어 한 곳이 뚫리면 전부 노출된다</v>
      </c>
      <c r="D82" s="10" t="str">
        <f>'2조'!D$62</f>
        <v>-</v>
      </c>
      <c r="E82" s="13" t="str">
        <f>'2조'!E$62</f>
        <v>master 가 뚫리면 모든 slave 에 잘못된 작업을 내려보낼 수 있다</v>
      </c>
      <c r="G82" s="4"/>
      <c r="H82" s="4"/>
      <c r="I82" s="4"/>
      <c r="J82" s="4"/>
      <c r="K82" s="4"/>
      <c r="L82" s="4"/>
      <c r="M82" s="4"/>
      <c r="N82" s="4"/>
      <c r="O82" s="4"/>
      <c r="P82" s="4"/>
      <c r="Q82" s="4"/>
      <c r="R82" s="4"/>
      <c r="S82" s="4"/>
      <c r="T82" s="4"/>
      <c r="U82" s="4"/>
      <c r="V82" s="4"/>
      <c r="W82" s="4"/>
      <c r="X82" s="4"/>
      <c r="Y82" s="4"/>
      <c r="Z82" s="4"/>
    </row>
    <row r="83" ht="15.75" customHeight="1">
      <c r="A83" s="9" t="s">
        <v>569</v>
      </c>
      <c r="B83" s="10" t="str">
        <f>'3조'!B$62</f>
        <v>-</v>
      </c>
      <c r="C83" s="13" t="str">
        <f>'3조'!C$62</f>
        <v>Subroutine들이 동일 프로세스와 권한 경계를 공유하는 경우가 많아 하나의 취약점이나 메모리 오류가 다른 모듈과 전체 실행 흐름에 영향을 미칠 수 있어 보안 격리에 불리하다.</v>
      </c>
      <c r="D83" s="10" t="str">
        <f>'3조'!D$62</f>
        <v>0</v>
      </c>
      <c r="E83" s="13" t="str">
        <f>'3조'!E$62</f>
        <v>Slave를 독립 실행 단위로 분리하면 침해 범위를 제한할 수 있지만, Master가 중앙 통제 지점이 되어 공격이 집중될 수 있고 스타일 자체가 인증·인가·암호화 등의 보안 메커니즘을 제공하지는 않는다.</v>
      </c>
      <c r="G83" s="4"/>
      <c r="H83" s="4"/>
      <c r="I83" s="4"/>
      <c r="J83" s="4"/>
      <c r="K83" s="4"/>
      <c r="L83" s="4"/>
      <c r="M83" s="4"/>
      <c r="N83" s="4"/>
      <c r="O83" s="4"/>
      <c r="P83" s="4"/>
      <c r="Q83" s="4"/>
      <c r="R83" s="4"/>
      <c r="S83" s="4"/>
      <c r="T83" s="4"/>
      <c r="U83" s="4"/>
      <c r="V83" s="4"/>
      <c r="W83" s="4"/>
      <c r="X83" s="4"/>
      <c r="Y83" s="4"/>
      <c r="Z83" s="4"/>
    </row>
    <row r="84" ht="15.75" customHeight="1">
      <c r="A84" s="9" t="s">
        <v>570</v>
      </c>
      <c r="B84" s="10" t="str">
        <f>'4조'!B$62</f>
        <v>0</v>
      </c>
      <c r="C84" s="13" t="str">
        <f>'4조'!C$62</f>
        <v>순서대로 접근을 점검하기 쉽지만 공통 정보가 노출되면 피해가 커질 수 있다.</v>
      </c>
      <c r="D84" s="10" t="str">
        <f>'4조'!D$62</f>
        <v>0</v>
      </c>
      <c r="E84" s="13" t="str">
        <f>'4조'!E$62</f>
        <v>역할별 권한을 나누기 좋지만 여러 작업자와 통신 경로를 함께 보호해야 한다.</v>
      </c>
      <c r="G84" s="4"/>
      <c r="H84" s="4"/>
      <c r="I84" s="4"/>
      <c r="J84" s="4"/>
      <c r="K84" s="4"/>
      <c r="L84" s="4"/>
      <c r="M84" s="4"/>
      <c r="N84" s="4"/>
      <c r="O84" s="4"/>
      <c r="P84" s="4"/>
      <c r="Q84" s="4"/>
      <c r="R84" s="4"/>
      <c r="S84" s="4"/>
      <c r="T84" s="4"/>
      <c r="U84" s="4"/>
      <c r="V84" s="4"/>
      <c r="W84" s="4"/>
      <c r="X84" s="4"/>
      <c r="Y84" s="4"/>
      <c r="Z84" s="4"/>
    </row>
    <row r="85" ht="15.75" customHeight="1">
      <c r="A85" s="9" t="s">
        <v>574</v>
      </c>
      <c r="B85" s="10" t="str">
        <f>'5조'!B$62</f>
        <v>+</v>
      </c>
      <c r="C85" s="13" t="str">
        <f>'5조'!C$62</f>
        <v>컴포넌트간 직접 호출로 공격 접점이 적음.</v>
      </c>
      <c r="D85" s="10" t="str">
        <f>'5조'!D$62</f>
        <v>-</v>
      </c>
      <c r="E85" s="13" t="str">
        <f>'5조'!E$62</f>
        <v>Master, Slave간 통신 시 위험 존재</v>
      </c>
      <c r="G85" s="4"/>
      <c r="H85" s="4"/>
      <c r="I85" s="4"/>
      <c r="J85" s="4"/>
      <c r="K85" s="4"/>
      <c r="L85" s="4"/>
      <c r="M85" s="4"/>
      <c r="N85" s="4"/>
      <c r="O85" s="4"/>
      <c r="P85" s="4"/>
      <c r="Q85" s="4"/>
      <c r="R85" s="4"/>
      <c r="S85" s="4"/>
      <c r="T85" s="4"/>
      <c r="U85" s="4"/>
      <c r="V85" s="4"/>
      <c r="W85" s="4"/>
      <c r="X85" s="4"/>
      <c r="Y85" s="4"/>
      <c r="Z85" s="4"/>
    </row>
    <row r="86" ht="15.75" customHeight="1">
      <c r="A86" s="9" t="s">
        <v>576</v>
      </c>
      <c r="B86" s="10" t="str">
        <f>'6조'!B$62</f>
        <v>-</v>
      </c>
      <c r="C86" s="13" t="str">
        <f>'6조'!C$62</f>
        <v>프로세스 내부에 보안 경계가 없어 한 Subroutine이 다른 메모리와 자원에 접근 가능</v>
      </c>
      <c r="D86" s="10" t="str">
        <f>'6조'!D$62</f>
        <v>-</v>
      </c>
      <c r="E86" s="13" t="str">
        <f>'6조'!E$62</f>
        <v>Master가 공격당할 경우 시스템 failure를 야기시킬 수 있다. (a single point of failure)</v>
      </c>
      <c r="G86" s="4"/>
      <c r="H86" s="4"/>
      <c r="I86" s="4"/>
      <c r="J86" s="4"/>
      <c r="K86" s="4"/>
      <c r="L86" s="4"/>
      <c r="M86" s="4"/>
      <c r="N86" s="4"/>
      <c r="O86" s="4"/>
      <c r="P86" s="4"/>
      <c r="Q86" s="4"/>
      <c r="R86" s="4"/>
      <c r="S86" s="4"/>
      <c r="T86" s="4"/>
      <c r="U86" s="4"/>
      <c r="V86" s="4"/>
      <c r="W86" s="4"/>
      <c r="X86" s="4"/>
      <c r="Y86" s="4"/>
      <c r="Z86" s="4"/>
    </row>
    <row r="87" ht="15.75" customHeight="1">
      <c r="A87" s="9" t="s">
        <v>579</v>
      </c>
      <c r="B87" s="10" t="str">
        <f>'7조'!B$62</f>
        <v/>
      </c>
      <c r="C87" s="13" t="str">
        <f>'7조'!C$62</f>
        <v>7조 - Main-subroutine - Security</v>
      </c>
      <c r="D87" s="10" t="str">
        <f>'7조'!D$62</f>
        <v/>
      </c>
      <c r="E87" s="13" t="str">
        <f>'7조'!E$62</f>
        <v>7조 - Master-Slave - Security</v>
      </c>
      <c r="F87" s="4"/>
      <c r="G87" s="4"/>
      <c r="H87" s="4"/>
      <c r="I87" s="4"/>
      <c r="J87" s="4"/>
      <c r="K87" s="4"/>
      <c r="L87" s="4"/>
      <c r="M87" s="4"/>
      <c r="N87" s="4"/>
      <c r="O87" s="4"/>
      <c r="P87" s="4"/>
      <c r="Q87" s="4"/>
      <c r="R87" s="4"/>
      <c r="S87" s="4"/>
      <c r="T87" s="4"/>
      <c r="U87" s="4"/>
      <c r="V87" s="4"/>
      <c r="W87" s="4"/>
      <c r="X87" s="4"/>
      <c r="Y87" s="4"/>
      <c r="Z87" s="4"/>
    </row>
    <row r="88" ht="15.75" customHeight="1">
      <c r="A88" s="9" t="s">
        <v>580</v>
      </c>
      <c r="B88" s="10" t="str">
        <f>'8조'!B$62</f>
        <v/>
      </c>
      <c r="C88" s="13" t="str">
        <f>'8조'!C$62</f>
        <v>8조 - Main-subroutine - Security</v>
      </c>
      <c r="D88" s="10" t="str">
        <f>'8조'!D$62</f>
        <v/>
      </c>
      <c r="E88" s="13" t="str">
        <f>'8조'!E$62</f>
        <v>8조 - Master-Slave - Security</v>
      </c>
      <c r="F88" s="4"/>
      <c r="G88" s="4"/>
      <c r="H88" s="4"/>
      <c r="I88" s="4"/>
      <c r="J88" s="4"/>
      <c r="K88" s="4"/>
      <c r="L88" s="4"/>
      <c r="M88" s="4"/>
      <c r="N88" s="4"/>
      <c r="O88" s="4"/>
      <c r="P88" s="4"/>
      <c r="Q88" s="4"/>
      <c r="R88" s="4"/>
      <c r="S88" s="4"/>
      <c r="T88" s="4"/>
      <c r="U88" s="4"/>
      <c r="V88" s="4"/>
      <c r="W88" s="4"/>
      <c r="X88" s="4"/>
      <c r="Y88" s="4"/>
      <c r="Z88" s="4"/>
    </row>
    <row r="89" ht="15.75" customHeight="1">
      <c r="A89" s="9" t="s">
        <v>582</v>
      </c>
      <c r="B89" s="10" t="str">
        <f>'9조'!B$62</f>
        <v/>
      </c>
      <c r="C89" s="13" t="str">
        <f>'9조'!C$62</f>
        <v>9조 - Main-subroutine - Security</v>
      </c>
      <c r="D89" s="10" t="str">
        <f>'9조'!D$62</f>
        <v/>
      </c>
      <c r="E89" s="13" t="str">
        <f>'9조'!E$62</f>
        <v>9조 - Master-Slave - Security</v>
      </c>
      <c r="F89" s="4"/>
      <c r="G89" s="4"/>
      <c r="H89" s="4"/>
      <c r="I89" s="4"/>
      <c r="J89" s="4"/>
      <c r="K89" s="4"/>
      <c r="L89" s="4"/>
      <c r="M89" s="4"/>
      <c r="N89" s="4"/>
      <c r="O89" s="4"/>
      <c r="P89" s="4"/>
      <c r="Q89" s="4"/>
      <c r="R89" s="4"/>
      <c r="S89" s="4"/>
      <c r="T89" s="4"/>
      <c r="U89" s="4"/>
      <c r="V89" s="4"/>
      <c r="W89" s="4"/>
      <c r="X89" s="4"/>
      <c r="Y89" s="4"/>
      <c r="Z89" s="4"/>
    </row>
    <row r="90" ht="15.75" customHeight="1">
      <c r="A90" s="11"/>
      <c r="B90" s="14"/>
      <c r="C90" s="11"/>
      <c r="D90" s="14"/>
      <c r="E90" s="11"/>
      <c r="F90" s="4"/>
      <c r="G90" s="4"/>
      <c r="H90" s="4"/>
      <c r="I90" s="4"/>
      <c r="J90" s="4"/>
      <c r="K90" s="4"/>
      <c r="L90" s="4"/>
      <c r="M90" s="4"/>
      <c r="N90" s="4"/>
      <c r="O90" s="4"/>
      <c r="P90" s="4"/>
      <c r="Q90" s="4"/>
      <c r="R90" s="4"/>
      <c r="S90" s="4"/>
      <c r="T90" s="4"/>
      <c r="U90" s="4"/>
      <c r="V90" s="4"/>
      <c r="W90" s="4"/>
      <c r="X90" s="4"/>
      <c r="Y90" s="4"/>
      <c r="Z90" s="4"/>
    </row>
    <row r="91" ht="15.75" customHeight="1">
      <c r="A91" s="7" t="s">
        <v>310</v>
      </c>
      <c r="B91" s="7" t="str">
        <f>'Detailed Reasoning'!B$63</f>
        <v/>
      </c>
      <c r="C91" s="7" t="str">
        <f>'Detailed Reasoning'!C$63</f>
        <v/>
      </c>
      <c r="D91" s="7" t="str">
        <f>'Detailed Reasoning'!D$63</f>
        <v/>
      </c>
      <c r="E91" s="7" t="str">
        <f>'Detailed Reasoning'!E$63</f>
        <v/>
      </c>
      <c r="F91" s="4"/>
      <c r="G91" s="4"/>
      <c r="H91" s="4"/>
      <c r="I91" s="4"/>
      <c r="J91" s="4"/>
      <c r="K91" s="4"/>
      <c r="L91" s="4"/>
      <c r="M91" s="4"/>
      <c r="N91" s="4"/>
      <c r="O91" s="4"/>
      <c r="P91" s="4"/>
      <c r="Q91" s="4"/>
      <c r="R91" s="4"/>
      <c r="S91" s="4"/>
      <c r="T91" s="4"/>
      <c r="U91" s="4"/>
      <c r="V91" s="4"/>
      <c r="W91" s="4"/>
      <c r="X91" s="4"/>
      <c r="Y91" s="4"/>
      <c r="Z91" s="4"/>
    </row>
    <row r="92" ht="15.75" customHeight="1">
      <c r="A92" s="9" t="s">
        <v>586</v>
      </c>
      <c r="B92" s="10" t="str">
        <f>'1조'!B$63</f>
        <v>+</v>
      </c>
      <c r="C92" s="13" t="str">
        <f>'1조'!C$63</f>
        <v>독립적인 서브루틴 단위로 입출력(Parameter/Return Value) 기반의 단위 테스트(Unit Testing) 작성이 매우 용이합니다.</v>
      </c>
      <c r="D92" s="10" t="str">
        <f>'1조'!D$63</f>
        <v>-</v>
      </c>
      <c r="E92" s="13" t="str">
        <f>'1조'!E$63</f>
        <v>[+] 개별 Slave 로직 단독 단위 테스트 가능
[-] 병렬 동기화, 타이밍 이슈로 인한 분산 통합 테스트 어려움</v>
      </c>
      <c r="F92" s="12" t="s">
        <v>588</v>
      </c>
      <c r="G92" s="4"/>
      <c r="H92" s="4"/>
      <c r="I92" s="4"/>
      <c r="J92" s="4"/>
      <c r="K92" s="4"/>
      <c r="L92" s="4"/>
      <c r="M92" s="4"/>
      <c r="N92" s="4"/>
      <c r="O92" s="4"/>
      <c r="P92" s="4"/>
      <c r="Q92" s="4"/>
      <c r="R92" s="4"/>
      <c r="S92" s="4"/>
      <c r="T92" s="4"/>
      <c r="U92" s="4"/>
      <c r="V92" s="4"/>
      <c r="W92" s="4"/>
      <c r="X92" s="4"/>
      <c r="Y92" s="4"/>
      <c r="Z92" s="4"/>
    </row>
    <row r="93" ht="15.75" customHeight="1">
      <c r="A93" s="9" t="s">
        <v>590</v>
      </c>
      <c r="B93" s="10" t="str">
        <f>'2조'!B$63</f>
        <v>++</v>
      </c>
      <c r="C93" s="13" t="str">
        <f>'2조'!C$63</f>
        <v>모듈 구조 덕분에 각 subroutine 을 독립적으로 단위 시험할 수 있다. 교안이 장점으로 든다</v>
      </c>
      <c r="D93" s="10" t="str">
        <f>'2조'!D$63</f>
        <v>+</v>
      </c>
      <c r="E93" s="13" t="str">
        <f>'2조'!E$63</f>
        <v>slave 는 같은 일을 하는 독립 단위라 하나만 시험하면 된다. 재할당 동작은 시험하기 어렵다</v>
      </c>
      <c r="G93" s="4"/>
      <c r="H93" s="4"/>
      <c r="I93" s="4"/>
      <c r="J93" s="4"/>
      <c r="K93" s="4"/>
      <c r="L93" s="4"/>
      <c r="M93" s="4"/>
      <c r="N93" s="4"/>
      <c r="O93" s="4"/>
      <c r="P93" s="4"/>
      <c r="Q93" s="4"/>
      <c r="R93" s="4"/>
      <c r="S93" s="4"/>
      <c r="T93" s="4"/>
      <c r="U93" s="4"/>
      <c r="V93" s="4"/>
      <c r="W93" s="4"/>
      <c r="X93" s="4"/>
      <c r="Y93" s="4"/>
      <c r="Z93" s="4"/>
    </row>
    <row r="94" ht="15.75" customHeight="1">
      <c r="A94" s="9" t="s">
        <v>592</v>
      </c>
      <c r="B94" s="10" t="str">
        <f>'3조'!B$63</f>
        <v>+</v>
      </c>
      <c r="C94" s="13" t="str">
        <f>'3조'!C$63</f>
        <v>선형적으로 동작하는 구조 및 분리된 main/subroutine별 단위/통합테스트 용이함</v>
      </c>
      <c r="D94" s="10" t="str">
        <f>'3조'!D$63</f>
        <v>-</v>
      </c>
      <c r="E94" s="13" t="str">
        <f>'3조'!E$63</f>
        <v>다중/병렬 slave,  선택전략의 검증 등 테스트가 어려움</v>
      </c>
      <c r="G94" s="4"/>
      <c r="H94" s="4"/>
      <c r="I94" s="4"/>
      <c r="J94" s="4"/>
      <c r="K94" s="4"/>
      <c r="L94" s="4"/>
      <c r="M94" s="4"/>
      <c r="N94" s="4"/>
      <c r="O94" s="4"/>
      <c r="P94" s="4"/>
      <c r="Q94" s="4"/>
      <c r="R94" s="4"/>
      <c r="S94" s="4"/>
      <c r="T94" s="4"/>
      <c r="U94" s="4"/>
      <c r="V94" s="4"/>
      <c r="W94" s="4"/>
      <c r="X94" s="4"/>
      <c r="Y94" s="4"/>
      <c r="Z94" s="4"/>
    </row>
    <row r="95" ht="15.75" customHeight="1">
      <c r="A95" s="9" t="s">
        <v>595</v>
      </c>
      <c r="B95" s="10" t="str">
        <f>'4조'!B$63</f>
        <v>+</v>
      </c>
      <c r="C95" s="13" t="str">
        <f>'4조'!C$63</f>
        <v>입력과 실행 순서를 재현하기 쉽지만 연결된 함수를 따로 시험하기는 불편하다.</v>
      </c>
      <c r="D95" s="10" t="str">
        <f>'4조'!D$63</f>
        <v>-</v>
      </c>
      <c r="E95" s="13" t="str">
        <f>'4조'!E$63</f>
        <v>여러 작업자의 실행 순서와 분산된 결과를 똑같이 재현하기 어렵다.</v>
      </c>
      <c r="G95" s="4"/>
      <c r="H95" s="4"/>
      <c r="I95" s="4"/>
      <c r="J95" s="4"/>
      <c r="K95" s="4"/>
      <c r="L95" s="4"/>
      <c r="M95" s="4"/>
      <c r="N95" s="4"/>
      <c r="O95" s="4"/>
      <c r="P95" s="4"/>
      <c r="Q95" s="4"/>
      <c r="R95" s="4"/>
      <c r="S95" s="4"/>
      <c r="T95" s="4"/>
      <c r="U95" s="4"/>
      <c r="V95" s="4"/>
      <c r="W95" s="4"/>
      <c r="X95" s="4"/>
      <c r="Y95" s="4"/>
      <c r="Z95" s="4"/>
    </row>
    <row r="96" ht="15.75" customHeight="1">
      <c r="A96" s="9" t="s">
        <v>596</v>
      </c>
      <c r="B96" s="10" t="str">
        <f>'5조'!B$63</f>
        <v>++</v>
      </c>
      <c r="C96" s="13" t="str">
        <f>'5조'!C$63</f>
        <v>입출력이 명확하여 단위 테스트가 용이하다.</v>
      </c>
      <c r="D96" s="10" t="str">
        <f>'5조'!D$63</f>
        <v>-</v>
      </c>
      <c r="E96" s="13" t="str">
        <f>'5조'!E$63</f>
        <v>여러 Slave가 병렬로 실행되므로 타이밍 문제, 레이스 조건(Race Condition), 데드락(Deadlock) 등 실행 시점마다 달라지는 비동기적 결함을 테스트하고 재현하기 어려움</v>
      </c>
      <c r="G96" s="4"/>
      <c r="H96" s="4"/>
      <c r="I96" s="4"/>
      <c r="J96" s="4"/>
      <c r="K96" s="4"/>
      <c r="L96" s="4"/>
      <c r="M96" s="4"/>
      <c r="N96" s="4"/>
      <c r="O96" s="4"/>
      <c r="P96" s="4"/>
      <c r="Q96" s="4"/>
      <c r="R96" s="4"/>
      <c r="S96" s="4"/>
      <c r="T96" s="4"/>
      <c r="U96" s="4"/>
      <c r="V96" s="4"/>
      <c r="W96" s="4"/>
      <c r="X96" s="4"/>
      <c r="Y96" s="4"/>
      <c r="Z96" s="4"/>
    </row>
    <row r="97" ht="15.75" customHeight="1">
      <c r="A97" s="9" t="s">
        <v>597</v>
      </c>
      <c r="B97" s="10" t="str">
        <f>'6조'!B$63</f>
        <v>0</v>
      </c>
      <c r="C97" s="13" t="str">
        <f>'6조'!C$63</f>
        <v>Subroutine 단위테스트는 쉬우나, 통합테스트의 어려움이 있음</v>
      </c>
      <c r="D97" s="10" t="str">
        <f>'6조'!D$63</f>
        <v>-</v>
      </c>
      <c r="E97" s="13" t="str">
        <f>'6조'!E$63</f>
        <v>분산된 환경에 대한 통합 테스트가 어려워진다.</v>
      </c>
      <c r="F97" s="4"/>
      <c r="G97" s="4"/>
      <c r="H97" s="4"/>
      <c r="I97" s="4"/>
      <c r="J97" s="4"/>
      <c r="K97" s="4"/>
      <c r="L97" s="4"/>
      <c r="M97" s="4"/>
      <c r="N97" s="4"/>
      <c r="O97" s="4"/>
      <c r="P97" s="4"/>
      <c r="Q97" s="4"/>
      <c r="R97" s="4"/>
      <c r="S97" s="4"/>
      <c r="T97" s="4"/>
      <c r="U97" s="4"/>
      <c r="V97" s="4"/>
      <c r="W97" s="4"/>
      <c r="X97" s="4"/>
      <c r="Y97" s="4"/>
      <c r="Z97" s="4"/>
    </row>
    <row r="98" ht="15.75" customHeight="1">
      <c r="A98" s="9" t="s">
        <v>599</v>
      </c>
      <c r="B98" s="10" t="str">
        <f>'7조'!B$63</f>
        <v/>
      </c>
      <c r="C98" s="13" t="str">
        <f>'7조'!C$63</f>
        <v>7조 - Main-subroutine - Testability</v>
      </c>
      <c r="D98" s="10" t="str">
        <f>'7조'!D$63</f>
        <v/>
      </c>
      <c r="E98" s="13" t="str">
        <f>'7조'!E$63</f>
        <v>7조 - Master-Slave - Testability</v>
      </c>
      <c r="F98" s="4"/>
      <c r="G98" s="4"/>
      <c r="H98" s="4"/>
      <c r="I98" s="4"/>
      <c r="J98" s="4"/>
      <c r="K98" s="4"/>
      <c r="L98" s="4"/>
      <c r="M98" s="4"/>
      <c r="N98" s="4"/>
      <c r="O98" s="4"/>
      <c r="P98" s="4"/>
      <c r="Q98" s="4"/>
      <c r="R98" s="4"/>
      <c r="S98" s="4"/>
      <c r="T98" s="4"/>
      <c r="U98" s="4"/>
      <c r="V98" s="4"/>
      <c r="W98" s="4"/>
      <c r="X98" s="4"/>
      <c r="Y98" s="4"/>
      <c r="Z98" s="4"/>
    </row>
    <row r="99" ht="15.75" customHeight="1">
      <c r="A99" s="9" t="s">
        <v>602</v>
      </c>
      <c r="B99" s="10" t="str">
        <f>'8조'!B$63</f>
        <v/>
      </c>
      <c r="C99" s="13" t="str">
        <f>'8조'!C$63</f>
        <v>8조 - Main-subroutine - Testability</v>
      </c>
      <c r="D99" s="10" t="str">
        <f>'8조'!D$63</f>
        <v/>
      </c>
      <c r="E99" s="13" t="str">
        <f>'8조'!E$63</f>
        <v>8조 - Master-Slave - Testability</v>
      </c>
      <c r="F99" s="4"/>
      <c r="G99" s="4"/>
      <c r="H99" s="4"/>
      <c r="I99" s="4"/>
      <c r="J99" s="4"/>
      <c r="K99" s="4"/>
      <c r="L99" s="4"/>
      <c r="M99" s="4"/>
      <c r="N99" s="4"/>
      <c r="O99" s="4"/>
      <c r="P99" s="4"/>
      <c r="Q99" s="4"/>
      <c r="R99" s="4"/>
      <c r="S99" s="4"/>
      <c r="T99" s="4"/>
      <c r="U99" s="4"/>
      <c r="V99" s="4"/>
      <c r="W99" s="4"/>
      <c r="X99" s="4"/>
      <c r="Y99" s="4"/>
      <c r="Z99" s="4"/>
    </row>
    <row r="100" ht="15.75" customHeight="1">
      <c r="A100" s="9" t="s">
        <v>604</v>
      </c>
      <c r="B100" s="10" t="str">
        <f>'9조'!B$63</f>
        <v/>
      </c>
      <c r="C100" s="13" t="str">
        <f>'9조'!C$63</f>
        <v>9조 - Main-subroutine - Testability</v>
      </c>
      <c r="D100" s="10" t="str">
        <f>'9조'!D$63</f>
        <v/>
      </c>
      <c r="E100" s="13" t="str">
        <f>'9조'!E$63</f>
        <v>9조 - Master-Slave - Testability</v>
      </c>
      <c r="F100" s="4"/>
      <c r="G100" s="4"/>
      <c r="H100" s="4"/>
      <c r="I100" s="4"/>
      <c r="J100" s="4"/>
      <c r="K100" s="4"/>
      <c r="L100" s="4"/>
      <c r="M100" s="4"/>
      <c r="N100" s="4"/>
      <c r="O100" s="4"/>
      <c r="P100" s="4"/>
      <c r="Q100" s="4"/>
      <c r="R100" s="4"/>
      <c r="S100" s="4"/>
      <c r="T100" s="4"/>
      <c r="U100" s="4"/>
      <c r="V100" s="4"/>
      <c r="W100" s="4"/>
      <c r="X100" s="4"/>
      <c r="Y100" s="4"/>
      <c r="Z100" s="4"/>
    </row>
    <row r="101" ht="15.0" customHeight="1">
      <c r="A101" s="11"/>
      <c r="B101" s="14"/>
      <c r="C101" s="11"/>
      <c r="D101" s="14"/>
      <c r="E101" s="11"/>
      <c r="F101" s="4"/>
      <c r="G101" s="4"/>
      <c r="H101" s="4"/>
      <c r="I101" s="4"/>
      <c r="J101" s="4"/>
      <c r="K101" s="4"/>
      <c r="L101" s="4"/>
      <c r="M101" s="4"/>
      <c r="N101" s="4"/>
      <c r="O101" s="4"/>
      <c r="P101" s="4"/>
      <c r="Q101" s="4"/>
      <c r="R101" s="4"/>
      <c r="S101" s="4"/>
      <c r="T101" s="4"/>
      <c r="U101" s="4"/>
      <c r="V101" s="4"/>
      <c r="W101" s="4"/>
      <c r="X101" s="4"/>
      <c r="Y101" s="4"/>
      <c r="Z101" s="4"/>
    </row>
    <row r="102" ht="15.75" customHeight="1">
      <c r="A102" s="7" t="s">
        <v>346</v>
      </c>
      <c r="B102" s="7" t="str">
        <f>'Detailed Reasoning'!B$64</f>
        <v/>
      </c>
      <c r="C102" s="7" t="str">
        <f>'Detailed Reasoning'!C$64</f>
        <v/>
      </c>
      <c r="D102" s="7" t="str">
        <f>'Detailed Reasoning'!D$64</f>
        <v/>
      </c>
      <c r="E102" s="7" t="str">
        <f>'Detailed Reasoning'!E$64</f>
        <v/>
      </c>
      <c r="F102" s="4"/>
      <c r="G102" s="4"/>
      <c r="H102" s="4"/>
      <c r="I102" s="4"/>
      <c r="J102" s="4"/>
      <c r="K102" s="4"/>
      <c r="L102" s="4"/>
      <c r="M102" s="4"/>
      <c r="N102" s="4"/>
      <c r="O102" s="4"/>
      <c r="P102" s="4"/>
      <c r="Q102" s="4"/>
      <c r="R102" s="4"/>
      <c r="S102" s="4"/>
      <c r="T102" s="4"/>
      <c r="U102" s="4"/>
      <c r="V102" s="4"/>
      <c r="W102" s="4"/>
      <c r="X102" s="4"/>
      <c r="Y102" s="4"/>
      <c r="Z102" s="4"/>
    </row>
    <row r="103" ht="15.75" customHeight="1">
      <c r="A103" s="9" t="s">
        <v>608</v>
      </c>
      <c r="B103" s="10" t="str">
        <f>'1조'!B$64</f>
        <v>0</v>
      </c>
      <c r="C103" s="13" t="str">
        <f>'1조'!C$64</f>
        <v>시스템의 내부 아키텍처 스타일로, 사용자 인터페이스나 사용자 경험에 직접적인 직접적인 영향은 미미합니다.</v>
      </c>
      <c r="D103" s="10" t="str">
        <f>'1조'!D$64</f>
        <v>0</v>
      </c>
      <c r="E103" s="13" t="str">
        <f>'1조'!E$64</f>
        <v>[0] 내부 작업 배분 구조이므로 사용자 화면과 조작 방식에 직접적인 영향은 작다</v>
      </c>
      <c r="F103" s="12" t="s">
        <v>611</v>
      </c>
      <c r="G103" s="4"/>
      <c r="H103" s="4"/>
      <c r="I103" s="4"/>
      <c r="J103" s="4"/>
      <c r="K103" s="4"/>
      <c r="L103" s="4"/>
      <c r="M103" s="4"/>
      <c r="N103" s="4"/>
      <c r="O103" s="4"/>
      <c r="P103" s="4"/>
      <c r="Q103" s="4"/>
      <c r="R103" s="4"/>
      <c r="S103" s="4"/>
      <c r="T103" s="4"/>
      <c r="U103" s="4"/>
      <c r="V103" s="4"/>
      <c r="W103" s="4"/>
      <c r="X103" s="4"/>
      <c r="Y103" s="4"/>
      <c r="Z103" s="4"/>
    </row>
    <row r="104" ht="15.75" customHeight="1">
      <c r="A104" s="9" t="s">
        <v>612</v>
      </c>
      <c r="B104" s="10" t="str">
        <f>'2조'!B$64</f>
        <v>0</v>
      </c>
      <c r="C104" s="13" t="str">
        <f>'2조'!C$64</f>
        <v>사용자 접점을 규정하지 않는다</v>
      </c>
      <c r="D104" s="10" t="str">
        <f>'2조'!D$64</f>
        <v>0</v>
      </c>
      <c r="E104" s="13" t="str">
        <f>'2조'!E$64</f>
        <v>사용자 접점을 규정하지 않는다</v>
      </c>
      <c r="G104" s="4"/>
      <c r="H104" s="4"/>
      <c r="I104" s="4"/>
      <c r="J104" s="4"/>
      <c r="K104" s="4"/>
      <c r="L104" s="4"/>
      <c r="M104" s="4"/>
      <c r="N104" s="4"/>
      <c r="O104" s="4"/>
      <c r="P104" s="4"/>
      <c r="Q104" s="4"/>
      <c r="R104" s="4"/>
      <c r="S104" s="4"/>
      <c r="T104" s="4"/>
      <c r="U104" s="4"/>
      <c r="V104" s="4"/>
      <c r="W104" s="4"/>
      <c r="X104" s="4"/>
      <c r="Y104" s="4"/>
      <c r="Z104" s="4"/>
    </row>
    <row r="105" ht="15.75" customHeight="1">
      <c r="A105" s="9" t="s">
        <v>614</v>
      </c>
      <c r="B105" s="10" t="str">
        <f>'3조'!B$64</f>
        <v>-</v>
      </c>
      <c r="C105" s="13" t="str">
        <f>'3조'!C$64</f>
        <v>main routine이 종료될때까지 ineteraction이 지연되기 떄문에 usability가 낮다.</v>
      </c>
      <c r="D105" s="10" t="str">
        <f>'3조'!D$64</f>
        <v>0</v>
      </c>
      <c r="E105" s="13" t="str">
        <f>'3조'!E$64</f>
        <v>다중/병렬 검증으로 데이터정합성은 증가할 수 있으나, usability관점에서의 영향성은 적음</v>
      </c>
      <c r="G105" s="4"/>
      <c r="H105" s="4"/>
      <c r="I105" s="4"/>
      <c r="J105" s="4"/>
      <c r="K105" s="4"/>
      <c r="L105" s="4"/>
      <c r="M105" s="4"/>
      <c r="N105" s="4"/>
      <c r="O105" s="4"/>
      <c r="P105" s="4"/>
      <c r="Q105" s="4"/>
      <c r="R105" s="4"/>
      <c r="S105" s="4"/>
      <c r="T105" s="4"/>
      <c r="U105" s="4"/>
      <c r="V105" s="4"/>
      <c r="W105" s="4"/>
      <c r="X105" s="4"/>
      <c r="Y105" s="4"/>
      <c r="Z105" s="4"/>
    </row>
    <row r="106" ht="15.75" customHeight="1">
      <c r="A106" s="9" t="s">
        <v>616</v>
      </c>
      <c r="B106" s="10" t="str">
        <f>'4조'!B$64</f>
        <v>0</v>
      </c>
      <c r="C106" s="13" t="str">
        <f>'4조'!C$64</f>
        <v>공통 정보를 일관되게 보여줄 수 있지만 긴 작업이 사용자 응답을 늦출 수 있다.</v>
      </c>
      <c r="D106" s="10" t="str">
        <f>'4조'!D$64</f>
        <v>0</v>
      </c>
      <c r="E106" s="13" t="str">
        <f>'4조'!E$64</f>
        <v>병렬 처리로 대기를 줄일 수 있지만 작업자별 상태를 사용자에게 일관되게 보여줘야 한다.</v>
      </c>
      <c r="G106" s="4"/>
      <c r="H106" s="4"/>
      <c r="I106" s="4"/>
      <c r="J106" s="4"/>
      <c r="K106" s="4"/>
      <c r="L106" s="4"/>
      <c r="M106" s="4"/>
      <c r="N106" s="4"/>
      <c r="O106" s="4"/>
      <c r="P106" s="4"/>
      <c r="Q106" s="4"/>
      <c r="R106" s="4"/>
      <c r="S106" s="4"/>
      <c r="T106" s="4"/>
      <c r="U106" s="4"/>
      <c r="V106" s="4"/>
      <c r="W106" s="4"/>
      <c r="X106" s="4"/>
      <c r="Y106" s="4"/>
      <c r="Z106" s="4"/>
    </row>
    <row r="107" ht="15.75" customHeight="1">
      <c r="A107" s="9" t="s">
        <v>618</v>
      </c>
      <c r="B107" s="10" t="str">
        <f>'5조'!B$64</f>
        <v>0</v>
      </c>
      <c r="C107" s="13" t="str">
        <f>'5조'!C$64</f>
        <v>프로그램 내부 제어 구조이므로 직접적인 영향은 거의 없다.</v>
      </c>
      <c r="D107" s="10" t="str">
        <f>'5조'!D$64</f>
        <v>0</v>
      </c>
      <c r="E107" s="13" t="str">
        <f>'5조'!E$64</f>
        <v>내부 구조이므로 최종 사용자에 영향이 없다.</v>
      </c>
      <c r="G107" s="4"/>
      <c r="H107" s="4"/>
      <c r="I107" s="4"/>
      <c r="J107" s="4"/>
      <c r="K107" s="4"/>
      <c r="L107" s="4"/>
      <c r="M107" s="4"/>
      <c r="N107" s="4"/>
      <c r="O107" s="4"/>
      <c r="P107" s="4"/>
      <c r="Q107" s="4"/>
      <c r="R107" s="4"/>
      <c r="S107" s="4"/>
      <c r="T107" s="4"/>
      <c r="U107" s="4"/>
      <c r="V107" s="4"/>
      <c r="W107" s="4"/>
      <c r="X107" s="4"/>
      <c r="Y107" s="4"/>
      <c r="Z107" s="4"/>
    </row>
    <row r="108" ht="15.75" customHeight="1">
      <c r="A108" s="9" t="s">
        <v>619</v>
      </c>
      <c r="B108" s="10" t="str">
        <f>'6조'!B$64</f>
        <v>0</v>
      </c>
      <c r="C108" s="13" t="str">
        <f>'6조'!C$64</f>
        <v>구조 자체가 사용자 경험을 직접 결정하지 않음</v>
      </c>
      <c r="D108" s="10" t="str">
        <f>'6조'!D$64</f>
        <v>+</v>
      </c>
      <c r="E108" s="13" t="str">
        <f>'6조'!E$64</f>
        <v>대부분의 경우 쓰기 작업보다 읽기 작업이 일반적으로 더 많이 발생하기 때문에 읽기 작업에 대한 응답시간 향상은 사용자 경험을 증대시킬 수 있다.</v>
      </c>
      <c r="G108" s="4"/>
      <c r="H108" s="4"/>
      <c r="I108" s="4"/>
      <c r="J108" s="4"/>
      <c r="K108" s="4"/>
      <c r="L108" s="4"/>
      <c r="M108" s="4"/>
      <c r="N108" s="4"/>
      <c r="O108" s="4"/>
      <c r="P108" s="4"/>
      <c r="Q108" s="4"/>
      <c r="R108" s="4"/>
      <c r="S108" s="4"/>
      <c r="T108" s="4"/>
      <c r="U108" s="4"/>
      <c r="V108" s="4"/>
      <c r="W108" s="4"/>
      <c r="X108" s="4"/>
      <c r="Y108" s="4"/>
      <c r="Z108" s="4"/>
    </row>
    <row r="109" ht="15.75" customHeight="1">
      <c r="A109" s="9" t="s">
        <v>620</v>
      </c>
      <c r="B109" s="10" t="str">
        <f>'7조'!B$64</f>
        <v/>
      </c>
      <c r="C109" s="13" t="str">
        <f>'7조'!C$64</f>
        <v>7조 - Main-subroutine - Usability</v>
      </c>
      <c r="D109" s="10" t="str">
        <f>'7조'!D$64</f>
        <v/>
      </c>
      <c r="E109" s="13" t="str">
        <f>'7조'!E$64</f>
        <v>7조 - Master-Slave - Usability</v>
      </c>
      <c r="F109" s="4"/>
      <c r="G109" s="4"/>
      <c r="H109" s="4"/>
      <c r="I109" s="4"/>
      <c r="J109" s="4"/>
      <c r="K109" s="4"/>
      <c r="L109" s="4"/>
      <c r="M109" s="4"/>
      <c r="N109" s="4"/>
      <c r="O109" s="4"/>
      <c r="P109" s="4"/>
      <c r="Q109" s="4"/>
      <c r="R109" s="4"/>
      <c r="S109" s="4"/>
      <c r="T109" s="4"/>
      <c r="U109" s="4"/>
      <c r="V109" s="4"/>
      <c r="W109" s="4"/>
      <c r="X109" s="4"/>
      <c r="Y109" s="4"/>
      <c r="Z109" s="4"/>
    </row>
    <row r="110" ht="15.75" customHeight="1">
      <c r="A110" s="9" t="s">
        <v>622</v>
      </c>
      <c r="B110" s="10" t="str">
        <f>'8조'!B$64</f>
        <v/>
      </c>
      <c r="C110" s="13" t="str">
        <f>'8조'!C$64</f>
        <v>8조 - Main-subroutine - Usability</v>
      </c>
      <c r="D110" s="10" t="str">
        <f>'8조'!D$64</f>
        <v/>
      </c>
      <c r="E110" s="13" t="str">
        <f>'8조'!E$64</f>
        <v>8조 - Master-Slave - Usability</v>
      </c>
      <c r="F110" s="4"/>
      <c r="G110" s="4"/>
      <c r="H110" s="4"/>
      <c r="I110" s="4"/>
      <c r="J110" s="4"/>
      <c r="K110" s="4"/>
      <c r="L110" s="4"/>
      <c r="M110" s="4"/>
      <c r="N110" s="4"/>
      <c r="O110" s="4"/>
      <c r="P110" s="4"/>
      <c r="Q110" s="4"/>
      <c r="R110" s="4"/>
      <c r="S110" s="4"/>
      <c r="T110" s="4"/>
      <c r="U110" s="4"/>
      <c r="V110" s="4"/>
      <c r="W110" s="4"/>
      <c r="X110" s="4"/>
      <c r="Y110" s="4"/>
      <c r="Z110" s="4"/>
    </row>
    <row r="111" ht="15.75" customHeight="1">
      <c r="A111" s="9" t="s">
        <v>625</v>
      </c>
      <c r="B111" s="10" t="str">
        <f>'9조'!B$64</f>
        <v/>
      </c>
      <c r="C111" s="13" t="str">
        <f>'9조'!C$64</f>
        <v>9조 - Main-subroutine - Usability</v>
      </c>
      <c r="D111" s="10" t="str">
        <f>'9조'!D$64</f>
        <v/>
      </c>
      <c r="E111" s="13" t="str">
        <f>'9조'!E$64</f>
        <v>9조 - Master-Slave - Usability</v>
      </c>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8:F53"/>
    <mergeCell ref="F59:F64"/>
    <mergeCell ref="F70:F75"/>
    <mergeCell ref="F81:F86"/>
    <mergeCell ref="F92:F96"/>
    <mergeCell ref="F103:F108"/>
    <mergeCell ref="A1:A2"/>
    <mergeCell ref="B1:C1"/>
    <mergeCell ref="D1:E1"/>
    <mergeCell ref="F4:F9"/>
    <mergeCell ref="F15:F20"/>
    <mergeCell ref="F26:F31"/>
    <mergeCell ref="F37:F42"/>
  </mergeCells>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7.57"/>
    <col customWidth="1" min="2" max="2" width="7.71"/>
    <col customWidth="1" min="3" max="3" width="32.43"/>
    <col customWidth="1" min="4" max="4" width="7.71"/>
    <col customWidth="1" min="5" max="5" width="40.29"/>
    <col customWidth="1" min="6" max="6" width="7.71"/>
    <col customWidth="1" min="7" max="7" width="36.71"/>
    <col customWidth="1" min="8" max="8" width="51.86"/>
  </cols>
  <sheetData>
    <row r="1">
      <c r="A1" s="1" t="s">
        <v>413</v>
      </c>
      <c r="B1" s="2" t="s">
        <v>420</v>
      </c>
      <c r="C1" s="3"/>
      <c r="D1" s="2" t="s">
        <v>421</v>
      </c>
      <c r="E1" s="3"/>
      <c r="F1" s="2" t="s">
        <v>422</v>
      </c>
      <c r="G1" s="3"/>
      <c r="H1" s="4"/>
      <c r="I1" s="4"/>
      <c r="J1" s="4"/>
      <c r="K1" s="4"/>
      <c r="L1" s="4"/>
      <c r="M1" s="4"/>
      <c r="N1" s="4"/>
      <c r="O1" s="4"/>
      <c r="P1" s="4"/>
      <c r="Q1" s="4"/>
      <c r="R1" s="4"/>
      <c r="S1" s="4"/>
      <c r="T1" s="4"/>
      <c r="U1" s="4"/>
      <c r="V1" s="4"/>
      <c r="W1" s="4"/>
      <c r="X1" s="4"/>
      <c r="Y1" s="4"/>
      <c r="Z1" s="4"/>
    </row>
    <row r="2">
      <c r="A2" s="5"/>
      <c r="B2" s="6" t="s">
        <v>11</v>
      </c>
      <c r="C2" s="6" t="s">
        <v>12</v>
      </c>
      <c r="D2" s="6" t="s">
        <v>11</v>
      </c>
      <c r="E2" s="6" t="s">
        <v>12</v>
      </c>
      <c r="F2" s="6" t="s">
        <v>11</v>
      </c>
      <c r="G2" s="6" t="s">
        <v>12</v>
      </c>
      <c r="H2" s="4"/>
      <c r="I2" s="4"/>
      <c r="J2" s="4"/>
      <c r="K2" s="4"/>
      <c r="L2" s="4"/>
      <c r="M2" s="4"/>
      <c r="N2" s="4"/>
      <c r="O2" s="4"/>
      <c r="P2" s="4"/>
      <c r="Q2" s="4"/>
      <c r="R2" s="4"/>
      <c r="S2" s="4"/>
      <c r="T2" s="4"/>
      <c r="U2" s="4"/>
      <c r="V2" s="4"/>
      <c r="W2" s="4"/>
      <c r="X2" s="4"/>
      <c r="Y2" s="4"/>
      <c r="Z2" s="4"/>
    </row>
    <row r="3" ht="15.0" customHeight="1">
      <c r="A3" s="7" t="s">
        <v>14</v>
      </c>
      <c r="B3" s="7" t="str">
        <f>'Detailed Reasoning'!B$68</f>
        <v/>
      </c>
      <c r="C3" s="7" t="str">
        <f>'Detailed Reasoning'!C$68</f>
        <v/>
      </c>
      <c r="D3" s="7" t="str">
        <f>'Detailed Reasoning'!D$68</f>
        <v/>
      </c>
      <c r="E3" s="7" t="str">
        <f>'Detailed Reasoning'!E$68</f>
        <v/>
      </c>
      <c r="F3" s="8" t="str">
        <f>'Detailed Reasoning'!F$68</f>
        <v/>
      </c>
      <c r="G3" s="8" t="str">
        <f>'Detailed Reasoning'!G$68</f>
        <v/>
      </c>
      <c r="H3" s="4"/>
      <c r="I3" s="4"/>
      <c r="J3" s="4"/>
      <c r="K3" s="4"/>
      <c r="L3" s="4"/>
      <c r="M3" s="4"/>
      <c r="N3" s="4"/>
      <c r="O3" s="4"/>
      <c r="P3" s="4"/>
      <c r="Q3" s="4"/>
      <c r="R3" s="4"/>
      <c r="S3" s="4"/>
      <c r="T3" s="4"/>
      <c r="U3" s="4"/>
      <c r="V3" s="4"/>
      <c r="W3" s="4"/>
      <c r="X3" s="4"/>
      <c r="Y3" s="4"/>
      <c r="Z3" s="4"/>
    </row>
    <row r="4">
      <c r="A4" s="21" t="s">
        <v>426</v>
      </c>
      <c r="B4" s="22" t="str">
        <f>'1조'!B$68</f>
        <v>0</v>
      </c>
      <c r="C4" s="22" t="str">
        <f>'1조'!C$68</f>
        <v>[+] 계층별 오류 격리 적용 가능
[-] 하위 핵심 레이어 실패 시 전체 중단</v>
      </c>
      <c r="D4" s="22" t="str">
        <f>'1조'!D$68</f>
        <v/>
      </c>
      <c r="E4" s="22" t="str">
        <f>'1조'!E$68</f>
        <v>1조 - Virtual Machine - Availability</v>
      </c>
      <c r="F4" s="22" t="str">
        <f>'1조'!F$68</f>
        <v/>
      </c>
      <c r="G4" s="22" t="str">
        <f>'1조'!G$68</f>
        <v>1조 - Microkernel - Availability</v>
      </c>
      <c r="H4" s="12" t="s">
        <v>429</v>
      </c>
      <c r="I4" s="4"/>
      <c r="J4" s="4"/>
      <c r="K4" s="4"/>
      <c r="L4" s="4"/>
      <c r="M4" s="4"/>
      <c r="N4" s="4"/>
      <c r="O4" s="4"/>
      <c r="P4" s="4"/>
      <c r="Q4" s="4"/>
      <c r="R4" s="4"/>
      <c r="S4" s="4"/>
      <c r="T4" s="4"/>
      <c r="U4" s="4"/>
      <c r="V4" s="4"/>
      <c r="W4" s="4"/>
      <c r="X4" s="4"/>
      <c r="Y4" s="4"/>
      <c r="Z4" s="4"/>
    </row>
    <row r="5">
      <c r="A5" s="21" t="s">
        <v>430</v>
      </c>
      <c r="B5" s="22" t="str">
        <f>'2조'!B$68</f>
        <v>0</v>
      </c>
      <c r="C5" s="22" t="str">
        <f>'2조'!C$68</f>
        <v>(+) 계층 경계에서 결함 격리 및 개별 계층 복구 용이. / (-) 하위 기반 계층 장애 시 상위 계층 전체 정지.</v>
      </c>
      <c r="D5" s="22" t="str">
        <f>'2조'!D$68</f>
        <v/>
      </c>
      <c r="E5" s="22" t="str">
        <f>'2조'!E$68</f>
        <v>2조 - Virtual Machine - Availability</v>
      </c>
      <c r="F5" s="22" t="str">
        <f>'2조'!F$68</f>
        <v/>
      </c>
      <c r="G5" s="22" t="str">
        <f>'2조'!G$68</f>
        <v>2조 - Microkernel - Availability</v>
      </c>
      <c r="I5" s="4"/>
      <c r="J5" s="4"/>
      <c r="K5" s="4"/>
      <c r="L5" s="4"/>
      <c r="M5" s="4"/>
      <c r="N5" s="4"/>
      <c r="O5" s="4"/>
      <c r="P5" s="4"/>
      <c r="Q5" s="4"/>
      <c r="R5" s="4"/>
      <c r="S5" s="4"/>
      <c r="T5" s="4"/>
      <c r="U5" s="4"/>
      <c r="V5" s="4"/>
      <c r="W5" s="4"/>
      <c r="X5" s="4"/>
      <c r="Y5" s="4"/>
      <c r="Z5" s="4"/>
    </row>
    <row r="6">
      <c r="A6" s="21" t="s">
        <v>432</v>
      </c>
      <c r="B6" s="22" t="str">
        <f>'3조'!B$68</f>
        <v>0</v>
      </c>
      <c r="C6" s="22" t="str">
        <f>'3조'!C$68</f>
        <v>계층화는 장애 복구 구조를 직접 제공하지 않아 availability 효과는 제한적이다.</v>
      </c>
      <c r="D6" s="22" t="str">
        <f>'3조'!D$68</f>
        <v/>
      </c>
      <c r="E6" s="22" t="str">
        <f>'3조'!E$68</f>
        <v>3조 - Virtual Machine - Availability</v>
      </c>
      <c r="F6" s="22" t="str">
        <f>'3조'!F$68</f>
        <v/>
      </c>
      <c r="G6" s="22" t="str">
        <f>'3조'!G$68</f>
        <v>3조 - Microkernel - Availability</v>
      </c>
      <c r="I6" s="4"/>
      <c r="J6" s="4"/>
      <c r="K6" s="4"/>
      <c r="L6" s="4"/>
      <c r="M6" s="4"/>
      <c r="N6" s="4"/>
      <c r="O6" s="4"/>
      <c r="P6" s="4"/>
      <c r="Q6" s="4"/>
      <c r="R6" s="4"/>
      <c r="S6" s="4"/>
      <c r="T6" s="4"/>
      <c r="U6" s="4"/>
      <c r="V6" s="4"/>
      <c r="W6" s="4"/>
      <c r="X6" s="4"/>
      <c r="Y6" s="4"/>
      <c r="Z6" s="4"/>
    </row>
    <row r="7">
      <c r="A7" s="21" t="s">
        <v>433</v>
      </c>
      <c r="B7" s="22" t="str">
        <f>'4조'!B$68</f>
        <v>-</v>
      </c>
      <c r="C7" s="22" t="str">
        <f>'4조'!C$68</f>
        <v>하위 계층의 장애가 위로 전파되어 그 위에 쌓인 모든 것을 무력화한다. 상위 계층이 하위를 우회할 수 없기 때문이다.</v>
      </c>
      <c r="D7" s="22" t="str">
        <f>'4조'!D$68</f>
        <v/>
      </c>
      <c r="E7" s="22" t="str">
        <f>'4조'!E$68</f>
        <v>Human - Virtual Machine - Availability</v>
      </c>
      <c r="F7" s="22" t="str">
        <f>'4조'!F$68</f>
        <v/>
      </c>
      <c r="G7" s="22" t="str">
        <f>'4조'!G$68</f>
        <v>Human - Microkernel - Availability</v>
      </c>
      <c r="I7" s="4"/>
      <c r="J7" s="4"/>
      <c r="K7" s="4"/>
      <c r="L7" s="4"/>
      <c r="M7" s="4"/>
      <c r="N7" s="4"/>
      <c r="O7" s="4"/>
      <c r="P7" s="4"/>
      <c r="Q7" s="4"/>
      <c r="R7" s="4"/>
      <c r="S7" s="4"/>
      <c r="T7" s="4"/>
      <c r="U7" s="4"/>
      <c r="V7" s="4"/>
      <c r="W7" s="4"/>
      <c r="X7" s="4"/>
      <c r="Y7" s="4"/>
      <c r="Z7" s="4"/>
    </row>
    <row r="8">
      <c r="A8" s="21" t="s">
        <v>436</v>
      </c>
      <c r="B8" s="22" t="str">
        <f>'5조'!B$68</f>
        <v>-</v>
      </c>
      <c r="C8" s="22" t="str">
        <f>'5조'!C$68</f>
        <v>특정 계층 장애가 전체 서비스에 부정적인 영향을 미칠 수 있다. </v>
      </c>
      <c r="D8" s="22" t="str">
        <f>'5조'!D$68</f>
        <v/>
      </c>
      <c r="E8" s="22" t="str">
        <f>'5조'!E$68</f>
        <v>5조 - Virtual Machine - Availability</v>
      </c>
      <c r="F8" s="22" t="str">
        <f>'5조'!F$68</f>
        <v/>
      </c>
      <c r="G8" s="22" t="str">
        <f>'5조'!G$68</f>
        <v>5조 - Microkernel - Availability</v>
      </c>
      <c r="I8" s="4"/>
      <c r="J8" s="4"/>
      <c r="K8" s="4"/>
      <c r="L8" s="4"/>
      <c r="M8" s="4"/>
      <c r="N8" s="4"/>
      <c r="O8" s="4"/>
      <c r="P8" s="4"/>
      <c r="Q8" s="4"/>
      <c r="R8" s="4"/>
      <c r="S8" s="4"/>
      <c r="T8" s="4"/>
      <c r="U8" s="4"/>
      <c r="V8" s="4"/>
      <c r="W8" s="4"/>
      <c r="X8" s="4"/>
      <c r="Y8" s="4"/>
      <c r="Z8" s="4"/>
    </row>
    <row r="9">
      <c r="A9" s="21" t="s">
        <v>439</v>
      </c>
      <c r="B9" s="22" t="str">
        <f>'6조'!B$68</f>
        <v>0</v>
      </c>
      <c r="C9" s="22" t="str">
        <f>'6조'!C$68</f>
        <v>계층 분리는 결함의 위치 파악과 복구에 도움이 되지만, 하위 Layer에 장애가 발생하면 이를 사용하는 모든 상위 Layer가 영향을 받는다.</v>
      </c>
      <c r="D9" s="22" t="str">
        <f>'6조'!D$68</f>
        <v/>
      </c>
      <c r="E9" s="22" t="str">
        <f>'6조'!E$68</f>
        <v>6조 - Virtual Machine - Availability</v>
      </c>
      <c r="F9" s="22" t="str">
        <f>'6조'!F$68</f>
        <v/>
      </c>
      <c r="G9" s="22" t="str">
        <f>'6조'!G$68</f>
        <v>6조 - Microkernel - Availability</v>
      </c>
      <c r="I9" s="4"/>
      <c r="J9" s="4"/>
      <c r="K9" s="4"/>
      <c r="L9" s="4"/>
      <c r="M9" s="4"/>
      <c r="N9" s="4"/>
      <c r="O9" s="4"/>
      <c r="P9" s="4"/>
      <c r="Q9" s="4"/>
      <c r="R9" s="4"/>
      <c r="S9" s="4"/>
      <c r="T9" s="4"/>
      <c r="U9" s="4"/>
      <c r="V9" s="4"/>
      <c r="W9" s="4"/>
      <c r="X9" s="4"/>
      <c r="Y9" s="4"/>
      <c r="Z9" s="4"/>
    </row>
    <row r="10">
      <c r="A10" s="21" t="s">
        <v>441</v>
      </c>
      <c r="B10" s="22" t="str">
        <f>'7조'!B$68</f>
        <v/>
      </c>
      <c r="C10" s="22" t="str">
        <f>'7조'!C$68</f>
        <v>7조 - Layered - Availability</v>
      </c>
      <c r="D10" s="22" t="str">
        <f>'7조'!D$68</f>
        <v/>
      </c>
      <c r="E10" s="22" t="str">
        <f>'7조'!E$68</f>
        <v>7조 - Virtual Machine - Availability</v>
      </c>
      <c r="F10" s="22" t="str">
        <f>'7조'!F$68</f>
        <v/>
      </c>
      <c r="G10" s="22" t="str">
        <f>'7조'!G$68</f>
        <v>7조 - Microkernel - Availability</v>
      </c>
      <c r="H10" s="4"/>
      <c r="I10" s="4"/>
      <c r="J10" s="4"/>
      <c r="K10" s="4"/>
      <c r="L10" s="4"/>
      <c r="M10" s="4"/>
      <c r="N10" s="4"/>
      <c r="O10" s="4"/>
      <c r="P10" s="4"/>
      <c r="Q10" s="4"/>
      <c r="R10" s="4"/>
      <c r="S10" s="4"/>
      <c r="T10" s="4"/>
      <c r="U10" s="4"/>
      <c r="V10" s="4"/>
      <c r="W10" s="4"/>
      <c r="X10" s="4"/>
      <c r="Y10" s="4"/>
      <c r="Z10" s="4"/>
    </row>
    <row r="11">
      <c r="A11" s="21" t="s">
        <v>443</v>
      </c>
      <c r="B11" s="22" t="str">
        <f>'8조'!B$68</f>
        <v/>
      </c>
      <c r="C11" s="22" t="str">
        <f>'8조'!C$68</f>
        <v>8조 - Layered - Availability</v>
      </c>
      <c r="D11" s="22" t="str">
        <f>'8조'!D$68</f>
        <v/>
      </c>
      <c r="E11" s="22" t="str">
        <f>'8조'!E$68</f>
        <v>8조 - Virtual Machine - Availability</v>
      </c>
      <c r="F11" s="22" t="str">
        <f>'8조'!F$68</f>
        <v/>
      </c>
      <c r="G11" s="22" t="str">
        <f>'8조'!G$68</f>
        <v>8조 - Microkernel - Availability</v>
      </c>
      <c r="H11" s="4"/>
      <c r="I11" s="4"/>
      <c r="J11" s="4"/>
      <c r="K11" s="4"/>
      <c r="L11" s="4"/>
      <c r="M11" s="4"/>
      <c r="N11" s="4"/>
      <c r="O11" s="4"/>
      <c r="P11" s="4"/>
      <c r="Q11" s="4"/>
      <c r="R11" s="4"/>
      <c r="S11" s="4"/>
      <c r="T11" s="4"/>
      <c r="U11" s="4"/>
      <c r="V11" s="4"/>
      <c r="W11" s="4"/>
      <c r="X11" s="4"/>
      <c r="Y11" s="4"/>
      <c r="Z11" s="4"/>
    </row>
    <row r="12">
      <c r="A12" s="21" t="s">
        <v>445</v>
      </c>
      <c r="B12" s="22" t="str">
        <f>'9조'!B$68</f>
        <v/>
      </c>
      <c r="C12" s="22" t="str">
        <f>'9조'!C$68</f>
        <v>9조 - Layered - Availability</v>
      </c>
      <c r="D12" s="22" t="str">
        <f>'9조'!D$68</f>
        <v/>
      </c>
      <c r="E12" s="22" t="str">
        <f>'9조'!E$68</f>
        <v>9조 - Virtual Machine - Availability</v>
      </c>
      <c r="F12" s="22" t="str">
        <f>'9조'!F$68</f>
        <v/>
      </c>
      <c r="G12" s="22" t="str">
        <f>'9조'!G$68</f>
        <v>9조 - Microkernel - Availability</v>
      </c>
      <c r="H12" s="4"/>
      <c r="I12" s="4"/>
      <c r="J12" s="4"/>
      <c r="K12" s="4"/>
      <c r="L12" s="4"/>
      <c r="M12" s="4"/>
      <c r="N12" s="4"/>
      <c r="O12" s="4"/>
      <c r="P12" s="4"/>
      <c r="Q12" s="4"/>
      <c r="R12" s="4"/>
      <c r="S12" s="4"/>
      <c r="T12" s="4"/>
      <c r="U12" s="4"/>
      <c r="V12" s="4"/>
      <c r="W12" s="4"/>
      <c r="X12" s="4"/>
      <c r="Y12" s="4"/>
      <c r="Z12" s="4"/>
    </row>
    <row r="13">
      <c r="A13" s="23"/>
      <c r="B13" s="23"/>
      <c r="C13" s="23"/>
      <c r="D13" s="23"/>
      <c r="E13" s="23"/>
      <c r="F13" s="23"/>
      <c r="G13" s="23"/>
      <c r="H13" s="4"/>
      <c r="I13" s="4"/>
      <c r="J13" s="4"/>
      <c r="K13" s="4"/>
      <c r="L13" s="4"/>
      <c r="M13" s="4"/>
      <c r="N13" s="4"/>
      <c r="O13" s="4"/>
      <c r="P13" s="4"/>
      <c r="Q13" s="4"/>
      <c r="R13" s="4"/>
      <c r="S13" s="4"/>
      <c r="T13" s="4"/>
      <c r="U13" s="4"/>
      <c r="V13" s="4"/>
      <c r="W13" s="4"/>
      <c r="X13" s="4"/>
      <c r="Y13" s="4"/>
      <c r="Z13" s="4"/>
    </row>
    <row r="14" ht="15.0" customHeight="1">
      <c r="A14" s="7" t="s">
        <v>47</v>
      </c>
      <c r="B14" s="7" t="str">
        <f>'Detailed Reasoning'!B$69</f>
        <v/>
      </c>
      <c r="C14" s="7" t="str">
        <f>'Detailed Reasoning'!C$69</f>
        <v/>
      </c>
      <c r="D14" s="7" t="str">
        <f>'Detailed Reasoning'!D$69</f>
        <v/>
      </c>
      <c r="E14" s="7" t="str">
        <f>'Detailed Reasoning'!E$69</f>
        <v/>
      </c>
      <c r="F14" s="8" t="str">
        <f>'Detailed Reasoning'!F$69</f>
        <v/>
      </c>
      <c r="G14" s="8" t="str">
        <f>'Detailed Reasoning'!G$69</f>
        <v/>
      </c>
      <c r="H14" s="4"/>
      <c r="I14" s="4"/>
      <c r="J14" s="4"/>
      <c r="K14" s="4"/>
      <c r="L14" s="4"/>
      <c r="M14" s="4"/>
      <c r="N14" s="4"/>
      <c r="O14" s="4"/>
      <c r="P14" s="4"/>
      <c r="Q14" s="4"/>
      <c r="R14" s="4"/>
      <c r="S14" s="4"/>
      <c r="T14" s="4"/>
      <c r="U14" s="4"/>
      <c r="V14" s="4"/>
      <c r="W14" s="4"/>
      <c r="X14" s="4"/>
      <c r="Y14" s="4"/>
      <c r="Z14" s="4"/>
    </row>
    <row r="15">
      <c r="A15" s="21" t="s">
        <v>449</v>
      </c>
      <c r="B15" s="22" t="str">
        <f>'1조'!B$69</f>
        <v>+</v>
      </c>
      <c r="C15" s="22" t="str">
        <f>'1조'!C$69</f>
        <v>[+] 인접 인터페이스 유지 시 개별 레이어 배포 용이
[-] 전 계층 변경 시 전체 동시 배포 필요</v>
      </c>
      <c r="D15" s="22" t="str">
        <f>'1조'!D$69</f>
        <v/>
      </c>
      <c r="E15" s="22" t="str">
        <f>'1조'!E$69</f>
        <v>1조 - Virtual Machine - Deployability</v>
      </c>
      <c r="F15" s="22" t="str">
        <f>'1조'!F$69</f>
        <v/>
      </c>
      <c r="G15" s="22" t="str">
        <f>'1조'!G$69</f>
        <v>1조 - Microkernel - Deployability</v>
      </c>
      <c r="H15" s="12" t="s">
        <v>450</v>
      </c>
      <c r="I15" s="4"/>
      <c r="J15" s="4"/>
      <c r="K15" s="4"/>
      <c r="L15" s="4"/>
      <c r="M15" s="4"/>
      <c r="N15" s="4"/>
      <c r="O15" s="4"/>
      <c r="P15" s="4"/>
      <c r="Q15" s="4"/>
      <c r="R15" s="4"/>
      <c r="S15" s="4"/>
      <c r="T15" s="4"/>
      <c r="U15" s="4"/>
      <c r="V15" s="4"/>
      <c r="W15" s="4"/>
      <c r="X15" s="4"/>
      <c r="Y15" s="4"/>
      <c r="Z15" s="4"/>
    </row>
    <row r="16">
      <c r="A16" s="21" t="s">
        <v>451</v>
      </c>
      <c r="B16" s="22" t="str">
        <f>'2조'!B$69</f>
        <v>+</v>
      </c>
      <c r="C16" s="22" t="str">
        <f>'2조'!C$69</f>
        <v>(+) 계층별 인터페이스만 유지되면 특정 계층만 독립 배포·업데이트 가능. / (-) 의존 방향에 따른 배포 순서 제약.</v>
      </c>
      <c r="D16" s="22" t="str">
        <f>'2조'!D$69</f>
        <v/>
      </c>
      <c r="E16" s="22" t="str">
        <f>'2조'!E$69</f>
        <v>2조 - Virtual Machine - Deployability</v>
      </c>
      <c r="F16" s="22" t="str">
        <f>'2조'!F$69</f>
        <v/>
      </c>
      <c r="G16" s="22" t="str">
        <f>'2조'!G$69</f>
        <v>2조 - Microkernel - Deployability</v>
      </c>
      <c r="I16" s="4"/>
      <c r="J16" s="4"/>
      <c r="K16" s="4"/>
      <c r="L16" s="4"/>
      <c r="M16" s="4"/>
      <c r="N16" s="4"/>
      <c r="O16" s="4"/>
      <c r="P16" s="4"/>
      <c r="Q16" s="4"/>
      <c r="R16" s="4"/>
      <c r="S16" s="4"/>
      <c r="T16" s="4"/>
      <c r="U16" s="4"/>
      <c r="V16" s="4"/>
      <c r="W16" s="4"/>
      <c r="X16" s="4"/>
      <c r="Y16" s="4"/>
      <c r="Z16" s="4"/>
    </row>
    <row r="17">
      <c r="A17" s="21" t="s">
        <v>454</v>
      </c>
      <c r="B17" s="22" t="str">
        <f>'3조'!B$69</f>
        <v>+</v>
      </c>
      <c r="C17" s="22" t="str">
        <f>'3조'!C$69</f>
        <v>각 layer를 독립적으로 배포·유지보수·갱신할 수 있어 deployability에 유리하다.</v>
      </c>
      <c r="D17" s="22" t="str">
        <f>'3조'!D$69</f>
        <v/>
      </c>
      <c r="E17" s="22" t="str">
        <f>'3조'!E$69</f>
        <v>3조 - Virtual Machine - Deployability</v>
      </c>
      <c r="F17" s="22" t="str">
        <f>'3조'!F$69</f>
        <v/>
      </c>
      <c r="G17" s="22" t="str">
        <f>'3조'!G$69</f>
        <v>3조 - Microkernel - Deployability</v>
      </c>
      <c r="I17" s="4"/>
      <c r="J17" s="4"/>
      <c r="K17" s="4"/>
      <c r="L17" s="4"/>
      <c r="M17" s="4"/>
      <c r="N17" s="4"/>
      <c r="O17" s="4"/>
      <c r="P17" s="4"/>
      <c r="Q17" s="4"/>
      <c r="R17" s="4"/>
      <c r="S17" s="4"/>
      <c r="T17" s="4"/>
      <c r="U17" s="4"/>
      <c r="V17" s="4"/>
      <c r="W17" s="4"/>
      <c r="X17" s="4"/>
      <c r="Y17" s="4"/>
      <c r="Z17" s="4"/>
    </row>
    <row r="18">
      <c r="A18" s="21" t="s">
        <v>457</v>
      </c>
      <c r="B18" s="22" t="str">
        <f>'4조'!B$69</f>
        <v>0</v>
      </c>
      <c r="C18" s="22" t="str">
        <f>'4조'!C$69</f>
        <v>계층을 나누어도 각각 따로 배포할 수 있는지는 구현에 따라 달라진다.</v>
      </c>
      <c r="D18" s="22" t="str">
        <f>'4조'!D$69</f>
        <v/>
      </c>
      <c r="E18" s="22" t="str">
        <f>'4조'!E$69</f>
        <v>Human - Virtual Machine - Deployability</v>
      </c>
      <c r="F18" s="22" t="str">
        <f>'4조'!F$69</f>
        <v/>
      </c>
      <c r="G18" s="22" t="str">
        <f>'4조'!G$69</f>
        <v>Human - Microkernel - Deployability</v>
      </c>
      <c r="I18" s="4"/>
      <c r="J18" s="4"/>
      <c r="K18" s="4"/>
      <c r="L18" s="4"/>
      <c r="M18" s="4"/>
      <c r="N18" s="4"/>
      <c r="O18" s="4"/>
      <c r="P18" s="4"/>
      <c r="Q18" s="4"/>
      <c r="R18" s="4"/>
      <c r="S18" s="4"/>
      <c r="T18" s="4"/>
      <c r="U18" s="4"/>
      <c r="V18" s="4"/>
      <c r="W18" s="4"/>
      <c r="X18" s="4"/>
      <c r="Y18" s="4"/>
      <c r="Z18" s="4"/>
    </row>
    <row r="19">
      <c r="A19" s="21" t="s">
        <v>459</v>
      </c>
      <c r="B19" s="22" t="str">
        <f>'5조'!B$69</f>
        <v>+</v>
      </c>
      <c r="C19" s="22" t="str">
        <f>'5조'!C$69</f>
        <v>계층이 분리되어있으므로 특정 계층 독립적으로 배포 가능하다.</v>
      </c>
      <c r="D19" s="22" t="str">
        <f>'5조'!D$69</f>
        <v/>
      </c>
      <c r="E19" s="22" t="str">
        <f>'5조'!E$69</f>
        <v>5조 - Virtual Machine - Deployability</v>
      </c>
      <c r="F19" s="22" t="str">
        <f>'5조'!F$69</f>
        <v/>
      </c>
      <c r="G19" s="22" t="str">
        <f>'5조'!G$69</f>
        <v>5조 - Microkernel - Deployability</v>
      </c>
      <c r="I19" s="4"/>
      <c r="J19" s="4"/>
      <c r="K19" s="4"/>
      <c r="L19" s="4"/>
      <c r="M19" s="4"/>
      <c r="N19" s="4"/>
      <c r="O19" s="4"/>
      <c r="P19" s="4"/>
      <c r="Q19" s="4"/>
      <c r="R19" s="4"/>
      <c r="S19" s="4"/>
      <c r="T19" s="4"/>
      <c r="U19" s="4"/>
      <c r="V19" s="4"/>
      <c r="W19" s="4"/>
      <c r="X19" s="4"/>
      <c r="Y19" s="4"/>
      <c r="Z19" s="4"/>
    </row>
    <row r="20">
      <c r="A20" s="21" t="s">
        <v>461</v>
      </c>
      <c r="B20" s="22" t="str">
        <f>'6조'!B$69</f>
        <v>+</v>
      </c>
      <c r="C20" s="22" t="str">
        <f>'6조'!C$69</f>
        <v>계층별 책임과 인터페이스가 분리되어 있어 변경된 Layer를 비교적 독립적으로 배포·교체할 수 있다. 다만 하위 인터페이스 변경 시 상위 Layer도 함께 배포해야 할 수 있다.</v>
      </c>
      <c r="D20" s="22" t="str">
        <f>'6조'!D$69</f>
        <v/>
      </c>
      <c r="E20" s="22" t="str">
        <f>'6조'!E$69</f>
        <v>6조 - Virtual Machine - Deployability</v>
      </c>
      <c r="F20" s="22" t="str">
        <f>'6조'!F$69</f>
        <v/>
      </c>
      <c r="G20" s="22" t="str">
        <f>'6조'!G$69</f>
        <v>6조 - Microkernel - Deployability</v>
      </c>
      <c r="I20" s="4"/>
      <c r="J20" s="4"/>
      <c r="K20" s="4"/>
      <c r="L20" s="4"/>
      <c r="M20" s="4"/>
      <c r="N20" s="4"/>
      <c r="O20" s="4"/>
      <c r="P20" s="4"/>
      <c r="Q20" s="4"/>
      <c r="R20" s="4"/>
      <c r="S20" s="4"/>
      <c r="T20" s="4"/>
      <c r="U20" s="4"/>
      <c r="V20" s="4"/>
      <c r="W20" s="4"/>
      <c r="X20" s="4"/>
      <c r="Y20" s="4"/>
      <c r="Z20" s="4"/>
    </row>
    <row r="21" ht="15.75" customHeight="1">
      <c r="A21" s="21" t="s">
        <v>463</v>
      </c>
      <c r="B21" s="22" t="str">
        <f>'7조'!B$69</f>
        <v/>
      </c>
      <c r="C21" s="22" t="str">
        <f>'7조'!C$69</f>
        <v>7조 - Layered - Deployability</v>
      </c>
      <c r="D21" s="22" t="str">
        <f>'7조'!D$69</f>
        <v/>
      </c>
      <c r="E21" s="22" t="str">
        <f>'7조'!E$69</f>
        <v>7조 - Virtual Machine - Deployability</v>
      </c>
      <c r="F21" s="22" t="str">
        <f>'7조'!F$69</f>
        <v/>
      </c>
      <c r="G21" s="22" t="str">
        <f>'7조'!G$69</f>
        <v>7조 - Microkernel - Deployability</v>
      </c>
      <c r="H21" s="4"/>
      <c r="I21" s="4"/>
      <c r="J21" s="4"/>
      <c r="K21" s="4"/>
      <c r="L21" s="4"/>
      <c r="M21" s="4"/>
      <c r="N21" s="4"/>
      <c r="O21" s="4"/>
      <c r="P21" s="4"/>
      <c r="Q21" s="4"/>
      <c r="R21" s="4"/>
      <c r="S21" s="4"/>
      <c r="T21" s="4"/>
      <c r="U21" s="4"/>
      <c r="V21" s="4"/>
      <c r="W21" s="4"/>
      <c r="X21" s="4"/>
      <c r="Y21" s="4"/>
      <c r="Z21" s="4"/>
    </row>
    <row r="22" ht="15.75" customHeight="1">
      <c r="A22" s="21" t="s">
        <v>466</v>
      </c>
      <c r="B22" s="22" t="str">
        <f>'8조'!B$69</f>
        <v/>
      </c>
      <c r="C22" s="22" t="str">
        <f>'8조'!C$69</f>
        <v>8조 - Layered - Deployability</v>
      </c>
      <c r="D22" s="22" t="str">
        <f>'8조'!D$69</f>
        <v/>
      </c>
      <c r="E22" s="22" t="str">
        <f>'8조'!E$69</f>
        <v>8조 - Virtual Machine - Deployability</v>
      </c>
      <c r="F22" s="22" t="str">
        <f>'8조'!F$69</f>
        <v/>
      </c>
      <c r="G22" s="22" t="str">
        <f>'8조'!G$69</f>
        <v>8조 - Microkernel - Deployability</v>
      </c>
      <c r="H22" s="4"/>
      <c r="I22" s="4"/>
      <c r="J22" s="4"/>
      <c r="K22" s="4"/>
      <c r="L22" s="4"/>
      <c r="M22" s="4"/>
      <c r="N22" s="4"/>
      <c r="O22" s="4"/>
      <c r="P22" s="4"/>
      <c r="Q22" s="4"/>
      <c r="R22" s="4"/>
      <c r="S22" s="4"/>
      <c r="T22" s="4"/>
      <c r="U22" s="4"/>
      <c r="V22" s="4"/>
      <c r="W22" s="4"/>
      <c r="X22" s="4"/>
      <c r="Y22" s="4"/>
      <c r="Z22" s="4"/>
    </row>
    <row r="23" ht="15.75" customHeight="1">
      <c r="A23" s="21" t="s">
        <v>468</v>
      </c>
      <c r="B23" s="22" t="str">
        <f>'9조'!B$69</f>
        <v/>
      </c>
      <c r="C23" s="22" t="str">
        <f>'9조'!C$69</f>
        <v>9조 - Layered - Deployability</v>
      </c>
      <c r="D23" s="22" t="str">
        <f>'9조'!D$69</f>
        <v/>
      </c>
      <c r="E23" s="22" t="str">
        <f>'9조'!E$69</f>
        <v>9조 - Virtual Machine - Deployability</v>
      </c>
      <c r="F23" s="22" t="str">
        <f>'9조'!F$69</f>
        <v/>
      </c>
      <c r="G23" s="22" t="str">
        <f>'9조'!G$69</f>
        <v>9조 - Microkernel - Deployability</v>
      </c>
      <c r="H23" s="4"/>
      <c r="I23" s="4"/>
      <c r="J23" s="4"/>
      <c r="K23" s="4"/>
      <c r="L23" s="4"/>
      <c r="M23" s="4"/>
      <c r="N23" s="4"/>
      <c r="O23" s="4"/>
      <c r="P23" s="4"/>
      <c r="Q23" s="4"/>
      <c r="R23" s="4"/>
      <c r="S23" s="4"/>
      <c r="T23" s="4"/>
      <c r="U23" s="4"/>
      <c r="V23" s="4"/>
      <c r="W23" s="4"/>
      <c r="X23" s="4"/>
      <c r="Y23" s="4"/>
      <c r="Z23" s="4"/>
    </row>
    <row r="24" ht="15.75" customHeight="1">
      <c r="A24" s="23"/>
      <c r="B24" s="23"/>
      <c r="C24" s="23"/>
      <c r="D24" s="23"/>
      <c r="E24" s="23"/>
      <c r="F24" s="23"/>
      <c r="G24" s="23"/>
      <c r="H24" s="4"/>
      <c r="I24" s="4"/>
      <c r="J24" s="4"/>
      <c r="K24" s="4"/>
      <c r="L24" s="4"/>
      <c r="M24" s="4"/>
      <c r="N24" s="4"/>
      <c r="O24" s="4"/>
      <c r="P24" s="4"/>
      <c r="Q24" s="4"/>
      <c r="R24" s="4"/>
      <c r="S24" s="4"/>
      <c r="T24" s="4"/>
      <c r="U24" s="4"/>
      <c r="V24" s="4"/>
      <c r="W24" s="4"/>
      <c r="X24" s="4"/>
      <c r="Y24" s="4"/>
      <c r="Z24" s="4"/>
    </row>
    <row r="25" ht="15.0" customHeight="1">
      <c r="A25" s="7" t="s">
        <v>80</v>
      </c>
      <c r="B25" s="7" t="str">
        <f>'Detailed Reasoning'!B$70</f>
        <v/>
      </c>
      <c r="C25" s="7" t="str">
        <f>'Detailed Reasoning'!C$70</f>
        <v/>
      </c>
      <c r="D25" s="7" t="str">
        <f>'Detailed Reasoning'!D$70</f>
        <v/>
      </c>
      <c r="E25" s="7" t="str">
        <f>'Detailed Reasoning'!E$70</f>
        <v/>
      </c>
      <c r="F25" s="8" t="str">
        <f>'Detailed Reasoning'!F$70</f>
        <v/>
      </c>
      <c r="G25" s="8" t="str">
        <f>'Detailed Reasoning'!G$70</f>
        <v/>
      </c>
      <c r="H25" s="4"/>
      <c r="I25" s="4"/>
      <c r="J25" s="4"/>
      <c r="K25" s="4"/>
      <c r="L25" s="4"/>
      <c r="M25" s="4"/>
      <c r="N25" s="4"/>
      <c r="O25" s="4"/>
      <c r="P25" s="4"/>
      <c r="Q25" s="4"/>
      <c r="R25" s="4"/>
      <c r="S25" s="4"/>
      <c r="T25" s="4"/>
      <c r="U25" s="4"/>
      <c r="V25" s="4"/>
      <c r="W25" s="4"/>
      <c r="X25" s="4"/>
      <c r="Y25" s="4"/>
      <c r="Z25" s="4"/>
    </row>
    <row r="26" ht="15.75" customHeight="1">
      <c r="A26" s="21" t="s">
        <v>470</v>
      </c>
      <c r="B26" s="22" t="str">
        <f>'1조'!B$70</f>
        <v>+</v>
      </c>
      <c r="C26" s="22" t="str">
        <f>'1조'!C$70</f>
        <v>[+] 상단 API를 통한 이종 시스템 통합 용이
[-] 계층 스킵이 불가능하여 연동 제약 발생</v>
      </c>
      <c r="D26" s="22" t="str">
        <f>'1조'!D$70</f>
        <v/>
      </c>
      <c r="E26" s="22" t="str">
        <f>'1조'!E$70</f>
        <v>1조 - Virtual Machine - Integrability</v>
      </c>
      <c r="F26" s="22" t="str">
        <f>'1조'!F$70</f>
        <v/>
      </c>
      <c r="G26" s="22" t="str">
        <f>'1조'!G$70</f>
        <v>1조 - Microkernel - Integrability</v>
      </c>
      <c r="H26" s="12" t="s">
        <v>473</v>
      </c>
      <c r="I26" s="4"/>
      <c r="J26" s="4"/>
      <c r="K26" s="4"/>
      <c r="L26" s="4"/>
      <c r="M26" s="4"/>
      <c r="N26" s="4"/>
      <c r="O26" s="4"/>
      <c r="P26" s="4"/>
      <c r="Q26" s="4"/>
      <c r="R26" s="4"/>
      <c r="S26" s="4"/>
      <c r="T26" s="4"/>
      <c r="U26" s="4"/>
      <c r="V26" s="4"/>
      <c r="W26" s="4"/>
      <c r="X26" s="4"/>
      <c r="Y26" s="4"/>
      <c r="Z26" s="4"/>
    </row>
    <row r="27" ht="15.75" customHeight="1">
      <c r="A27" s="21" t="s">
        <v>474</v>
      </c>
      <c r="B27" s="22" t="str">
        <f>'2조'!B$70</f>
        <v>+</v>
      </c>
      <c r="C27" s="22" t="str">
        <f>'2조'!C$70</f>
        <v>layer 가 응집도가 높고 아래 layer 에만 결합되어 재사용·교체·대체가 쉽다</v>
      </c>
      <c r="D27" s="22" t="str">
        <f>'2조'!D$70</f>
        <v/>
      </c>
      <c r="E27" s="22" t="str">
        <f>'2조'!E$70</f>
        <v>2조 - Virtual Machine - Integrability</v>
      </c>
      <c r="F27" s="22" t="str">
        <f>'2조'!F$70</f>
        <v/>
      </c>
      <c r="G27" s="22" t="str">
        <f>'2조'!G$70</f>
        <v>2조 - Microkernel - Integrability</v>
      </c>
      <c r="I27" s="4"/>
      <c r="J27" s="4"/>
      <c r="K27" s="4"/>
      <c r="L27" s="4"/>
      <c r="M27" s="4"/>
      <c r="N27" s="4"/>
      <c r="O27" s="4"/>
      <c r="P27" s="4"/>
      <c r="Q27" s="4"/>
      <c r="R27" s="4"/>
      <c r="S27" s="4"/>
      <c r="T27" s="4"/>
      <c r="U27" s="4"/>
      <c r="V27" s="4"/>
      <c r="W27" s="4"/>
      <c r="X27" s="4"/>
      <c r="Y27" s="4"/>
      <c r="Z27" s="4"/>
    </row>
    <row r="28" ht="15.75" customHeight="1">
      <c r="A28" s="21" t="s">
        <v>476</v>
      </c>
      <c r="B28" s="22" t="str">
        <f>'3조'!B$70</f>
        <v>+</v>
      </c>
      <c r="C28" s="22" t="str">
        <f>'3조'!C$70</f>
        <v>Layer 간 서비스 사용 관계가 명확해, 정해진 인터페이스를 기준으로 상하 계층을 통합하기 쉽다.</v>
      </c>
      <c r="D28" s="22" t="str">
        <f>'3조'!D$70</f>
        <v/>
      </c>
      <c r="E28" s="22" t="str">
        <f>'3조'!E$70</f>
        <v>3조 - Virtual Machine - Integrability</v>
      </c>
      <c r="F28" s="22" t="str">
        <f>'3조'!F$70</f>
        <v/>
      </c>
      <c r="G28" s="22" t="str">
        <f>'3조'!G$70</f>
        <v>3조 - Microkernel - Integrability</v>
      </c>
      <c r="I28" s="4"/>
      <c r="J28" s="4"/>
      <c r="K28" s="4"/>
      <c r="L28" s="4"/>
      <c r="M28" s="4"/>
      <c r="N28" s="4"/>
      <c r="O28" s="4"/>
      <c r="P28" s="4"/>
      <c r="Q28" s="4"/>
      <c r="R28" s="4"/>
      <c r="S28" s="4"/>
      <c r="T28" s="4"/>
      <c r="U28" s="4"/>
      <c r="V28" s="4"/>
      <c r="W28" s="4"/>
      <c r="X28" s="4"/>
      <c r="Y28" s="4"/>
      <c r="Z28" s="4"/>
    </row>
    <row r="29" ht="15.75" customHeight="1">
      <c r="A29" s="21" t="s">
        <v>479</v>
      </c>
      <c r="B29" s="22" t="str">
        <f>'4조'!B$70</f>
        <v>+</v>
      </c>
      <c r="C29" s="22" t="str">
        <f>'4조'!C$70</f>
        <v>계층 사이의 연결 규칙이 명확하면 새로운 기능을 연결하기 쉽다.</v>
      </c>
      <c r="D29" s="22" t="str">
        <f>'4조'!D$70</f>
        <v/>
      </c>
      <c r="E29" s="22" t="str">
        <f>'4조'!E$70</f>
        <v>Human - Virtual Machine - Integrability</v>
      </c>
      <c r="F29" s="22" t="str">
        <f>'4조'!F$70</f>
        <v/>
      </c>
      <c r="G29" s="22" t="str">
        <f>'4조'!G$70</f>
        <v>Human - Microkernel - Integrability</v>
      </c>
      <c r="I29" s="4"/>
      <c r="J29" s="4"/>
      <c r="K29" s="4"/>
      <c r="L29" s="4"/>
      <c r="M29" s="4"/>
      <c r="N29" s="4"/>
      <c r="O29" s="4"/>
      <c r="P29" s="4"/>
      <c r="Q29" s="4"/>
      <c r="R29" s="4"/>
      <c r="S29" s="4"/>
      <c r="T29" s="4"/>
      <c r="U29" s="4"/>
      <c r="V29" s="4"/>
      <c r="W29" s="4"/>
      <c r="X29" s="4"/>
      <c r="Y29" s="4"/>
      <c r="Z29" s="4"/>
    </row>
    <row r="30" ht="15.75" customHeight="1">
      <c r="A30" s="21" t="s">
        <v>481</v>
      </c>
      <c r="B30" s="22" t="str">
        <f>'5조'!B$70</f>
        <v>+</v>
      </c>
      <c r="C30" s="22" t="str">
        <f>'5조'!C$70</f>
        <v>명확한 계층 인터페이스로 인하여 외부 모듈의 연동이 수월하다.</v>
      </c>
      <c r="D30" s="22" t="str">
        <f>'5조'!D$70</f>
        <v/>
      </c>
      <c r="E30" s="22" t="str">
        <f>'5조'!E$70</f>
        <v>5조 - Virtual Machine - Integrability</v>
      </c>
      <c r="F30" s="22" t="str">
        <f>'5조'!F$70</f>
        <v/>
      </c>
      <c r="G30" s="22" t="str">
        <f>'5조'!G$70</f>
        <v>5조 - Microkernel - Integrability</v>
      </c>
      <c r="I30" s="4"/>
      <c r="J30" s="4"/>
      <c r="K30" s="4"/>
      <c r="L30" s="4"/>
      <c r="M30" s="4"/>
      <c r="N30" s="4"/>
      <c r="O30" s="4"/>
      <c r="P30" s="4"/>
      <c r="Q30" s="4"/>
      <c r="R30" s="4"/>
      <c r="S30" s="4"/>
      <c r="T30" s="4"/>
      <c r="U30" s="4"/>
      <c r="V30" s="4"/>
      <c r="W30" s="4"/>
      <c r="X30" s="4"/>
      <c r="Y30" s="4"/>
      <c r="Z30" s="4"/>
    </row>
    <row r="31" ht="15.75" customHeight="1">
      <c r="A31" s="21" t="s">
        <v>484</v>
      </c>
      <c r="B31" s="22" t="str">
        <f>'6조'!B$70</f>
        <v>+</v>
      </c>
      <c r="C31" s="22" t="str">
        <f>'6조'!C$70</f>
        <v>각 layer가 정의된 인터페이스로 서비스를 제공하므로(약한 결합), 그 인터페이스만 유지되면 아래 구현을 새 컴포넌트로 교체하거나 다른 시스템과 연동하기 쉽다</v>
      </c>
      <c r="D31" s="22" t="str">
        <f>'6조'!D$70</f>
        <v/>
      </c>
      <c r="E31" s="22" t="str">
        <f>'6조'!E$70</f>
        <v>6조 - Virtual Machine - Integrability</v>
      </c>
      <c r="F31" s="22" t="str">
        <f>'6조'!F$70</f>
        <v/>
      </c>
      <c r="G31" s="22" t="str">
        <f>'6조'!G$70</f>
        <v>6조 - Microkernel - Integrability</v>
      </c>
      <c r="I31" s="4"/>
      <c r="J31" s="4"/>
      <c r="K31" s="4"/>
      <c r="L31" s="4"/>
      <c r="M31" s="4"/>
      <c r="N31" s="4"/>
      <c r="O31" s="4"/>
      <c r="P31" s="4"/>
      <c r="Q31" s="4"/>
      <c r="R31" s="4"/>
      <c r="S31" s="4"/>
      <c r="T31" s="4"/>
      <c r="U31" s="4"/>
      <c r="V31" s="4"/>
      <c r="W31" s="4"/>
      <c r="X31" s="4"/>
      <c r="Y31" s="4"/>
      <c r="Z31" s="4"/>
    </row>
    <row r="32" ht="15.75" customHeight="1">
      <c r="A32" s="21" t="s">
        <v>486</v>
      </c>
      <c r="B32" s="22" t="str">
        <f>'7조'!B$70</f>
        <v/>
      </c>
      <c r="C32" s="22" t="str">
        <f>'7조'!C$70</f>
        <v>7조 - Layered - Integrability</v>
      </c>
      <c r="D32" s="22" t="str">
        <f>'7조'!D$70</f>
        <v/>
      </c>
      <c r="E32" s="22" t="str">
        <f>'7조'!E$70</f>
        <v>7조 - Virtual Machine - Integrability</v>
      </c>
      <c r="F32" s="22" t="str">
        <f>'7조'!F$70</f>
        <v/>
      </c>
      <c r="G32" s="22" t="str">
        <f>'7조'!G$70</f>
        <v>7조 - Microkernel - Integrability</v>
      </c>
      <c r="H32" s="4"/>
      <c r="I32" s="4"/>
      <c r="J32" s="4"/>
      <c r="K32" s="4"/>
      <c r="L32" s="4"/>
      <c r="M32" s="4"/>
      <c r="N32" s="4"/>
      <c r="O32" s="4"/>
      <c r="P32" s="4"/>
      <c r="Q32" s="4"/>
      <c r="R32" s="4"/>
      <c r="S32" s="4"/>
      <c r="T32" s="4"/>
      <c r="U32" s="4"/>
      <c r="V32" s="4"/>
      <c r="W32" s="4"/>
      <c r="X32" s="4"/>
      <c r="Y32" s="4"/>
      <c r="Z32" s="4"/>
    </row>
    <row r="33" ht="15.75" customHeight="1">
      <c r="A33" s="21" t="s">
        <v>487</v>
      </c>
      <c r="B33" s="22" t="str">
        <f>'8조'!B$70</f>
        <v/>
      </c>
      <c r="C33" s="22" t="str">
        <f>'8조'!C$70</f>
        <v>8조 - Layered - Integrability</v>
      </c>
      <c r="D33" s="22" t="str">
        <f>'8조'!D$70</f>
        <v/>
      </c>
      <c r="E33" s="22" t="str">
        <f>'8조'!E$70</f>
        <v>8조 - Virtual Machine - Integrability</v>
      </c>
      <c r="F33" s="22" t="str">
        <f>'8조'!F$70</f>
        <v/>
      </c>
      <c r="G33" s="22" t="str">
        <f>'8조'!G$70</f>
        <v>8조 - Microkernel - Integrability</v>
      </c>
      <c r="H33" s="4"/>
      <c r="I33" s="4"/>
      <c r="J33" s="4"/>
      <c r="K33" s="4"/>
      <c r="L33" s="4"/>
      <c r="M33" s="4"/>
      <c r="N33" s="4"/>
      <c r="O33" s="4"/>
      <c r="P33" s="4"/>
      <c r="Q33" s="4"/>
      <c r="R33" s="4"/>
      <c r="S33" s="4"/>
      <c r="T33" s="4"/>
      <c r="U33" s="4"/>
      <c r="V33" s="4"/>
      <c r="W33" s="4"/>
      <c r="X33" s="4"/>
      <c r="Y33" s="4"/>
      <c r="Z33" s="4"/>
    </row>
    <row r="34" ht="15.75" customHeight="1">
      <c r="A34" s="21" t="s">
        <v>491</v>
      </c>
      <c r="B34" s="22" t="str">
        <f>'9조'!B$70</f>
        <v/>
      </c>
      <c r="C34" s="22" t="str">
        <f>'9조'!C$70</f>
        <v>9조 - Layered - Integrability</v>
      </c>
      <c r="D34" s="22" t="str">
        <f>'9조'!D$70</f>
        <v/>
      </c>
      <c r="E34" s="22" t="str">
        <f>'9조'!E$70</f>
        <v>9조 - Virtual Machine - Integrability</v>
      </c>
      <c r="F34" s="22" t="str">
        <f>'9조'!F$70</f>
        <v/>
      </c>
      <c r="G34" s="22" t="str">
        <f>'9조'!G$70</f>
        <v>9조 - Microkernel - Integrability</v>
      </c>
      <c r="H34" s="4"/>
      <c r="I34" s="4"/>
      <c r="J34" s="4"/>
      <c r="K34" s="4"/>
      <c r="L34" s="4"/>
      <c r="M34" s="4"/>
      <c r="N34" s="4"/>
      <c r="O34" s="4"/>
      <c r="P34" s="4"/>
      <c r="Q34" s="4"/>
      <c r="R34" s="4"/>
      <c r="S34" s="4"/>
      <c r="T34" s="4"/>
      <c r="U34" s="4"/>
      <c r="V34" s="4"/>
      <c r="W34" s="4"/>
      <c r="X34" s="4"/>
      <c r="Y34" s="4"/>
      <c r="Z34" s="4"/>
    </row>
    <row r="35" ht="15.75" customHeight="1">
      <c r="A35" s="23"/>
      <c r="B35" s="23"/>
      <c r="C35" s="23"/>
      <c r="D35" s="23"/>
      <c r="E35" s="23"/>
      <c r="F35" s="23"/>
      <c r="G35" s="23"/>
      <c r="H35" s="4"/>
      <c r="I35" s="4"/>
      <c r="J35" s="4"/>
      <c r="K35" s="4"/>
      <c r="L35" s="4"/>
      <c r="M35" s="4"/>
      <c r="N35" s="4"/>
      <c r="O35" s="4"/>
      <c r="P35" s="4"/>
      <c r="Q35" s="4"/>
      <c r="R35" s="4"/>
      <c r="S35" s="4"/>
      <c r="T35" s="4"/>
      <c r="U35" s="4"/>
      <c r="V35" s="4"/>
      <c r="W35" s="4"/>
      <c r="X35" s="4"/>
      <c r="Y35" s="4"/>
      <c r="Z35" s="4"/>
    </row>
    <row r="36" ht="15.75" customHeight="1">
      <c r="A36" s="7" t="s">
        <v>117</v>
      </c>
      <c r="B36" s="7" t="str">
        <f>'Detailed Reasoning'!B$71</f>
        <v/>
      </c>
      <c r="C36" s="7" t="str">
        <f>'Detailed Reasoning'!C$71</f>
        <v/>
      </c>
      <c r="D36" s="7" t="str">
        <f>'Detailed Reasoning'!D$71</f>
        <v/>
      </c>
      <c r="E36" s="7" t="str">
        <f>'Detailed Reasoning'!E$71</f>
        <v/>
      </c>
      <c r="F36" s="8" t="str">
        <f>'Detailed Reasoning'!F$71</f>
        <v/>
      </c>
      <c r="G36" s="8" t="str">
        <f>'Detailed Reasoning'!G$71</f>
        <v/>
      </c>
      <c r="H36" s="4"/>
      <c r="I36" s="4"/>
      <c r="J36" s="4"/>
      <c r="K36" s="4"/>
      <c r="L36" s="4"/>
      <c r="M36" s="4"/>
      <c r="N36" s="4"/>
      <c r="O36" s="4"/>
      <c r="P36" s="4"/>
      <c r="Q36" s="4"/>
      <c r="R36" s="4"/>
      <c r="S36" s="4"/>
      <c r="T36" s="4"/>
      <c r="U36" s="4"/>
      <c r="V36" s="4"/>
      <c r="W36" s="4"/>
      <c r="X36" s="4"/>
      <c r="Y36" s="4"/>
      <c r="Z36" s="4"/>
    </row>
    <row r="37" ht="15.75" customHeight="1">
      <c r="A37" s="23" t="s">
        <v>497</v>
      </c>
      <c r="B37" s="22" t="str">
        <f>'1조'!B$71</f>
        <v>-</v>
      </c>
      <c r="C37" s="22" t="str">
        <f>'1조'!C$71</f>
        <v>요청이 여러 계층을 거치면서 추가적인 호출과 데이터 전달·변환이 발생할 수 있어 자원 사용과 에너지 소비가 증가할 수 있다.</v>
      </c>
      <c r="D37" s="22" t="str">
        <f>'1조'!D$71</f>
        <v/>
      </c>
      <c r="E37" s="22" t="str">
        <f>'1조'!E$71</f>
        <v>1조 - Virtual Machine - Energy Efficiency</v>
      </c>
      <c r="F37" s="22" t="str">
        <f>'1조'!F$71</f>
        <v/>
      </c>
      <c r="G37" s="22" t="str">
        <f>'1조'!G$71</f>
        <v>1조 - Microkernel - Energy Efficiency</v>
      </c>
      <c r="H37" s="12" t="s">
        <v>499</v>
      </c>
      <c r="I37" s="4"/>
      <c r="J37" s="4"/>
      <c r="K37" s="4"/>
      <c r="L37" s="4"/>
      <c r="M37" s="4"/>
      <c r="N37" s="4"/>
      <c r="O37" s="4"/>
      <c r="P37" s="4"/>
      <c r="Q37" s="4"/>
      <c r="R37" s="4"/>
      <c r="S37" s="4"/>
      <c r="T37" s="4"/>
      <c r="U37" s="4"/>
      <c r="V37" s="4"/>
      <c r="W37" s="4"/>
      <c r="X37" s="4"/>
      <c r="Y37" s="4"/>
      <c r="Z37" s="4"/>
    </row>
    <row r="38" ht="15.75" customHeight="1">
      <c r="A38" s="23" t="s">
        <v>501</v>
      </c>
      <c r="B38" s="22" t="str">
        <f>'2조'!B$71</f>
        <v>-</v>
      </c>
      <c r="C38" s="22" t="str">
        <f>'2조'!C$71</f>
        <v>인접 계층 간 메모리 호출 시 효율적이지만, layer 를 하나 지날 때마다 호출과 변환이 생겨 층이 많을수록 오버헤드 발생함.</v>
      </c>
      <c r="D38" s="22" t="str">
        <f>'2조'!D$71</f>
        <v/>
      </c>
      <c r="E38" s="22" t="str">
        <f>'2조'!E$71</f>
        <v>2조 - Virtual Machine - Energy Efficiency</v>
      </c>
      <c r="F38" s="22" t="str">
        <f>'2조'!F$71</f>
        <v/>
      </c>
      <c r="G38" s="22" t="str">
        <f>'2조'!G$71</f>
        <v>2조 - Microkernel - Energy Efficiency</v>
      </c>
      <c r="I38" s="4"/>
      <c r="J38" s="4"/>
      <c r="K38" s="4"/>
      <c r="L38" s="4"/>
      <c r="M38" s="4"/>
      <c r="N38" s="4"/>
      <c r="O38" s="4"/>
      <c r="P38" s="4"/>
      <c r="Q38" s="4"/>
      <c r="R38" s="4"/>
      <c r="S38" s="4"/>
      <c r="T38" s="4"/>
      <c r="U38" s="4"/>
      <c r="V38" s="4"/>
      <c r="W38" s="4"/>
      <c r="X38" s="4"/>
      <c r="Y38" s="4"/>
      <c r="Z38" s="4"/>
    </row>
    <row r="39" ht="15.75" customHeight="1">
      <c r="A39" s="23" t="s">
        <v>504</v>
      </c>
      <c r="B39" s="22" t="str">
        <f>'3조'!B$71</f>
        <v>-</v>
      </c>
      <c r="C39" s="22" t="str">
        <f>'3조'!C$71</f>
        <v>여러 layer를 거치며 호출과 데이터 전달 overhead가 생겨 자원 사용이 늘 수 있다.</v>
      </c>
      <c r="D39" s="22" t="str">
        <f>'3조'!D$71</f>
        <v/>
      </c>
      <c r="E39" s="22" t="str">
        <f>'3조'!E$71</f>
        <v>3조 - Virtual Machine - Energy Efficiency</v>
      </c>
      <c r="F39" s="22" t="str">
        <f>'3조'!F$71</f>
        <v/>
      </c>
      <c r="G39" s="22" t="str">
        <f>'3조'!G$71</f>
        <v>3조 - Microkernel - Energy Efficiency</v>
      </c>
      <c r="I39" s="4"/>
      <c r="J39" s="4"/>
      <c r="K39" s="4"/>
      <c r="L39" s="4"/>
      <c r="M39" s="4"/>
      <c r="N39" s="4"/>
      <c r="O39" s="4"/>
      <c r="P39" s="4"/>
      <c r="Q39" s="4"/>
      <c r="R39" s="4"/>
      <c r="S39" s="4"/>
      <c r="T39" s="4"/>
      <c r="U39" s="4"/>
      <c r="V39" s="4"/>
      <c r="W39" s="4"/>
      <c r="X39" s="4"/>
      <c r="Y39" s="4"/>
      <c r="Z39" s="4"/>
    </row>
    <row r="40" ht="15.75" customHeight="1">
      <c r="A40" s="23" t="s">
        <v>509</v>
      </c>
      <c r="B40" s="22" t="str">
        <f>'4조'!B$71</f>
        <v>0</v>
      </c>
      <c r="C40" s="22" t="str">
        <f>'4조'!C$71</f>
        <v>계층 수와 호출 방식에 따라 추가 처리 비용이 달라진다.</v>
      </c>
      <c r="D40" s="22" t="str">
        <f>'4조'!D$71</f>
        <v/>
      </c>
      <c r="E40" s="22" t="str">
        <f>'4조'!E$71</f>
        <v>Human - Virtual Machine - Energy Efficiency</v>
      </c>
      <c r="F40" s="22" t="str">
        <f>'4조'!F$71</f>
        <v/>
      </c>
      <c r="G40" s="22" t="str">
        <f>'4조'!G$71</f>
        <v>Human - Microkernel - Energy Efficiency</v>
      </c>
      <c r="I40" s="4"/>
      <c r="J40" s="4"/>
      <c r="K40" s="4"/>
      <c r="L40" s="4"/>
      <c r="M40" s="4"/>
      <c r="N40" s="4"/>
      <c r="O40" s="4"/>
      <c r="P40" s="4"/>
      <c r="Q40" s="4"/>
      <c r="R40" s="4"/>
      <c r="S40" s="4"/>
      <c r="T40" s="4"/>
      <c r="U40" s="4"/>
      <c r="V40" s="4"/>
      <c r="W40" s="4"/>
      <c r="X40" s="4"/>
      <c r="Y40" s="4"/>
      <c r="Z40" s="4"/>
    </row>
    <row r="41" ht="15.75" customHeight="1">
      <c r="A41" s="23" t="s">
        <v>512</v>
      </c>
      <c r="B41" s="22" t="str">
        <f>'5조'!B$71</f>
        <v>-</v>
      </c>
      <c r="C41" s="22" t="str">
        <f>'5조'!C$71</f>
        <v>여러 계층을 통과하는 과정에서 호출 및 데이터 변환에 의한 오버헤드가 발생한다.</v>
      </c>
      <c r="D41" s="22" t="str">
        <f>'5조'!D$71</f>
        <v/>
      </c>
      <c r="E41" s="22" t="str">
        <f>'5조'!E$71</f>
        <v>5조 - Virtual Machine - Energy Efficiency</v>
      </c>
      <c r="F41" s="22" t="str">
        <f>'5조'!F$71</f>
        <v/>
      </c>
      <c r="G41" s="22" t="str">
        <f>'5조'!G$71</f>
        <v>5조 - Microkernel - Energy Efficiency</v>
      </c>
      <c r="I41" s="4"/>
      <c r="J41" s="4"/>
      <c r="K41" s="4"/>
      <c r="L41" s="4"/>
      <c r="M41" s="4"/>
      <c r="N41" s="4"/>
      <c r="O41" s="4"/>
      <c r="P41" s="4"/>
      <c r="Q41" s="4"/>
      <c r="R41" s="4"/>
      <c r="S41" s="4"/>
      <c r="T41" s="4"/>
      <c r="U41" s="4"/>
      <c r="V41" s="4"/>
      <c r="W41" s="4"/>
      <c r="X41" s="4"/>
      <c r="Y41" s="4"/>
      <c r="Z41" s="4"/>
    </row>
    <row r="42" ht="15.75" customHeight="1">
      <c r="A42" s="23" t="s">
        <v>515</v>
      </c>
      <c r="B42" s="22" t="str">
        <f>'6조'!B$71</f>
        <v>-</v>
      </c>
      <c r="C42" s="22" t="str">
        <f>'6조'!C$71</f>
        <v>Layer 수가 많을수록 요청이 여러 Layer를 순차적으로 통과하면서 반복적인 호출, 데이터 변환 및 중간 처리에 추가 자원이 소모된다.</v>
      </c>
      <c r="D42" s="22" t="str">
        <f>'6조'!D$71</f>
        <v/>
      </c>
      <c r="E42" s="22" t="str">
        <f>'6조'!E$71</f>
        <v>6조 - Virtual Machine - Energy Efficiency</v>
      </c>
      <c r="F42" s="22" t="str">
        <f>'6조'!F$71</f>
        <v/>
      </c>
      <c r="G42" s="22" t="str">
        <f>'6조'!G$71</f>
        <v>6조 - Microkernel - Energy Efficiency</v>
      </c>
      <c r="I42" s="4"/>
      <c r="J42" s="4"/>
      <c r="K42" s="4"/>
      <c r="L42" s="4"/>
      <c r="M42" s="4"/>
      <c r="N42" s="4"/>
      <c r="O42" s="4"/>
      <c r="P42" s="4"/>
      <c r="Q42" s="4"/>
      <c r="R42" s="4"/>
      <c r="S42" s="4"/>
      <c r="T42" s="4"/>
      <c r="U42" s="4"/>
      <c r="V42" s="4"/>
      <c r="W42" s="4"/>
      <c r="X42" s="4"/>
      <c r="Y42" s="4"/>
      <c r="Z42" s="4"/>
    </row>
    <row r="43" ht="15.75" customHeight="1">
      <c r="A43" s="23" t="s">
        <v>518</v>
      </c>
      <c r="B43" s="22" t="str">
        <f>'7조'!B$71</f>
        <v/>
      </c>
      <c r="C43" s="22" t="str">
        <f>'7조'!C$71</f>
        <v>7조 - Layered - Energy Efficiency</v>
      </c>
      <c r="D43" s="22" t="str">
        <f>'7조'!D$71</f>
        <v/>
      </c>
      <c r="E43" s="22" t="str">
        <f>'7조'!E$71</f>
        <v>7조 - Virtual Machine - Energy Efficiency</v>
      </c>
      <c r="F43" s="22" t="str">
        <f>'7조'!F$71</f>
        <v/>
      </c>
      <c r="G43" s="22" t="str">
        <f>'7조'!G$71</f>
        <v>7조 - Microkernel - Energy Efficiency</v>
      </c>
      <c r="H43" s="4"/>
      <c r="I43" s="4"/>
      <c r="J43" s="4"/>
      <c r="K43" s="4"/>
      <c r="L43" s="4"/>
      <c r="M43" s="4"/>
      <c r="N43" s="4"/>
      <c r="O43" s="4"/>
      <c r="P43" s="4"/>
      <c r="Q43" s="4"/>
      <c r="R43" s="4"/>
      <c r="S43" s="4"/>
      <c r="T43" s="4"/>
      <c r="U43" s="4"/>
      <c r="V43" s="4"/>
      <c r="W43" s="4"/>
      <c r="X43" s="4"/>
      <c r="Y43" s="4"/>
      <c r="Z43" s="4"/>
    </row>
    <row r="44" ht="15.75" customHeight="1">
      <c r="A44" s="23" t="s">
        <v>521</v>
      </c>
      <c r="B44" s="22" t="str">
        <f>'8조'!B$71</f>
        <v/>
      </c>
      <c r="C44" s="22" t="str">
        <f>'8조'!C$71</f>
        <v>8조 - Layered - Energy Efficiency</v>
      </c>
      <c r="D44" s="22" t="str">
        <f>'8조'!D$71</f>
        <v/>
      </c>
      <c r="E44" s="22" t="str">
        <f>'8조'!E$71</f>
        <v>8조 - Virtual Machine - Energy Efficiency</v>
      </c>
      <c r="F44" s="22" t="str">
        <f>'8조'!F$71</f>
        <v/>
      </c>
      <c r="G44" s="22" t="str">
        <f>'8조'!G$71</f>
        <v>8조 - Microkernel - Energy Efficiency</v>
      </c>
      <c r="H44" s="4"/>
      <c r="I44" s="4"/>
      <c r="J44" s="4"/>
      <c r="K44" s="4"/>
      <c r="L44" s="4"/>
      <c r="M44" s="4"/>
      <c r="N44" s="4"/>
      <c r="O44" s="4"/>
      <c r="P44" s="4"/>
      <c r="Q44" s="4"/>
      <c r="R44" s="4"/>
      <c r="S44" s="4"/>
      <c r="T44" s="4"/>
      <c r="U44" s="4"/>
      <c r="V44" s="4"/>
      <c r="W44" s="4"/>
      <c r="X44" s="4"/>
      <c r="Y44" s="4"/>
      <c r="Z44" s="4"/>
    </row>
    <row r="45" ht="15.75" customHeight="1">
      <c r="A45" s="23" t="s">
        <v>524</v>
      </c>
      <c r="B45" s="22" t="str">
        <f>'9조'!B$71</f>
        <v/>
      </c>
      <c r="C45" s="22" t="str">
        <f>'9조'!C$71</f>
        <v>9조 - Layered - Energy Efficiency</v>
      </c>
      <c r="D45" s="22" t="str">
        <f>'9조'!D$71</f>
        <v/>
      </c>
      <c r="E45" s="22" t="str">
        <f>'9조'!E$71</f>
        <v>9조 - Virtual Machine - Energy Efficiency</v>
      </c>
      <c r="F45" s="22" t="str">
        <f>'9조'!F$71</f>
        <v/>
      </c>
      <c r="G45" s="22" t="str">
        <f>'9조'!G$71</f>
        <v>9조 - Microkernel - Energy Efficiency</v>
      </c>
      <c r="H45" s="4"/>
      <c r="I45" s="4"/>
      <c r="J45" s="4"/>
      <c r="K45" s="4"/>
      <c r="L45" s="4"/>
      <c r="M45" s="4"/>
      <c r="N45" s="4"/>
      <c r="O45" s="4"/>
      <c r="P45" s="4"/>
      <c r="Q45" s="4"/>
      <c r="R45" s="4"/>
      <c r="S45" s="4"/>
      <c r="T45" s="4"/>
      <c r="U45" s="4"/>
      <c r="V45" s="4"/>
      <c r="W45" s="4"/>
      <c r="X45" s="4"/>
      <c r="Y45" s="4"/>
      <c r="Z45" s="4"/>
    </row>
    <row r="46" ht="15.75" customHeight="1">
      <c r="A46" s="23"/>
      <c r="B46" s="23"/>
      <c r="C46" s="23"/>
      <c r="D46" s="23"/>
      <c r="E46" s="23"/>
      <c r="F46" s="23"/>
      <c r="G46" s="23"/>
      <c r="H46" s="4"/>
      <c r="I46" s="4"/>
      <c r="J46" s="4"/>
      <c r="K46" s="4"/>
      <c r="L46" s="4"/>
      <c r="M46" s="4"/>
      <c r="N46" s="4"/>
      <c r="O46" s="4"/>
      <c r="P46" s="4"/>
      <c r="Q46" s="4"/>
      <c r="R46" s="4"/>
      <c r="S46" s="4"/>
      <c r="T46" s="4"/>
      <c r="U46" s="4"/>
      <c r="V46" s="4"/>
      <c r="W46" s="4"/>
      <c r="X46" s="4"/>
      <c r="Y46" s="4"/>
      <c r="Z46" s="4"/>
    </row>
    <row r="47" ht="15.75" customHeight="1">
      <c r="A47" s="7" t="s">
        <v>151</v>
      </c>
      <c r="B47" s="7" t="str">
        <f>'Detailed Reasoning'!B$72</f>
        <v/>
      </c>
      <c r="C47" s="7" t="str">
        <f>'Detailed Reasoning'!C$72</f>
        <v/>
      </c>
      <c r="D47" s="7" t="str">
        <f>'Detailed Reasoning'!D$72</f>
        <v/>
      </c>
      <c r="E47" s="7" t="str">
        <f>'Detailed Reasoning'!E$72</f>
        <v/>
      </c>
      <c r="F47" s="8" t="str">
        <f>'Detailed Reasoning'!F$72</f>
        <v/>
      </c>
      <c r="G47" s="7" t="str">
        <f>'Detailed Reasoning'!G$72</f>
        <v/>
      </c>
      <c r="H47" s="4"/>
      <c r="I47" s="4"/>
      <c r="J47" s="4"/>
      <c r="K47" s="4"/>
      <c r="L47" s="4"/>
      <c r="M47" s="4"/>
      <c r="N47" s="4"/>
      <c r="O47" s="4"/>
      <c r="P47" s="4"/>
      <c r="Q47" s="4"/>
      <c r="R47" s="4"/>
      <c r="S47" s="4"/>
      <c r="T47" s="4"/>
      <c r="U47" s="4"/>
      <c r="V47" s="4"/>
      <c r="W47" s="4"/>
      <c r="X47" s="4"/>
      <c r="Y47" s="4"/>
      <c r="Z47" s="4"/>
    </row>
    <row r="48" ht="15.75" customHeight="1">
      <c r="A48" s="21" t="s">
        <v>529</v>
      </c>
      <c r="B48" s="22" t="str">
        <f>'1조'!B$72</f>
        <v>++</v>
      </c>
      <c r="C48" s="22" t="str">
        <f>'1조'!C$72</f>
        <v>계층별로 관심사와 책임이 분리되고 내부 구현이 은닉되어 있어 인터페이스를 유지하는 변경은 해당 계층 내부로 영향 범위를 제한하기 쉽다.</v>
      </c>
      <c r="D48" s="22" t="str">
        <f>'1조'!D$72</f>
        <v/>
      </c>
      <c r="E48" s="22" t="str">
        <f>'1조'!E$72</f>
        <v>1조 - Virtual Machine - Modifiability</v>
      </c>
      <c r="F48" s="22" t="str">
        <f>'1조'!F$72</f>
        <v/>
      </c>
      <c r="G48" s="22" t="str">
        <f>'1조'!G$72</f>
        <v>1조 - Microkernel - Modifiability</v>
      </c>
      <c r="H48" s="12" t="s">
        <v>530</v>
      </c>
      <c r="I48" s="4"/>
      <c r="J48" s="4"/>
      <c r="K48" s="4"/>
      <c r="L48" s="4"/>
      <c r="M48" s="4"/>
      <c r="N48" s="4"/>
      <c r="O48" s="4"/>
      <c r="P48" s="4"/>
      <c r="Q48" s="4"/>
      <c r="R48" s="4"/>
      <c r="S48" s="4"/>
      <c r="T48" s="4"/>
      <c r="U48" s="4"/>
      <c r="V48" s="4"/>
      <c r="W48" s="4"/>
      <c r="X48" s="4"/>
      <c r="Y48" s="4"/>
      <c r="Z48" s="4"/>
    </row>
    <row r="49" ht="15.75" customHeight="1">
      <c r="A49" s="21" t="s">
        <v>531</v>
      </c>
      <c r="B49" s="22" t="str">
        <f>'2조'!B$72</f>
        <v>++</v>
      </c>
      <c r="C49" s="22" t="str">
        <f>'2조'!C$72</f>
        <v>계층 응집도가 높고, 하위 계층에만 결합(Allowed-to-use)되어 계층 단위 교체 및 수정이 극히 용이하다</v>
      </c>
      <c r="D49" s="22" t="str">
        <f>'2조'!D$72</f>
        <v/>
      </c>
      <c r="E49" s="22" t="str">
        <f>'2조'!E$72</f>
        <v>2조 - Virtual Machine - Modifiability</v>
      </c>
      <c r="F49" s="22" t="str">
        <f>'2조'!F$72</f>
        <v/>
      </c>
      <c r="G49" s="22" t="str">
        <f>'2조'!G$72</f>
        <v>2조 - Microkernel - Modifiability</v>
      </c>
      <c r="I49" s="4"/>
      <c r="J49" s="4"/>
      <c r="K49" s="4"/>
      <c r="L49" s="4"/>
      <c r="M49" s="4"/>
      <c r="N49" s="4"/>
      <c r="O49" s="4"/>
      <c r="P49" s="4"/>
      <c r="Q49" s="4"/>
      <c r="R49" s="4"/>
      <c r="S49" s="4"/>
      <c r="T49" s="4"/>
      <c r="U49" s="4"/>
      <c r="V49" s="4"/>
      <c r="W49" s="4"/>
      <c r="X49" s="4"/>
      <c r="Y49" s="4"/>
      <c r="Z49" s="4"/>
    </row>
    <row r="50" ht="15.75" customHeight="1">
      <c r="A50" s="21" t="s">
        <v>534</v>
      </c>
      <c r="B50" s="22" t="str">
        <f>'3조'!B$72</f>
        <v>++</v>
      </c>
      <c r="C50" s="22" t="str">
        <f>'3조'!C$72</f>
        <v>단방향 의존과 layer별 책임 분리로 변경 영향 범위를 줄이고 재사용·교체가 쉽다.</v>
      </c>
      <c r="D50" s="22" t="str">
        <f>'3조'!D$72</f>
        <v/>
      </c>
      <c r="E50" s="22" t="str">
        <f>'3조'!E$72</f>
        <v>3조 - Virtual Machine - Modifiability</v>
      </c>
      <c r="F50" s="22" t="str">
        <f>'3조'!F$72</f>
        <v/>
      </c>
      <c r="G50" s="22" t="str">
        <f>'3조'!G$72</f>
        <v>3조 - Microkernel - Modifiability</v>
      </c>
      <c r="I50" s="4"/>
      <c r="J50" s="4"/>
      <c r="K50" s="4"/>
      <c r="L50" s="4"/>
      <c r="M50" s="4"/>
      <c r="N50" s="4"/>
      <c r="O50" s="4"/>
      <c r="P50" s="4"/>
      <c r="Q50" s="4"/>
      <c r="R50" s="4"/>
      <c r="S50" s="4"/>
      <c r="T50" s="4"/>
      <c r="U50" s="4"/>
      <c r="V50" s="4"/>
      <c r="W50" s="4"/>
      <c r="X50" s="4"/>
      <c r="Y50" s="4"/>
      <c r="Z50" s="4"/>
    </row>
    <row r="51" ht="15.75" customHeight="1">
      <c r="A51" s="21" t="s">
        <v>536</v>
      </c>
      <c r="B51" s="22" t="str">
        <f>'4조'!B$72</f>
        <v>++</v>
      </c>
      <c r="C51" s="22" t="str">
        <f>'4조'!C$72</f>
        <v>인터페이스만 안정적이면 다른 계층에 영향을 주지 않고 한 계층을 재구현하거나 교체할 수 있다.</v>
      </c>
      <c r="D51" s="22" t="str">
        <f>'4조'!D$72</f>
        <v/>
      </c>
      <c r="E51" s="22" t="str">
        <f>'4조'!E$72</f>
        <v>Human - Virtual Machine - Modifiability</v>
      </c>
      <c r="F51" s="22" t="str">
        <f>'4조'!F$72</f>
        <v/>
      </c>
      <c r="G51" s="22" t="str">
        <f>'4조'!G$72</f>
        <v>Human - Microkernel - Modifiability</v>
      </c>
      <c r="I51" s="4"/>
      <c r="J51" s="4"/>
      <c r="K51" s="4"/>
      <c r="L51" s="4"/>
      <c r="M51" s="4"/>
      <c r="N51" s="4"/>
      <c r="O51" s="4"/>
      <c r="P51" s="4"/>
      <c r="Q51" s="4"/>
      <c r="R51" s="4"/>
      <c r="S51" s="4"/>
      <c r="T51" s="4"/>
      <c r="U51" s="4"/>
      <c r="V51" s="4"/>
      <c r="W51" s="4"/>
      <c r="X51" s="4"/>
      <c r="Y51" s="4"/>
      <c r="Z51" s="4"/>
    </row>
    <row r="52" ht="15.75" customHeight="1">
      <c r="A52" s="21" t="s">
        <v>538</v>
      </c>
      <c r="B52" s="22" t="str">
        <f>'5조'!B$72</f>
        <v>+</v>
      </c>
      <c r="C52" s="22" t="str">
        <f>'5조'!C$72</f>
        <v>특정 계층에 변경을 국소화할 수 있으므로 상위 계층에 대한 파급이 적을 수 있다.</v>
      </c>
      <c r="D52" s="22" t="str">
        <f>'5조'!D$72</f>
        <v/>
      </c>
      <c r="E52" s="22" t="str">
        <f>'5조'!E$72</f>
        <v>5조 - Virtual Machine - Modifiability</v>
      </c>
      <c r="F52" s="22" t="str">
        <f>'5조'!F$72</f>
        <v/>
      </c>
      <c r="G52" s="22" t="str">
        <f>'5조'!G$72</f>
        <v>5조 - Microkernel - Modifiability</v>
      </c>
      <c r="I52" s="4"/>
      <c r="J52" s="4"/>
      <c r="K52" s="4"/>
      <c r="L52" s="4"/>
      <c r="M52" s="4"/>
      <c r="N52" s="4"/>
      <c r="O52" s="4"/>
      <c r="P52" s="4"/>
      <c r="Q52" s="4"/>
      <c r="R52" s="4"/>
      <c r="S52" s="4"/>
      <c r="T52" s="4"/>
      <c r="U52" s="4"/>
      <c r="V52" s="4"/>
      <c r="W52" s="4"/>
      <c r="X52" s="4"/>
      <c r="Y52" s="4"/>
      <c r="Z52" s="4"/>
    </row>
    <row r="53" ht="15.75" customHeight="1">
      <c r="A53" s="21" t="s">
        <v>539</v>
      </c>
      <c r="B53" s="22" t="str">
        <f>'6조'!B$72</f>
        <v>+</v>
      </c>
      <c r="C53" s="22" t="str">
        <f>'6조'!C$72</f>
        <v>layer 내 한 모듈이 연결된 범위가 최대 한 layer 로, 영향범위 파악이 쉽고 수정 쉬움</v>
      </c>
      <c r="D53" s="22" t="str">
        <f>'6조'!D$72</f>
        <v/>
      </c>
      <c r="E53" s="22" t="str">
        <f>'6조'!E$72</f>
        <v>6조 - Virtual Machine - Modifiability</v>
      </c>
      <c r="F53" s="22" t="str">
        <f>'6조'!F$72</f>
        <v/>
      </c>
      <c r="G53" s="22" t="str">
        <f>'6조'!G$72</f>
        <v>6조 - Microkernel - Modifiability</v>
      </c>
      <c r="I53" s="4"/>
      <c r="J53" s="4"/>
      <c r="K53" s="4"/>
      <c r="L53" s="4"/>
      <c r="M53" s="4"/>
      <c r="N53" s="4"/>
      <c r="O53" s="4"/>
      <c r="P53" s="4"/>
      <c r="Q53" s="4"/>
      <c r="R53" s="4"/>
      <c r="S53" s="4"/>
      <c r="T53" s="4"/>
      <c r="U53" s="4"/>
      <c r="V53" s="4"/>
      <c r="W53" s="4"/>
      <c r="X53" s="4"/>
      <c r="Y53" s="4"/>
      <c r="Z53" s="4"/>
    </row>
    <row r="54" ht="15.75" customHeight="1">
      <c r="A54" s="21" t="s">
        <v>541</v>
      </c>
      <c r="B54" s="22" t="str">
        <f>'7조'!B$72</f>
        <v/>
      </c>
      <c r="C54" s="22" t="str">
        <f>'7조'!C$72</f>
        <v>7조 - Layered - Modifiability</v>
      </c>
      <c r="D54" s="22" t="str">
        <f>'7조'!D$72</f>
        <v/>
      </c>
      <c r="E54" s="22" t="str">
        <f>'7조'!E$72</f>
        <v>7조 - Virtual Machine - Modifiability</v>
      </c>
      <c r="F54" s="22" t="str">
        <f>'7조'!F$72</f>
        <v/>
      </c>
      <c r="G54" s="22" t="str">
        <f>'7조'!G$72</f>
        <v>7조 - Microkernel - Modifiability</v>
      </c>
      <c r="H54" s="4"/>
      <c r="I54" s="4"/>
      <c r="J54" s="4"/>
      <c r="K54" s="4"/>
      <c r="L54" s="4"/>
      <c r="M54" s="4"/>
      <c r="N54" s="4"/>
      <c r="O54" s="4"/>
      <c r="P54" s="4"/>
      <c r="Q54" s="4"/>
      <c r="R54" s="4"/>
      <c r="S54" s="4"/>
      <c r="T54" s="4"/>
      <c r="U54" s="4"/>
      <c r="V54" s="4"/>
      <c r="W54" s="4"/>
      <c r="X54" s="4"/>
      <c r="Y54" s="4"/>
      <c r="Z54" s="4"/>
    </row>
    <row r="55" ht="15.75" customHeight="1">
      <c r="A55" s="21" t="s">
        <v>543</v>
      </c>
      <c r="B55" s="22" t="str">
        <f>'8조'!B$72</f>
        <v/>
      </c>
      <c r="C55" s="22" t="str">
        <f>'8조'!C$72</f>
        <v>8조 - Layered - Modifiability</v>
      </c>
      <c r="D55" s="22" t="str">
        <f>'8조'!D$72</f>
        <v/>
      </c>
      <c r="E55" s="22" t="str">
        <f>'8조'!E$72</f>
        <v>8조 - Virtual Machine - Modifiability</v>
      </c>
      <c r="F55" s="22" t="str">
        <f>'8조'!F$72</f>
        <v/>
      </c>
      <c r="G55" s="22" t="str">
        <f>'8조'!G$72</f>
        <v>8조 - Microkernel - Modifiability</v>
      </c>
      <c r="H55" s="4"/>
      <c r="I55" s="4"/>
      <c r="J55" s="4"/>
      <c r="K55" s="4"/>
      <c r="L55" s="4"/>
      <c r="M55" s="4"/>
      <c r="N55" s="4"/>
      <c r="O55" s="4"/>
      <c r="P55" s="4"/>
      <c r="Q55" s="4"/>
      <c r="R55" s="4"/>
      <c r="S55" s="4"/>
      <c r="T55" s="4"/>
      <c r="U55" s="4"/>
      <c r="V55" s="4"/>
      <c r="W55" s="4"/>
      <c r="X55" s="4"/>
      <c r="Y55" s="4"/>
      <c r="Z55" s="4"/>
    </row>
    <row r="56" ht="15.75" customHeight="1">
      <c r="A56" s="21" t="s">
        <v>545</v>
      </c>
      <c r="B56" s="22" t="str">
        <f>'9조'!B$72</f>
        <v/>
      </c>
      <c r="C56" s="22" t="str">
        <f>'9조'!C$72</f>
        <v>9조 - Layered - Modifiability</v>
      </c>
      <c r="D56" s="22" t="str">
        <f>'9조'!D$72</f>
        <v/>
      </c>
      <c r="E56" s="22" t="str">
        <f>'9조'!E$72</f>
        <v>9조 - Virtual Machine - Modifiability</v>
      </c>
      <c r="F56" s="22" t="str">
        <f>'9조'!F$72</f>
        <v/>
      </c>
      <c r="G56" s="22" t="str">
        <f>'9조'!G$72</f>
        <v>9조 - Microkernel - Modifiability</v>
      </c>
      <c r="H56" s="4"/>
      <c r="I56" s="4"/>
      <c r="J56" s="4"/>
      <c r="K56" s="4"/>
      <c r="L56" s="4"/>
      <c r="M56" s="4"/>
      <c r="N56" s="4"/>
      <c r="O56" s="4"/>
      <c r="P56" s="4"/>
      <c r="Q56" s="4"/>
      <c r="R56" s="4"/>
      <c r="S56" s="4"/>
      <c r="T56" s="4"/>
      <c r="U56" s="4"/>
      <c r="V56" s="4"/>
      <c r="W56" s="4"/>
      <c r="X56" s="4"/>
      <c r="Y56" s="4"/>
      <c r="Z56" s="4"/>
    </row>
    <row r="57" ht="15.75" customHeight="1">
      <c r="A57" s="23"/>
      <c r="B57" s="23"/>
      <c r="C57" s="23"/>
      <c r="D57" s="23"/>
      <c r="E57" s="23"/>
      <c r="F57" s="23"/>
      <c r="G57" s="23"/>
      <c r="H57" s="4"/>
      <c r="I57" s="4"/>
      <c r="J57" s="4"/>
      <c r="K57" s="4"/>
      <c r="L57" s="4"/>
      <c r="M57" s="4"/>
      <c r="N57" s="4"/>
      <c r="O57" s="4"/>
      <c r="P57" s="4"/>
      <c r="Q57" s="4"/>
      <c r="R57" s="4"/>
      <c r="S57" s="4"/>
      <c r="T57" s="4"/>
      <c r="U57" s="4"/>
      <c r="V57" s="4"/>
      <c r="W57" s="4"/>
      <c r="X57" s="4"/>
      <c r="Y57" s="4"/>
      <c r="Z57" s="4"/>
    </row>
    <row r="58" ht="15.75" customHeight="1">
      <c r="A58" s="7" t="s">
        <v>186</v>
      </c>
      <c r="B58" s="7" t="str">
        <f>'Detailed Reasoning'!B$73</f>
        <v/>
      </c>
      <c r="C58" s="7" t="str">
        <f>'Detailed Reasoning'!C$73</f>
        <v/>
      </c>
      <c r="D58" s="7" t="str">
        <f>'Detailed Reasoning'!D$73</f>
        <v/>
      </c>
      <c r="E58" s="7" t="str">
        <f>'Detailed Reasoning'!E$73</f>
        <v/>
      </c>
      <c r="F58" s="7" t="str">
        <f>'Detailed Reasoning'!F$73</f>
        <v/>
      </c>
      <c r="G58" s="7" t="str">
        <f>'Detailed Reasoning'!G$73</f>
        <v/>
      </c>
      <c r="H58" s="4"/>
      <c r="I58" s="4"/>
      <c r="J58" s="4"/>
      <c r="K58" s="4"/>
      <c r="L58" s="4"/>
      <c r="M58" s="4"/>
      <c r="N58" s="4"/>
      <c r="O58" s="4"/>
      <c r="P58" s="4"/>
      <c r="Q58" s="4"/>
      <c r="R58" s="4"/>
      <c r="S58" s="4"/>
      <c r="T58" s="4"/>
      <c r="U58" s="4"/>
      <c r="V58" s="4"/>
      <c r="W58" s="4"/>
      <c r="X58" s="4"/>
      <c r="Y58" s="4"/>
      <c r="Z58" s="4"/>
    </row>
    <row r="59" ht="15.75" customHeight="1">
      <c r="A59" s="21" t="s">
        <v>549</v>
      </c>
      <c r="B59" s="22" t="str">
        <f>'1조'!B$73</f>
        <v>-</v>
      </c>
      <c r="C59" s="22" t="str">
        <f>'1조'!C$73</f>
        <v>[-] 요청의 다중 레이어 통과로 Latency 저하</v>
      </c>
      <c r="D59" s="22" t="str">
        <f>'1조'!D$73</f>
        <v/>
      </c>
      <c r="E59" s="22" t="str">
        <f>'1조'!E$73</f>
        <v>1조 - Virtual Machine - Performance</v>
      </c>
      <c r="F59" s="22" t="str">
        <f>'1조'!F$73</f>
        <v/>
      </c>
      <c r="G59" s="22" t="str">
        <f>'1조'!G$73</f>
        <v>1조 - Microkernel - Performance</v>
      </c>
      <c r="H59" s="12" t="s">
        <v>553</v>
      </c>
      <c r="I59" s="4"/>
      <c r="J59" s="4"/>
      <c r="K59" s="4"/>
      <c r="L59" s="4"/>
      <c r="M59" s="4"/>
      <c r="N59" s="4"/>
      <c r="O59" s="4"/>
      <c r="P59" s="4"/>
      <c r="Q59" s="4"/>
      <c r="R59" s="4"/>
      <c r="S59" s="4"/>
      <c r="T59" s="4"/>
      <c r="U59" s="4"/>
      <c r="V59" s="4"/>
      <c r="W59" s="4"/>
      <c r="X59" s="4"/>
      <c r="Y59" s="4"/>
      <c r="Z59" s="4"/>
    </row>
    <row r="60" ht="15.75" customHeight="1">
      <c r="A60" s="21" t="s">
        <v>554</v>
      </c>
      <c r="B60" s="22" t="str">
        <f>'2조'!B$73</f>
        <v>-</v>
      </c>
      <c r="C60" s="22" t="str">
        <f>'2조'!C$73</f>
        <v>layer 가 너무 많으면 성능이 떨어진다고 교안이 명시한다 — 매 layer을 거쳐야 한다. 다만, Relaxed Layering으로 일부 보완 가능하다.</v>
      </c>
      <c r="D60" s="22" t="str">
        <f>'2조'!D$73</f>
        <v/>
      </c>
      <c r="E60" s="22" t="str">
        <f>'2조'!E$73</f>
        <v>2조 - Virtual Machine - Performance</v>
      </c>
      <c r="F60" s="22" t="str">
        <f>'2조'!F$73</f>
        <v/>
      </c>
      <c r="G60" s="22" t="str">
        <f>'2조'!G$73</f>
        <v>2조 - Microkernel - Performance</v>
      </c>
      <c r="I60" s="4"/>
      <c r="J60" s="4"/>
      <c r="K60" s="4"/>
      <c r="L60" s="4"/>
      <c r="M60" s="4"/>
      <c r="N60" s="4"/>
      <c r="O60" s="4"/>
      <c r="P60" s="4"/>
      <c r="Q60" s="4"/>
      <c r="R60" s="4"/>
      <c r="S60" s="4"/>
      <c r="T60" s="4"/>
      <c r="U60" s="4"/>
      <c r="V60" s="4"/>
      <c r="W60" s="4"/>
      <c r="X60" s="4"/>
      <c r="Y60" s="4"/>
      <c r="Z60" s="4"/>
    </row>
    <row r="61" ht="15.75" customHeight="1">
      <c r="A61" s="21" t="s">
        <v>558</v>
      </c>
      <c r="B61" s="22" t="str">
        <f>'3조'!B$73</f>
        <v>-</v>
      </c>
      <c r="C61" s="22" t="str">
        <f>'3조'!C$73</f>
        <v>계층 순차 통과 오버헤드(Sinkhole)로 직접 호출보다 느리다</v>
      </c>
      <c r="D61" s="22" t="str">
        <f>'3조'!D$73</f>
        <v/>
      </c>
      <c r="E61" s="22" t="str">
        <f>'3조'!E$73</f>
        <v>3조 - Virtual Machine - Performance</v>
      </c>
      <c r="F61" s="22" t="str">
        <f>'3조'!F$73</f>
        <v/>
      </c>
      <c r="G61" s="22" t="str">
        <f>'3조'!G$73</f>
        <v>3조 - Microkernel - Performance</v>
      </c>
      <c r="I61" s="4"/>
      <c r="J61" s="4"/>
      <c r="K61" s="4"/>
      <c r="L61" s="4"/>
      <c r="M61" s="4"/>
      <c r="N61" s="4"/>
      <c r="O61" s="4"/>
      <c r="P61" s="4"/>
      <c r="Q61" s="4"/>
      <c r="R61" s="4"/>
      <c r="S61" s="4"/>
      <c r="T61" s="4"/>
      <c r="U61" s="4"/>
      <c r="V61" s="4"/>
      <c r="W61" s="4"/>
      <c r="X61" s="4"/>
      <c r="Y61" s="4"/>
      <c r="Z61" s="4"/>
    </row>
    <row r="62" ht="15.75" customHeight="1">
      <c r="A62" s="21" t="s">
        <v>561</v>
      </c>
      <c r="B62" s="22" t="str">
        <f>'4조'!B$73</f>
        <v>-</v>
      </c>
      <c r="C62" s="22" t="str">
        <f>'4조'!C$73</f>
        <v>계층 통과와 계층별 표현 간 반복 변환이 모든 연산에 지연을 더한다.</v>
      </c>
      <c r="D62" s="22" t="str">
        <f>'4조'!D$73</f>
        <v/>
      </c>
      <c r="E62" s="22" t="str">
        <f>'4조'!E$73</f>
        <v>Human - Virtual Machine - Performance</v>
      </c>
      <c r="F62" s="22" t="str">
        <f>'4조'!F$73</f>
        <v/>
      </c>
      <c r="G62" s="22" t="str">
        <f>'4조'!G$73</f>
        <v>Human - Microkernel - Performance</v>
      </c>
      <c r="I62" s="4"/>
      <c r="J62" s="4"/>
      <c r="K62" s="4"/>
      <c r="L62" s="4"/>
      <c r="M62" s="4"/>
      <c r="N62" s="4"/>
      <c r="O62" s="4"/>
      <c r="P62" s="4"/>
      <c r="Q62" s="4"/>
      <c r="R62" s="4"/>
      <c r="S62" s="4"/>
      <c r="T62" s="4"/>
      <c r="U62" s="4"/>
      <c r="V62" s="4"/>
      <c r="W62" s="4"/>
      <c r="X62" s="4"/>
      <c r="Y62" s="4"/>
      <c r="Z62" s="4"/>
    </row>
    <row r="63" ht="15.75" customHeight="1">
      <c r="A63" s="21" t="s">
        <v>563</v>
      </c>
      <c r="B63" s="22" t="str">
        <f>'5조'!B$73</f>
        <v>-</v>
      </c>
      <c r="C63" s="22" t="str">
        <f>'5조'!C$73</f>
        <v>계층 누적에 따른 오버헤드 발생</v>
      </c>
      <c r="D63" s="22" t="str">
        <f>'5조'!D$73</f>
        <v/>
      </c>
      <c r="E63" s="22" t="str">
        <f>'5조'!E$73</f>
        <v>5조 - Virtual Machine - Performance</v>
      </c>
      <c r="F63" s="22" t="str">
        <f>'5조'!F$73</f>
        <v/>
      </c>
      <c r="G63" s="22" t="str">
        <f>'5조'!G$73</f>
        <v>5조 - Microkernel - Performance</v>
      </c>
      <c r="I63" s="4"/>
      <c r="J63" s="4"/>
      <c r="K63" s="4"/>
      <c r="L63" s="4"/>
      <c r="M63" s="4"/>
      <c r="N63" s="4"/>
      <c r="O63" s="4"/>
      <c r="P63" s="4"/>
      <c r="Q63" s="4"/>
      <c r="R63" s="4"/>
      <c r="S63" s="4"/>
      <c r="T63" s="4"/>
      <c r="U63" s="4"/>
      <c r="V63" s="4"/>
      <c r="W63" s="4"/>
      <c r="X63" s="4"/>
      <c r="Y63" s="4"/>
      <c r="Z63" s="4"/>
    </row>
    <row r="64" ht="15.75" customHeight="1">
      <c r="A64" s="21" t="s">
        <v>564</v>
      </c>
      <c r="B64" s="22" t="str">
        <f>'6조'!B$73</f>
        <v>--</v>
      </c>
      <c r="C64" s="22" t="str">
        <f>'6조'!C$73</f>
        <v>layer 구성으로 인해 불필요한 indirect 파이프라인 사용 필수적이게 됨</v>
      </c>
      <c r="D64" s="22" t="str">
        <f>'6조'!D$73</f>
        <v/>
      </c>
      <c r="E64" s="22" t="str">
        <f>'6조'!E$73</f>
        <v>6조 - Virtual Machine - Performance</v>
      </c>
      <c r="F64" s="22" t="str">
        <f>'6조'!F$73</f>
        <v/>
      </c>
      <c r="G64" s="22" t="str">
        <f>'6조'!G$73</f>
        <v>6조 - Microkernel - Performance</v>
      </c>
      <c r="I64" s="4"/>
      <c r="J64" s="4"/>
      <c r="K64" s="4"/>
      <c r="L64" s="4"/>
      <c r="M64" s="4"/>
      <c r="N64" s="4"/>
      <c r="O64" s="4"/>
      <c r="P64" s="4"/>
      <c r="Q64" s="4"/>
      <c r="R64" s="4"/>
      <c r="S64" s="4"/>
      <c r="T64" s="4"/>
      <c r="U64" s="4"/>
      <c r="V64" s="4"/>
      <c r="W64" s="4"/>
      <c r="X64" s="4"/>
      <c r="Y64" s="4"/>
      <c r="Z64" s="4"/>
    </row>
    <row r="65" ht="15.75" customHeight="1">
      <c r="A65" s="21" t="s">
        <v>566</v>
      </c>
      <c r="B65" s="22" t="str">
        <f>'7조'!B$73</f>
        <v/>
      </c>
      <c r="C65" s="22" t="str">
        <f>'7조'!C$73</f>
        <v>7조 - Layered - Performance</v>
      </c>
      <c r="D65" s="22" t="str">
        <f>'7조'!D$73</f>
        <v/>
      </c>
      <c r="E65" s="22" t="str">
        <f>'7조'!E$73</f>
        <v>7조 - Virtual Machine - Performance</v>
      </c>
      <c r="F65" s="22" t="str">
        <f>'7조'!F$73</f>
        <v/>
      </c>
      <c r="G65" s="22" t="str">
        <f>'7조'!G$73</f>
        <v>7조 - Microkernel - Performance</v>
      </c>
      <c r="H65" s="4"/>
      <c r="I65" s="4"/>
      <c r="J65" s="4"/>
      <c r="K65" s="4"/>
      <c r="L65" s="4"/>
      <c r="M65" s="4"/>
      <c r="N65" s="4"/>
      <c r="O65" s="4"/>
      <c r="P65" s="4"/>
      <c r="Q65" s="4"/>
      <c r="R65" s="4"/>
      <c r="S65" s="4"/>
      <c r="T65" s="4"/>
      <c r="U65" s="4"/>
      <c r="V65" s="4"/>
      <c r="W65" s="4"/>
      <c r="X65" s="4"/>
      <c r="Y65" s="4"/>
      <c r="Z65" s="4"/>
    </row>
    <row r="66" ht="15.75" customHeight="1">
      <c r="A66" s="21" t="s">
        <v>568</v>
      </c>
      <c r="B66" s="22" t="str">
        <f>'8조'!B$73</f>
        <v/>
      </c>
      <c r="C66" s="22" t="str">
        <f>'8조'!C$73</f>
        <v>8조 - Layered - Performance</v>
      </c>
      <c r="D66" s="22" t="str">
        <f>'8조'!D$73</f>
        <v/>
      </c>
      <c r="E66" s="22" t="str">
        <f>'8조'!E$73</f>
        <v>8조 - Virtual Machine - Performance</v>
      </c>
      <c r="F66" s="22" t="str">
        <f>'8조'!F$73</f>
        <v/>
      </c>
      <c r="G66" s="22" t="str">
        <f>'8조'!G$73</f>
        <v>8조 - Microkernel - Performance</v>
      </c>
      <c r="H66" s="4"/>
      <c r="I66" s="4"/>
      <c r="J66" s="4"/>
      <c r="K66" s="4"/>
      <c r="L66" s="4"/>
      <c r="M66" s="4"/>
      <c r="N66" s="4"/>
      <c r="O66" s="4"/>
      <c r="P66" s="4"/>
      <c r="Q66" s="4"/>
      <c r="R66" s="4"/>
      <c r="S66" s="4"/>
      <c r="T66" s="4"/>
      <c r="U66" s="4"/>
      <c r="V66" s="4"/>
      <c r="W66" s="4"/>
      <c r="X66" s="4"/>
      <c r="Y66" s="4"/>
      <c r="Z66" s="4"/>
    </row>
    <row r="67" ht="15.75" customHeight="1">
      <c r="A67" s="21" t="s">
        <v>571</v>
      </c>
      <c r="B67" s="22" t="str">
        <f>'9조'!B$73</f>
        <v/>
      </c>
      <c r="C67" s="22" t="str">
        <f>'9조'!C$73</f>
        <v>9조 - Layered - Performance</v>
      </c>
      <c r="D67" s="22" t="str">
        <f>'9조'!D$73</f>
        <v/>
      </c>
      <c r="E67" s="22" t="str">
        <f>'9조'!E$73</f>
        <v>9조 - Virtual Machine - Performance</v>
      </c>
      <c r="F67" s="22" t="str">
        <f>'9조'!F$73</f>
        <v/>
      </c>
      <c r="G67" s="22" t="str">
        <f>'9조'!G$73</f>
        <v>9조 - Microkernel - Performance</v>
      </c>
      <c r="H67" s="4"/>
      <c r="I67" s="4"/>
      <c r="J67" s="4"/>
      <c r="K67" s="4"/>
      <c r="L67" s="4"/>
      <c r="M67" s="4"/>
      <c r="N67" s="4"/>
      <c r="O67" s="4"/>
      <c r="P67" s="4"/>
      <c r="Q67" s="4"/>
      <c r="R67" s="4"/>
      <c r="S67" s="4"/>
      <c r="T67" s="4"/>
      <c r="U67" s="4"/>
      <c r="V67" s="4"/>
      <c r="W67" s="4"/>
      <c r="X67" s="4"/>
      <c r="Y67" s="4"/>
      <c r="Z67" s="4"/>
    </row>
    <row r="68" ht="15.75" customHeight="1">
      <c r="A68" s="23"/>
      <c r="B68" s="23"/>
      <c r="C68" s="23"/>
      <c r="D68" s="23"/>
      <c r="E68" s="23"/>
      <c r="F68" s="23"/>
      <c r="G68" s="23"/>
      <c r="H68" s="4"/>
      <c r="I68" s="4"/>
      <c r="J68" s="4"/>
      <c r="K68" s="4"/>
      <c r="L68" s="4"/>
      <c r="M68" s="4"/>
      <c r="N68" s="4"/>
      <c r="O68" s="4"/>
      <c r="P68" s="4"/>
      <c r="Q68" s="4"/>
      <c r="R68" s="4"/>
      <c r="S68" s="4"/>
      <c r="T68" s="4"/>
      <c r="U68" s="4"/>
      <c r="V68" s="4"/>
      <c r="W68" s="4"/>
      <c r="X68" s="4"/>
      <c r="Y68" s="4"/>
      <c r="Z68" s="4"/>
    </row>
    <row r="69" ht="15.75" customHeight="1">
      <c r="A69" s="7" t="s">
        <v>221</v>
      </c>
      <c r="B69" s="7" t="str">
        <f>'Detailed Reasoning'!B$74</f>
        <v/>
      </c>
      <c r="C69" s="7" t="str">
        <f>'Detailed Reasoning'!C$74</f>
        <v/>
      </c>
      <c r="D69" s="7" t="str">
        <f>'Detailed Reasoning'!D$74</f>
        <v/>
      </c>
      <c r="E69" s="7" t="str">
        <f>'Detailed Reasoning'!E$74</f>
        <v/>
      </c>
      <c r="F69" s="7" t="str">
        <f>'Detailed Reasoning'!F$74</f>
        <v/>
      </c>
      <c r="G69" s="7" t="str">
        <f>'Detailed Reasoning'!G$74</f>
        <v/>
      </c>
      <c r="H69" s="4"/>
      <c r="I69" s="4"/>
      <c r="J69" s="4"/>
      <c r="K69" s="4"/>
      <c r="L69" s="4"/>
      <c r="M69" s="4"/>
      <c r="N69" s="4"/>
      <c r="O69" s="4"/>
      <c r="P69" s="4"/>
      <c r="Q69" s="4"/>
      <c r="R69" s="4"/>
      <c r="S69" s="4"/>
      <c r="T69" s="4"/>
      <c r="U69" s="4"/>
      <c r="V69" s="4"/>
      <c r="W69" s="4"/>
      <c r="X69" s="4"/>
      <c r="Y69" s="4"/>
      <c r="Z69" s="4"/>
    </row>
    <row r="70" ht="15.75" customHeight="1">
      <c r="A70" s="21" t="s">
        <v>575</v>
      </c>
      <c r="B70" s="22" t="str">
        <f>'1조'!B$74</f>
        <v>+</v>
      </c>
      <c r="C70" s="22" t="str">
        <f>'1조'!C$74</f>
        <v>계층별 책임이 분리되어 검증이나 제어 기능을 특정 계층에 일관되게 적용할 수 있고, 계층 경계에서 오류를 검증하여 잘못된 동작의 전파를 제한할 수 있다.</v>
      </c>
      <c r="D70" s="22" t="str">
        <f>'1조'!D$74</f>
        <v/>
      </c>
      <c r="E70" s="22" t="str">
        <f>'1조'!E$74</f>
        <v>1조 - Virtual Machine - Safety</v>
      </c>
      <c r="F70" s="22" t="str">
        <f>'1조'!F$74</f>
        <v/>
      </c>
      <c r="G70" s="22" t="str">
        <f>'1조'!G$74</f>
        <v>1조 - Microkernel - Safety</v>
      </c>
      <c r="H70" s="12" t="s">
        <v>577</v>
      </c>
      <c r="I70" s="4"/>
      <c r="J70" s="4"/>
      <c r="K70" s="4"/>
      <c r="L70" s="4"/>
      <c r="M70" s="4"/>
      <c r="N70" s="4"/>
      <c r="O70" s="4"/>
      <c r="P70" s="4"/>
      <c r="Q70" s="4"/>
      <c r="R70" s="4"/>
      <c r="S70" s="4"/>
      <c r="T70" s="4"/>
      <c r="U70" s="4"/>
      <c r="V70" s="4"/>
      <c r="W70" s="4"/>
      <c r="X70" s="4"/>
      <c r="Y70" s="4"/>
      <c r="Z70" s="4"/>
    </row>
    <row r="71" ht="15.75" customHeight="1">
      <c r="A71" s="21" t="s">
        <v>578</v>
      </c>
      <c r="B71" s="22" t="str">
        <f>'2조'!B$74</f>
        <v>+</v>
      </c>
      <c r="C71" s="22" t="str">
        <f>'2조'!C$74</f>
        <v>층마다 검사와 경계를 둘 수 있어 잘못된 값이 아래로 그대로 흘러가지 않고, 단방향 의존성으로 예측 가능성 확보함</v>
      </c>
      <c r="D71" s="22" t="str">
        <f>'2조'!D$74</f>
        <v/>
      </c>
      <c r="E71" s="22" t="str">
        <f>'2조'!E$74</f>
        <v>2조 - Virtual Machine - Safety</v>
      </c>
      <c r="F71" s="22" t="str">
        <f>'2조'!F$74</f>
        <v/>
      </c>
      <c r="G71" s="22" t="str">
        <f>'2조'!G$74</f>
        <v>2조 - Microkernel - Safety</v>
      </c>
      <c r="I71" s="4"/>
      <c r="J71" s="4"/>
      <c r="K71" s="4"/>
      <c r="L71" s="4"/>
      <c r="M71" s="4"/>
      <c r="N71" s="4"/>
      <c r="O71" s="4"/>
      <c r="P71" s="4"/>
      <c r="Q71" s="4"/>
      <c r="R71" s="4"/>
      <c r="S71" s="4"/>
      <c r="T71" s="4"/>
      <c r="U71" s="4"/>
      <c r="V71" s="4"/>
      <c r="W71" s="4"/>
      <c r="X71" s="4"/>
      <c r="Y71" s="4"/>
      <c r="Z71" s="4"/>
    </row>
    <row r="72" ht="15.75" customHeight="1">
      <c r="A72" s="21" t="s">
        <v>581</v>
      </c>
      <c r="B72" s="22" t="str">
        <f>'3조'!B$74</f>
        <v>+</v>
      </c>
      <c r="C72" s="22" t="str">
        <f>'3조'!C$74</f>
        <v>엄격한 단방향 호출 규칙을 통해 컴포넌트 간 무분별한 참조를 차단하고 단계별 상태 검증을 수행하기 용이합니다.</v>
      </c>
      <c r="D72" s="22" t="str">
        <f>'3조'!D$74</f>
        <v/>
      </c>
      <c r="E72" s="22" t="str">
        <f>'3조'!E$74</f>
        <v>3조 - Virtual Machine - Safety</v>
      </c>
      <c r="F72" s="22" t="str">
        <f>'3조'!F$74</f>
        <v/>
      </c>
      <c r="G72" s="22" t="str">
        <f>'3조'!G$74</f>
        <v>3조 - Microkernel - Safety</v>
      </c>
      <c r="I72" s="4"/>
      <c r="J72" s="4"/>
      <c r="K72" s="4"/>
      <c r="L72" s="4"/>
      <c r="M72" s="4"/>
      <c r="N72" s="4"/>
      <c r="O72" s="4"/>
      <c r="P72" s="4"/>
      <c r="Q72" s="4"/>
      <c r="R72" s="4"/>
      <c r="S72" s="4"/>
      <c r="T72" s="4"/>
      <c r="U72" s="4"/>
      <c r="V72" s="4"/>
      <c r="W72" s="4"/>
      <c r="X72" s="4"/>
      <c r="Y72" s="4"/>
      <c r="Z72" s="4"/>
    </row>
    <row r="73" ht="15.75" customHeight="1">
      <c r="A73" s="21" t="s">
        <v>583</v>
      </c>
      <c r="B73" s="22" t="str">
        <f>'4조'!B$74</f>
        <v>0</v>
      </c>
      <c r="C73" s="22" t="str">
        <f>'4조'!C$74</f>
        <v>계층 구분만으로 오류 전파나 위험한 동작을 막는다고 보기는 어렵다.</v>
      </c>
      <c r="D73" s="22" t="str">
        <f>'4조'!D$74</f>
        <v/>
      </c>
      <c r="E73" s="22" t="str">
        <f>'4조'!E$74</f>
        <v>Human - Virtual Machine - Safety</v>
      </c>
      <c r="F73" s="22" t="str">
        <f>'4조'!F$74</f>
        <v/>
      </c>
      <c r="G73" s="22" t="str">
        <f>'4조'!G$74</f>
        <v>Human - Microkernel - Safety</v>
      </c>
      <c r="I73" s="4"/>
      <c r="J73" s="4"/>
      <c r="K73" s="4"/>
      <c r="L73" s="4"/>
      <c r="M73" s="4"/>
      <c r="N73" s="4"/>
      <c r="O73" s="4"/>
      <c r="P73" s="4"/>
      <c r="Q73" s="4"/>
      <c r="R73" s="4"/>
      <c r="S73" s="4"/>
      <c r="T73" s="4"/>
      <c r="U73" s="4"/>
      <c r="V73" s="4"/>
      <c r="W73" s="4"/>
      <c r="X73" s="4"/>
      <c r="Y73" s="4"/>
      <c r="Z73" s="4"/>
    </row>
    <row r="74" ht="15.75" customHeight="1">
      <c r="A74" s="21" t="s">
        <v>584</v>
      </c>
      <c r="B74" s="22" t="str">
        <f>'5조'!B$74</f>
        <v>0</v>
      </c>
      <c r="C74" s="22" t="str">
        <f>'5조'!C$74</f>
        <v>하위 계층에만 결합되어 있어 변경/장애의 확산을 일부 제한할 수 있으나, 최하위 핵심 계층(예: DB/Infra Layer)에 오류가 발생하면 상위 계층 전체에 영향을 줄 수 있어 제어 범위가 제한적임.</v>
      </c>
      <c r="D74" s="22" t="str">
        <f>'5조'!D$74</f>
        <v/>
      </c>
      <c r="E74" s="22" t="str">
        <f>'5조'!E$74</f>
        <v>5조 - Virtual Machine - Safety</v>
      </c>
      <c r="F74" s="22" t="str">
        <f>'5조'!F$74</f>
        <v/>
      </c>
      <c r="G74" s="22" t="str">
        <f>'5조'!G$74</f>
        <v>5조 - Microkernel - Safety</v>
      </c>
      <c r="I74" s="4"/>
      <c r="J74" s="4"/>
      <c r="K74" s="4"/>
      <c r="L74" s="4"/>
      <c r="M74" s="4"/>
      <c r="N74" s="4"/>
      <c r="O74" s="4"/>
      <c r="P74" s="4"/>
      <c r="Q74" s="4"/>
      <c r="R74" s="4"/>
      <c r="S74" s="4"/>
      <c r="T74" s="4"/>
      <c r="U74" s="4"/>
      <c r="V74" s="4"/>
      <c r="W74" s="4"/>
      <c r="X74" s="4"/>
      <c r="Y74" s="4"/>
      <c r="Z74" s="4"/>
    </row>
    <row r="75" ht="15.75" customHeight="1">
      <c r="A75" s="21" t="s">
        <v>585</v>
      </c>
      <c r="B75" s="22" t="str">
        <f>'6조'!B$74</f>
        <v>+</v>
      </c>
      <c r="C75" s="22" t="str">
        <f>'6조'!C$74</f>
        <v>layer 내 한 모듈이 죽더라도, 전체 layer 및 architecture 영향 적음 </v>
      </c>
      <c r="D75" s="22" t="str">
        <f>'6조'!D$74</f>
        <v/>
      </c>
      <c r="E75" s="22" t="str">
        <f>'6조'!E$74</f>
        <v>6조 - Virtual Machine - Safety</v>
      </c>
      <c r="F75" s="22" t="str">
        <f>'6조'!F$74</f>
        <v/>
      </c>
      <c r="G75" s="22" t="str">
        <f>'6조'!G$74</f>
        <v>6조 - Microkernel - Safety</v>
      </c>
      <c r="H75" s="4"/>
      <c r="I75" s="4"/>
      <c r="J75" s="4"/>
      <c r="K75" s="4"/>
      <c r="L75" s="4"/>
      <c r="M75" s="4"/>
      <c r="N75" s="4"/>
      <c r="O75" s="4"/>
      <c r="P75" s="4"/>
      <c r="Q75" s="4"/>
      <c r="R75" s="4"/>
      <c r="S75" s="4"/>
      <c r="T75" s="4"/>
      <c r="U75" s="4"/>
      <c r="V75" s="4"/>
      <c r="W75" s="4"/>
      <c r="X75" s="4"/>
      <c r="Y75" s="4"/>
      <c r="Z75" s="4"/>
    </row>
    <row r="76" ht="15.75" customHeight="1">
      <c r="A76" s="21" t="s">
        <v>587</v>
      </c>
      <c r="B76" s="22" t="str">
        <f>'7조'!B$74</f>
        <v/>
      </c>
      <c r="C76" s="22" t="str">
        <f>'7조'!C$74</f>
        <v>7조 - Layered - Safety</v>
      </c>
      <c r="D76" s="22" t="str">
        <f>'7조'!D$74</f>
        <v/>
      </c>
      <c r="E76" s="22" t="str">
        <f>'7조'!E$74</f>
        <v>7조 - Virtual Machine - Safety</v>
      </c>
      <c r="F76" s="22" t="str">
        <f>'7조'!F$74</f>
        <v/>
      </c>
      <c r="G76" s="22" t="str">
        <f>'7조'!G$74</f>
        <v>7조 - Microkernel - Safety</v>
      </c>
      <c r="H76" s="4"/>
      <c r="I76" s="4"/>
      <c r="J76" s="4"/>
      <c r="K76" s="4"/>
      <c r="L76" s="4"/>
      <c r="M76" s="4"/>
      <c r="N76" s="4"/>
      <c r="O76" s="4"/>
      <c r="P76" s="4"/>
      <c r="Q76" s="4"/>
      <c r="R76" s="4"/>
      <c r="S76" s="4"/>
      <c r="T76" s="4"/>
      <c r="U76" s="4"/>
      <c r="V76" s="4"/>
      <c r="W76" s="4"/>
      <c r="X76" s="4"/>
      <c r="Y76" s="4"/>
      <c r="Z76" s="4"/>
    </row>
    <row r="77" ht="15.75" customHeight="1">
      <c r="A77" s="21" t="s">
        <v>591</v>
      </c>
      <c r="B77" s="22" t="str">
        <f>'8조'!B$74</f>
        <v/>
      </c>
      <c r="C77" s="22" t="str">
        <f>'8조'!C$74</f>
        <v>8조 - Layered - Safety</v>
      </c>
      <c r="D77" s="22" t="str">
        <f>'8조'!D$74</f>
        <v/>
      </c>
      <c r="E77" s="22" t="str">
        <f>'8조'!E$74</f>
        <v>8조 - Virtual Machine - Safety</v>
      </c>
      <c r="F77" s="22" t="str">
        <f>'8조'!F$74</f>
        <v/>
      </c>
      <c r="G77" s="22" t="str">
        <f>'8조'!G$74</f>
        <v>8조 - Microkernel - Safety</v>
      </c>
      <c r="H77" s="4"/>
      <c r="I77" s="4"/>
      <c r="J77" s="4"/>
      <c r="K77" s="4"/>
      <c r="L77" s="4"/>
      <c r="M77" s="4"/>
      <c r="N77" s="4"/>
      <c r="O77" s="4"/>
      <c r="P77" s="4"/>
      <c r="Q77" s="4"/>
      <c r="R77" s="4"/>
      <c r="S77" s="4"/>
      <c r="T77" s="4"/>
      <c r="U77" s="4"/>
      <c r="V77" s="4"/>
      <c r="W77" s="4"/>
      <c r="X77" s="4"/>
      <c r="Y77" s="4"/>
      <c r="Z77" s="4"/>
    </row>
    <row r="78" ht="15.75" customHeight="1">
      <c r="A78" s="21" t="s">
        <v>593</v>
      </c>
      <c r="B78" s="22" t="str">
        <f>'9조'!B$74</f>
        <v/>
      </c>
      <c r="C78" s="22" t="str">
        <f>'9조'!C$74</f>
        <v>9조 - Layered - Safety</v>
      </c>
      <c r="D78" s="22" t="str">
        <f>'9조'!D$74</f>
        <v/>
      </c>
      <c r="E78" s="22" t="str">
        <f>'9조'!E$74</f>
        <v>9조 - Virtual Machine - Safety</v>
      </c>
      <c r="F78" s="22" t="str">
        <f>'9조'!F$74</f>
        <v/>
      </c>
      <c r="G78" s="22" t="str">
        <f>'9조'!G$74</f>
        <v>9조 - Microkernel - Safety</v>
      </c>
      <c r="H78" s="4"/>
      <c r="I78" s="4"/>
      <c r="J78" s="4"/>
      <c r="K78" s="4"/>
      <c r="L78" s="4"/>
      <c r="M78" s="4"/>
      <c r="N78" s="4"/>
      <c r="O78" s="4"/>
      <c r="P78" s="4"/>
      <c r="Q78" s="4"/>
      <c r="R78" s="4"/>
      <c r="S78" s="4"/>
      <c r="T78" s="4"/>
      <c r="U78" s="4"/>
      <c r="V78" s="4"/>
      <c r="W78" s="4"/>
      <c r="X78" s="4"/>
      <c r="Y78" s="4"/>
      <c r="Z78" s="4"/>
    </row>
    <row r="79" ht="15.75" customHeight="1">
      <c r="A79" s="23"/>
      <c r="B79" s="23"/>
      <c r="C79" s="23"/>
      <c r="D79" s="23"/>
      <c r="E79" s="23"/>
      <c r="F79" s="23"/>
      <c r="G79" s="23"/>
      <c r="H79" s="4"/>
      <c r="I79" s="4"/>
      <c r="J79" s="4"/>
      <c r="K79" s="4"/>
      <c r="L79" s="4"/>
      <c r="M79" s="4"/>
      <c r="N79" s="4"/>
      <c r="O79" s="4"/>
      <c r="P79" s="4"/>
      <c r="Q79" s="4"/>
      <c r="R79" s="4"/>
      <c r="S79" s="4"/>
      <c r="T79" s="4"/>
      <c r="U79" s="4"/>
      <c r="V79" s="4"/>
      <c r="W79" s="4"/>
      <c r="X79" s="4"/>
      <c r="Y79" s="4"/>
      <c r="Z79" s="4"/>
    </row>
    <row r="80" ht="15.75" customHeight="1">
      <c r="A80" s="7" t="s">
        <v>261</v>
      </c>
      <c r="B80" s="7" t="str">
        <f>'Detailed Reasoning'!B$75</f>
        <v/>
      </c>
      <c r="C80" s="7" t="str">
        <f>'Detailed Reasoning'!C$75</f>
        <v/>
      </c>
      <c r="D80" s="7" t="str">
        <f>'Detailed Reasoning'!D$75</f>
        <v/>
      </c>
      <c r="E80" s="7" t="str">
        <f>'Detailed Reasoning'!E$75</f>
        <v/>
      </c>
      <c r="F80" s="8" t="str">
        <f>'Detailed Reasoning'!F$75</f>
        <v/>
      </c>
      <c r="G80" s="8" t="str">
        <f>'Detailed Reasoning'!G$75</f>
        <v/>
      </c>
      <c r="H80" s="4"/>
      <c r="I80" s="4"/>
      <c r="J80" s="4"/>
      <c r="K80" s="4"/>
      <c r="L80" s="4"/>
      <c r="M80" s="4"/>
      <c r="N80" s="4"/>
      <c r="O80" s="4"/>
      <c r="P80" s="4"/>
      <c r="Q80" s="4"/>
      <c r="R80" s="4"/>
      <c r="S80" s="4"/>
      <c r="T80" s="4"/>
      <c r="U80" s="4"/>
      <c r="V80" s="4"/>
      <c r="W80" s="4"/>
      <c r="X80" s="4"/>
      <c r="Y80" s="4"/>
      <c r="Z80" s="4"/>
    </row>
    <row r="81" ht="15.75" customHeight="1">
      <c r="A81" s="21" t="s">
        <v>598</v>
      </c>
      <c r="B81" s="22" t="str">
        <f>'1조'!B$75</f>
        <v>++</v>
      </c>
      <c r="C81" s="22" t="str">
        <f>'1조'!C$75</f>
        <v>[++] 계층별 다중 보안 정책 단계적 적용 우수
</v>
      </c>
      <c r="D81" s="22" t="str">
        <f>'1조'!D$75</f>
        <v/>
      </c>
      <c r="E81" s="22" t="str">
        <f>'1조'!E$75</f>
        <v>1조 - Virtual Machine - Security</v>
      </c>
      <c r="F81" s="22" t="str">
        <f>'1조'!F$75</f>
        <v/>
      </c>
      <c r="G81" s="22" t="str">
        <f>'1조'!G$75</f>
        <v>1조 - Microkernel - Security</v>
      </c>
      <c r="H81" s="12" t="s">
        <v>600</v>
      </c>
      <c r="I81" s="4"/>
      <c r="J81" s="4"/>
      <c r="K81" s="4"/>
      <c r="L81" s="4"/>
      <c r="M81" s="4"/>
      <c r="N81" s="4"/>
      <c r="O81" s="4"/>
      <c r="P81" s="4"/>
      <c r="Q81" s="4"/>
      <c r="R81" s="4"/>
      <c r="S81" s="4"/>
      <c r="T81" s="4"/>
      <c r="U81" s="4"/>
      <c r="V81" s="4"/>
      <c r="W81" s="4"/>
      <c r="X81" s="4"/>
      <c r="Y81" s="4"/>
      <c r="Z81" s="4"/>
    </row>
    <row r="82" ht="15.75" customHeight="1">
      <c r="A82" s="21" t="s">
        <v>601</v>
      </c>
      <c r="B82" s="22" t="str">
        <f>'2조'!B$75</f>
        <v>++</v>
      </c>
      <c r="C82" s="22" t="str">
        <f>'2조'!C$75</f>
        <v>각 layer별 내부 구현과 데이터를 숨기며, 계층 경계마다 다층 방어(Defense in depth) 적용 가능하다</v>
      </c>
      <c r="D82" s="22" t="str">
        <f>'2조'!D$75</f>
        <v/>
      </c>
      <c r="E82" s="22" t="str">
        <f>'2조'!E$75</f>
        <v>2조 - Virtual Machine - Security</v>
      </c>
      <c r="F82" s="22" t="str">
        <f>'2조'!F$75</f>
        <v/>
      </c>
      <c r="G82" s="22" t="str">
        <f>'2조'!G$75</f>
        <v>2조 - Microkernel - Security</v>
      </c>
      <c r="I82" s="4"/>
      <c r="J82" s="4"/>
      <c r="K82" s="4"/>
      <c r="L82" s="4"/>
      <c r="M82" s="4"/>
      <c r="N82" s="4"/>
      <c r="O82" s="4"/>
      <c r="P82" s="4"/>
      <c r="Q82" s="4"/>
      <c r="R82" s="4"/>
      <c r="S82" s="4"/>
      <c r="T82" s="4"/>
      <c r="U82" s="4"/>
      <c r="V82" s="4"/>
      <c r="W82" s="4"/>
      <c r="X82" s="4"/>
      <c r="Y82" s="4"/>
      <c r="Z82" s="4"/>
    </row>
    <row r="83" ht="15.75" customHeight="1">
      <c r="A83" s="21" t="s">
        <v>603</v>
      </c>
      <c r="B83" s="22" t="str">
        <f>'3조'!B$75</f>
        <v>+</v>
      </c>
      <c r="C83" s="22" t="str">
        <f>'3조'!C$75</f>
        <v>각 layer가 내부 정보를 숨길 수 있어 보안 경계를 만들기 쉽다.</v>
      </c>
      <c r="D83" s="22" t="str">
        <f>'3조'!D$75</f>
        <v/>
      </c>
      <c r="E83" s="22" t="str">
        <f>'3조'!E$75</f>
        <v>3조 - Virtual Machine - Security</v>
      </c>
      <c r="F83" s="22" t="str">
        <f>'3조'!F$75</f>
        <v/>
      </c>
      <c r="G83" s="22" t="str">
        <f>'3조'!G$75</f>
        <v>3조 - Microkernel - Security</v>
      </c>
      <c r="I83" s="4"/>
      <c r="J83" s="4"/>
      <c r="K83" s="4"/>
      <c r="L83" s="4"/>
      <c r="M83" s="4"/>
      <c r="N83" s="4"/>
      <c r="O83" s="4"/>
      <c r="P83" s="4"/>
      <c r="Q83" s="4"/>
      <c r="R83" s="4"/>
      <c r="S83" s="4"/>
      <c r="T83" s="4"/>
      <c r="U83" s="4"/>
      <c r="V83" s="4"/>
      <c r="W83" s="4"/>
      <c r="X83" s="4"/>
      <c r="Y83" s="4"/>
      <c r="Z83" s="4"/>
    </row>
    <row r="84" ht="15.75" customHeight="1">
      <c r="A84" s="21" t="s">
        <v>605</v>
      </c>
      <c r="B84" s="22" t="str">
        <f>'4조'!B$75</f>
        <v>+</v>
      </c>
      <c r="C84" s="22" t="str">
        <f>'4조'!C$75</f>
        <v>계층이 자연스러운 다층 방어 경계가 되어 검증·인증·접근 제어를 단계적으로 강제할 수 있다.</v>
      </c>
      <c r="D84" s="22" t="str">
        <f>'4조'!D$75</f>
        <v/>
      </c>
      <c r="E84" s="22" t="str">
        <f>'4조'!E$75</f>
        <v>Human - Virtual Machine - Security</v>
      </c>
      <c r="F84" s="22" t="str">
        <f>'4조'!F$75</f>
        <v/>
      </c>
      <c r="G84" s="22" t="str">
        <f>'4조'!G$75</f>
        <v>Human - Microkernel - Security</v>
      </c>
      <c r="I84" s="4"/>
      <c r="J84" s="4"/>
      <c r="K84" s="4"/>
      <c r="L84" s="4"/>
      <c r="M84" s="4"/>
      <c r="N84" s="4"/>
      <c r="O84" s="4"/>
      <c r="P84" s="4"/>
      <c r="Q84" s="4"/>
      <c r="R84" s="4"/>
      <c r="S84" s="4"/>
      <c r="T84" s="4"/>
      <c r="U84" s="4"/>
      <c r="V84" s="4"/>
      <c r="W84" s="4"/>
      <c r="X84" s="4"/>
      <c r="Y84" s="4"/>
      <c r="Z84" s="4"/>
    </row>
    <row r="85" ht="15.75" customHeight="1">
      <c r="A85" s="21" t="s">
        <v>606</v>
      </c>
      <c r="B85" s="22" t="str">
        <f>'5조'!B$75</f>
        <v>+</v>
      </c>
      <c r="C85" s="22" t="str">
        <f>'5조'!C$75</f>
        <v>layer별 private정보를 다른 layer에서 확인 어렵기 때문에 security 좋음</v>
      </c>
      <c r="D85" s="22" t="str">
        <f>'5조'!D$75</f>
        <v/>
      </c>
      <c r="E85" s="22" t="str">
        <f>'5조'!E$75</f>
        <v>5조 - Virtual Machine - Security</v>
      </c>
      <c r="F85" s="22" t="str">
        <f>'5조'!F$75</f>
        <v/>
      </c>
      <c r="G85" s="22" t="str">
        <f>'5조'!G$75</f>
        <v>5조 - Microkernel - Security</v>
      </c>
      <c r="I85" s="4"/>
      <c r="J85" s="4"/>
      <c r="K85" s="4"/>
      <c r="L85" s="4"/>
      <c r="M85" s="4"/>
      <c r="N85" s="4"/>
      <c r="O85" s="4"/>
      <c r="P85" s="4"/>
      <c r="Q85" s="4"/>
      <c r="R85" s="4"/>
      <c r="S85" s="4"/>
      <c r="T85" s="4"/>
      <c r="U85" s="4"/>
      <c r="V85" s="4"/>
      <c r="W85" s="4"/>
      <c r="X85" s="4"/>
      <c r="Y85" s="4"/>
      <c r="Z85" s="4"/>
    </row>
    <row r="86" ht="15.75" customHeight="1">
      <c r="A86" s="21" t="s">
        <v>609</v>
      </c>
      <c r="B86" s="22" t="str">
        <f>'6조'!B$75</f>
        <v>+</v>
      </c>
      <c r="C86" s="22" t="str">
        <f>'6조'!C$75</f>
        <v>layer 기준으로 security access control 용이</v>
      </c>
      <c r="D86" s="22" t="str">
        <f>'6조'!D$75</f>
        <v/>
      </c>
      <c r="E86" s="22" t="str">
        <f>'6조'!E$75</f>
        <v>6조 - Virtual Machine - Security</v>
      </c>
      <c r="F86" s="22" t="str">
        <f>'6조'!F$75</f>
        <v/>
      </c>
      <c r="G86" s="22" t="str">
        <f>'6조'!G$75</f>
        <v>6조 - Microkernel - Security</v>
      </c>
      <c r="I86" s="4"/>
      <c r="J86" s="4"/>
      <c r="K86" s="4"/>
      <c r="L86" s="4"/>
      <c r="M86" s="4"/>
      <c r="N86" s="4"/>
      <c r="O86" s="4"/>
      <c r="P86" s="4"/>
      <c r="Q86" s="4"/>
      <c r="R86" s="4"/>
      <c r="S86" s="4"/>
      <c r="T86" s="4"/>
      <c r="U86" s="4"/>
      <c r="V86" s="4"/>
      <c r="W86" s="4"/>
      <c r="X86" s="4"/>
      <c r="Y86" s="4"/>
      <c r="Z86" s="4"/>
    </row>
    <row r="87" ht="15.75" customHeight="1">
      <c r="A87" s="21" t="s">
        <v>613</v>
      </c>
      <c r="B87" s="22" t="str">
        <f>'7조'!B$75</f>
        <v/>
      </c>
      <c r="C87" s="22" t="str">
        <f>'7조'!C$75</f>
        <v>7조 - Layered - Security</v>
      </c>
      <c r="D87" s="22" t="str">
        <f>'7조'!D$75</f>
        <v/>
      </c>
      <c r="E87" s="22" t="str">
        <f>'7조'!E$75</f>
        <v>7조 - Virtual Machine - Security</v>
      </c>
      <c r="F87" s="22" t="str">
        <f>'7조'!F$75</f>
        <v/>
      </c>
      <c r="G87" s="22" t="str">
        <f>'7조'!G$75</f>
        <v>7조 - Microkernel - Security</v>
      </c>
      <c r="H87" s="4"/>
      <c r="I87" s="4"/>
      <c r="J87" s="4"/>
      <c r="K87" s="4"/>
      <c r="L87" s="4"/>
      <c r="M87" s="4"/>
      <c r="N87" s="4"/>
      <c r="O87" s="4"/>
      <c r="P87" s="4"/>
      <c r="Q87" s="4"/>
      <c r="R87" s="4"/>
      <c r="S87" s="4"/>
      <c r="T87" s="4"/>
      <c r="U87" s="4"/>
      <c r="V87" s="4"/>
      <c r="W87" s="4"/>
      <c r="X87" s="4"/>
      <c r="Y87" s="4"/>
      <c r="Z87" s="4"/>
    </row>
    <row r="88" ht="15.75" customHeight="1">
      <c r="A88" s="21" t="s">
        <v>615</v>
      </c>
      <c r="B88" s="22" t="str">
        <f>'8조'!B$75</f>
        <v/>
      </c>
      <c r="C88" s="22" t="str">
        <f>'8조'!C$75</f>
        <v>8조 - Layered - Security</v>
      </c>
      <c r="D88" s="22" t="str">
        <f>'8조'!D$75</f>
        <v/>
      </c>
      <c r="E88" s="22" t="str">
        <f>'8조'!E$75</f>
        <v>8조 - Virtual Machine - Security</v>
      </c>
      <c r="F88" s="22" t="str">
        <f>'8조'!F$75</f>
        <v/>
      </c>
      <c r="G88" s="22" t="str">
        <f>'8조'!G$75</f>
        <v>8조 - Microkernel - Security</v>
      </c>
      <c r="H88" s="4"/>
      <c r="I88" s="4"/>
      <c r="J88" s="4"/>
      <c r="K88" s="4"/>
      <c r="L88" s="4"/>
      <c r="M88" s="4"/>
      <c r="N88" s="4"/>
      <c r="O88" s="4"/>
      <c r="P88" s="4"/>
      <c r="Q88" s="4"/>
      <c r="R88" s="4"/>
      <c r="S88" s="4"/>
      <c r="T88" s="4"/>
      <c r="U88" s="4"/>
      <c r="V88" s="4"/>
      <c r="W88" s="4"/>
      <c r="X88" s="4"/>
      <c r="Y88" s="4"/>
      <c r="Z88" s="4"/>
    </row>
    <row r="89" ht="15.75" customHeight="1">
      <c r="A89" s="21" t="s">
        <v>617</v>
      </c>
      <c r="B89" s="22" t="str">
        <f>'9조'!B$75</f>
        <v/>
      </c>
      <c r="C89" s="22" t="str">
        <f>'9조'!C$75</f>
        <v>9조 - Layered - Security</v>
      </c>
      <c r="D89" s="22" t="str">
        <f>'9조'!D$75</f>
        <v/>
      </c>
      <c r="E89" s="22" t="str">
        <f>'9조'!E$75</f>
        <v>9조 - Virtual Machine - Security</v>
      </c>
      <c r="F89" s="22" t="str">
        <f>'9조'!F$75</f>
        <v/>
      </c>
      <c r="G89" s="22" t="str">
        <f>'9조'!G$75</f>
        <v>9조 - Microkernel - Security</v>
      </c>
      <c r="H89" s="4"/>
      <c r="I89" s="4"/>
      <c r="J89" s="4"/>
      <c r="K89" s="4"/>
      <c r="L89" s="4"/>
      <c r="M89" s="4"/>
      <c r="N89" s="4"/>
      <c r="O89" s="4"/>
      <c r="P89" s="4"/>
      <c r="Q89" s="4"/>
      <c r="R89" s="4"/>
      <c r="S89" s="4"/>
      <c r="T89" s="4"/>
      <c r="U89" s="4"/>
      <c r="V89" s="4"/>
      <c r="W89" s="4"/>
      <c r="X89" s="4"/>
      <c r="Y89" s="4"/>
      <c r="Z89" s="4"/>
    </row>
    <row r="90" ht="15.75" customHeight="1">
      <c r="A90" s="23"/>
      <c r="B90" s="23"/>
      <c r="C90" s="23"/>
      <c r="D90" s="23"/>
      <c r="E90" s="23"/>
      <c r="F90" s="23"/>
      <c r="G90" s="23"/>
      <c r="H90" s="4"/>
      <c r="I90" s="4"/>
      <c r="J90" s="4"/>
      <c r="K90" s="4"/>
      <c r="L90" s="4"/>
      <c r="M90" s="4"/>
      <c r="N90" s="4"/>
      <c r="O90" s="4"/>
      <c r="P90" s="4"/>
      <c r="Q90" s="4"/>
      <c r="R90" s="4"/>
      <c r="S90" s="4"/>
      <c r="T90" s="4"/>
      <c r="U90" s="4"/>
      <c r="V90" s="4"/>
      <c r="W90" s="4"/>
      <c r="X90" s="4"/>
      <c r="Y90" s="4"/>
      <c r="Z90" s="4"/>
    </row>
    <row r="91" ht="15.75" customHeight="1">
      <c r="A91" s="7" t="s">
        <v>310</v>
      </c>
      <c r="B91" s="7" t="str">
        <f>'Detailed Reasoning'!B$76</f>
        <v/>
      </c>
      <c r="C91" s="7" t="str">
        <f>'Detailed Reasoning'!C$76</f>
        <v/>
      </c>
      <c r="D91" s="7" t="str">
        <f>'Detailed Reasoning'!D$76</f>
        <v/>
      </c>
      <c r="E91" s="7" t="str">
        <f>'Detailed Reasoning'!E$76</f>
        <v/>
      </c>
      <c r="F91" s="7" t="str">
        <f>'Detailed Reasoning'!F$76</f>
        <v/>
      </c>
      <c r="G91" s="8" t="str">
        <f>'Detailed Reasoning'!G$76</f>
        <v/>
      </c>
      <c r="H91" s="4"/>
      <c r="I91" s="4"/>
      <c r="J91" s="4"/>
      <c r="K91" s="4"/>
      <c r="L91" s="4"/>
      <c r="M91" s="4"/>
      <c r="N91" s="4"/>
      <c r="O91" s="4"/>
      <c r="P91" s="4"/>
      <c r="Q91" s="4"/>
      <c r="R91" s="4"/>
      <c r="S91" s="4"/>
      <c r="T91" s="4"/>
      <c r="U91" s="4"/>
      <c r="V91" s="4"/>
      <c r="W91" s="4"/>
      <c r="X91" s="4"/>
      <c r="Y91" s="4"/>
      <c r="Z91" s="4"/>
    </row>
    <row r="92" ht="15.75" customHeight="1">
      <c r="A92" s="21" t="s">
        <v>621</v>
      </c>
      <c r="B92" s="22" t="str">
        <f>'1조'!B$76</f>
        <v>++</v>
      </c>
      <c r="C92" s="22" t="str">
        <f>'1조'!C$76</f>
        <v>계층별 역할과 인터페이스가 명확하게 분리되어 있어 각 계층을 독립적으로 시험하고 하위 계층을 Mock이나 Stub으로 대체하여 결함을 확인하기 쉽다.</v>
      </c>
      <c r="D92" s="22" t="str">
        <f>'1조'!D$76</f>
        <v/>
      </c>
      <c r="E92" s="22" t="str">
        <f>'1조'!E$76</f>
        <v>1조 - Virtual Machine - Testability</v>
      </c>
      <c r="F92" s="22" t="str">
        <f>'1조'!F$76</f>
        <v/>
      </c>
      <c r="G92" s="22" t="str">
        <f>'1조'!G$76</f>
        <v>1조 - Microkernel - Testability</v>
      </c>
      <c r="H92" s="12" t="s">
        <v>623</v>
      </c>
      <c r="I92" s="4"/>
      <c r="J92" s="4"/>
      <c r="K92" s="4"/>
      <c r="L92" s="4"/>
      <c r="M92" s="4"/>
      <c r="N92" s="4"/>
      <c r="O92" s="4"/>
      <c r="P92" s="4"/>
      <c r="Q92" s="4"/>
      <c r="R92" s="4"/>
      <c r="S92" s="4"/>
      <c r="T92" s="4"/>
      <c r="U92" s="4"/>
      <c r="V92" s="4"/>
      <c r="W92" s="4"/>
      <c r="X92" s="4"/>
      <c r="Y92" s="4"/>
      <c r="Z92" s="4"/>
    </row>
    <row r="93" ht="15.75" customHeight="1">
      <c r="A93" s="21" t="s">
        <v>624</v>
      </c>
      <c r="B93" s="22" t="str">
        <f>'2조'!B$76</f>
        <v>+</v>
      </c>
      <c r="C93" s="22" t="str">
        <f>'2조'!C$76</f>
        <v>component 를 서로 독립적으로 시험할 수 있고, 아래 layer 를 가짜로 바꿔 끼우기 쉽지만, 계층 전체 관통 통합 테스트 복잡하다</v>
      </c>
      <c r="D93" s="22" t="str">
        <f>'2조'!D$76</f>
        <v/>
      </c>
      <c r="E93" s="22" t="str">
        <f>'2조'!E$76</f>
        <v>2조 - Virtual Machine - Testability</v>
      </c>
      <c r="F93" s="22" t="str">
        <f>'2조'!F$76</f>
        <v/>
      </c>
      <c r="G93" s="22" t="str">
        <f>'2조'!G$76</f>
        <v>2조 - Microkernel - Testability</v>
      </c>
      <c r="I93" s="4"/>
      <c r="J93" s="4"/>
      <c r="K93" s="4"/>
      <c r="L93" s="4"/>
      <c r="M93" s="4"/>
      <c r="N93" s="4"/>
      <c r="O93" s="4"/>
      <c r="P93" s="4"/>
      <c r="Q93" s="4"/>
      <c r="R93" s="4"/>
      <c r="S93" s="4"/>
      <c r="T93" s="4"/>
      <c r="U93" s="4"/>
      <c r="V93" s="4"/>
      <c r="W93" s="4"/>
      <c r="X93" s="4"/>
      <c r="Y93" s="4"/>
      <c r="Z93" s="4"/>
    </row>
    <row r="94" ht="15.75" customHeight="1">
      <c r="A94" s="21" t="s">
        <v>627</v>
      </c>
      <c r="B94" s="22" t="str">
        <f>'3조'!B$76</f>
        <v>+</v>
      </c>
      <c r="C94" s="22" t="str">
        <f>'3조'!C$76</f>
        <v>Layer별 mock등 테스트환경 구성이 용이하여 testability높음</v>
      </c>
      <c r="D94" s="22" t="str">
        <f>'3조'!D$76</f>
        <v/>
      </c>
      <c r="E94" s="22" t="str">
        <f>'3조'!E$76</f>
        <v>3조 - Virtual Machine - Testability</v>
      </c>
      <c r="F94" s="22" t="str">
        <f>'3조'!F$76</f>
        <v/>
      </c>
      <c r="G94" s="22" t="str">
        <f>'3조'!G$76</f>
        <v>3조 - Microkernel - Testability</v>
      </c>
      <c r="I94" s="4"/>
      <c r="J94" s="4"/>
      <c r="K94" s="4"/>
      <c r="L94" s="4"/>
      <c r="M94" s="4"/>
      <c r="N94" s="4"/>
      <c r="O94" s="4"/>
      <c r="P94" s="4"/>
      <c r="Q94" s="4"/>
      <c r="R94" s="4"/>
      <c r="S94" s="4"/>
      <c r="T94" s="4"/>
      <c r="U94" s="4"/>
      <c r="V94" s="4"/>
      <c r="W94" s="4"/>
      <c r="X94" s="4"/>
      <c r="Y94" s="4"/>
      <c r="Z94" s="4"/>
    </row>
    <row r="95" ht="15.75" customHeight="1">
      <c r="A95" s="21" t="s">
        <v>629</v>
      </c>
      <c r="B95" s="22" t="str">
        <f>'4조'!B$76</f>
        <v>0</v>
      </c>
      <c r="C95" s="22" t="str">
        <f>'4조'!C$76</f>
        <v>계층 사이의 연결 규칙이 명확하면 각 계층을 따로 시험하기 쉽다(단위 테스트). 다만 통합 테스트의 경우 어려움이 존재한다.</v>
      </c>
      <c r="D95" s="22" t="str">
        <f>'4조'!D$76</f>
        <v/>
      </c>
      <c r="E95" s="22" t="str">
        <f>'4조'!E$76</f>
        <v>Human - Virtual Machine - Testability</v>
      </c>
      <c r="F95" s="22" t="str">
        <f>'4조'!F$76</f>
        <v/>
      </c>
      <c r="G95" s="22" t="str">
        <f>'4조'!G$76</f>
        <v>Human - Microkernel - Testability</v>
      </c>
      <c r="I95" s="4"/>
      <c r="J95" s="4"/>
      <c r="K95" s="4"/>
      <c r="L95" s="4"/>
      <c r="M95" s="4"/>
      <c r="N95" s="4"/>
      <c r="O95" s="4"/>
      <c r="P95" s="4"/>
      <c r="Q95" s="4"/>
      <c r="R95" s="4"/>
      <c r="S95" s="4"/>
      <c r="T95" s="4"/>
      <c r="U95" s="4"/>
      <c r="V95" s="4"/>
      <c r="W95" s="4"/>
      <c r="X95" s="4"/>
      <c r="Y95" s="4"/>
      <c r="Z95" s="4"/>
    </row>
    <row r="96" ht="15.75" customHeight="1">
      <c r="A96" s="21" t="s">
        <v>630</v>
      </c>
      <c r="B96" s="22" t="str">
        <f>'5조'!B$76</f>
        <v>+</v>
      </c>
      <c r="C96" s="22" t="str">
        <f>'5조'!C$76</f>
        <v>독립된 layer별 test에 용이</v>
      </c>
      <c r="D96" s="22" t="str">
        <f>'5조'!D$76</f>
        <v/>
      </c>
      <c r="E96" s="22" t="str">
        <f>'5조'!E$76</f>
        <v>5조 - Virtual Machine - Testability</v>
      </c>
      <c r="F96" s="22" t="str">
        <f>'5조'!F$76</f>
        <v/>
      </c>
      <c r="G96" s="22" t="str">
        <f>'5조'!G$76</f>
        <v>5조 - Microkernel - Testability</v>
      </c>
      <c r="I96" s="4"/>
      <c r="J96" s="4"/>
      <c r="K96" s="4"/>
      <c r="L96" s="4"/>
      <c r="M96" s="4"/>
      <c r="N96" s="4"/>
      <c r="O96" s="4"/>
      <c r="P96" s="4"/>
      <c r="Q96" s="4"/>
      <c r="R96" s="4"/>
      <c r="S96" s="4"/>
      <c r="T96" s="4"/>
      <c r="U96" s="4"/>
      <c r="V96" s="4"/>
      <c r="W96" s="4"/>
      <c r="X96" s="4"/>
      <c r="Y96" s="4"/>
      <c r="Z96" s="4"/>
    </row>
    <row r="97" ht="15.75" customHeight="1">
      <c r="A97" s="21" t="s">
        <v>631</v>
      </c>
      <c r="B97" s="22" t="str">
        <f>'6조'!B$76</f>
        <v>+</v>
      </c>
      <c r="C97" s="22" t="str">
        <f>'6조'!C$76</f>
        <v>layered 내 모듈화 구성 , 영향범위는 한 layer 내로 예측 난이도 쉬움</v>
      </c>
      <c r="D97" s="22" t="str">
        <f>'6조'!D$76</f>
        <v/>
      </c>
      <c r="E97" s="22" t="str">
        <f>'6조'!E$76</f>
        <v>6조 - Virtual Machine - Testability</v>
      </c>
      <c r="F97" s="22" t="str">
        <f>'6조'!F$76</f>
        <v/>
      </c>
      <c r="G97" s="22" t="str">
        <f>'6조'!G$76</f>
        <v>6조 - Microkernel - Testability</v>
      </c>
      <c r="I97" s="4"/>
      <c r="J97" s="4"/>
      <c r="K97" s="4"/>
      <c r="L97" s="4"/>
      <c r="M97" s="4"/>
      <c r="N97" s="4"/>
      <c r="O97" s="4"/>
      <c r="P97" s="4"/>
      <c r="Q97" s="4"/>
      <c r="R97" s="4"/>
      <c r="S97" s="4"/>
      <c r="T97" s="4"/>
      <c r="U97" s="4"/>
      <c r="V97" s="4"/>
      <c r="W97" s="4"/>
      <c r="X97" s="4"/>
      <c r="Y97" s="4"/>
      <c r="Z97" s="4"/>
    </row>
    <row r="98" ht="15.75" customHeight="1">
      <c r="A98" s="21" t="s">
        <v>632</v>
      </c>
      <c r="B98" s="22" t="str">
        <f>'7조'!B$76</f>
        <v/>
      </c>
      <c r="C98" s="22" t="str">
        <f>'7조'!C$76</f>
        <v>7조 - Layered - Testability</v>
      </c>
      <c r="D98" s="22" t="str">
        <f>'7조'!D$76</f>
        <v/>
      </c>
      <c r="E98" s="22" t="str">
        <f>'7조'!E$76</f>
        <v>7조 - Virtual Machine - Testability</v>
      </c>
      <c r="F98" s="22" t="str">
        <f>'7조'!F$76</f>
        <v/>
      </c>
      <c r="G98" s="22" t="str">
        <f>'7조'!G$76</f>
        <v>7조 - Microkernel - Testability</v>
      </c>
      <c r="H98" s="4"/>
      <c r="I98" s="4"/>
      <c r="J98" s="4"/>
      <c r="K98" s="4"/>
      <c r="L98" s="4"/>
      <c r="M98" s="4"/>
      <c r="N98" s="4"/>
      <c r="O98" s="4"/>
      <c r="P98" s="4"/>
      <c r="Q98" s="4"/>
      <c r="R98" s="4"/>
      <c r="S98" s="4"/>
      <c r="T98" s="4"/>
      <c r="U98" s="4"/>
      <c r="V98" s="4"/>
      <c r="W98" s="4"/>
      <c r="X98" s="4"/>
      <c r="Y98" s="4"/>
      <c r="Z98" s="4"/>
    </row>
    <row r="99" ht="15.75" customHeight="1">
      <c r="A99" s="21" t="s">
        <v>633</v>
      </c>
      <c r="B99" s="22" t="str">
        <f>'8조'!B$76</f>
        <v/>
      </c>
      <c r="C99" s="22" t="str">
        <f>'8조'!C$76</f>
        <v>8조 - Layered - Testability</v>
      </c>
      <c r="D99" s="22" t="str">
        <f>'8조'!D$76</f>
        <v/>
      </c>
      <c r="E99" s="22" t="str">
        <f>'8조'!E$76</f>
        <v>8조 - Virtual Machine - Testability</v>
      </c>
      <c r="F99" s="22" t="str">
        <f>'8조'!F$76</f>
        <v/>
      </c>
      <c r="G99" s="22" t="str">
        <f>'8조'!G$76</f>
        <v>8조 - Microkernel - Testability</v>
      </c>
      <c r="H99" s="4"/>
      <c r="I99" s="4"/>
      <c r="J99" s="4"/>
      <c r="K99" s="4"/>
      <c r="L99" s="4"/>
      <c r="M99" s="4"/>
      <c r="N99" s="4"/>
      <c r="O99" s="4"/>
      <c r="P99" s="4"/>
      <c r="Q99" s="4"/>
      <c r="R99" s="4"/>
      <c r="S99" s="4"/>
      <c r="T99" s="4"/>
      <c r="U99" s="4"/>
      <c r="V99" s="4"/>
      <c r="W99" s="4"/>
      <c r="X99" s="4"/>
      <c r="Y99" s="4"/>
      <c r="Z99" s="4"/>
    </row>
    <row r="100" ht="15.75" customHeight="1">
      <c r="A100" s="21" t="s">
        <v>634</v>
      </c>
      <c r="B100" s="22" t="str">
        <f>'9조'!B$76</f>
        <v/>
      </c>
      <c r="C100" s="22" t="str">
        <f>'9조'!C$76</f>
        <v>9조 - Layered - Testability</v>
      </c>
      <c r="D100" s="22" t="str">
        <f>'9조'!D$76</f>
        <v/>
      </c>
      <c r="E100" s="22" t="str">
        <f>'9조'!E$76</f>
        <v>9조 - Virtual Machine - Testability</v>
      </c>
      <c r="F100" s="22" t="str">
        <f>'9조'!F$76</f>
        <v/>
      </c>
      <c r="G100" s="22" t="str">
        <f>'9조'!G$76</f>
        <v>9조 - Microkernel - Testability</v>
      </c>
      <c r="H100" s="4"/>
      <c r="I100" s="4"/>
      <c r="J100" s="4"/>
      <c r="K100" s="4"/>
      <c r="L100" s="4"/>
      <c r="M100" s="4"/>
      <c r="N100" s="4"/>
      <c r="O100" s="4"/>
      <c r="P100" s="4"/>
      <c r="Q100" s="4"/>
      <c r="R100" s="4"/>
      <c r="S100" s="4"/>
      <c r="T100" s="4"/>
      <c r="U100" s="4"/>
      <c r="V100" s="4"/>
      <c r="W100" s="4"/>
      <c r="X100" s="4"/>
      <c r="Y100" s="4"/>
      <c r="Z100" s="4"/>
    </row>
    <row r="101" ht="15.0" customHeight="1">
      <c r="A101" s="23"/>
      <c r="B101" s="23"/>
      <c r="C101" s="23"/>
      <c r="D101" s="23"/>
      <c r="E101" s="23"/>
      <c r="F101" s="23"/>
      <c r="G101" s="23"/>
      <c r="H101" s="4"/>
      <c r="I101" s="4"/>
      <c r="J101" s="4"/>
      <c r="K101" s="4"/>
      <c r="L101" s="4"/>
      <c r="M101" s="4"/>
      <c r="N101" s="4"/>
      <c r="O101" s="4"/>
      <c r="P101" s="4"/>
      <c r="Q101" s="4"/>
      <c r="R101" s="4"/>
      <c r="S101" s="4"/>
      <c r="T101" s="4"/>
      <c r="U101" s="4"/>
      <c r="V101" s="4"/>
      <c r="W101" s="4"/>
      <c r="X101" s="4"/>
      <c r="Y101" s="4"/>
      <c r="Z101" s="4"/>
    </row>
    <row r="102" ht="15.75" customHeight="1">
      <c r="A102" s="7" t="s">
        <v>346</v>
      </c>
      <c r="B102" s="7" t="str">
        <f>'Detailed Reasoning'!B$77</f>
        <v/>
      </c>
      <c r="C102" s="7" t="str">
        <f>'Detailed Reasoning'!C$77</f>
        <v/>
      </c>
      <c r="D102" s="7" t="str">
        <f>'Detailed Reasoning'!D$77</f>
        <v/>
      </c>
      <c r="E102" s="7" t="str">
        <f>'Detailed Reasoning'!E$77</f>
        <v/>
      </c>
      <c r="F102" s="7" t="str">
        <f>'Detailed Reasoning'!F$77</f>
        <v/>
      </c>
      <c r="G102" s="8" t="str">
        <f>'Detailed Reasoning'!G$77</f>
        <v/>
      </c>
      <c r="H102" s="4"/>
      <c r="I102" s="4"/>
      <c r="J102" s="4"/>
      <c r="K102" s="4"/>
      <c r="L102" s="4"/>
      <c r="M102" s="4"/>
      <c r="N102" s="4"/>
      <c r="O102" s="4"/>
      <c r="P102" s="4"/>
      <c r="Q102" s="4"/>
      <c r="R102" s="4"/>
      <c r="S102" s="4"/>
      <c r="T102" s="4"/>
      <c r="U102" s="4"/>
      <c r="V102" s="4"/>
      <c r="W102" s="4"/>
      <c r="X102" s="4"/>
      <c r="Y102" s="4"/>
      <c r="Z102" s="4"/>
    </row>
    <row r="103" ht="15.75" customHeight="1">
      <c r="A103" s="21" t="s">
        <v>637</v>
      </c>
      <c r="B103" s="22" t="str">
        <f>'1조'!B$77</f>
        <v>0</v>
      </c>
      <c r="C103" s="22" t="str">
        <f>'1조'!C$77</f>
        <v>사용자 인터페이스를 별도 계층으로 분리하여 변경하기는 쉽지만 Layered Style 자체가 화면 구성이나 사용자 조작 방식을 정의하지 않으므로 사용성에 직접적인 영향은 크지 않다.</v>
      </c>
      <c r="D103" s="22" t="str">
        <f>'1조'!D$77</f>
        <v/>
      </c>
      <c r="E103" s="22" t="str">
        <f>'1조'!E$77</f>
        <v>1조 - Virtual Machine - Usability</v>
      </c>
      <c r="F103" s="22" t="str">
        <f>'1조'!F$77</f>
        <v/>
      </c>
      <c r="G103" s="22" t="str">
        <f>'1조'!G$77</f>
        <v>1조 - Microkernel - Usability</v>
      </c>
      <c r="H103" s="12" t="s">
        <v>638</v>
      </c>
      <c r="I103" s="4"/>
      <c r="J103" s="4"/>
      <c r="K103" s="4"/>
      <c r="L103" s="4"/>
      <c r="M103" s="4"/>
      <c r="N103" s="4"/>
      <c r="O103" s="4"/>
      <c r="P103" s="4"/>
      <c r="Q103" s="4"/>
      <c r="R103" s="4"/>
      <c r="S103" s="4"/>
      <c r="T103" s="4"/>
      <c r="U103" s="4"/>
      <c r="V103" s="4"/>
      <c r="W103" s="4"/>
      <c r="X103" s="4"/>
      <c r="Y103" s="4"/>
      <c r="Z103" s="4"/>
    </row>
    <row r="104" ht="15.75" customHeight="1">
      <c r="A104" s="21" t="s">
        <v>639</v>
      </c>
      <c r="B104" s="22" t="str">
        <f>'2조'!B$77</f>
        <v>0</v>
      </c>
      <c r="C104" s="22" t="str">
        <f>'2조'!C$77</f>
        <v>UI 계층 분리로 다양한 클라이언트 지원 용이하지만, 층이 깊으면 계층 통과 지연으로 대화형 실시간 응답성에 간접 영향 가능하다.</v>
      </c>
      <c r="D104" s="22" t="str">
        <f>'2조'!D$77</f>
        <v/>
      </c>
      <c r="E104" s="22" t="str">
        <f>'2조'!E$77</f>
        <v>2조 - Virtual Machine - Usability</v>
      </c>
      <c r="F104" s="22" t="str">
        <f>'2조'!F$77</f>
        <v/>
      </c>
      <c r="G104" s="22" t="str">
        <f>'2조'!G$77</f>
        <v>2조 - Microkernel - Usability</v>
      </c>
      <c r="I104" s="4"/>
      <c r="J104" s="4"/>
      <c r="K104" s="4"/>
      <c r="L104" s="4"/>
      <c r="M104" s="4"/>
      <c r="N104" s="4"/>
      <c r="O104" s="4"/>
      <c r="P104" s="4"/>
      <c r="Q104" s="4"/>
      <c r="R104" s="4"/>
      <c r="S104" s="4"/>
      <c r="T104" s="4"/>
      <c r="U104" s="4"/>
      <c r="V104" s="4"/>
      <c r="W104" s="4"/>
      <c r="X104" s="4"/>
      <c r="Y104" s="4"/>
      <c r="Z104" s="4"/>
    </row>
    <row r="105" ht="15.75" customHeight="1">
      <c r="A105" s="21" t="s">
        <v>640</v>
      </c>
      <c r="B105" s="22" t="str">
        <f>'3조'!B$77</f>
        <v>0</v>
      </c>
      <c r="C105" s="22" t="str">
        <f>'3조'!C$77</f>
        <v>user interaction과 관련없는 항목으로, usabiltiy영향성이 적음</v>
      </c>
      <c r="D105" s="22" t="str">
        <f>'3조'!D$77</f>
        <v/>
      </c>
      <c r="E105" s="22" t="str">
        <f>'3조'!E$77</f>
        <v>3조 - Virtual Machine - Usability</v>
      </c>
      <c r="F105" s="22" t="str">
        <f>'3조'!F$77</f>
        <v/>
      </c>
      <c r="G105" s="22" t="str">
        <f>'3조'!G$77</f>
        <v>3조 - Microkernel - Usability</v>
      </c>
      <c r="I105" s="4"/>
      <c r="J105" s="4"/>
      <c r="K105" s="4"/>
      <c r="L105" s="4"/>
      <c r="M105" s="4"/>
      <c r="N105" s="4"/>
      <c r="O105" s="4"/>
      <c r="P105" s="4"/>
      <c r="Q105" s="4"/>
      <c r="R105" s="4"/>
      <c r="S105" s="4"/>
      <c r="T105" s="4"/>
      <c r="U105" s="4"/>
      <c r="V105" s="4"/>
      <c r="W105" s="4"/>
      <c r="X105" s="4"/>
      <c r="Y105" s="4"/>
      <c r="Z105" s="4"/>
    </row>
    <row r="106" ht="15.75" customHeight="1">
      <c r="A106" s="21" t="s">
        <v>641</v>
      </c>
      <c r="B106" s="22" t="str">
        <f>'4조'!B$77</f>
        <v>0</v>
      </c>
      <c r="C106" s="22" t="str">
        <f>'4조'!C$77</f>
        <v>계층 구조 자체가 화면의 편리함이나 사용자 응답을 직접 결정하지는 않는다.</v>
      </c>
      <c r="D106" s="22" t="str">
        <f>'4조'!D$77</f>
        <v/>
      </c>
      <c r="E106" s="22" t="str">
        <f>'4조'!E$77</f>
        <v>Human - Virtual Machine - Usability</v>
      </c>
      <c r="F106" s="22" t="str">
        <f>'4조'!F$77</f>
        <v/>
      </c>
      <c r="G106" s="22" t="str">
        <f>'4조'!G$77</f>
        <v>Human - Microkernel - Usability</v>
      </c>
      <c r="I106" s="4"/>
      <c r="J106" s="4"/>
      <c r="K106" s="4"/>
      <c r="L106" s="4"/>
      <c r="M106" s="4"/>
      <c r="N106" s="4"/>
      <c r="O106" s="4"/>
      <c r="P106" s="4"/>
      <c r="Q106" s="4"/>
      <c r="R106" s="4"/>
      <c r="S106" s="4"/>
      <c r="T106" s="4"/>
      <c r="U106" s="4"/>
      <c r="V106" s="4"/>
      <c r="W106" s="4"/>
      <c r="X106" s="4"/>
      <c r="Y106" s="4"/>
      <c r="Z106" s="4"/>
    </row>
    <row r="107" ht="15.75" customHeight="1">
      <c r="A107" s="21" t="s">
        <v>642</v>
      </c>
      <c r="B107" s="22" t="str">
        <f>'5조'!B$77</f>
        <v>0</v>
      </c>
      <c r="C107" s="22" t="str">
        <f>'5조'!C$77</f>
        <v>Layered 패턴은 시스템의 내부 책임 분리와 소프트웨어 구조화에 초점을 맞추므로, 엔드 유저의 UI/UX 반응성이나 사용성에 직접적인 긍정/부정적 영향을 미치지 않음</v>
      </c>
      <c r="D107" s="22" t="str">
        <f>'5조'!D$77</f>
        <v/>
      </c>
      <c r="E107" s="22" t="str">
        <f>'5조'!E$77</f>
        <v>5조 - Virtual Machine - Usability</v>
      </c>
      <c r="F107" s="22" t="str">
        <f>'5조'!F$77</f>
        <v/>
      </c>
      <c r="G107" s="22" t="str">
        <f>'5조'!G$77</f>
        <v>5조 - Microkernel - Usability</v>
      </c>
      <c r="I107" s="4"/>
      <c r="J107" s="4"/>
      <c r="K107" s="4"/>
      <c r="L107" s="4"/>
      <c r="M107" s="4"/>
      <c r="N107" s="4"/>
      <c r="O107" s="4"/>
      <c r="P107" s="4"/>
      <c r="Q107" s="4"/>
      <c r="R107" s="4"/>
      <c r="S107" s="4"/>
      <c r="T107" s="4"/>
      <c r="U107" s="4"/>
      <c r="V107" s="4"/>
      <c r="W107" s="4"/>
      <c r="X107" s="4"/>
      <c r="Y107" s="4"/>
      <c r="Z107" s="4"/>
    </row>
    <row r="108" ht="15.75" customHeight="1">
      <c r="A108" s="21" t="s">
        <v>643</v>
      </c>
      <c r="B108" s="22" t="str">
        <f>'6조'!B$77</f>
        <v>+</v>
      </c>
      <c r="C108" s="22" t="str">
        <f>'6조'!C$77</f>
        <v>필요한 layer 에 대해서만 접근. UI 탭은 UX 친화 지향적일 것</v>
      </c>
      <c r="D108" s="22" t="str">
        <f>'6조'!D$77</f>
        <v/>
      </c>
      <c r="E108" s="22" t="str">
        <f>'6조'!E$77</f>
        <v>6조 - Virtual Machine - Usability</v>
      </c>
      <c r="F108" s="22" t="str">
        <f>'6조'!F$77</f>
        <v/>
      </c>
      <c r="G108" s="22" t="str">
        <f>'6조'!G$77</f>
        <v>6조 - Microkernel - Usability</v>
      </c>
      <c r="I108" s="4"/>
      <c r="J108" s="4"/>
      <c r="K108" s="4"/>
      <c r="L108" s="4"/>
      <c r="M108" s="4"/>
      <c r="N108" s="4"/>
      <c r="O108" s="4"/>
      <c r="P108" s="4"/>
      <c r="Q108" s="4"/>
      <c r="R108" s="4"/>
      <c r="S108" s="4"/>
      <c r="T108" s="4"/>
      <c r="U108" s="4"/>
      <c r="V108" s="4"/>
      <c r="W108" s="4"/>
      <c r="X108" s="4"/>
      <c r="Y108" s="4"/>
      <c r="Z108" s="4"/>
    </row>
    <row r="109" ht="15.75" customHeight="1">
      <c r="A109" s="21" t="s">
        <v>645</v>
      </c>
      <c r="B109" s="22" t="str">
        <f>'7조'!B$77</f>
        <v/>
      </c>
      <c r="C109" s="22" t="str">
        <f>'7조'!C$77</f>
        <v>7조 - Layered - Usability</v>
      </c>
      <c r="D109" s="22" t="str">
        <f>'7조'!D$77</f>
        <v/>
      </c>
      <c r="E109" s="22" t="str">
        <f>'7조'!E$77</f>
        <v>7조 - Virtual Machine - Usability</v>
      </c>
      <c r="F109" s="22" t="str">
        <f>'7조'!F$77</f>
        <v/>
      </c>
      <c r="G109" s="22" t="str">
        <f>'7조'!G$77</f>
        <v>7조 - Microkernel - Usability</v>
      </c>
      <c r="H109" s="4"/>
      <c r="I109" s="4"/>
      <c r="J109" s="4"/>
      <c r="K109" s="4"/>
      <c r="L109" s="4"/>
      <c r="M109" s="4"/>
      <c r="N109" s="4"/>
      <c r="O109" s="4"/>
      <c r="P109" s="4"/>
      <c r="Q109" s="4"/>
      <c r="R109" s="4"/>
      <c r="S109" s="4"/>
      <c r="T109" s="4"/>
      <c r="U109" s="4"/>
      <c r="V109" s="4"/>
      <c r="W109" s="4"/>
      <c r="X109" s="4"/>
      <c r="Y109" s="4"/>
      <c r="Z109" s="4"/>
    </row>
    <row r="110" ht="15.75" customHeight="1">
      <c r="A110" s="21" t="s">
        <v>646</v>
      </c>
      <c r="B110" s="22" t="str">
        <f>'8조'!B$77</f>
        <v/>
      </c>
      <c r="C110" s="22" t="str">
        <f>'8조'!C$77</f>
        <v>8조 - Layered - Usability</v>
      </c>
      <c r="D110" s="22" t="str">
        <f>'8조'!D$77</f>
        <v/>
      </c>
      <c r="E110" s="22" t="str">
        <f>'8조'!E$77</f>
        <v>8조 - Virtual Machine - Usability</v>
      </c>
      <c r="F110" s="22" t="str">
        <f>'8조'!F$77</f>
        <v/>
      </c>
      <c r="G110" s="22" t="str">
        <f>'8조'!G$77</f>
        <v>8조 - Microkernel - Usability</v>
      </c>
      <c r="H110" s="4"/>
      <c r="I110" s="4"/>
      <c r="J110" s="4"/>
      <c r="K110" s="4"/>
      <c r="L110" s="4"/>
      <c r="M110" s="4"/>
      <c r="N110" s="4"/>
      <c r="O110" s="4"/>
      <c r="P110" s="4"/>
      <c r="Q110" s="4"/>
      <c r="R110" s="4"/>
      <c r="S110" s="4"/>
      <c r="T110" s="4"/>
      <c r="U110" s="4"/>
      <c r="V110" s="4"/>
      <c r="W110" s="4"/>
      <c r="X110" s="4"/>
      <c r="Y110" s="4"/>
      <c r="Z110" s="4"/>
    </row>
    <row r="111" ht="15.75" customHeight="1">
      <c r="A111" s="21" t="s">
        <v>648</v>
      </c>
      <c r="B111" s="22" t="str">
        <f>'9조'!B$77</f>
        <v/>
      </c>
      <c r="C111" s="22" t="str">
        <f>'9조'!C$77</f>
        <v>9조 - Layered - Usability</v>
      </c>
      <c r="D111" s="22" t="str">
        <f>'9조'!D$77</f>
        <v/>
      </c>
      <c r="E111" s="22" t="str">
        <f>'9조'!E$77</f>
        <v>9조 - Virtual Machine - Usability</v>
      </c>
      <c r="F111" s="22" t="str">
        <f>'9조'!F$77</f>
        <v/>
      </c>
      <c r="G111" s="22" t="str">
        <f>'9조'!G$77</f>
        <v>9조 - Microkernel - Usability</v>
      </c>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4">
    <mergeCell ref="H37:H42"/>
    <mergeCell ref="H48:H53"/>
    <mergeCell ref="H59:H64"/>
    <mergeCell ref="H70:H74"/>
    <mergeCell ref="H81:H86"/>
    <mergeCell ref="H92:H97"/>
    <mergeCell ref="H103:H108"/>
    <mergeCell ref="A1:A2"/>
    <mergeCell ref="B1:C1"/>
    <mergeCell ref="D1:E1"/>
    <mergeCell ref="F1:G1"/>
    <mergeCell ref="H4:H9"/>
    <mergeCell ref="H15:H20"/>
    <mergeCell ref="H26:H31"/>
  </mergeCells>
  <printOptions/>
  <pageMargins bottom="0.75" footer="0.0" header="0.0" left="0.7" right="0.7" top="0.7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57.57"/>
    <col customWidth="1" min="4" max="4" width="7.71"/>
    <col customWidth="1" min="5" max="5" width="59.57"/>
    <col customWidth="1" min="6" max="6" width="60.0"/>
  </cols>
  <sheetData>
    <row r="1">
      <c r="A1" s="1" t="s">
        <v>493</v>
      </c>
      <c r="B1" s="2" t="s">
        <v>494</v>
      </c>
      <c r="C1" s="3"/>
      <c r="D1" s="2" t="s">
        <v>495</v>
      </c>
      <c r="E1" s="3"/>
      <c r="F1" s="24"/>
      <c r="G1" s="4"/>
      <c r="H1" s="4"/>
      <c r="I1" s="4"/>
      <c r="J1" s="4"/>
      <c r="K1" s="4"/>
      <c r="L1" s="4"/>
      <c r="M1" s="4"/>
      <c r="N1" s="4"/>
      <c r="O1" s="4"/>
      <c r="P1" s="4"/>
      <c r="Q1" s="4"/>
      <c r="R1" s="4"/>
      <c r="S1" s="4"/>
      <c r="T1" s="4"/>
      <c r="U1" s="4"/>
      <c r="V1" s="4"/>
      <c r="W1" s="4"/>
      <c r="X1" s="4"/>
      <c r="Y1" s="4"/>
      <c r="Z1" s="4"/>
    </row>
    <row r="2">
      <c r="A2" s="5"/>
      <c r="B2" s="6" t="s">
        <v>11</v>
      </c>
      <c r="C2" s="6" t="s">
        <v>12</v>
      </c>
      <c r="D2" s="6" t="s">
        <v>11</v>
      </c>
      <c r="E2" s="6" t="s">
        <v>12</v>
      </c>
      <c r="F2" s="24"/>
      <c r="G2" s="4"/>
      <c r="H2" s="4"/>
      <c r="I2" s="4"/>
      <c r="J2" s="4"/>
      <c r="K2" s="4"/>
      <c r="L2" s="4"/>
      <c r="M2" s="4"/>
      <c r="N2" s="4"/>
      <c r="O2" s="4"/>
      <c r="P2" s="4"/>
      <c r="Q2" s="4"/>
      <c r="R2" s="4"/>
      <c r="S2" s="4"/>
      <c r="T2" s="4"/>
      <c r="U2" s="4"/>
      <c r="V2" s="4"/>
      <c r="W2" s="4"/>
      <c r="X2" s="4"/>
      <c r="Y2" s="4"/>
      <c r="Z2" s="4"/>
    </row>
    <row r="3" ht="15.0" customHeight="1">
      <c r="A3" s="7" t="s">
        <v>14</v>
      </c>
      <c r="B3" s="7">
        <v>0.0</v>
      </c>
      <c r="C3" s="7">
        <v>0.0</v>
      </c>
      <c r="D3" s="7">
        <v>0.0</v>
      </c>
      <c r="E3" s="7">
        <v>0.0</v>
      </c>
      <c r="F3" s="24"/>
      <c r="G3" s="4"/>
      <c r="H3" s="4"/>
      <c r="I3" s="4"/>
      <c r="J3" s="4"/>
      <c r="K3" s="4"/>
      <c r="L3" s="4"/>
      <c r="M3" s="4"/>
      <c r="N3" s="4"/>
      <c r="O3" s="4"/>
      <c r="P3" s="4"/>
      <c r="Q3" s="4"/>
      <c r="R3" s="4"/>
      <c r="S3" s="4"/>
      <c r="T3" s="4"/>
      <c r="U3" s="4"/>
      <c r="V3" s="4"/>
      <c r="W3" s="4"/>
      <c r="X3" s="4"/>
      <c r="Y3" s="4"/>
      <c r="Z3" s="4"/>
    </row>
    <row r="4">
      <c r="A4" s="23" t="s">
        <v>502</v>
      </c>
      <c r="B4" s="22" t="str">
        <f>'1조'!B81</f>
        <v>-</v>
      </c>
      <c r="C4" s="23" t="str">
        <f>'1조'!C81</f>
        <v>[-] 티어 수가 많아짐에 따라 전체 장애 포인트(SPOF) 증가</v>
      </c>
      <c r="D4" s="22" t="str">
        <f>'1조'!D81</f>
        <v>-</v>
      </c>
      <c r="E4" s="23" t="str">
        <f>'1조'!E81</f>
        <v>[-] 중앙 Server 장애 시 연결된 모든 Client 서비스 중단</v>
      </c>
      <c r="F4" s="25" t="s">
        <v>505</v>
      </c>
      <c r="G4" s="4"/>
      <c r="H4" s="4"/>
      <c r="I4" s="4"/>
      <c r="J4" s="4"/>
      <c r="K4" s="4"/>
      <c r="L4" s="4"/>
      <c r="M4" s="4"/>
      <c r="N4" s="4"/>
      <c r="O4" s="4"/>
      <c r="P4" s="4"/>
      <c r="Q4" s="4"/>
      <c r="R4" s="4"/>
      <c r="S4" s="4"/>
      <c r="T4" s="4"/>
      <c r="U4" s="4"/>
      <c r="V4" s="4"/>
      <c r="W4" s="4"/>
      <c r="X4" s="4"/>
      <c r="Y4" s="4"/>
      <c r="Z4" s="4"/>
    </row>
    <row r="5">
      <c r="A5" s="23" t="s">
        <v>507</v>
      </c>
      <c r="B5" s="22" t="str">
        <f>'2조'!B81</f>
        <v>-</v>
      </c>
      <c r="C5" s="23" t="str">
        <f>'2조'!C81</f>
        <v>Server 가 여러 대로 늘어나면 각 server 의 reliability 와 availability 가 더욱 중요해진다고 교안이 약점으로 든다. 한 tier 가 멈추면 그 위 tier 의 요청이 모두 막힌다</v>
      </c>
      <c r="D5" s="22" t="str">
        <f>'2조'!D81</f>
        <v>-</v>
      </c>
      <c r="E5" s="23" t="str">
        <f>'2조'!E81</f>
        <v>클라이언트와 서버의 분리로 장애 파악이 국소화되긴 하지만, 중앙 집중식 서버가 단일 장애점(SPOF)이 되어 서버 장애 시 연결된 모든 클라이언트의 서비스가 일시에 정지된다.</v>
      </c>
      <c r="F5" s="26"/>
      <c r="G5" s="4"/>
      <c r="H5" s="4"/>
      <c r="I5" s="4"/>
      <c r="J5" s="4"/>
      <c r="K5" s="4"/>
      <c r="L5" s="4"/>
      <c r="M5" s="4"/>
      <c r="N5" s="4"/>
      <c r="O5" s="4"/>
      <c r="P5" s="4"/>
      <c r="Q5" s="4"/>
      <c r="R5" s="4"/>
      <c r="S5" s="4"/>
      <c r="T5" s="4"/>
      <c r="U5" s="4"/>
      <c r="V5" s="4"/>
      <c r="W5" s="4"/>
      <c r="X5" s="4"/>
      <c r="Y5" s="4"/>
      <c r="Z5" s="4"/>
    </row>
    <row r="6">
      <c r="A6" s="23" t="s">
        <v>510</v>
      </c>
      <c r="B6" s="22" t="str">
        <f>'3조'!B81</f>
        <v>+</v>
      </c>
      <c r="C6" s="23" t="str">
        <f>'3조'!C81</f>
        <v>Tier 역할별로 분리되어, 특정 Tier 장애를 격리 및 복구하기 쉽다. 다만 핵심 Tier 장애는 전체 서비스에 영향을 줄수 있다.</v>
      </c>
      <c r="D6" s="22" t="str">
        <f>'3조'!D81</f>
        <v>-</v>
      </c>
      <c r="E6" s="23" t="str">
        <f>'3조'!E81</f>
        <v>Server가 요청 처리의 중심이므로 Server 장애 시 여러 Client가 함께 영향을 받는다.</v>
      </c>
      <c r="F6" s="26"/>
      <c r="G6" s="4"/>
      <c r="H6" s="4"/>
      <c r="I6" s="4"/>
      <c r="J6" s="4"/>
      <c r="K6" s="4"/>
      <c r="L6" s="4"/>
      <c r="M6" s="4"/>
      <c r="N6" s="4"/>
      <c r="O6" s="4"/>
      <c r="P6" s="4"/>
      <c r="Q6" s="4"/>
      <c r="R6" s="4"/>
      <c r="S6" s="4"/>
      <c r="T6" s="4"/>
      <c r="U6" s="4"/>
      <c r="V6" s="4"/>
      <c r="W6" s="4"/>
      <c r="X6" s="4"/>
      <c r="Y6" s="4"/>
      <c r="Z6" s="4"/>
    </row>
    <row r="7">
      <c r="A7" s="23" t="s">
        <v>511</v>
      </c>
      <c r="B7" s="22" t="str">
        <f>'4조'!B81</f>
        <v>0</v>
      </c>
      <c r="C7" s="23" t="str">
        <f>'4조'!C81</f>
        <v>역할별 장애를 나누기 좋지만 공통 데이터 계층이 멈추면 여러 기능이 영향을 받는다.</v>
      </c>
      <c r="D7" s="22" t="str">
        <f>'4조'!D81</f>
        <v>0</v>
      </c>
      <c r="E7" s="23" t="str">
        <f>'4조'!E81</f>
        <v>Client의 장애는 분리하기 좋지만 공통 Server가 멈추면 여러 사용자가 영향을 받는다.</v>
      </c>
      <c r="F7" s="26"/>
      <c r="G7" s="4"/>
      <c r="H7" s="4"/>
      <c r="I7" s="4"/>
      <c r="J7" s="4"/>
      <c r="K7" s="4"/>
      <c r="L7" s="4"/>
      <c r="M7" s="4"/>
      <c r="N7" s="4"/>
      <c r="O7" s="4"/>
      <c r="P7" s="4"/>
      <c r="Q7" s="4"/>
      <c r="R7" s="4"/>
      <c r="S7" s="4"/>
      <c r="T7" s="4"/>
      <c r="U7" s="4"/>
      <c r="V7" s="4"/>
      <c r="W7" s="4"/>
      <c r="X7" s="4"/>
      <c r="Y7" s="4"/>
      <c r="Z7" s="4"/>
    </row>
    <row r="8">
      <c r="A8" s="23" t="s">
        <v>513</v>
      </c>
      <c r="B8" s="22" t="str">
        <f>'5조'!B81</f>
        <v>-</v>
      </c>
      <c r="C8" s="23" t="str">
        <f>'5조'!C81</f>
        <v>Tier가 증가할 수록 위험성이 증가하여 관리 요소가 늘어날 수 있음.</v>
      </c>
      <c r="D8" s="22" t="str">
        <f>'5조'!D81</f>
        <v>-</v>
      </c>
      <c r="E8" s="23" t="str">
        <f>'5조'!E81</f>
        <v>서버가 단일 실패점이 될 수 있어 서버 장애 시 전체 시스템 중단될 수 있다.</v>
      </c>
      <c r="F8" s="26"/>
      <c r="G8" s="4"/>
      <c r="H8" s="4"/>
      <c r="I8" s="4"/>
      <c r="J8" s="4"/>
      <c r="K8" s="4"/>
      <c r="L8" s="4"/>
      <c r="M8" s="4"/>
      <c r="N8" s="4"/>
      <c r="O8" s="4"/>
      <c r="P8" s="4"/>
      <c r="Q8" s="4"/>
      <c r="R8" s="4"/>
      <c r="S8" s="4"/>
      <c r="T8" s="4"/>
      <c r="U8" s="4"/>
      <c r="V8" s="4"/>
      <c r="W8" s="4"/>
      <c r="X8" s="4"/>
      <c r="Y8" s="4"/>
      <c r="Z8" s="4"/>
    </row>
    <row r="9">
      <c r="A9" s="23" t="s">
        <v>516</v>
      </c>
      <c r="B9" s="22" t="str">
        <f>'6조'!B81</f>
        <v>+</v>
      </c>
      <c r="C9" s="23" t="str">
        <f>'6조'!C81</f>
        <v>Tier별로 서버를 분리하고 여러 인스턴스를 운영하면 장애를 격리하고 이중화하기 좋다. 특히 Application Tier를 여러 대로 구성하면 일부 서버 장애에도 서비스 지속이 가능하다. 다만 특정 Tier가 단일 장애점(SPOF)이 되면 전체 서비스가 영향을 받을 수 있다.</v>
      </c>
      <c r="D9" s="22" t="str">
        <f>'6조'!D81</f>
        <v>-</v>
      </c>
      <c r="E9" s="23" t="str">
        <f>'6조'!E81</f>
        <v>서버 이중화로 개선 가능하나, 기본 구조는 서버가 단일 장애점이라서 문제 가능성 있음</v>
      </c>
      <c r="F9" s="26"/>
      <c r="G9" s="4"/>
      <c r="H9" s="4"/>
      <c r="I9" s="4"/>
      <c r="J9" s="4"/>
      <c r="K9" s="4"/>
      <c r="L9" s="4"/>
      <c r="M9" s="4"/>
      <c r="N9" s="4"/>
      <c r="O9" s="4"/>
      <c r="P9" s="4"/>
      <c r="Q9" s="4"/>
      <c r="R9" s="4"/>
      <c r="S9" s="4"/>
      <c r="T9" s="4"/>
      <c r="U9" s="4"/>
      <c r="V9" s="4"/>
      <c r="W9" s="4"/>
      <c r="X9" s="4"/>
      <c r="Y9" s="4"/>
      <c r="Z9" s="4"/>
    </row>
    <row r="10">
      <c r="A10" s="23" t="s">
        <v>520</v>
      </c>
      <c r="B10" s="22" t="str">
        <f>'7조'!B81</f>
        <v/>
      </c>
      <c r="C10" s="23" t="str">
        <f>'7조'!C81</f>
        <v>7조 - Multi-tier - Availability</v>
      </c>
      <c r="D10" s="22" t="str">
        <f>'7조'!D81</f>
        <v/>
      </c>
      <c r="E10" s="23" t="str">
        <f>'7조'!E81</f>
        <v>7조 - Client-Server - Availability</v>
      </c>
      <c r="F10" s="26"/>
      <c r="G10" s="4"/>
      <c r="H10" s="4"/>
      <c r="I10" s="4"/>
      <c r="J10" s="4"/>
      <c r="K10" s="4"/>
      <c r="L10" s="4"/>
      <c r="M10" s="4"/>
      <c r="N10" s="4"/>
      <c r="O10" s="4"/>
      <c r="P10" s="4"/>
      <c r="Q10" s="4"/>
      <c r="R10" s="4"/>
      <c r="S10" s="4"/>
      <c r="T10" s="4"/>
      <c r="U10" s="4"/>
      <c r="V10" s="4"/>
      <c r="W10" s="4"/>
      <c r="X10" s="4"/>
      <c r="Y10" s="4"/>
      <c r="Z10" s="4"/>
    </row>
    <row r="11">
      <c r="A11" s="23" t="s">
        <v>523</v>
      </c>
      <c r="B11" s="22" t="str">
        <f>'8조'!B81</f>
        <v/>
      </c>
      <c r="C11" s="23" t="str">
        <f>'8조'!C81</f>
        <v>8조 - Multi-tier - Availability</v>
      </c>
      <c r="D11" s="22" t="str">
        <f>'8조'!D81</f>
        <v/>
      </c>
      <c r="E11" s="23" t="str">
        <f>'8조'!E81</f>
        <v>8조 - Client-Server - Availability</v>
      </c>
      <c r="F11" s="26"/>
      <c r="G11" s="4"/>
      <c r="H11" s="4"/>
      <c r="I11" s="4"/>
      <c r="J11" s="4"/>
      <c r="K11" s="4"/>
      <c r="L11" s="4"/>
      <c r="M11" s="4"/>
      <c r="N11" s="4"/>
      <c r="O11" s="4"/>
      <c r="P11" s="4"/>
      <c r="Q11" s="4"/>
      <c r="R11" s="4"/>
      <c r="S11" s="4"/>
      <c r="T11" s="4"/>
      <c r="U11" s="4"/>
      <c r="V11" s="4"/>
      <c r="W11" s="4"/>
      <c r="X11" s="4"/>
      <c r="Y11" s="4"/>
      <c r="Z11" s="4"/>
    </row>
    <row r="12">
      <c r="A12" s="23" t="s">
        <v>526</v>
      </c>
      <c r="B12" s="22" t="str">
        <f>'9조'!B81</f>
        <v/>
      </c>
      <c r="C12" s="23" t="str">
        <f>'9조'!C81</f>
        <v>9조 - Multi-tier - Availability</v>
      </c>
      <c r="D12" s="22" t="str">
        <f>'9조'!D81</f>
        <v/>
      </c>
      <c r="E12" s="23" t="str">
        <f>'9조'!E81</f>
        <v>9조 - Client-Server - Availability</v>
      </c>
      <c r="F12" s="26"/>
      <c r="G12" s="4"/>
      <c r="H12" s="4"/>
      <c r="I12" s="4"/>
      <c r="J12" s="4"/>
      <c r="K12" s="4"/>
      <c r="L12" s="4"/>
      <c r="M12" s="4"/>
      <c r="N12" s="4"/>
      <c r="O12" s="4"/>
      <c r="P12" s="4"/>
      <c r="Q12" s="4"/>
      <c r="R12" s="4"/>
      <c r="S12" s="4"/>
      <c r="T12" s="4"/>
      <c r="U12" s="4"/>
      <c r="V12" s="4"/>
      <c r="W12" s="4"/>
      <c r="X12" s="4"/>
      <c r="Y12" s="4"/>
      <c r="Z12" s="4"/>
    </row>
    <row r="13">
      <c r="A13" s="23"/>
      <c r="B13" s="23"/>
      <c r="C13" s="23"/>
      <c r="D13" s="23"/>
      <c r="E13" s="23"/>
      <c r="F13" s="24"/>
      <c r="G13" s="4"/>
      <c r="H13" s="4"/>
      <c r="I13" s="4"/>
      <c r="J13" s="4"/>
      <c r="K13" s="4"/>
      <c r="L13" s="4"/>
      <c r="M13" s="4"/>
      <c r="N13" s="4"/>
      <c r="O13" s="4"/>
      <c r="P13" s="4"/>
      <c r="Q13" s="4"/>
      <c r="R13" s="4"/>
      <c r="S13" s="4"/>
      <c r="T13" s="4"/>
      <c r="U13" s="4"/>
      <c r="V13" s="4"/>
      <c r="W13" s="4"/>
      <c r="X13" s="4"/>
      <c r="Y13" s="4"/>
      <c r="Z13" s="4"/>
    </row>
    <row r="14" ht="15.0" customHeight="1">
      <c r="A14" s="7" t="s">
        <v>47</v>
      </c>
      <c r="B14" s="7">
        <v>0.0</v>
      </c>
      <c r="C14" s="7">
        <v>0.0</v>
      </c>
      <c r="D14" s="7">
        <v>0.0</v>
      </c>
      <c r="E14" s="7">
        <v>0.0</v>
      </c>
      <c r="F14" s="24"/>
      <c r="G14" s="4"/>
      <c r="H14" s="4"/>
      <c r="I14" s="4"/>
      <c r="J14" s="4"/>
      <c r="K14" s="4"/>
      <c r="L14" s="4"/>
      <c r="M14" s="4"/>
      <c r="N14" s="4"/>
      <c r="O14" s="4"/>
      <c r="P14" s="4"/>
      <c r="Q14" s="4"/>
      <c r="R14" s="4"/>
      <c r="S14" s="4"/>
      <c r="T14" s="4"/>
      <c r="U14" s="4"/>
      <c r="V14" s="4"/>
      <c r="W14" s="4"/>
      <c r="X14" s="4"/>
      <c r="Y14" s="4"/>
      <c r="Z14" s="4"/>
    </row>
    <row r="15">
      <c r="A15" s="23" t="s">
        <v>502</v>
      </c>
      <c r="B15" s="22" t="str">
        <f>'1조'!B82</f>
        <v>+</v>
      </c>
      <c r="C15" s="23" t="str">
        <f>'1조'!C82</f>
        <v>[+] 각 티어를 독립 물리 서버/컨테이너에 분리 배포 극대화</v>
      </c>
      <c r="D15" s="22" t="str">
        <f>'1조'!D82</f>
        <v>+</v>
      </c>
      <c r="E15" s="27" t="str">
        <f>'1조'!E82</f>
        <v>[+] Server 단독 기능 업데이트 및 배포 단순함</v>
      </c>
      <c r="F15" s="25" t="s">
        <v>532</v>
      </c>
      <c r="G15" s="4"/>
      <c r="H15" s="4"/>
      <c r="I15" s="4"/>
      <c r="J15" s="4"/>
      <c r="K15" s="4"/>
      <c r="L15" s="4"/>
      <c r="M15" s="4"/>
      <c r="N15" s="4"/>
      <c r="O15" s="4"/>
      <c r="P15" s="4"/>
      <c r="Q15" s="4"/>
      <c r="R15" s="4"/>
      <c r="S15" s="4"/>
      <c r="T15" s="4"/>
      <c r="U15" s="4"/>
      <c r="V15" s="4"/>
      <c r="W15" s="4"/>
      <c r="X15" s="4"/>
      <c r="Y15" s="4"/>
      <c r="Z15" s="4"/>
    </row>
    <row r="16">
      <c r="A16" s="23" t="s">
        <v>507</v>
      </c>
      <c r="B16" s="22" t="str">
        <f>'2조'!B82</f>
        <v>+</v>
      </c>
      <c r="C16" s="23" t="str">
        <f>'2조'!C82</f>
        <v>(+) 물리적 인프라 수준에서 티어가 분리되어 있어 Presentation, Application, Data 티어 단위로 독립 배포 및 롤백이 가능함. / (-) 티어 간 인터페이스 및 데이터 스키마 변경 시 전체 티어의 동시 배포가 강제됨</v>
      </c>
      <c r="D16" s="22" t="str">
        <f>'2조'!D82</f>
        <v>+</v>
      </c>
      <c r="E16" s="27" t="str">
        <f>'2조'!E82</f>
        <v>표준 Request/Reply 프로토콜만 유지하면 클라이언트와 독립적으로 서버 컴포넌트만을 교체·배포할 수 있지만, Thick Client 환경의 경우 클라이언트 배포 및 버전 동기화 부담이 크긴 함.</v>
      </c>
      <c r="F16" s="26"/>
      <c r="G16" s="4"/>
      <c r="H16" s="4"/>
      <c r="I16" s="4"/>
      <c r="J16" s="4"/>
      <c r="K16" s="4"/>
      <c r="L16" s="4"/>
      <c r="M16" s="4"/>
      <c r="N16" s="4"/>
      <c r="O16" s="4"/>
      <c r="P16" s="4"/>
      <c r="Q16" s="4"/>
      <c r="R16" s="4"/>
      <c r="S16" s="4"/>
      <c r="T16" s="4"/>
      <c r="U16" s="4"/>
      <c r="V16" s="4"/>
      <c r="W16" s="4"/>
      <c r="X16" s="4"/>
      <c r="Y16" s="4"/>
      <c r="Z16" s="4"/>
    </row>
    <row r="17">
      <c r="A17" s="23" t="s">
        <v>510</v>
      </c>
      <c r="B17" s="22" t="str">
        <f>'3조'!B82</f>
        <v>+</v>
      </c>
      <c r="C17" s="23" t="str">
        <f>'3조'!C82</f>
        <v>UI, Business, Data Tier처럼 배포 단위가 나뉘어 특정 Tier만 갱신하거나 확장 배포하기 쉽다.</v>
      </c>
      <c r="D17" s="22" t="str">
        <f>'3조'!D82</f>
        <v>0</v>
      </c>
      <c r="E17" s="27" t="str">
        <f>'3조'!E82</f>
        <v>Client와 Server를 분리 배포할 수는 있지만, Server 변경이 여러 Client 호환성에 영향을 줄 수 있다.</v>
      </c>
      <c r="F17" s="26"/>
      <c r="G17" s="4"/>
      <c r="H17" s="4"/>
      <c r="I17" s="4"/>
      <c r="J17" s="4"/>
      <c r="K17" s="4"/>
      <c r="L17" s="4"/>
      <c r="M17" s="4"/>
      <c r="N17" s="4"/>
      <c r="O17" s="4"/>
      <c r="P17" s="4"/>
      <c r="Q17" s="4"/>
      <c r="R17" s="4"/>
      <c r="S17" s="4"/>
      <c r="T17" s="4"/>
      <c r="U17" s="4"/>
      <c r="V17" s="4"/>
      <c r="W17" s="4"/>
      <c r="X17" s="4"/>
      <c r="Y17" s="4"/>
      <c r="Z17" s="4"/>
    </row>
    <row r="18">
      <c r="A18" s="23" t="s">
        <v>511</v>
      </c>
      <c r="B18" s="22" t="str">
        <f>'4조'!B82</f>
        <v>++</v>
      </c>
      <c r="C18" s="23" t="str">
        <f>'4조'!C82</f>
        <v>티어별로 별도 인프라에서 독립적으로 배포·확장·업그레이드할 수 있다.</v>
      </c>
      <c r="D18" s="22" t="str">
        <f>'4조'!D82</f>
        <v>++</v>
      </c>
      <c r="E18" s="27" t="str">
        <f>'4조'!E82</f>
        <v>서버 측 변경은 한 번 배포하면 모든 클라이언트에 즉시 반영된다. 별도 배포가 필요한 것은 진짜 클라이언트 측 변경뿐이다.</v>
      </c>
      <c r="F18" s="26"/>
      <c r="G18" s="4"/>
      <c r="H18" s="4"/>
      <c r="I18" s="4"/>
      <c r="J18" s="4"/>
      <c r="K18" s="4"/>
      <c r="L18" s="4"/>
      <c r="M18" s="4"/>
      <c r="N18" s="4"/>
      <c r="O18" s="4"/>
      <c r="P18" s="4"/>
      <c r="Q18" s="4"/>
      <c r="R18" s="4"/>
      <c r="S18" s="4"/>
      <c r="T18" s="4"/>
      <c r="U18" s="4"/>
      <c r="V18" s="4"/>
      <c r="W18" s="4"/>
      <c r="X18" s="4"/>
      <c r="Y18" s="4"/>
      <c r="Z18" s="4"/>
    </row>
    <row r="19">
      <c r="A19" s="23" t="s">
        <v>513</v>
      </c>
      <c r="B19" s="22" t="str">
        <f>'5조'!B82</f>
        <v>+</v>
      </c>
      <c r="C19" s="23" t="str">
        <f>'5조'!C82</f>
        <v>각 Tier별 기능이 나누어져 있으므로 Tier에 해당하는 시스템의 단독 배포가 용이하다.</v>
      </c>
      <c r="D19" s="22" t="str">
        <f>'5조'!D82</f>
        <v>+</v>
      </c>
      <c r="E19" s="27" t="str">
        <f>'5조'!E82</f>
        <v>클라이언트와 서버를 각각 독립적으로 배포가 가능하다.</v>
      </c>
      <c r="F19" s="26"/>
      <c r="G19" s="4"/>
      <c r="H19" s="4"/>
      <c r="I19" s="4"/>
      <c r="J19" s="4"/>
      <c r="K19" s="4"/>
      <c r="L19" s="4"/>
      <c r="M19" s="4"/>
      <c r="N19" s="4"/>
      <c r="O19" s="4"/>
      <c r="P19" s="4"/>
      <c r="Q19" s="4"/>
      <c r="R19" s="4"/>
      <c r="S19" s="4"/>
      <c r="T19" s="4"/>
      <c r="U19" s="4"/>
      <c r="V19" s="4"/>
      <c r="W19" s="4"/>
      <c r="X19" s="4"/>
      <c r="Y19" s="4"/>
      <c r="Z19" s="4"/>
    </row>
    <row r="20">
      <c r="A20" s="23" t="s">
        <v>516</v>
      </c>
      <c r="B20" s="22" t="str">
        <f>'6조'!B82</f>
        <v>+</v>
      </c>
      <c r="C20" s="23" t="str">
        <f>'6조'!C82</f>
        <v>각 Tier가 독립적으로 배포될 수 있어 변경 범위를 제한하기 쉽다. 예를 들어 Presentation Tier와 Data Tier를 별도로 배포할 수 있다. 반면 Tier 간 인터페이스나 버전 의존성이 있으면 동시 배포가 필요할 수 있다.</v>
      </c>
      <c r="D20" s="22" t="str">
        <f>'6조'!D82</f>
        <v>++</v>
      </c>
      <c r="E20" s="27" t="str">
        <f>'6조'!E82</f>
        <v>클라이언트와 서버가 독립 배포 가능함</v>
      </c>
      <c r="F20" s="26"/>
      <c r="G20" s="4"/>
      <c r="H20" s="4"/>
      <c r="I20" s="4"/>
      <c r="J20" s="4"/>
      <c r="K20" s="4"/>
      <c r="L20" s="4"/>
      <c r="M20" s="4"/>
      <c r="N20" s="4"/>
      <c r="O20" s="4"/>
      <c r="P20" s="4"/>
      <c r="Q20" s="4"/>
      <c r="R20" s="4"/>
      <c r="S20" s="4"/>
      <c r="T20" s="4"/>
      <c r="U20" s="4"/>
      <c r="V20" s="4"/>
      <c r="W20" s="4"/>
      <c r="X20" s="4"/>
      <c r="Y20" s="4"/>
      <c r="Z20" s="4"/>
    </row>
    <row r="21" ht="15.75" customHeight="1">
      <c r="A21" s="23" t="s">
        <v>520</v>
      </c>
      <c r="B21" s="22" t="str">
        <f>'7조'!B82</f>
        <v/>
      </c>
      <c r="C21" s="23" t="str">
        <f>'7조'!C82</f>
        <v>7조 - Multi-tier - Deployability</v>
      </c>
      <c r="D21" s="22" t="str">
        <f>'7조'!D82</f>
        <v/>
      </c>
      <c r="E21" s="23" t="str">
        <f>'7조'!E82</f>
        <v>7조 - Client-Server - Deployability</v>
      </c>
      <c r="F21" s="26"/>
      <c r="G21" s="4"/>
      <c r="H21" s="4"/>
      <c r="I21" s="4"/>
      <c r="J21" s="4"/>
      <c r="K21" s="4"/>
      <c r="L21" s="4"/>
      <c r="M21" s="4"/>
      <c r="N21" s="4"/>
      <c r="O21" s="4"/>
      <c r="P21" s="4"/>
      <c r="Q21" s="4"/>
      <c r="R21" s="4"/>
      <c r="S21" s="4"/>
      <c r="T21" s="4"/>
      <c r="U21" s="4"/>
      <c r="V21" s="4"/>
      <c r="W21" s="4"/>
      <c r="X21" s="4"/>
      <c r="Y21" s="4"/>
      <c r="Z21" s="4"/>
    </row>
    <row r="22" ht="15.75" customHeight="1">
      <c r="A22" s="23" t="s">
        <v>523</v>
      </c>
      <c r="B22" s="22" t="str">
        <f>'8조'!B82</f>
        <v/>
      </c>
      <c r="C22" s="23" t="str">
        <f>'8조'!C82</f>
        <v>8조 - Multi-tier - Deployability</v>
      </c>
      <c r="D22" s="22" t="str">
        <f>'8조'!D82</f>
        <v/>
      </c>
      <c r="E22" s="23" t="str">
        <f>'8조'!E82</f>
        <v>8조 - Client-Server - Deployability</v>
      </c>
      <c r="F22" s="26"/>
      <c r="G22" s="4"/>
      <c r="H22" s="4"/>
      <c r="I22" s="4"/>
      <c r="J22" s="4"/>
      <c r="K22" s="4"/>
      <c r="L22" s="4"/>
      <c r="M22" s="4"/>
      <c r="N22" s="4"/>
      <c r="O22" s="4"/>
      <c r="P22" s="4"/>
      <c r="Q22" s="4"/>
      <c r="R22" s="4"/>
      <c r="S22" s="4"/>
      <c r="T22" s="4"/>
      <c r="U22" s="4"/>
      <c r="V22" s="4"/>
      <c r="W22" s="4"/>
      <c r="X22" s="4"/>
      <c r="Y22" s="4"/>
      <c r="Z22" s="4"/>
    </row>
    <row r="23" ht="15.75" customHeight="1">
      <c r="A23" s="23" t="s">
        <v>526</v>
      </c>
      <c r="B23" s="22" t="str">
        <f>'9조'!B82</f>
        <v/>
      </c>
      <c r="C23" s="23" t="str">
        <f>'9조'!C82</f>
        <v>9조 - Multi-tier - Deployability</v>
      </c>
      <c r="D23" s="22" t="str">
        <f>'9조'!D82</f>
        <v/>
      </c>
      <c r="E23" s="23" t="str">
        <f>'9조'!E82</f>
        <v>9조 - Client-Server - Deployability</v>
      </c>
      <c r="F23" s="26"/>
      <c r="G23" s="4"/>
      <c r="H23" s="4"/>
      <c r="I23" s="4"/>
      <c r="J23" s="4"/>
      <c r="K23" s="4"/>
      <c r="L23" s="4"/>
      <c r="M23" s="4"/>
      <c r="N23" s="4"/>
      <c r="O23" s="4"/>
      <c r="P23" s="4"/>
      <c r="Q23" s="4"/>
      <c r="R23" s="4"/>
      <c r="S23" s="4"/>
      <c r="T23" s="4"/>
      <c r="U23" s="4"/>
      <c r="V23" s="4"/>
      <c r="W23" s="4"/>
      <c r="X23" s="4"/>
      <c r="Y23" s="4"/>
      <c r="Z23" s="4"/>
    </row>
    <row r="24" ht="15.75" customHeight="1">
      <c r="A24" s="23"/>
      <c r="B24" s="23"/>
      <c r="C24" s="23"/>
      <c r="D24" s="23"/>
      <c r="E24" s="23"/>
      <c r="F24" s="24"/>
      <c r="G24" s="4"/>
      <c r="H24" s="4"/>
      <c r="I24" s="4"/>
      <c r="J24" s="4"/>
      <c r="K24" s="4"/>
      <c r="L24" s="4"/>
      <c r="M24" s="4"/>
      <c r="N24" s="4"/>
      <c r="O24" s="4"/>
      <c r="P24" s="4"/>
      <c r="Q24" s="4"/>
      <c r="R24" s="4"/>
      <c r="S24" s="4"/>
      <c r="T24" s="4"/>
      <c r="U24" s="4"/>
      <c r="V24" s="4"/>
      <c r="W24" s="4"/>
      <c r="X24" s="4"/>
      <c r="Y24" s="4"/>
      <c r="Z24" s="4"/>
    </row>
    <row r="25" ht="15.0" customHeight="1">
      <c r="A25" s="7" t="s">
        <v>80</v>
      </c>
      <c r="B25" s="7">
        <v>0.0</v>
      </c>
      <c r="C25" s="7">
        <v>0.0</v>
      </c>
      <c r="D25" s="7">
        <v>0.0</v>
      </c>
      <c r="E25" s="7">
        <v>0.0</v>
      </c>
      <c r="F25" s="24"/>
      <c r="G25" s="4"/>
      <c r="H25" s="4"/>
      <c r="I25" s="4"/>
      <c r="J25" s="4"/>
      <c r="K25" s="4"/>
      <c r="L25" s="4"/>
      <c r="M25" s="4"/>
      <c r="N25" s="4"/>
      <c r="O25" s="4"/>
      <c r="P25" s="4"/>
      <c r="Q25" s="4"/>
      <c r="R25" s="4"/>
      <c r="S25" s="4"/>
      <c r="T25" s="4"/>
      <c r="U25" s="4"/>
      <c r="V25" s="4"/>
      <c r="W25" s="4"/>
      <c r="X25" s="4"/>
      <c r="Y25" s="4"/>
      <c r="Z25" s="4"/>
    </row>
    <row r="26" ht="15.75" customHeight="1">
      <c r="A26" s="23" t="s">
        <v>502</v>
      </c>
      <c r="B26" s="22" t="str">
        <f>'1조'!B83</f>
        <v>+</v>
      </c>
      <c r="C26" s="23" t="str">
        <f>'1조'!C83</f>
        <v>[+] 미들웨어 티어를 통해 다양한 외부 시스템 통합 용이</v>
      </c>
      <c r="D26" s="22" t="str">
        <f>'1조'!D83</f>
        <v>+</v>
      </c>
      <c r="E26" s="23" t="str">
        <f>'1조'!E83</f>
        <v>공통 서버가 제공하는 요청·응답 서비스를 여러 클라이언트가 재사용할 수 있어 별도로 개발한 화면·도구를 연결하기 쉽다.</v>
      </c>
      <c r="F26" s="25" t="s">
        <v>556</v>
      </c>
      <c r="G26" s="4"/>
      <c r="H26" s="4"/>
      <c r="I26" s="4"/>
      <c r="J26" s="4"/>
      <c r="K26" s="4"/>
      <c r="L26" s="4"/>
      <c r="M26" s="4"/>
      <c r="N26" s="4"/>
      <c r="O26" s="4"/>
      <c r="P26" s="4"/>
      <c r="Q26" s="4"/>
      <c r="R26" s="4"/>
      <c r="S26" s="4"/>
      <c r="T26" s="4"/>
      <c r="U26" s="4"/>
      <c r="V26" s="4"/>
      <c r="W26" s="4"/>
      <c r="X26" s="4"/>
      <c r="Y26" s="4"/>
      <c r="Z26" s="4"/>
    </row>
    <row r="27" ht="15.75" customHeight="1">
      <c r="A27" s="23" t="s">
        <v>507</v>
      </c>
      <c r="B27" s="22" t="str">
        <f>'2조'!B83</f>
        <v>+</v>
      </c>
      <c r="C27" s="23" t="str">
        <f>'2조'!C83</f>
        <v>tier 경계가 request/reply connector 하나로 정해져 있어 붙이는 지점이 분명하다. middleware 를 통해 기존 시스템을 뒤에 둘 수도 있다</v>
      </c>
      <c r="D27" s="22" t="str">
        <f>'2조'!D83</f>
        <v>+</v>
      </c>
      <c r="E27" s="23" t="str">
        <f>'2조'!E83</f>
        <v>API, HTTP, ODBC 등 표준화된 Request/Reply 통신 프로토콜을 사용하여 다양한 형태의 클라이언트 및 외부 시스템과 용이하게 연동 가능하며, 서버 컴포넌트의 재사용성이 우수함.</v>
      </c>
      <c r="F27" s="26"/>
      <c r="G27" s="4"/>
      <c r="H27" s="4"/>
      <c r="I27" s="4"/>
      <c r="J27" s="4"/>
      <c r="K27" s="4"/>
      <c r="L27" s="4"/>
      <c r="M27" s="4"/>
      <c r="N27" s="4"/>
      <c r="O27" s="4"/>
      <c r="P27" s="4"/>
      <c r="Q27" s="4"/>
      <c r="R27" s="4"/>
      <c r="S27" s="4"/>
      <c r="T27" s="4"/>
      <c r="U27" s="4"/>
      <c r="V27" s="4"/>
      <c r="W27" s="4"/>
      <c r="X27" s="4"/>
      <c r="Y27" s="4"/>
      <c r="Z27" s="4"/>
    </row>
    <row r="28" ht="15.75" customHeight="1">
      <c r="A28" s="23" t="s">
        <v>510</v>
      </c>
      <c r="B28" s="22" t="str">
        <f>'3조'!B83</f>
        <v>+</v>
      </c>
      <c r="C28" s="23" t="str">
        <f>'3조'!C83</f>
        <v>Tier 간 인터페이스와 책임 경계가 명확하므로, 외부 시스템이나 신규 컴포넌트를 특정 Tier에 연결해 기존 구조에 통합하기 쉽다. 다만 여러 Tier 간 데이터 흐름과 호출 규약을 맞춰야 한다.</v>
      </c>
      <c r="D28" s="22" t="str">
        <f>'3조'!D83</f>
        <v>+</v>
      </c>
      <c r="E28" s="23" t="str">
        <f>'3조'!E83</f>
        <v>Client는 Server가 제공하는 명확한 인터페이스를 통해 기능을 사용하므로, 규약만 맞으면 여러 Client를 Server에 통합하기 쉽다.</v>
      </c>
      <c r="F28" s="26"/>
      <c r="G28" s="4"/>
      <c r="H28" s="4"/>
      <c r="I28" s="4"/>
      <c r="J28" s="4"/>
      <c r="K28" s="4"/>
      <c r="L28" s="4"/>
      <c r="M28" s="4"/>
      <c r="N28" s="4"/>
      <c r="O28" s="4"/>
      <c r="P28" s="4"/>
      <c r="Q28" s="4"/>
      <c r="R28" s="4"/>
      <c r="S28" s="4"/>
      <c r="T28" s="4"/>
      <c r="U28" s="4"/>
      <c r="V28" s="4"/>
      <c r="W28" s="4"/>
      <c r="X28" s="4"/>
      <c r="Y28" s="4"/>
      <c r="Z28" s="4"/>
    </row>
    <row r="29" ht="15.75" customHeight="1">
      <c r="A29" s="23" t="s">
        <v>511</v>
      </c>
      <c r="B29" s="22" t="str">
        <f>'4조'!B83</f>
        <v>+</v>
      </c>
      <c r="C29" s="23" t="str">
        <f>'4조'!C83</f>
        <v>Tier 사이의 연결 규칙이 정해져 있어 새로운 기능을 연결하기 좋다.</v>
      </c>
      <c r="D29" s="22" t="str">
        <f>'4조'!D83</f>
        <v>++</v>
      </c>
      <c r="E29" s="23" t="str">
        <f>'4조'!E83</f>
        <v>공개된 서버 API가 잘 문서화된 자연스러운 통합 지점이 되어 다양한 종류의 클라이언트가 붙을 수 있다.</v>
      </c>
      <c r="F29" s="26"/>
      <c r="G29" s="4"/>
      <c r="H29" s="4"/>
      <c r="I29" s="4"/>
      <c r="J29" s="4"/>
      <c r="K29" s="4"/>
      <c r="L29" s="4"/>
      <c r="M29" s="4"/>
      <c r="N29" s="4"/>
      <c r="O29" s="4"/>
      <c r="P29" s="4"/>
      <c r="Q29" s="4"/>
      <c r="R29" s="4"/>
      <c r="S29" s="4"/>
      <c r="T29" s="4"/>
      <c r="U29" s="4"/>
      <c r="V29" s="4"/>
      <c r="W29" s="4"/>
      <c r="X29" s="4"/>
      <c r="Y29" s="4"/>
      <c r="Z29" s="4"/>
    </row>
    <row r="30" ht="15.75" customHeight="1">
      <c r="A30" s="23" t="s">
        <v>513</v>
      </c>
      <c r="B30" s="22" t="str">
        <f>'5조'!B83</f>
        <v>+</v>
      </c>
      <c r="C30" s="23" t="str">
        <f>'5조'!C83</f>
        <v>Tier마다 서로 다른 기능 및 책임을 부여하여 외부 서비스의 확장에 용이하다.</v>
      </c>
      <c r="D30" s="22" t="str">
        <f>'5조'!D83</f>
        <v>+</v>
      </c>
      <c r="E30" s="23" t="str">
        <f>'5조'!E83</f>
        <v>서버가 API를 제공한다면 표준화된 요청-응답 구조로 클라이언트를 연결하기 쉽다.</v>
      </c>
      <c r="F30" s="26"/>
      <c r="G30" s="4"/>
      <c r="H30" s="4"/>
      <c r="I30" s="4"/>
      <c r="J30" s="4"/>
      <c r="K30" s="4"/>
      <c r="L30" s="4"/>
      <c r="M30" s="4"/>
      <c r="N30" s="4"/>
      <c r="O30" s="4"/>
      <c r="P30" s="4"/>
      <c r="Q30" s="4"/>
      <c r="R30" s="4"/>
      <c r="S30" s="4"/>
      <c r="T30" s="4"/>
      <c r="U30" s="4"/>
      <c r="V30" s="4"/>
      <c r="W30" s="4"/>
      <c r="X30" s="4"/>
      <c r="Y30" s="4"/>
      <c r="Z30" s="4"/>
    </row>
    <row r="31" ht="15.75" customHeight="1">
      <c r="A31" s="23" t="s">
        <v>516</v>
      </c>
      <c r="B31" s="22" t="str">
        <f>'6조'!B83</f>
        <v>++</v>
      </c>
      <c r="C31" s="23" t="str">
        <f>'6조'!C83</f>
        <v>Tier 사이에 명확한 인터페이스/API를 두기 때문에 외부 시스템이나 다른 컴포넌트와 통합하기 좋다.</v>
      </c>
      <c r="D31" s="22" t="str">
        <f>'6조'!D83</f>
        <v>+</v>
      </c>
      <c r="E31" s="23" t="str">
        <f>'6조'!E83</f>
        <v>표준 프로토콜로 통신하므로 새 클라이언트와 서버 추가가 비교적 쉬움</v>
      </c>
      <c r="F31" s="26"/>
      <c r="G31" s="4"/>
      <c r="H31" s="4"/>
      <c r="I31" s="4"/>
      <c r="J31" s="4"/>
      <c r="K31" s="4"/>
      <c r="L31" s="4"/>
      <c r="M31" s="4"/>
      <c r="N31" s="4"/>
      <c r="O31" s="4"/>
      <c r="P31" s="4"/>
      <c r="Q31" s="4"/>
      <c r="R31" s="4"/>
      <c r="S31" s="4"/>
      <c r="T31" s="4"/>
      <c r="U31" s="4"/>
      <c r="V31" s="4"/>
      <c r="W31" s="4"/>
      <c r="X31" s="4"/>
      <c r="Y31" s="4"/>
      <c r="Z31" s="4"/>
    </row>
    <row r="32" ht="15.75" customHeight="1">
      <c r="A32" s="23" t="s">
        <v>520</v>
      </c>
      <c r="B32" s="22" t="str">
        <f>'7조'!B83</f>
        <v/>
      </c>
      <c r="C32" s="23" t="str">
        <f>'7조'!C83</f>
        <v>7조 - Multi-tier - Integrability</v>
      </c>
      <c r="D32" s="22" t="str">
        <f>'7조'!D83</f>
        <v/>
      </c>
      <c r="E32" s="23" t="str">
        <f>'7조'!E83</f>
        <v>7조 - Client-Server - Integrability</v>
      </c>
      <c r="F32" s="26"/>
      <c r="G32" s="4"/>
      <c r="H32" s="4"/>
      <c r="I32" s="4"/>
      <c r="J32" s="4"/>
      <c r="K32" s="4"/>
      <c r="L32" s="4"/>
      <c r="M32" s="4"/>
      <c r="N32" s="4"/>
      <c r="O32" s="4"/>
      <c r="P32" s="4"/>
      <c r="Q32" s="4"/>
      <c r="R32" s="4"/>
      <c r="S32" s="4"/>
      <c r="T32" s="4"/>
      <c r="U32" s="4"/>
      <c r="V32" s="4"/>
      <c r="W32" s="4"/>
      <c r="X32" s="4"/>
      <c r="Y32" s="4"/>
      <c r="Z32" s="4"/>
    </row>
    <row r="33" ht="15.75" customHeight="1">
      <c r="A33" s="23" t="s">
        <v>523</v>
      </c>
      <c r="B33" s="22" t="str">
        <f>'8조'!B83</f>
        <v/>
      </c>
      <c r="C33" s="23" t="str">
        <f>'8조'!C83</f>
        <v>8조 - Multi-tier - Integrability</v>
      </c>
      <c r="D33" s="22" t="str">
        <f>'8조'!D83</f>
        <v/>
      </c>
      <c r="E33" s="23" t="str">
        <f>'8조'!E83</f>
        <v>8조 - Client-Server - Integrability</v>
      </c>
      <c r="F33" s="26"/>
      <c r="G33" s="4"/>
      <c r="H33" s="4"/>
      <c r="I33" s="4"/>
      <c r="J33" s="4"/>
      <c r="K33" s="4"/>
      <c r="L33" s="4"/>
      <c r="M33" s="4"/>
      <c r="N33" s="4"/>
      <c r="O33" s="4"/>
      <c r="P33" s="4"/>
      <c r="Q33" s="4"/>
      <c r="R33" s="4"/>
      <c r="S33" s="4"/>
      <c r="T33" s="4"/>
      <c r="U33" s="4"/>
      <c r="V33" s="4"/>
      <c r="W33" s="4"/>
      <c r="X33" s="4"/>
      <c r="Y33" s="4"/>
      <c r="Z33" s="4"/>
    </row>
    <row r="34" ht="15.75" customHeight="1">
      <c r="A34" s="23" t="s">
        <v>526</v>
      </c>
      <c r="B34" s="22" t="str">
        <f>'9조'!B83</f>
        <v/>
      </c>
      <c r="C34" s="23" t="str">
        <f>'9조'!C83</f>
        <v>9조 - Multi-tier - Integrability</v>
      </c>
      <c r="D34" s="22" t="str">
        <f>'9조'!D83</f>
        <v/>
      </c>
      <c r="E34" s="23" t="str">
        <f>'9조'!E83</f>
        <v>9조 - Client-Server - Integrability</v>
      </c>
      <c r="F34" s="26"/>
      <c r="G34" s="4"/>
      <c r="H34" s="4"/>
      <c r="I34" s="4"/>
      <c r="J34" s="4"/>
      <c r="K34" s="4"/>
      <c r="L34" s="4"/>
      <c r="M34" s="4"/>
      <c r="N34" s="4"/>
      <c r="O34" s="4"/>
      <c r="P34" s="4"/>
      <c r="Q34" s="4"/>
      <c r="R34" s="4"/>
      <c r="S34" s="4"/>
      <c r="T34" s="4"/>
      <c r="U34" s="4"/>
      <c r="V34" s="4"/>
      <c r="W34" s="4"/>
      <c r="X34" s="4"/>
      <c r="Y34" s="4"/>
      <c r="Z34" s="4"/>
    </row>
    <row r="35" ht="15.75" customHeight="1">
      <c r="A35" s="23"/>
      <c r="B35" s="23"/>
      <c r="C35" s="23"/>
      <c r="D35" s="23"/>
      <c r="E35" s="23"/>
      <c r="F35" s="24"/>
      <c r="G35" s="4"/>
      <c r="H35" s="4"/>
      <c r="I35" s="4"/>
      <c r="J35" s="4"/>
      <c r="K35" s="4"/>
      <c r="L35" s="4"/>
      <c r="M35" s="4"/>
      <c r="N35" s="4"/>
      <c r="O35" s="4"/>
      <c r="P35" s="4"/>
      <c r="Q35" s="4"/>
      <c r="R35" s="4"/>
      <c r="S35" s="4"/>
      <c r="T35" s="4"/>
      <c r="U35" s="4"/>
      <c r="V35" s="4"/>
      <c r="W35" s="4"/>
      <c r="X35" s="4"/>
      <c r="Y35" s="4"/>
      <c r="Z35" s="4"/>
    </row>
    <row r="36" ht="15.75" customHeight="1">
      <c r="A36" s="7" t="s">
        <v>117</v>
      </c>
      <c r="B36" s="7">
        <v>0.0</v>
      </c>
      <c r="C36" s="7">
        <v>0.0</v>
      </c>
      <c r="D36" s="7">
        <v>0.0</v>
      </c>
      <c r="E36" s="7">
        <v>0.0</v>
      </c>
      <c r="F36" s="24"/>
      <c r="G36" s="4"/>
      <c r="H36" s="4"/>
      <c r="I36" s="4"/>
      <c r="J36" s="4"/>
      <c r="K36" s="4"/>
      <c r="L36" s="4"/>
      <c r="M36" s="4"/>
      <c r="N36" s="4"/>
      <c r="O36" s="4"/>
      <c r="P36" s="4"/>
      <c r="Q36" s="4"/>
      <c r="R36" s="4"/>
      <c r="S36" s="4"/>
      <c r="T36" s="4"/>
      <c r="U36" s="4"/>
      <c r="V36" s="4"/>
      <c r="W36" s="4"/>
      <c r="X36" s="4"/>
      <c r="Y36" s="4"/>
      <c r="Z36" s="4"/>
    </row>
    <row r="37" ht="15.75" customHeight="1">
      <c r="A37" s="23" t="s">
        <v>502</v>
      </c>
      <c r="B37" s="22" t="str">
        <f>'1조'!B84</f>
        <v>-</v>
      </c>
      <c r="C37" s="23" t="str">
        <f>'1조'!C84</f>
        <v>[-] 다중 서버 간 지속적 네트워크 통신으로 전력 소모 가중</v>
      </c>
      <c r="D37" s="22" t="str">
        <f>'1조'!D84</f>
        <v>0</v>
      </c>
      <c r="E37" s="23" t="str">
        <f>'1조'!E84</f>
        <v>[+] 연산 부하를 Client와 Server로 분산 가능
[-] Server 측 상시 대기 및 소켓 유지 전력 소모 발생</v>
      </c>
      <c r="F37" s="25" t="s">
        <v>572</v>
      </c>
      <c r="G37" s="4"/>
      <c r="H37" s="4"/>
      <c r="I37" s="4"/>
      <c r="J37" s="4"/>
      <c r="K37" s="4"/>
      <c r="L37" s="4"/>
      <c r="M37" s="4"/>
      <c r="N37" s="4"/>
      <c r="O37" s="4"/>
      <c r="P37" s="4"/>
      <c r="Q37" s="4"/>
      <c r="R37" s="4"/>
      <c r="S37" s="4"/>
      <c r="T37" s="4"/>
      <c r="U37" s="4"/>
      <c r="V37" s="4"/>
      <c r="W37" s="4"/>
      <c r="X37" s="4"/>
      <c r="Y37" s="4"/>
      <c r="Z37" s="4"/>
    </row>
    <row r="38" ht="15.75" customHeight="1">
      <c r="A38" s="23" t="s">
        <v>507</v>
      </c>
      <c r="B38" s="22" t="str">
        <f>'2조'!B84</f>
        <v>-</v>
      </c>
      <c r="C38" s="23" t="str">
        <f>'2조'!C84</f>
        <v>요청 처리 시 프레젠테이션-애플리케이션-데이터 티어를 넘나드는 다중 네트워크 홉 및 직렬화/역직렬화로 인해 시스템 자원과 전력 소비 오버헤드가 증가함</v>
      </c>
      <c r="D38" s="22" t="str">
        <f>'2조'!D84</f>
        <v>+</v>
      </c>
      <c r="E38" s="23" t="str">
        <f>'2조'!E84</f>
        <v>서버 과부하 시 전력 효율 저하되긴 하지만, 다수의 클라이언트가 단일 고성능 서버에 집중 접근할 때 유휴 자원을 최소화하고 하드웨어 자원을 매우 효과적으로 활용함</v>
      </c>
      <c r="F38" s="26"/>
      <c r="G38" s="4"/>
      <c r="H38" s="4"/>
      <c r="I38" s="4"/>
      <c r="J38" s="4"/>
      <c r="K38" s="4"/>
      <c r="L38" s="4"/>
      <c r="M38" s="4"/>
      <c r="N38" s="4"/>
      <c r="O38" s="4"/>
      <c r="P38" s="4"/>
      <c r="Q38" s="4"/>
      <c r="R38" s="4"/>
      <c r="S38" s="4"/>
      <c r="T38" s="4"/>
      <c r="U38" s="4"/>
      <c r="V38" s="4"/>
      <c r="W38" s="4"/>
      <c r="X38" s="4"/>
      <c r="Y38" s="4"/>
      <c r="Z38" s="4"/>
    </row>
    <row r="39" ht="15.75" customHeight="1">
      <c r="A39" s="23" t="s">
        <v>510</v>
      </c>
      <c r="B39" s="22" t="str">
        <f>'3조'!B84</f>
        <v>-</v>
      </c>
      <c r="C39" s="23" t="str">
        <f>'3조'!C84</f>
        <v>여러 Tier를 거치며 네트워크 통신, 데이터 변환, 직렬화, 중간 처리 overhead가 발생해 자원 사용량이 늘 수 있다.</v>
      </c>
      <c r="D39" s="22" t="str">
        <f>'3조'!D84</f>
        <v>+</v>
      </c>
      <c r="E39" s="23" t="str">
        <f>'3조'!E84</f>
        <v>처리를 Server에 집중시켜 Client의 자원 사용을 줄일 수 있고, 중간 Tier가 적어 호출 경로도 비교적 단순하다. 다만 Server 부하는 커질 수 있다.</v>
      </c>
      <c r="F39" s="26"/>
      <c r="G39" s="4"/>
      <c r="H39" s="4"/>
      <c r="I39" s="4"/>
      <c r="J39" s="4"/>
      <c r="K39" s="4"/>
      <c r="L39" s="4"/>
      <c r="M39" s="4"/>
      <c r="N39" s="4"/>
      <c r="O39" s="4"/>
      <c r="P39" s="4"/>
      <c r="Q39" s="4"/>
      <c r="R39" s="4"/>
      <c r="S39" s="4"/>
      <c r="T39" s="4"/>
      <c r="U39" s="4"/>
      <c r="V39" s="4"/>
      <c r="W39" s="4"/>
      <c r="X39" s="4"/>
      <c r="Y39" s="4"/>
      <c r="Z39" s="4"/>
    </row>
    <row r="40" ht="15.75" customHeight="1">
      <c r="A40" s="23" t="s">
        <v>511</v>
      </c>
      <c r="B40" s="22" t="str">
        <f>'4조'!B84</f>
        <v>-</v>
      </c>
      <c r="C40" s="23" t="str">
        <f>'4조'!C84</f>
        <v>여러 Tier를 운영하고 서로 통신하는 데 추가 자원이 든다.</v>
      </c>
      <c r="D40" s="22" t="str">
        <f>'4조'!D84</f>
        <v>+</v>
      </c>
      <c r="E40" s="23" t="str">
        <f>'4조'!E84</f>
        <v>무거운 연산을 효율적인 공용 서버에 집중시키고 씬 클라이언트는 전력을 거의 쓰지 않는다. 다만 상시 네트워크 통신 자체가 에너지를 소모한다.</v>
      </c>
      <c r="F40" s="26"/>
      <c r="G40" s="4"/>
      <c r="H40" s="4"/>
      <c r="I40" s="4"/>
      <c r="J40" s="4"/>
      <c r="K40" s="4"/>
      <c r="L40" s="4"/>
      <c r="M40" s="4"/>
      <c r="N40" s="4"/>
      <c r="O40" s="4"/>
      <c r="P40" s="4"/>
      <c r="Q40" s="4"/>
      <c r="R40" s="4"/>
      <c r="S40" s="4"/>
      <c r="T40" s="4"/>
      <c r="U40" s="4"/>
      <c r="V40" s="4"/>
      <c r="W40" s="4"/>
      <c r="X40" s="4"/>
      <c r="Y40" s="4"/>
      <c r="Z40" s="4"/>
    </row>
    <row r="41" ht="15.75" customHeight="1">
      <c r="A41" s="23" t="s">
        <v>513</v>
      </c>
      <c r="B41" s="22" t="str">
        <f>'5조'!B84</f>
        <v>-</v>
      </c>
      <c r="C41" s="23" t="str">
        <f>'5조'!C84</f>
        <v>여러 서버 tier를 유지해야 하며, middle tier의 다중화가 적용된다면 Energy 소모량이 많아진다.</v>
      </c>
      <c r="D41" s="22" t="str">
        <f>'5조'!D84</f>
        <v>+</v>
      </c>
      <c r="E41" s="23" t="str">
        <f>'5조'!E84</f>
        <v>많은 client가 고성능 server에 접근할 때 자원을 효과적으로 사용한다.</v>
      </c>
      <c r="F41" s="26"/>
      <c r="G41" s="4"/>
      <c r="H41" s="4"/>
      <c r="I41" s="4"/>
      <c r="J41" s="4"/>
      <c r="K41" s="4"/>
      <c r="L41" s="4"/>
      <c r="M41" s="4"/>
      <c r="N41" s="4"/>
      <c r="O41" s="4"/>
      <c r="P41" s="4"/>
      <c r="Q41" s="4"/>
      <c r="R41" s="4"/>
      <c r="S41" s="4"/>
      <c r="T41" s="4"/>
      <c r="U41" s="4"/>
      <c r="V41" s="4"/>
      <c r="W41" s="4"/>
      <c r="X41" s="4"/>
      <c r="Y41" s="4"/>
      <c r="Z41" s="4"/>
    </row>
    <row r="42" ht="15.75" customHeight="1">
      <c r="A42" s="23" t="s">
        <v>516</v>
      </c>
      <c r="B42" s="22" t="str">
        <f>'6조'!B84</f>
        <v>-</v>
      </c>
      <c r="C42" s="23" t="str">
        <f>'6조'!C84</f>
        <v>물리적으로 분리된 노드 간 네트워크 통신이 빈번하게 발생하여, 단일 프로세스 기반 아키텍처에 비해 네트워크 장비 및 서버의 전력 소모량이 큼.</v>
      </c>
      <c r="D42" s="22" t="str">
        <f>'6조'!D84</f>
        <v>0</v>
      </c>
      <c r="E42" s="23" t="str">
        <f>'6조'!E84</f>
        <v>네트워크 통신 오버헤드가 발생하나, 클라이언트가 가벼우면 전체적으로 효율적임</v>
      </c>
      <c r="F42" s="26"/>
      <c r="G42" s="4"/>
      <c r="H42" s="4"/>
      <c r="I42" s="4"/>
      <c r="J42" s="4"/>
      <c r="K42" s="4"/>
      <c r="L42" s="4"/>
      <c r="M42" s="4"/>
      <c r="N42" s="4"/>
      <c r="O42" s="4"/>
      <c r="P42" s="4"/>
      <c r="Q42" s="4"/>
      <c r="R42" s="4"/>
      <c r="S42" s="4"/>
      <c r="T42" s="4"/>
      <c r="U42" s="4"/>
      <c r="V42" s="4"/>
      <c r="W42" s="4"/>
      <c r="X42" s="4"/>
      <c r="Y42" s="4"/>
      <c r="Z42" s="4"/>
    </row>
    <row r="43" ht="15.75" customHeight="1">
      <c r="A43" s="23" t="s">
        <v>520</v>
      </c>
      <c r="B43" s="22" t="str">
        <f>'7조'!B84</f>
        <v/>
      </c>
      <c r="C43" s="23" t="str">
        <f>'7조'!C84</f>
        <v>7조 - Multi-tier - Energy Efficiency</v>
      </c>
      <c r="D43" s="22" t="str">
        <f>'7조'!D84</f>
        <v/>
      </c>
      <c r="E43" s="23" t="str">
        <f>'7조'!E84</f>
        <v>7조 - Client-Server - Energy Efficiency</v>
      </c>
      <c r="F43" s="26"/>
      <c r="G43" s="4"/>
      <c r="H43" s="4"/>
      <c r="I43" s="4"/>
      <c r="J43" s="4"/>
      <c r="K43" s="4"/>
      <c r="L43" s="4"/>
      <c r="M43" s="4"/>
      <c r="N43" s="4"/>
      <c r="O43" s="4"/>
      <c r="P43" s="4"/>
      <c r="Q43" s="4"/>
      <c r="R43" s="4"/>
      <c r="S43" s="4"/>
      <c r="T43" s="4"/>
      <c r="U43" s="4"/>
      <c r="V43" s="4"/>
      <c r="W43" s="4"/>
      <c r="X43" s="4"/>
      <c r="Y43" s="4"/>
      <c r="Z43" s="4"/>
    </row>
    <row r="44" ht="15.75" customHeight="1">
      <c r="A44" s="23" t="s">
        <v>523</v>
      </c>
      <c r="B44" s="22" t="str">
        <f>'8조'!B84</f>
        <v/>
      </c>
      <c r="C44" s="23" t="str">
        <f>'8조'!C84</f>
        <v>8조 - Multi-tier - Energy Efficiency</v>
      </c>
      <c r="D44" s="22" t="str">
        <f>'8조'!D84</f>
        <v/>
      </c>
      <c r="E44" s="23" t="str">
        <f>'8조'!E84</f>
        <v>8조 - Client-Server - Energy Efficiency</v>
      </c>
      <c r="F44" s="26"/>
      <c r="G44" s="4"/>
      <c r="H44" s="4"/>
      <c r="I44" s="4"/>
      <c r="J44" s="4"/>
      <c r="K44" s="4"/>
      <c r="L44" s="4"/>
      <c r="M44" s="4"/>
      <c r="N44" s="4"/>
      <c r="O44" s="4"/>
      <c r="P44" s="4"/>
      <c r="Q44" s="4"/>
      <c r="R44" s="4"/>
      <c r="S44" s="4"/>
      <c r="T44" s="4"/>
      <c r="U44" s="4"/>
      <c r="V44" s="4"/>
      <c r="W44" s="4"/>
      <c r="X44" s="4"/>
      <c r="Y44" s="4"/>
      <c r="Z44" s="4"/>
    </row>
    <row r="45" ht="15.75" customHeight="1">
      <c r="A45" s="23" t="s">
        <v>526</v>
      </c>
      <c r="B45" s="22" t="str">
        <f>'9조'!B84</f>
        <v/>
      </c>
      <c r="C45" s="23" t="str">
        <f>'9조'!C84</f>
        <v>9조 - Multi-tier - Energy Efficiency</v>
      </c>
      <c r="D45" s="22" t="str">
        <f>'9조'!D84</f>
        <v/>
      </c>
      <c r="E45" s="23" t="str">
        <f>'9조'!E84</f>
        <v>9조 - Client-Server - Energy Efficiency</v>
      </c>
      <c r="F45" s="26"/>
      <c r="G45" s="4"/>
      <c r="H45" s="4"/>
      <c r="I45" s="4"/>
      <c r="J45" s="4"/>
      <c r="K45" s="4"/>
      <c r="L45" s="4"/>
      <c r="M45" s="4"/>
      <c r="N45" s="4"/>
      <c r="O45" s="4"/>
      <c r="P45" s="4"/>
      <c r="Q45" s="4"/>
      <c r="R45" s="4"/>
      <c r="S45" s="4"/>
      <c r="T45" s="4"/>
      <c r="U45" s="4"/>
      <c r="V45" s="4"/>
      <c r="W45" s="4"/>
      <c r="X45" s="4"/>
      <c r="Y45" s="4"/>
      <c r="Z45" s="4"/>
    </row>
    <row r="46" ht="15.75" customHeight="1">
      <c r="A46" s="23"/>
      <c r="B46" s="23"/>
      <c r="C46" s="23"/>
      <c r="D46" s="23"/>
      <c r="E46" s="23"/>
      <c r="F46" s="24"/>
      <c r="G46" s="4"/>
      <c r="H46" s="4"/>
      <c r="I46" s="4"/>
      <c r="J46" s="4"/>
      <c r="K46" s="4"/>
      <c r="L46" s="4"/>
      <c r="M46" s="4"/>
      <c r="N46" s="4"/>
      <c r="O46" s="4"/>
      <c r="P46" s="4"/>
      <c r="Q46" s="4"/>
      <c r="R46" s="4"/>
      <c r="S46" s="4"/>
      <c r="T46" s="4"/>
      <c r="U46" s="4"/>
      <c r="V46" s="4"/>
      <c r="W46" s="4"/>
      <c r="X46" s="4"/>
      <c r="Y46" s="4"/>
      <c r="Z46" s="4"/>
    </row>
    <row r="47" ht="15.75" customHeight="1">
      <c r="A47" s="7" t="s">
        <v>151</v>
      </c>
      <c r="B47" s="7">
        <v>0.0</v>
      </c>
      <c r="C47" s="7">
        <v>0.0</v>
      </c>
      <c r="D47" s="7">
        <v>0.0</v>
      </c>
      <c r="E47" s="7">
        <v>0.0</v>
      </c>
      <c r="F47" s="24"/>
      <c r="G47" s="4"/>
      <c r="H47" s="4"/>
      <c r="I47" s="4"/>
      <c r="J47" s="4"/>
      <c r="K47" s="4"/>
      <c r="L47" s="4"/>
      <c r="M47" s="4"/>
      <c r="N47" s="4"/>
      <c r="O47" s="4"/>
      <c r="P47" s="4"/>
      <c r="Q47" s="4"/>
      <c r="R47" s="4"/>
      <c r="S47" s="4"/>
      <c r="T47" s="4"/>
      <c r="U47" s="4"/>
      <c r="V47" s="4"/>
      <c r="W47" s="4"/>
      <c r="X47" s="4"/>
      <c r="Y47" s="4"/>
      <c r="Z47" s="4"/>
    </row>
    <row r="48" ht="15.75" customHeight="1">
      <c r="A48" s="23" t="s">
        <v>502</v>
      </c>
      <c r="B48" s="22" t="str">
        <f>'1조'!B85</f>
        <v>+</v>
      </c>
      <c r="C48" s="23" t="str">
        <f>'1조'!C85</f>
        <v>[+] 티어 간 역할 분리로 한 티어 수정의 타 티어 영향 최소화</v>
      </c>
      <c r="D48" s="22" t="str">
        <f>'1조'!D85</f>
        <v>0</v>
      </c>
      <c r="E48" s="23" t="str">
        <f>'1조'!E85</f>
        <v>[+] Server 측 비즈니스 로직 수정이 자유로움
[-] Client-Server 간 밀접한 결합 시 인터페이스 변경 제약</v>
      </c>
      <c r="F48" s="25" t="s">
        <v>594</v>
      </c>
      <c r="G48" s="4"/>
      <c r="H48" s="4"/>
      <c r="I48" s="4"/>
      <c r="J48" s="4"/>
      <c r="K48" s="4"/>
      <c r="L48" s="4"/>
      <c r="M48" s="4"/>
      <c r="N48" s="4"/>
      <c r="O48" s="4"/>
      <c r="P48" s="4"/>
      <c r="Q48" s="4"/>
      <c r="R48" s="4"/>
      <c r="S48" s="4"/>
      <c r="T48" s="4"/>
      <c r="U48" s="4"/>
      <c r="V48" s="4"/>
      <c r="W48" s="4"/>
      <c r="X48" s="4"/>
      <c r="Y48" s="4"/>
      <c r="Z48" s="4"/>
    </row>
    <row r="49" ht="15.75" customHeight="1">
      <c r="A49" s="23" t="s">
        <v>507</v>
      </c>
      <c r="B49" s="22" t="str">
        <f>'2조'!B85</f>
        <v>++</v>
      </c>
      <c r="C49" s="23" t="str">
        <f>'2조'!C85</f>
        <v>(+) 비즈니스 로직과 관련된 모든 변경은 중간 계층(Middle Tier)에만 국소화되므로 클라이언트나 DB 변경 없이 수정 가능하며, 관심사의 분리가 탁월하여 수정 용이성이 극히 우수함</v>
      </c>
      <c r="D49" s="22" t="str">
        <f>'2조'!D85</f>
        <v>+</v>
      </c>
      <c r="E49" s="23" t="str">
        <f>'2조'!E85</f>
        <v>사용자 인터페이스(UI) 표현과 비즈니스 로직 처리가 분리되어 있어, 서버의 비즈니스 로직을 변경해도 클라이언트 인터페이스에 미치는 영향이 적음</v>
      </c>
      <c r="F49" s="26"/>
      <c r="G49" s="4"/>
      <c r="H49" s="4"/>
      <c r="I49" s="4"/>
      <c r="J49" s="4"/>
      <c r="K49" s="4"/>
      <c r="L49" s="4"/>
      <c r="M49" s="4"/>
      <c r="N49" s="4"/>
      <c r="O49" s="4"/>
      <c r="P49" s="4"/>
      <c r="Q49" s="4"/>
      <c r="R49" s="4"/>
      <c r="S49" s="4"/>
      <c r="T49" s="4"/>
      <c r="U49" s="4"/>
      <c r="V49" s="4"/>
      <c r="W49" s="4"/>
      <c r="X49" s="4"/>
      <c r="Y49" s="4"/>
      <c r="Z49" s="4"/>
    </row>
    <row r="50" ht="15.75" customHeight="1">
      <c r="A50" s="23" t="s">
        <v>510</v>
      </c>
      <c r="B50" s="22" t="str">
        <f>'3조'!B85</f>
        <v>++</v>
      </c>
      <c r="C50" s="23" t="str">
        <f>'3조'!C85</f>
        <v>기능과 책임이 Tier별로 분리되어 특정 Tier 변경이 다른 Tier로 전파되는 범위를 줄일 수 있다.</v>
      </c>
      <c r="D50" s="22" t="str">
        <f>'3조'!D85</f>
        <v>0</v>
      </c>
      <c r="E50" s="23" t="str">
        <f>'3조'!E85</f>
        <v>Client와 Server 책임은 분리되지만, Server API 변경 시 여러 Client 수정이 필요할 수 있어 장단점이 상쇄된다.</v>
      </c>
      <c r="F50" s="26"/>
      <c r="G50" s="4"/>
      <c r="H50" s="4"/>
      <c r="I50" s="4"/>
      <c r="J50" s="4"/>
      <c r="K50" s="4"/>
      <c r="L50" s="4"/>
      <c r="M50" s="4"/>
      <c r="N50" s="4"/>
      <c r="O50" s="4"/>
      <c r="P50" s="4"/>
      <c r="Q50" s="4"/>
      <c r="R50" s="4"/>
      <c r="S50" s="4"/>
      <c r="T50" s="4"/>
      <c r="U50" s="4"/>
      <c r="V50" s="4"/>
      <c r="W50" s="4"/>
      <c r="X50" s="4"/>
      <c r="Y50" s="4"/>
      <c r="Z50" s="4"/>
    </row>
    <row r="51" ht="15.75" customHeight="1">
      <c r="A51" s="23" t="s">
        <v>511</v>
      </c>
      <c r="B51" s="22" t="str">
        <f>'4조'!B85</f>
        <v>+</v>
      </c>
      <c r="C51" s="23" t="str">
        <f>'4조'!C85</f>
        <v>화면·업무·데이터 역할을 나누어 특정 역할의 기능을 따로 수정하기 좋다.</v>
      </c>
      <c r="D51" s="22" t="str">
        <f>'4조'!D85</f>
        <v>+</v>
      </c>
      <c r="E51" s="23" t="str">
        <f>'4조'!E85</f>
        <v>화면과 서버 처리를 나누어 한쪽 기능을 비교적 독립적으로 수정하기 좋다.</v>
      </c>
      <c r="F51" s="26"/>
      <c r="G51" s="4"/>
      <c r="H51" s="4"/>
      <c r="I51" s="4"/>
      <c r="J51" s="4"/>
      <c r="K51" s="4"/>
      <c r="L51" s="4"/>
      <c r="M51" s="4"/>
      <c r="N51" s="4"/>
      <c r="O51" s="4"/>
      <c r="P51" s="4"/>
      <c r="Q51" s="4"/>
      <c r="R51" s="4"/>
      <c r="S51" s="4"/>
      <c r="T51" s="4"/>
      <c r="U51" s="4"/>
      <c r="V51" s="4"/>
      <c r="W51" s="4"/>
      <c r="X51" s="4"/>
      <c r="Y51" s="4"/>
      <c r="Z51" s="4"/>
    </row>
    <row r="52" ht="15.75" customHeight="1">
      <c r="A52" s="23" t="s">
        <v>513</v>
      </c>
      <c r="B52" s="22" t="str">
        <f>'5조'!B85</f>
        <v>+</v>
      </c>
      <c r="C52" s="23" t="str">
        <f>'5조'!C85</f>
        <v>각 Tier간 책임이 분산되어 있으므로 재사용성이 높고 수정에 용이하다.</v>
      </c>
      <c r="D52" s="22" t="str">
        <f>'5조'!D85</f>
        <v>+</v>
      </c>
      <c r="E52" s="23" t="str">
        <f>'5조'!E85</f>
        <v>UI표현과  business logic 처리 같은 책임이 분리되어 있고 서버 컴포넌트 재사용할 수 있다.</v>
      </c>
      <c r="F52" s="26"/>
      <c r="G52" s="4"/>
      <c r="H52" s="4"/>
      <c r="I52" s="4"/>
      <c r="J52" s="4"/>
      <c r="K52" s="4"/>
      <c r="L52" s="4"/>
      <c r="M52" s="4"/>
      <c r="N52" s="4"/>
      <c r="O52" s="4"/>
      <c r="P52" s="4"/>
      <c r="Q52" s="4"/>
      <c r="R52" s="4"/>
      <c r="S52" s="4"/>
      <c r="T52" s="4"/>
      <c r="U52" s="4"/>
      <c r="V52" s="4"/>
      <c r="W52" s="4"/>
      <c r="X52" s="4"/>
      <c r="Y52" s="4"/>
      <c r="Z52" s="4"/>
    </row>
    <row r="53" ht="15.75" customHeight="1">
      <c r="A53" s="23" t="s">
        <v>516</v>
      </c>
      <c r="B53" s="22" t="str">
        <f>'6조'!B85</f>
        <v>+</v>
      </c>
      <c r="C53" s="23" t="str">
        <f>'6조'!C85</f>
        <v>관심사를 Tier별로 분리하기 때문에 한 영역의 변경이 다른 영역에 미치는 영향을 줄일 수 있다. 다만 Tier 간 인터페이스/API 변경은 연쇄적인 수정이 필요할 수 있다.</v>
      </c>
      <c r="D53" s="22" t="str">
        <f>'6조'!D85</f>
        <v>+</v>
      </c>
      <c r="E53" s="23" t="str">
        <f>'6조'!E85</f>
        <v>클라이언트와 서버 경계가 명확해 서버 로직 변경이 클라이언트에 영향 적음</v>
      </c>
      <c r="F53" s="26"/>
      <c r="G53" s="4"/>
      <c r="H53" s="4"/>
      <c r="I53" s="4"/>
      <c r="J53" s="4"/>
      <c r="K53" s="4"/>
      <c r="L53" s="4"/>
      <c r="M53" s="4"/>
      <c r="N53" s="4"/>
      <c r="O53" s="4"/>
      <c r="P53" s="4"/>
      <c r="Q53" s="4"/>
      <c r="R53" s="4"/>
      <c r="S53" s="4"/>
      <c r="T53" s="4"/>
      <c r="U53" s="4"/>
      <c r="V53" s="4"/>
      <c r="W53" s="4"/>
      <c r="X53" s="4"/>
      <c r="Y53" s="4"/>
      <c r="Z53" s="4"/>
    </row>
    <row r="54" ht="15.75" customHeight="1">
      <c r="A54" s="23" t="s">
        <v>520</v>
      </c>
      <c r="B54" s="22" t="str">
        <f>'7조'!B85</f>
        <v/>
      </c>
      <c r="C54" s="23" t="str">
        <f>'7조'!C85</f>
        <v>7조 - Multi-tier - Modifiability</v>
      </c>
      <c r="D54" s="22" t="str">
        <f>'7조'!D85</f>
        <v/>
      </c>
      <c r="E54" s="23" t="str">
        <f>'7조'!E85</f>
        <v>7조 - Client-Server - Modifiability</v>
      </c>
      <c r="F54" s="26"/>
      <c r="G54" s="4"/>
      <c r="H54" s="4"/>
      <c r="I54" s="4"/>
      <c r="J54" s="4"/>
      <c r="K54" s="4"/>
      <c r="L54" s="4"/>
      <c r="M54" s="4"/>
      <c r="N54" s="4"/>
      <c r="O54" s="4"/>
      <c r="P54" s="4"/>
      <c r="Q54" s="4"/>
      <c r="R54" s="4"/>
      <c r="S54" s="4"/>
      <c r="T54" s="4"/>
      <c r="U54" s="4"/>
      <c r="V54" s="4"/>
      <c r="W54" s="4"/>
      <c r="X54" s="4"/>
      <c r="Y54" s="4"/>
      <c r="Z54" s="4"/>
    </row>
    <row r="55" ht="15.75" customHeight="1">
      <c r="A55" s="23" t="s">
        <v>523</v>
      </c>
      <c r="B55" s="22" t="str">
        <f>'8조'!B85</f>
        <v/>
      </c>
      <c r="C55" s="23" t="str">
        <f>'8조'!C85</f>
        <v>8조 - Multi-tier - Modifiability</v>
      </c>
      <c r="D55" s="22" t="str">
        <f>'8조'!D85</f>
        <v/>
      </c>
      <c r="E55" s="23" t="str">
        <f>'8조'!E85</f>
        <v>8조 - Client-Server - Modifiability</v>
      </c>
      <c r="F55" s="26"/>
      <c r="G55" s="4"/>
      <c r="H55" s="4"/>
      <c r="I55" s="4"/>
      <c r="J55" s="4"/>
      <c r="K55" s="4"/>
      <c r="L55" s="4"/>
      <c r="M55" s="4"/>
      <c r="N55" s="4"/>
      <c r="O55" s="4"/>
      <c r="P55" s="4"/>
      <c r="Q55" s="4"/>
      <c r="R55" s="4"/>
      <c r="S55" s="4"/>
      <c r="T55" s="4"/>
      <c r="U55" s="4"/>
      <c r="V55" s="4"/>
      <c r="W55" s="4"/>
      <c r="X55" s="4"/>
      <c r="Y55" s="4"/>
      <c r="Z55" s="4"/>
    </row>
    <row r="56" ht="15.75" customHeight="1">
      <c r="A56" s="23" t="s">
        <v>526</v>
      </c>
      <c r="B56" s="22" t="str">
        <f>'9조'!B85</f>
        <v/>
      </c>
      <c r="C56" s="23" t="str">
        <f>'9조'!C85</f>
        <v>9조 - Multi-tier - Modifiability</v>
      </c>
      <c r="D56" s="22" t="str">
        <f>'9조'!D85</f>
        <v/>
      </c>
      <c r="E56" s="23" t="str">
        <f>'9조'!E85</f>
        <v>9조 - Client-Server - Modifiability</v>
      </c>
      <c r="F56" s="26"/>
      <c r="G56" s="4"/>
      <c r="H56" s="4"/>
      <c r="I56" s="4"/>
      <c r="J56" s="4"/>
      <c r="K56" s="4"/>
      <c r="L56" s="4"/>
      <c r="M56" s="4"/>
      <c r="N56" s="4"/>
      <c r="O56" s="4"/>
      <c r="P56" s="4"/>
      <c r="Q56" s="4"/>
      <c r="R56" s="4"/>
      <c r="S56" s="4"/>
      <c r="T56" s="4"/>
      <c r="U56" s="4"/>
      <c r="V56" s="4"/>
      <c r="W56" s="4"/>
      <c r="X56" s="4"/>
      <c r="Y56" s="4"/>
      <c r="Z56" s="4"/>
    </row>
    <row r="57" ht="15.75" customHeight="1">
      <c r="A57" s="23"/>
      <c r="B57" s="23"/>
      <c r="C57" s="23"/>
      <c r="D57" s="23"/>
      <c r="E57" s="23"/>
      <c r="F57" s="24"/>
      <c r="G57" s="4"/>
      <c r="H57" s="4"/>
      <c r="I57" s="4"/>
      <c r="J57" s="4"/>
      <c r="K57" s="4"/>
      <c r="L57" s="4"/>
      <c r="M57" s="4"/>
      <c r="N57" s="4"/>
      <c r="O57" s="4"/>
      <c r="P57" s="4"/>
      <c r="Q57" s="4"/>
      <c r="R57" s="4"/>
      <c r="S57" s="4"/>
      <c r="T57" s="4"/>
      <c r="U57" s="4"/>
      <c r="V57" s="4"/>
      <c r="W57" s="4"/>
      <c r="X57" s="4"/>
      <c r="Y57" s="4"/>
      <c r="Z57" s="4"/>
    </row>
    <row r="58" ht="15.75" customHeight="1">
      <c r="A58" s="7" t="s">
        <v>186</v>
      </c>
      <c r="B58" s="7">
        <v>0.0</v>
      </c>
      <c r="C58" s="7">
        <v>0.0</v>
      </c>
      <c r="D58" s="7">
        <v>0.0</v>
      </c>
      <c r="E58" s="7">
        <v>0.0</v>
      </c>
      <c r="F58" s="24"/>
      <c r="G58" s="4"/>
      <c r="H58" s="4"/>
      <c r="I58" s="4"/>
      <c r="J58" s="4"/>
      <c r="K58" s="4"/>
      <c r="L58" s="4"/>
      <c r="M58" s="4"/>
      <c r="N58" s="4"/>
      <c r="O58" s="4"/>
      <c r="P58" s="4"/>
      <c r="Q58" s="4"/>
      <c r="R58" s="4"/>
      <c r="S58" s="4"/>
      <c r="T58" s="4"/>
      <c r="U58" s="4"/>
      <c r="V58" s="4"/>
      <c r="W58" s="4"/>
      <c r="X58" s="4"/>
      <c r="Y58" s="4"/>
      <c r="Z58" s="4"/>
    </row>
    <row r="59" ht="15.75" customHeight="1">
      <c r="A59" s="23" t="s">
        <v>502</v>
      </c>
      <c r="B59" s="22" t="str">
        <f>'1조'!B86</f>
        <v>-</v>
      </c>
      <c r="C59" s="23" t="str">
        <f>'1조'!C86</f>
        <v>[+] 티어별 수평 확장(Scale-out)으로 대규모 처리량 확보
[-] 네트워크 Hop 증가 및 직렬화 오버헤드로 Latency 증가</v>
      </c>
      <c r="D59" s="22" t="str">
        <f>'1조'!D86</f>
        <v>0</v>
      </c>
      <c r="E59" s="23" t="str">
        <f>'1조'!E86</f>
        <v>[+] 단 1단계 네트워크 Hop으로 응답 속도 매우 빠름
[-] Server 측 부하 집중 시 전체 시스템 성능 급격히 저하</v>
      </c>
      <c r="F59" s="25" t="s">
        <v>610</v>
      </c>
      <c r="G59" s="4"/>
      <c r="H59" s="4"/>
      <c r="I59" s="4"/>
      <c r="J59" s="4"/>
      <c r="K59" s="4"/>
      <c r="L59" s="4"/>
      <c r="M59" s="4"/>
      <c r="N59" s="4"/>
      <c r="O59" s="4"/>
      <c r="P59" s="4"/>
      <c r="Q59" s="4"/>
      <c r="R59" s="4"/>
      <c r="S59" s="4"/>
      <c r="T59" s="4"/>
      <c r="U59" s="4"/>
      <c r="V59" s="4"/>
      <c r="W59" s="4"/>
      <c r="X59" s="4"/>
      <c r="Y59" s="4"/>
      <c r="Z59" s="4"/>
    </row>
    <row r="60" ht="15.75" customHeight="1">
      <c r="A60" s="23" t="s">
        <v>507</v>
      </c>
      <c r="B60" s="22" t="str">
        <f>'2조'!B86</f>
        <v>0</v>
      </c>
      <c r="C60" s="23" t="str">
        <f>'2조'!C86</f>
        <v>(+) 중간 티어에서 멀티스레딩 지원 및 로드 밸런싱을 통해 동시성과 확장성을 높여 대규모 처리량(Throughput)을 확보할 수 있음
(-) 반면 티어 간 네트워크 통신 지연(Latency)과 직렬화 오버헤드가 누적됨</v>
      </c>
      <c r="D60" s="22" t="str">
        <f>'2조'!D86</f>
        <v>0</v>
      </c>
      <c r="E60" s="23" t="str">
        <f>'2조'!E86</f>
        <v>고성능 서버 활용 및 동시성 처리를 통해 높은 처리량 달성 가능하지만, 클라이언트 요청이 집중될 경우 단일 서버가 성능 병목(Bottleneck)이 되어 전체 응답 지연이 급증할 수 있음</v>
      </c>
      <c r="F60" s="26"/>
      <c r="G60" s="4"/>
      <c r="H60" s="4"/>
      <c r="I60" s="4"/>
      <c r="J60" s="4"/>
      <c r="K60" s="4"/>
      <c r="L60" s="4"/>
      <c r="M60" s="4"/>
      <c r="N60" s="4"/>
      <c r="O60" s="4"/>
      <c r="P60" s="4"/>
      <c r="Q60" s="4"/>
      <c r="R60" s="4"/>
      <c r="S60" s="4"/>
      <c r="T60" s="4"/>
      <c r="U60" s="4"/>
      <c r="V60" s="4"/>
      <c r="W60" s="4"/>
      <c r="X60" s="4"/>
      <c r="Y60" s="4"/>
      <c r="Z60" s="4"/>
    </row>
    <row r="61" ht="15.75" customHeight="1">
      <c r="A61" s="23" t="s">
        <v>510</v>
      </c>
      <c r="B61" s="22" t="str">
        <f>'3조'!B86</f>
        <v>0</v>
      </c>
      <c r="C61" s="23" t="str">
        <f>'3조'!C86</f>
        <v>Tier별 병렬 처리와 확장은 가능하지만, 여러 Tier를 거치는 latency와 overhead가 있어 장단점이 상쇄된다.</v>
      </c>
      <c r="D61" s="22" t="str">
        <f>'3조'!D86</f>
        <v>-</v>
      </c>
      <c r="E61" s="23" t="str">
        <f>'3조'!E86</f>
        <v>여러 Client 요청이 Server에 집중되어 Server 병목과 네트워크 지연이 발생할 수 있다.</v>
      </c>
      <c r="F61" s="26"/>
      <c r="G61" s="4"/>
      <c r="H61" s="4"/>
      <c r="I61" s="4"/>
      <c r="J61" s="4"/>
      <c r="K61" s="4"/>
      <c r="L61" s="4"/>
      <c r="M61" s="4"/>
      <c r="N61" s="4"/>
      <c r="O61" s="4"/>
      <c r="P61" s="4"/>
      <c r="Q61" s="4"/>
      <c r="R61" s="4"/>
      <c r="S61" s="4"/>
      <c r="T61" s="4"/>
      <c r="U61" s="4"/>
      <c r="V61" s="4"/>
      <c r="W61" s="4"/>
      <c r="X61" s="4"/>
      <c r="Y61" s="4"/>
      <c r="Z61" s="4"/>
    </row>
    <row r="62" ht="15.75" customHeight="1">
      <c r="A62" s="23" t="s">
        <v>511</v>
      </c>
      <c r="B62" s="22" t="str">
        <f>'4조'!B86</f>
        <v>0</v>
      </c>
      <c r="C62" s="23" t="str">
        <f>'4조'!C86</f>
        <v>Tier별 동시 처리로 처리량을 높일 수 있지만 통신 지연과 데이터 병목이 생길 수 있다.</v>
      </c>
      <c r="D62" s="22" t="str">
        <f>'4조'!D86</f>
        <v>0</v>
      </c>
      <c r="E62" s="23" t="str">
        <f>'4조'!E86</f>
        <v>여러 요청을 동시에 처리할 수 있지만 통신 지연과 Server 병목이 생길 수 있다.</v>
      </c>
      <c r="F62" s="26"/>
      <c r="G62" s="4"/>
      <c r="H62" s="4"/>
      <c r="I62" s="4"/>
      <c r="J62" s="4"/>
      <c r="K62" s="4"/>
      <c r="L62" s="4"/>
      <c r="M62" s="4"/>
      <c r="N62" s="4"/>
      <c r="O62" s="4"/>
      <c r="P62" s="4"/>
      <c r="Q62" s="4"/>
      <c r="R62" s="4"/>
      <c r="S62" s="4"/>
      <c r="T62" s="4"/>
      <c r="U62" s="4"/>
      <c r="V62" s="4"/>
      <c r="W62" s="4"/>
      <c r="X62" s="4"/>
      <c r="Y62" s="4"/>
      <c r="Z62" s="4"/>
    </row>
    <row r="63" ht="15.75" customHeight="1">
      <c r="A63" s="23" t="s">
        <v>513</v>
      </c>
      <c r="B63" s="22" t="str">
        <f>'5조'!B86</f>
        <v>0</v>
      </c>
      <c r="C63" s="23" t="str">
        <f>'5조'!C86</f>
        <v>Multithread, 다중화를 시키는 것으로 Performance의 확장이 가능하나, tier간 통신에 의한 O/H, tier가 너무 많아지면 추가로 O/H가 증가할 위험성이 있다.</v>
      </c>
      <c r="D63" s="22" t="str">
        <f>'5조'!D86</f>
        <v>0</v>
      </c>
      <c r="E63" s="23" t="str">
        <f>'5조'!E86</f>
        <v>동시성과 확정성의 가능성이 있으나 서버가 bottleneck이 될 수 있다.</v>
      </c>
      <c r="F63" s="26"/>
      <c r="G63" s="4"/>
      <c r="H63" s="4"/>
      <c r="I63" s="4"/>
      <c r="J63" s="4"/>
      <c r="K63" s="4"/>
      <c r="L63" s="4"/>
      <c r="M63" s="4"/>
      <c r="N63" s="4"/>
      <c r="O63" s="4"/>
      <c r="P63" s="4"/>
      <c r="Q63" s="4"/>
      <c r="R63" s="4"/>
      <c r="S63" s="4"/>
      <c r="T63" s="4"/>
      <c r="U63" s="4"/>
      <c r="V63" s="4"/>
      <c r="W63" s="4"/>
      <c r="X63" s="4"/>
      <c r="Y63" s="4"/>
      <c r="Z63" s="4"/>
    </row>
    <row r="64" ht="15.75" customHeight="1">
      <c r="A64" s="23" t="s">
        <v>516</v>
      </c>
      <c r="B64" s="22" t="str">
        <f>'6조'!B86</f>
        <v>-</v>
      </c>
      <c r="C64" s="23" t="str">
        <f>'6조'!C86</f>
        <v>Tier 간 네트워크 호출이 증가하고 데이터 serialization/deserialization 등의 비용이 발생하므로 단일 프로세스 구조보다 latency가 증가할 수 있다</v>
      </c>
      <c r="D64" s="22" t="str">
        <f>'6조'!D86</f>
        <v>0</v>
      </c>
      <c r="E64" s="23" t="str">
        <f>'6조'!E86</f>
        <v>서버의 중앙 처리 효율은 높지만 네트워크 지연 발생함</v>
      </c>
      <c r="F64" s="26"/>
      <c r="G64" s="4"/>
      <c r="H64" s="4"/>
      <c r="I64" s="4"/>
      <c r="J64" s="4"/>
      <c r="K64" s="4"/>
      <c r="L64" s="4"/>
      <c r="M64" s="4"/>
      <c r="N64" s="4"/>
      <c r="O64" s="4"/>
      <c r="P64" s="4"/>
      <c r="Q64" s="4"/>
      <c r="R64" s="4"/>
      <c r="S64" s="4"/>
      <c r="T64" s="4"/>
      <c r="U64" s="4"/>
      <c r="V64" s="4"/>
      <c r="W64" s="4"/>
      <c r="X64" s="4"/>
      <c r="Y64" s="4"/>
      <c r="Z64" s="4"/>
    </row>
    <row r="65" ht="15.75" customHeight="1">
      <c r="A65" s="23" t="s">
        <v>520</v>
      </c>
      <c r="B65" s="22" t="str">
        <f>'7조'!B86</f>
        <v/>
      </c>
      <c r="C65" s="23" t="str">
        <f>'7조'!C86</f>
        <v>7조 - Multi-tier - Performance</v>
      </c>
      <c r="D65" s="22" t="str">
        <f>'7조'!D86</f>
        <v/>
      </c>
      <c r="E65" s="23" t="str">
        <f>'7조'!E86</f>
        <v>7조 - Client-Server - Performance</v>
      </c>
      <c r="F65" s="26"/>
      <c r="G65" s="4"/>
      <c r="H65" s="4"/>
      <c r="I65" s="4"/>
      <c r="J65" s="4"/>
      <c r="K65" s="4"/>
      <c r="L65" s="4"/>
      <c r="M65" s="4"/>
      <c r="N65" s="4"/>
      <c r="O65" s="4"/>
      <c r="P65" s="4"/>
      <c r="Q65" s="4"/>
      <c r="R65" s="4"/>
      <c r="S65" s="4"/>
      <c r="T65" s="4"/>
      <c r="U65" s="4"/>
      <c r="V65" s="4"/>
      <c r="W65" s="4"/>
      <c r="X65" s="4"/>
      <c r="Y65" s="4"/>
      <c r="Z65" s="4"/>
    </row>
    <row r="66" ht="15.75" customHeight="1">
      <c r="A66" s="23" t="s">
        <v>523</v>
      </c>
      <c r="B66" s="22" t="str">
        <f>'8조'!B86</f>
        <v/>
      </c>
      <c r="C66" s="23" t="str">
        <f>'8조'!C86</f>
        <v>8조 - Multi-tier - Performance</v>
      </c>
      <c r="D66" s="22" t="str">
        <f>'8조'!D86</f>
        <v/>
      </c>
      <c r="E66" s="23" t="str">
        <f>'8조'!E86</f>
        <v>8조 - Client-Server - Performance</v>
      </c>
      <c r="F66" s="26"/>
      <c r="G66" s="4"/>
      <c r="H66" s="4"/>
      <c r="I66" s="4"/>
      <c r="J66" s="4"/>
      <c r="K66" s="4"/>
      <c r="L66" s="4"/>
      <c r="M66" s="4"/>
      <c r="N66" s="4"/>
      <c r="O66" s="4"/>
      <c r="P66" s="4"/>
      <c r="Q66" s="4"/>
      <c r="R66" s="4"/>
      <c r="S66" s="4"/>
      <c r="T66" s="4"/>
      <c r="U66" s="4"/>
      <c r="V66" s="4"/>
      <c r="W66" s="4"/>
      <c r="X66" s="4"/>
      <c r="Y66" s="4"/>
      <c r="Z66" s="4"/>
    </row>
    <row r="67" ht="15.75" customHeight="1">
      <c r="A67" s="23" t="s">
        <v>526</v>
      </c>
      <c r="B67" s="22" t="str">
        <f>'9조'!B86</f>
        <v/>
      </c>
      <c r="C67" s="23" t="str">
        <f>'9조'!C86</f>
        <v>9조 - Multi-tier - Performance</v>
      </c>
      <c r="D67" s="22" t="str">
        <f>'9조'!D86</f>
        <v/>
      </c>
      <c r="E67" s="23" t="str">
        <f>'9조'!E86</f>
        <v>9조 - Client-Server - Performance</v>
      </c>
      <c r="F67" s="26"/>
      <c r="G67" s="4"/>
      <c r="H67" s="4"/>
      <c r="I67" s="4"/>
      <c r="J67" s="4"/>
      <c r="K67" s="4"/>
      <c r="L67" s="4"/>
      <c r="M67" s="4"/>
      <c r="N67" s="4"/>
      <c r="O67" s="4"/>
      <c r="P67" s="4"/>
      <c r="Q67" s="4"/>
      <c r="R67" s="4"/>
      <c r="S67" s="4"/>
      <c r="T67" s="4"/>
      <c r="U67" s="4"/>
      <c r="V67" s="4"/>
      <c r="W67" s="4"/>
      <c r="X67" s="4"/>
      <c r="Y67" s="4"/>
      <c r="Z67" s="4"/>
    </row>
    <row r="68" ht="15.75" customHeight="1">
      <c r="A68" s="23"/>
      <c r="B68" s="23"/>
      <c r="C68" s="23"/>
      <c r="D68" s="23"/>
      <c r="E68" s="23"/>
      <c r="F68" s="24"/>
      <c r="G68" s="4"/>
      <c r="H68" s="4"/>
      <c r="I68" s="4"/>
      <c r="J68" s="4"/>
      <c r="K68" s="4"/>
      <c r="L68" s="4"/>
      <c r="M68" s="4"/>
      <c r="N68" s="4"/>
      <c r="O68" s="4"/>
      <c r="P68" s="4"/>
      <c r="Q68" s="4"/>
      <c r="R68" s="4"/>
      <c r="S68" s="4"/>
      <c r="T68" s="4"/>
      <c r="U68" s="4"/>
      <c r="V68" s="4"/>
      <c r="W68" s="4"/>
      <c r="X68" s="4"/>
      <c r="Y68" s="4"/>
      <c r="Z68" s="4"/>
    </row>
    <row r="69" ht="15.75" customHeight="1">
      <c r="A69" s="7" t="s">
        <v>221</v>
      </c>
      <c r="B69" s="7">
        <v>0.0</v>
      </c>
      <c r="C69" s="7">
        <v>0.0</v>
      </c>
      <c r="D69" s="7">
        <v>0.0</v>
      </c>
      <c r="E69" s="7">
        <v>0.0</v>
      </c>
      <c r="F69" s="24"/>
      <c r="G69" s="4"/>
      <c r="H69" s="4"/>
      <c r="I69" s="4"/>
      <c r="J69" s="4"/>
      <c r="K69" s="4"/>
      <c r="L69" s="4"/>
      <c r="M69" s="4"/>
      <c r="N69" s="4"/>
      <c r="O69" s="4"/>
      <c r="P69" s="4"/>
      <c r="Q69" s="4"/>
      <c r="R69" s="4"/>
      <c r="S69" s="4"/>
      <c r="T69" s="4"/>
      <c r="U69" s="4"/>
      <c r="V69" s="4"/>
      <c r="W69" s="4"/>
      <c r="X69" s="4"/>
      <c r="Y69" s="4"/>
      <c r="Z69" s="4"/>
    </row>
    <row r="70" ht="15.75" customHeight="1">
      <c r="A70" s="23" t="s">
        <v>502</v>
      </c>
      <c r="B70" s="22" t="str">
        <f>'1조'!B87</f>
        <v>0</v>
      </c>
      <c r="C70" s="23" t="str">
        <f>'1조'!C87</f>
        <v>[+] 비즈니스 티어에서 잘못된 데이터 2차 검증 및 차단
[-] 분산 통신 지연으로 실시간 안전 제어에 부적합</v>
      </c>
      <c r="D70" s="22" t="str">
        <f>'1조'!D87</f>
        <v>0</v>
      </c>
      <c r="E70" s="23" t="str">
        <f>'1조'!E87</f>
        <v>[+] 중앙 서버 중심의 일관된 안전 상태 제어 가능
[-] 서버 연결 단절 시 안전 제어 신호 상실 위험</v>
      </c>
      <c r="F70" s="25" t="s">
        <v>626</v>
      </c>
      <c r="G70" s="4"/>
      <c r="H70" s="4"/>
      <c r="I70" s="4"/>
      <c r="J70" s="4"/>
      <c r="K70" s="4"/>
      <c r="L70" s="4"/>
      <c r="M70" s="4"/>
      <c r="N70" s="4"/>
      <c r="O70" s="4"/>
      <c r="P70" s="4"/>
      <c r="Q70" s="4"/>
      <c r="R70" s="4"/>
      <c r="S70" s="4"/>
      <c r="T70" s="4"/>
      <c r="U70" s="4"/>
      <c r="V70" s="4"/>
      <c r="W70" s="4"/>
      <c r="X70" s="4"/>
      <c r="Y70" s="4"/>
      <c r="Z70" s="4"/>
    </row>
    <row r="71" ht="15.75" customHeight="1">
      <c r="A71" s="23" t="s">
        <v>507</v>
      </c>
      <c r="B71" s="22" t="str">
        <f>'2조'!B87</f>
        <v>0</v>
      </c>
      <c r="C71" s="23" t="str">
        <f>'2조'!C87</f>
        <v>(+) 티어 간 경계에서 데이터 유효성 검사 및 격리가 가능함. / (-) 위험 상태를 제어하는 아키텍처는 아니며, 다중 서버 간 네트워크 단절 및 분산 트랜잭션 실패로 인한 불일치 위험이 상존함.</v>
      </c>
      <c r="D71" s="22" t="str">
        <f>'2조'!D87</f>
        <v>0</v>
      </c>
      <c r="E71" s="23" t="str">
        <f>'2조'!E87</f>
        <v>(+) 핵심 데이터 처리를 중앙 서버에 집중시켜 데이터 상태 일관성 제어가 용이함. 
(-) 안전 필수 제어 구조를 규정하지 않으며, 서버 다운 시 제어 루프가 즉각 중단될 수 있음.</v>
      </c>
      <c r="F71" s="26"/>
      <c r="G71" s="4"/>
      <c r="H71" s="4"/>
      <c r="I71" s="4"/>
      <c r="J71" s="4"/>
      <c r="K71" s="4"/>
      <c r="L71" s="4"/>
      <c r="M71" s="4"/>
      <c r="N71" s="4"/>
      <c r="O71" s="4"/>
      <c r="P71" s="4"/>
      <c r="Q71" s="4"/>
      <c r="R71" s="4"/>
      <c r="S71" s="4"/>
      <c r="T71" s="4"/>
      <c r="U71" s="4"/>
      <c r="V71" s="4"/>
      <c r="W71" s="4"/>
      <c r="X71" s="4"/>
      <c r="Y71" s="4"/>
      <c r="Z71" s="4"/>
    </row>
    <row r="72" ht="15.75" customHeight="1">
      <c r="A72" s="23" t="s">
        <v>510</v>
      </c>
      <c r="B72" s="22" t="str">
        <f>'3조'!B87</f>
        <v>0</v>
      </c>
      <c r="C72" s="23" t="str">
        <f>'3조'!C87</f>
        <v>Tier 분리를 통해 오류 영향 범위를 일부 제한할 수 있지만, 위험 상태를 감지하거나 안전 상태로 전환하는 Safety mechanism을 구조적으로 제공하지는 않는다.</v>
      </c>
      <c r="D72" s="22" t="str">
        <f>'3조'!D87</f>
        <v>0</v>
      </c>
      <c r="E72" s="23" t="str">
        <f>'3조'!E87</f>
        <v>중앙 Server 중심의 요청·응답 구조는 상태 관리를 단순화할 수 있지만, 위험 상태 감지·회피·복구 같은 Safety mechanism을 직접 제공하지는 않는다.</v>
      </c>
      <c r="F72" s="26"/>
      <c r="G72" s="4"/>
      <c r="H72" s="4"/>
      <c r="I72" s="4"/>
      <c r="J72" s="4"/>
      <c r="K72" s="4"/>
      <c r="L72" s="4"/>
      <c r="M72" s="4"/>
      <c r="N72" s="4"/>
      <c r="O72" s="4"/>
      <c r="P72" s="4"/>
      <c r="Q72" s="4"/>
      <c r="R72" s="4"/>
      <c r="S72" s="4"/>
      <c r="T72" s="4"/>
      <c r="U72" s="4"/>
      <c r="V72" s="4"/>
      <c r="W72" s="4"/>
      <c r="X72" s="4"/>
      <c r="Y72" s="4"/>
      <c r="Z72" s="4"/>
    </row>
    <row r="73" ht="15.75" customHeight="1">
      <c r="A73" s="23" t="s">
        <v>511</v>
      </c>
      <c r="B73" s="22" t="str">
        <f>'4조'!B87</f>
        <v>+</v>
      </c>
      <c r="C73" s="23" t="str">
        <f>'4조'!C87</f>
        <v>티어 격리가 결함 전파를 제한해 한 티어의 장애가 다른 티어를 직접 손상시키지 않는다.</v>
      </c>
      <c r="D73" s="22" t="str">
        <f>'4조'!D87</f>
        <v>0</v>
      </c>
      <c r="E73" s="23" t="str">
        <f>'4조'!E87</f>
        <v>역할별 검증은 쉽지만 잘못된 서버 데이터가 여러 Client에 영향을 줄 수 있다.</v>
      </c>
      <c r="F73" s="26"/>
      <c r="G73" s="4"/>
      <c r="H73" s="4"/>
      <c r="I73" s="4"/>
      <c r="J73" s="4"/>
      <c r="K73" s="4"/>
      <c r="L73" s="4"/>
      <c r="M73" s="4"/>
      <c r="N73" s="4"/>
      <c r="O73" s="4"/>
      <c r="P73" s="4"/>
      <c r="Q73" s="4"/>
      <c r="R73" s="4"/>
      <c r="S73" s="4"/>
      <c r="T73" s="4"/>
      <c r="U73" s="4"/>
      <c r="V73" s="4"/>
      <c r="W73" s="4"/>
      <c r="X73" s="4"/>
      <c r="Y73" s="4"/>
      <c r="Z73" s="4"/>
    </row>
    <row r="74" ht="15.75" customHeight="1">
      <c r="A74" s="23" t="s">
        <v>513</v>
      </c>
      <c r="B74" s="22" t="str">
        <f>'5조'!B87</f>
        <v>0</v>
      </c>
      <c r="C74" s="23" t="str">
        <f>'5조'!C87</f>
        <v>Tier 분리를 통해 오류를 검증·격리할 수 있어 Safety에 긍정적이지만, Tier가 많아지거나 계층 간 장애 전파 가능성이 존재할 경우 상쇄된다.</v>
      </c>
      <c r="D74" s="22" t="str">
        <f>'5조'!D87</f>
        <v>+</v>
      </c>
      <c r="E74" s="23" t="str">
        <f>'5조'!E87</f>
        <v>서버와 클라이언트가 분리되어 있어 장애의 직접적인 전파 및 영향 범위를 제한할 수 있다.</v>
      </c>
      <c r="F74" s="26"/>
      <c r="G74" s="4"/>
      <c r="H74" s="4"/>
      <c r="I74" s="4"/>
      <c r="J74" s="4"/>
      <c r="K74" s="4"/>
      <c r="L74" s="4"/>
      <c r="M74" s="4"/>
      <c r="N74" s="4"/>
      <c r="O74" s="4"/>
      <c r="P74" s="4"/>
      <c r="Q74" s="4"/>
      <c r="R74" s="4"/>
      <c r="S74" s="4"/>
      <c r="T74" s="4"/>
      <c r="U74" s="4"/>
      <c r="V74" s="4"/>
      <c r="W74" s="4"/>
      <c r="X74" s="4"/>
      <c r="Y74" s="4"/>
      <c r="Z74" s="4"/>
    </row>
    <row r="75" ht="15.75" customHeight="1">
      <c r="A75" s="23" t="s">
        <v>516</v>
      </c>
      <c r="B75" s="22" t="str">
        <f>'6조'!B87</f>
        <v>+</v>
      </c>
      <c r="C75" s="23" t="str">
        <f>'6조'!C87</f>
        <v>데이터 계층과 비즈니스 로직이 분리되어 있어 특정 계층의 장애나 오류가 전체 시스템의 치명적인 붕괴로 이어지는 것을 막는 격리(Fault Isolation) 능력이 우수함.</v>
      </c>
      <c r="D75" s="22" t="str">
        <f>'6조'!D87</f>
        <v>0</v>
      </c>
      <c r="E75" s="23" t="str">
        <f>'6조'!E87</f>
        <v>서버 측에서 중앙 집중적으로 검증과 통제 가능하지만 통신장애 발생함</v>
      </c>
      <c r="F75" s="26"/>
      <c r="G75" s="4"/>
      <c r="H75" s="4"/>
      <c r="I75" s="4"/>
      <c r="J75" s="4"/>
      <c r="K75" s="4"/>
      <c r="L75" s="4"/>
      <c r="M75" s="4"/>
      <c r="N75" s="4"/>
      <c r="O75" s="4"/>
      <c r="P75" s="4"/>
      <c r="Q75" s="4"/>
      <c r="R75" s="4"/>
      <c r="S75" s="4"/>
      <c r="T75" s="4"/>
      <c r="U75" s="4"/>
      <c r="V75" s="4"/>
      <c r="W75" s="4"/>
      <c r="X75" s="4"/>
      <c r="Y75" s="4"/>
      <c r="Z75" s="4"/>
    </row>
    <row r="76" ht="15.75" customHeight="1">
      <c r="A76" s="23" t="s">
        <v>520</v>
      </c>
      <c r="B76" s="22" t="str">
        <f>'7조'!B87</f>
        <v/>
      </c>
      <c r="C76" s="23" t="str">
        <f>'7조'!C87</f>
        <v>7조 - Multi-tier - Safety</v>
      </c>
      <c r="D76" s="22" t="str">
        <f>'7조'!D87</f>
        <v/>
      </c>
      <c r="E76" s="23" t="str">
        <f>'7조'!E87</f>
        <v>7조 - Client-Server - Safety</v>
      </c>
      <c r="F76" s="26"/>
      <c r="G76" s="4"/>
      <c r="H76" s="4"/>
      <c r="I76" s="4"/>
      <c r="J76" s="4"/>
      <c r="K76" s="4"/>
      <c r="L76" s="4"/>
      <c r="M76" s="4"/>
      <c r="N76" s="4"/>
      <c r="O76" s="4"/>
      <c r="P76" s="4"/>
      <c r="Q76" s="4"/>
      <c r="R76" s="4"/>
      <c r="S76" s="4"/>
      <c r="T76" s="4"/>
      <c r="U76" s="4"/>
      <c r="V76" s="4"/>
      <c r="W76" s="4"/>
      <c r="X76" s="4"/>
      <c r="Y76" s="4"/>
      <c r="Z76" s="4"/>
    </row>
    <row r="77" ht="15.75" customHeight="1">
      <c r="A77" s="23" t="s">
        <v>523</v>
      </c>
      <c r="B77" s="22" t="str">
        <f>'8조'!B87</f>
        <v/>
      </c>
      <c r="C77" s="23" t="str">
        <f>'8조'!C87</f>
        <v>8조 - Multi-tier - Safety</v>
      </c>
      <c r="D77" s="22" t="str">
        <f>'8조'!D87</f>
        <v/>
      </c>
      <c r="E77" s="23" t="str">
        <f>'8조'!E87</f>
        <v>8조 - Client-Server - Safety</v>
      </c>
      <c r="F77" s="26"/>
      <c r="G77" s="4"/>
      <c r="H77" s="4"/>
      <c r="I77" s="4"/>
      <c r="J77" s="4"/>
      <c r="K77" s="4"/>
      <c r="L77" s="4"/>
      <c r="M77" s="4"/>
      <c r="N77" s="4"/>
      <c r="O77" s="4"/>
      <c r="P77" s="4"/>
      <c r="Q77" s="4"/>
      <c r="R77" s="4"/>
      <c r="S77" s="4"/>
      <c r="T77" s="4"/>
      <c r="U77" s="4"/>
      <c r="V77" s="4"/>
      <c r="W77" s="4"/>
      <c r="X77" s="4"/>
      <c r="Y77" s="4"/>
      <c r="Z77" s="4"/>
    </row>
    <row r="78" ht="15.75" customHeight="1">
      <c r="A78" s="23" t="s">
        <v>526</v>
      </c>
      <c r="B78" s="22" t="str">
        <f>'9조'!B87</f>
        <v/>
      </c>
      <c r="C78" s="23" t="str">
        <f>'9조'!C87</f>
        <v>9조 - Multi-tier - Safety</v>
      </c>
      <c r="D78" s="22" t="str">
        <f>'9조'!D87</f>
        <v/>
      </c>
      <c r="E78" s="23" t="str">
        <f>'9조'!E87</f>
        <v>9조 - Client-Server - Safety</v>
      </c>
      <c r="F78" s="26"/>
      <c r="G78" s="4"/>
      <c r="H78" s="4"/>
      <c r="I78" s="4"/>
      <c r="J78" s="4"/>
      <c r="K78" s="4"/>
      <c r="L78" s="4"/>
      <c r="M78" s="4"/>
      <c r="N78" s="4"/>
      <c r="O78" s="4"/>
      <c r="P78" s="4"/>
      <c r="Q78" s="4"/>
      <c r="R78" s="4"/>
      <c r="S78" s="4"/>
      <c r="T78" s="4"/>
      <c r="U78" s="4"/>
      <c r="V78" s="4"/>
      <c r="W78" s="4"/>
      <c r="X78" s="4"/>
      <c r="Y78" s="4"/>
      <c r="Z78" s="4"/>
    </row>
    <row r="79" ht="15.75" customHeight="1">
      <c r="A79" s="23"/>
      <c r="B79" s="23"/>
      <c r="C79" s="23"/>
      <c r="D79" s="23"/>
      <c r="E79" s="23"/>
      <c r="F79" s="24"/>
      <c r="G79" s="4"/>
      <c r="H79" s="4"/>
      <c r="I79" s="4"/>
      <c r="J79" s="4"/>
      <c r="K79" s="4"/>
      <c r="L79" s="4"/>
      <c r="M79" s="4"/>
      <c r="N79" s="4"/>
      <c r="O79" s="4"/>
      <c r="P79" s="4"/>
      <c r="Q79" s="4"/>
      <c r="R79" s="4"/>
      <c r="S79" s="4"/>
      <c r="T79" s="4"/>
      <c r="U79" s="4"/>
      <c r="V79" s="4"/>
      <c r="W79" s="4"/>
      <c r="X79" s="4"/>
      <c r="Y79" s="4"/>
      <c r="Z79" s="4"/>
    </row>
    <row r="80" ht="15.75" customHeight="1">
      <c r="A80" s="7" t="s">
        <v>261</v>
      </c>
      <c r="B80" s="7">
        <v>0.0</v>
      </c>
      <c r="C80" s="7">
        <v>0.0</v>
      </c>
      <c r="D80" s="7">
        <v>0.0</v>
      </c>
      <c r="E80" s="7">
        <v>0.0</v>
      </c>
      <c r="F80" s="24"/>
      <c r="G80" s="4"/>
      <c r="H80" s="4"/>
      <c r="I80" s="4"/>
      <c r="J80" s="4"/>
      <c r="K80" s="4"/>
      <c r="L80" s="4"/>
      <c r="M80" s="4"/>
      <c r="N80" s="4"/>
      <c r="O80" s="4"/>
      <c r="P80" s="4"/>
      <c r="Q80" s="4"/>
      <c r="R80" s="4"/>
      <c r="S80" s="4"/>
      <c r="T80" s="4"/>
      <c r="U80" s="4"/>
      <c r="V80" s="4"/>
      <c r="W80" s="4"/>
      <c r="X80" s="4"/>
      <c r="Y80" s="4"/>
      <c r="Z80" s="4"/>
    </row>
    <row r="81" ht="15.75" customHeight="1">
      <c r="A81" s="23" t="s">
        <v>502</v>
      </c>
      <c r="B81" s="22" t="str">
        <f>'1조'!B88</f>
        <v>+</v>
      </c>
      <c r="C81" s="23" t="str">
        <f>'1조'!C88</f>
        <v>[+] DMZ(Web)와 내부 망(WAS/DB) 격리로 다중 보안 방어 우수</v>
      </c>
      <c r="D81" s="22" t="str">
        <f>'1조'!D88</f>
        <v>-</v>
      </c>
      <c r="E81" s="23" t="str">
        <f>'1조'!E88</f>
        <v>[-] Client 단 리버스 엔지니어링 및 Server에 공격 집중 위험</v>
      </c>
      <c r="F81" s="25" t="s">
        <v>635</v>
      </c>
      <c r="G81" s="4"/>
      <c r="H81" s="4"/>
      <c r="I81" s="4"/>
      <c r="J81" s="4"/>
      <c r="K81" s="4"/>
      <c r="L81" s="4"/>
      <c r="M81" s="4"/>
      <c r="N81" s="4"/>
      <c r="O81" s="4"/>
      <c r="P81" s="4"/>
      <c r="Q81" s="4"/>
      <c r="R81" s="4"/>
      <c r="S81" s="4"/>
      <c r="T81" s="4"/>
      <c r="U81" s="4"/>
      <c r="V81" s="4"/>
      <c r="W81" s="4"/>
      <c r="X81" s="4"/>
      <c r="Y81" s="4"/>
      <c r="Z81" s="4"/>
    </row>
    <row r="82" ht="15.75" customHeight="1">
      <c r="A82" s="23" t="s">
        <v>507</v>
      </c>
      <c r="B82" s="22" t="str">
        <f>'2조'!B88</f>
        <v>+</v>
      </c>
      <c r="C82" s="23" t="str">
        <f>'2조'!C88</f>
        <v>User interface·application·data tier 를 분리하면 민감한 business logic 과 데이터를 최종 사용자의 직접 접근에서 보호할 수 있다</v>
      </c>
      <c r="D82" s="22" t="str">
        <f>'2조'!D88</f>
        <v>-</v>
      </c>
      <c r="E82" s="23" t="str">
        <f>'2조'!E88</f>
        <v>통신 네트워크 경계가 외부에 노출되어 도청, 변조 위험이 증가하고 분산 환경의 인증·권한 관리가 복잡해짐</v>
      </c>
      <c r="F82" s="26"/>
      <c r="G82" s="4"/>
      <c r="H82" s="4"/>
      <c r="I82" s="4"/>
      <c r="J82" s="4"/>
      <c r="K82" s="4"/>
      <c r="L82" s="4"/>
      <c r="M82" s="4"/>
      <c r="N82" s="4"/>
      <c r="O82" s="4"/>
      <c r="P82" s="4"/>
      <c r="Q82" s="4"/>
      <c r="R82" s="4"/>
      <c r="S82" s="4"/>
      <c r="T82" s="4"/>
      <c r="U82" s="4"/>
      <c r="V82" s="4"/>
      <c r="W82" s="4"/>
      <c r="X82" s="4"/>
      <c r="Y82" s="4"/>
      <c r="Z82" s="4"/>
    </row>
    <row r="83" ht="15.75" customHeight="1">
      <c r="A83" s="23" t="s">
        <v>510</v>
      </c>
      <c r="B83" s="22" t="str">
        <f>'3조'!B88</f>
        <v>+</v>
      </c>
      <c r="C83" s="23" t="str">
        <f>'3조'!C88</f>
        <v>Presentation/Application/Data tier를 분리하면 민감한 business logic과 data에 대한 직접 접근을 제한하고 tier별 인증·인가·접근 제어 경계를 적용하기 쉬워 Security에 유리하다.</v>
      </c>
      <c r="D83" s="22" t="str">
        <f>'3조'!D88</f>
        <v>-</v>
      </c>
      <c r="E83" s="23" t="str">
        <f>'3조'!E88</f>
        <v>Server가 다수 Client의 요청을 받는 중앙 네트워크 진입점이 되어 공격이 집중될 수 있고, 인증·인가·통신 보호 등 분산 환경의 Security 관리 복잡도가 증가한다.</v>
      </c>
      <c r="F83" s="26"/>
      <c r="G83" s="4"/>
      <c r="H83" s="4"/>
      <c r="I83" s="4"/>
      <c r="J83" s="4"/>
      <c r="K83" s="4"/>
      <c r="L83" s="4"/>
      <c r="M83" s="4"/>
      <c r="N83" s="4"/>
      <c r="O83" s="4"/>
      <c r="P83" s="4"/>
      <c r="Q83" s="4"/>
      <c r="R83" s="4"/>
      <c r="S83" s="4"/>
      <c r="T83" s="4"/>
      <c r="U83" s="4"/>
      <c r="V83" s="4"/>
      <c r="W83" s="4"/>
      <c r="X83" s="4"/>
      <c r="Y83" s="4"/>
      <c r="Z83" s="4"/>
    </row>
    <row r="84" ht="15.75" customHeight="1">
      <c r="A84" s="23" t="s">
        <v>511</v>
      </c>
      <c r="B84" s="22" t="str">
        <f>'4조'!B88</f>
        <v>++</v>
      </c>
      <c r="C84" s="23" t="str">
        <f>'4조'!C88</f>
        <v>티어 경계에 방화벽과 DMZ를 두고 데이터 티어로 갈수록 권한을 점진적으로 줄일 수 있다.</v>
      </c>
      <c r="D84" s="22" t="str">
        <f>'4조'!D88</f>
        <v>-</v>
      </c>
      <c r="E84" s="23" t="str">
        <f>'4조'!E88</f>
        <v>Server에서 권한을 관리하기 쉽지만 정보 집중과 통신 경로의 위험도 있다.</v>
      </c>
      <c r="F84" s="26"/>
      <c r="G84" s="4"/>
      <c r="H84" s="4"/>
      <c r="I84" s="4"/>
      <c r="J84" s="4"/>
      <c r="K84" s="4"/>
      <c r="L84" s="4"/>
      <c r="M84" s="4"/>
      <c r="N84" s="4"/>
      <c r="O84" s="4"/>
      <c r="P84" s="4"/>
      <c r="Q84" s="4"/>
      <c r="R84" s="4"/>
      <c r="S84" s="4"/>
      <c r="T84" s="4"/>
      <c r="U84" s="4"/>
      <c r="V84" s="4"/>
      <c r="W84" s="4"/>
      <c r="X84" s="4"/>
      <c r="Y84" s="4"/>
      <c r="Z84" s="4"/>
    </row>
    <row r="85" ht="15.75" customHeight="1">
      <c r="A85" s="23" t="s">
        <v>513</v>
      </c>
      <c r="B85" s="22" t="str">
        <f>'5조'!B88</f>
        <v>+</v>
      </c>
      <c r="C85" s="23" t="str">
        <f>'5조'!C88</f>
        <v>Tier들 간 security 권한, data access를 따로 부여하는 것으로 보안 위험을 줄일 수 있다.</v>
      </c>
      <c r="D85" s="22" t="str">
        <f>'5조'!D88</f>
        <v>-</v>
      </c>
      <c r="E85" s="23" t="str">
        <f>'5조'!E88</f>
        <v>Network를 통한 통신이 필요하기 때문에 보안 취약점이 존재한다.</v>
      </c>
      <c r="F85" s="26"/>
      <c r="G85" s="4"/>
      <c r="H85" s="4"/>
      <c r="I85" s="4"/>
      <c r="J85" s="4"/>
      <c r="K85" s="4"/>
      <c r="L85" s="4"/>
      <c r="M85" s="4"/>
      <c r="N85" s="4"/>
      <c r="O85" s="4"/>
      <c r="P85" s="4"/>
      <c r="Q85" s="4"/>
      <c r="R85" s="4"/>
      <c r="S85" s="4"/>
      <c r="T85" s="4"/>
      <c r="U85" s="4"/>
      <c r="V85" s="4"/>
      <c r="W85" s="4"/>
      <c r="X85" s="4"/>
      <c r="Y85" s="4"/>
      <c r="Z85" s="4"/>
    </row>
    <row r="86" ht="15.75" customHeight="1">
      <c r="A86" s="23" t="s">
        <v>516</v>
      </c>
      <c r="B86" s="22" t="str">
        <f>'6조'!B88</f>
        <v>++</v>
      </c>
      <c r="C86" s="23" t="str">
        <f>'6조'!C88</f>
        <v>계층화된 방어(Defense in Depth)가 가능함. 프레젠테이션 계층은 DMZ에 배치하고, 데이터 계층은 내부망에 격리하며, 계층 간 방화벽 및 접근 제어 정책을 강력하게 적용할 수 있음</v>
      </c>
      <c r="D86" s="22" t="str">
        <f>'6조'!D88</f>
        <v>+</v>
      </c>
      <c r="E86" s="23" t="str">
        <f>'6조'!E88</f>
        <v>서버가 중앙 집중식 인증과 접근 제어로 보안 관리 용이함</v>
      </c>
      <c r="F86" s="26"/>
      <c r="G86" s="4"/>
      <c r="H86" s="4"/>
      <c r="I86" s="4"/>
      <c r="J86" s="4"/>
      <c r="K86" s="4"/>
      <c r="L86" s="4"/>
      <c r="M86" s="4"/>
      <c r="N86" s="4"/>
      <c r="O86" s="4"/>
      <c r="P86" s="4"/>
      <c r="Q86" s="4"/>
      <c r="R86" s="4"/>
      <c r="S86" s="4"/>
      <c r="T86" s="4"/>
      <c r="U86" s="4"/>
      <c r="V86" s="4"/>
      <c r="W86" s="4"/>
      <c r="X86" s="4"/>
      <c r="Y86" s="4"/>
      <c r="Z86" s="4"/>
    </row>
    <row r="87" ht="15.75" customHeight="1">
      <c r="A87" s="23" t="s">
        <v>520</v>
      </c>
      <c r="B87" s="22" t="str">
        <f>'7조'!B88</f>
        <v/>
      </c>
      <c r="C87" s="23" t="str">
        <f>'7조'!C88</f>
        <v>7조 - Multi-tier - Security</v>
      </c>
      <c r="D87" s="22" t="str">
        <f>'7조'!D88</f>
        <v/>
      </c>
      <c r="E87" s="23" t="str">
        <f>'7조'!E88</f>
        <v>7조 - Client-Server - Security</v>
      </c>
      <c r="F87" s="26"/>
      <c r="G87" s="4"/>
      <c r="H87" s="4"/>
      <c r="I87" s="4"/>
      <c r="J87" s="4"/>
      <c r="K87" s="4"/>
      <c r="L87" s="4"/>
      <c r="M87" s="4"/>
      <c r="N87" s="4"/>
      <c r="O87" s="4"/>
      <c r="P87" s="4"/>
      <c r="Q87" s="4"/>
      <c r="R87" s="4"/>
      <c r="S87" s="4"/>
      <c r="T87" s="4"/>
      <c r="U87" s="4"/>
      <c r="V87" s="4"/>
      <c r="W87" s="4"/>
      <c r="X87" s="4"/>
      <c r="Y87" s="4"/>
      <c r="Z87" s="4"/>
    </row>
    <row r="88" ht="15.75" customHeight="1">
      <c r="A88" s="23" t="s">
        <v>523</v>
      </c>
      <c r="B88" s="22" t="str">
        <f>'8조'!B88</f>
        <v/>
      </c>
      <c r="C88" s="23" t="str">
        <f>'8조'!C88</f>
        <v>8조 - Multi-tier - Security</v>
      </c>
      <c r="D88" s="22" t="str">
        <f>'8조'!D88</f>
        <v/>
      </c>
      <c r="E88" s="23" t="str">
        <f>'8조'!E88</f>
        <v>8조 - Client-Server - Security</v>
      </c>
      <c r="F88" s="26"/>
      <c r="G88" s="4"/>
      <c r="H88" s="4"/>
      <c r="I88" s="4"/>
      <c r="J88" s="4"/>
      <c r="K88" s="4"/>
      <c r="L88" s="4"/>
      <c r="M88" s="4"/>
      <c r="N88" s="4"/>
      <c r="O88" s="4"/>
      <c r="P88" s="4"/>
      <c r="Q88" s="4"/>
      <c r="R88" s="4"/>
      <c r="S88" s="4"/>
      <c r="T88" s="4"/>
      <c r="U88" s="4"/>
      <c r="V88" s="4"/>
      <c r="W88" s="4"/>
      <c r="X88" s="4"/>
      <c r="Y88" s="4"/>
      <c r="Z88" s="4"/>
    </row>
    <row r="89" ht="15.75" customHeight="1">
      <c r="A89" s="23" t="s">
        <v>526</v>
      </c>
      <c r="B89" s="22" t="str">
        <f>'9조'!B88</f>
        <v/>
      </c>
      <c r="C89" s="23" t="str">
        <f>'9조'!C88</f>
        <v>9조 - Multi-tier - Security</v>
      </c>
      <c r="D89" s="22" t="str">
        <f>'9조'!D88</f>
        <v/>
      </c>
      <c r="E89" s="23" t="str">
        <f>'9조'!E88</f>
        <v>9조 - Client-Server - Security</v>
      </c>
      <c r="F89" s="26"/>
      <c r="G89" s="4"/>
      <c r="H89" s="4"/>
      <c r="I89" s="4"/>
      <c r="J89" s="4"/>
      <c r="K89" s="4"/>
      <c r="L89" s="4"/>
      <c r="M89" s="4"/>
      <c r="N89" s="4"/>
      <c r="O89" s="4"/>
      <c r="P89" s="4"/>
      <c r="Q89" s="4"/>
      <c r="R89" s="4"/>
      <c r="S89" s="4"/>
      <c r="T89" s="4"/>
      <c r="U89" s="4"/>
      <c r="V89" s="4"/>
      <c r="W89" s="4"/>
      <c r="X89" s="4"/>
      <c r="Y89" s="4"/>
      <c r="Z89" s="4"/>
    </row>
    <row r="90" ht="15.75" customHeight="1">
      <c r="A90" s="23"/>
      <c r="B90" s="23"/>
      <c r="C90" s="23"/>
      <c r="D90" s="23"/>
      <c r="E90" s="23"/>
      <c r="F90" s="24"/>
      <c r="G90" s="4"/>
      <c r="H90" s="4"/>
      <c r="I90" s="4"/>
      <c r="J90" s="4"/>
      <c r="K90" s="4"/>
      <c r="L90" s="4"/>
      <c r="M90" s="4"/>
      <c r="N90" s="4"/>
      <c r="O90" s="4"/>
      <c r="P90" s="4"/>
      <c r="Q90" s="4"/>
      <c r="R90" s="4"/>
      <c r="S90" s="4"/>
      <c r="T90" s="4"/>
      <c r="U90" s="4"/>
      <c r="V90" s="4"/>
      <c r="W90" s="4"/>
      <c r="X90" s="4"/>
      <c r="Y90" s="4"/>
      <c r="Z90" s="4"/>
    </row>
    <row r="91" ht="15.75" customHeight="1">
      <c r="A91" s="7" t="s">
        <v>310</v>
      </c>
      <c r="B91" s="7">
        <v>0.0</v>
      </c>
      <c r="C91" s="7">
        <v>0.0</v>
      </c>
      <c r="D91" s="7">
        <v>0.0</v>
      </c>
      <c r="E91" s="7">
        <v>0.0</v>
      </c>
      <c r="F91" s="24"/>
      <c r="G91" s="4"/>
      <c r="H91" s="4"/>
      <c r="I91" s="4"/>
      <c r="J91" s="4"/>
      <c r="K91" s="4"/>
      <c r="L91" s="4"/>
      <c r="M91" s="4"/>
      <c r="N91" s="4"/>
      <c r="O91" s="4"/>
      <c r="P91" s="4"/>
      <c r="Q91" s="4"/>
      <c r="R91" s="4"/>
      <c r="S91" s="4"/>
      <c r="T91" s="4"/>
      <c r="U91" s="4"/>
      <c r="V91" s="4"/>
      <c r="W91" s="4"/>
      <c r="X91" s="4"/>
      <c r="Y91" s="4"/>
      <c r="Z91" s="4"/>
    </row>
    <row r="92" ht="15.75" customHeight="1">
      <c r="A92" s="23" t="s">
        <v>502</v>
      </c>
      <c r="B92" s="22" t="str">
        <f>'1조'!B89</f>
        <v>-</v>
      </c>
      <c r="C92" s="23" t="str">
        <f>'1조'!C89</f>
        <v>[-] 분산 네트워크, 다중 서버, DB 동기화로 통합 테스트 극도로 어려움</v>
      </c>
      <c r="D92" s="22" t="str">
        <f>'1조'!D89</f>
        <v>0</v>
      </c>
      <c r="E92" s="23" t="str">
        <f>'1조'!E89</f>
        <v>[+] Client와 Server 간 인터페이스 단독 테스트 용이
[-] 다양한 Client OS/환경별 통합 테스트 구성 필요</v>
      </c>
      <c r="F92" s="25" t="s">
        <v>644</v>
      </c>
      <c r="G92" s="4"/>
      <c r="H92" s="4"/>
      <c r="I92" s="4"/>
      <c r="J92" s="4"/>
      <c r="K92" s="4"/>
      <c r="L92" s="4"/>
      <c r="M92" s="4"/>
      <c r="N92" s="4"/>
      <c r="O92" s="4"/>
      <c r="P92" s="4"/>
      <c r="Q92" s="4"/>
      <c r="R92" s="4"/>
      <c r="S92" s="4"/>
      <c r="T92" s="4"/>
      <c r="U92" s="4"/>
      <c r="V92" s="4"/>
      <c r="W92" s="4"/>
      <c r="X92" s="4"/>
      <c r="Y92" s="4"/>
      <c r="Z92" s="4"/>
    </row>
    <row r="93" ht="15.75" customHeight="1">
      <c r="A93" s="23" t="s">
        <v>507</v>
      </c>
      <c r="B93" s="22" t="str">
        <f>'2조'!B89</f>
        <v>-</v>
      </c>
      <c r="C93" s="23" t="str">
        <f>'2조'!C89</f>
        <v>(+) 각 티어별 모듈 단위 테스트는 가능함. / (-) 분산 환경에서 테스트 도구가 부족하고 종단 간(E2E) 테스트를 위해 모든 티어 서버를 동시에 구동·연계해야 하므로 시험 복잡도가 매우 높음</v>
      </c>
      <c r="D93" s="22" t="str">
        <f>'2조'!D89</f>
        <v>-</v>
      </c>
      <c r="E93" s="23" t="str">
        <f>'2조'!E89</f>
        <v>독립적인 클라이언트 UI 로직 단위 테스트는 가능하긴 하지만, 클라이언트를 실제 테스트하려면 항상 실행 중인 서버 환경이 필요하며, 네트워크 환경 모의 및 상태 재현이 까다로워 테스트 용이성이 제한됨</v>
      </c>
      <c r="F93" s="26"/>
      <c r="G93" s="4"/>
      <c r="H93" s="4"/>
      <c r="I93" s="4"/>
      <c r="J93" s="4"/>
      <c r="K93" s="4"/>
      <c r="L93" s="4"/>
      <c r="M93" s="4"/>
      <c r="N93" s="4"/>
      <c r="O93" s="4"/>
      <c r="P93" s="4"/>
      <c r="Q93" s="4"/>
      <c r="R93" s="4"/>
      <c r="S93" s="4"/>
      <c r="T93" s="4"/>
      <c r="U93" s="4"/>
      <c r="V93" s="4"/>
      <c r="W93" s="4"/>
      <c r="X93" s="4"/>
      <c r="Y93" s="4"/>
      <c r="Z93" s="4"/>
    </row>
    <row r="94" ht="15.75" customHeight="1">
      <c r="A94" s="23" t="s">
        <v>510</v>
      </c>
      <c r="B94" s="22" t="str">
        <f>'3조'!B89</f>
        <v>+</v>
      </c>
      <c r="C94" s="23" t="str">
        <f>'3조'!C89</f>
        <v>layerd구조와 유사하게 단위테스트 구성은 쉬우나, 통합테스트 구성은 어려울 수 있음</v>
      </c>
      <c r="D94" s="22" t="str">
        <f>'3조'!D89</f>
        <v>+</v>
      </c>
      <c r="E94" s="23" t="str">
        <f>'3조'!E89</f>
        <v>server/client 분리 테스트구성이 쉬움</v>
      </c>
      <c r="F94" s="26"/>
      <c r="G94" s="4"/>
      <c r="H94" s="4"/>
      <c r="I94" s="4"/>
      <c r="J94" s="4"/>
      <c r="K94" s="4"/>
      <c r="L94" s="4"/>
      <c r="M94" s="4"/>
      <c r="N94" s="4"/>
      <c r="O94" s="4"/>
      <c r="P94" s="4"/>
      <c r="Q94" s="4"/>
      <c r="R94" s="4"/>
      <c r="S94" s="4"/>
      <c r="T94" s="4"/>
      <c r="U94" s="4"/>
      <c r="V94" s="4"/>
      <c r="W94" s="4"/>
      <c r="X94" s="4"/>
      <c r="Y94" s="4"/>
      <c r="Z94" s="4"/>
    </row>
    <row r="95" ht="15.75" customHeight="1">
      <c r="A95" s="23" t="s">
        <v>511</v>
      </c>
      <c r="B95" s="22" t="str">
        <f>'4조'!B89</f>
        <v>0</v>
      </c>
      <c r="C95" s="23" t="str">
        <f>'4조'!C89</f>
        <v>Tier별 시험은 쉽지만 여러 Tier가 동시에 연결된 동작을 재현하기는 어렵다.</v>
      </c>
      <c r="D95" s="22" t="str">
        <f>'4조'!D89</f>
        <v>0</v>
      </c>
      <c r="E95" s="23" t="str">
        <f>'4조'!E89</f>
        <v>양쪽을 따로 시험하기 쉽지만 통신 장애와 동시 요청까지 재현해야 한다.</v>
      </c>
      <c r="F95" s="26"/>
      <c r="G95" s="4"/>
      <c r="H95" s="4"/>
      <c r="I95" s="4"/>
      <c r="J95" s="4"/>
      <c r="K95" s="4"/>
      <c r="L95" s="4"/>
      <c r="M95" s="4"/>
      <c r="N95" s="4"/>
      <c r="O95" s="4"/>
      <c r="P95" s="4"/>
      <c r="Q95" s="4"/>
      <c r="R95" s="4"/>
      <c r="S95" s="4"/>
      <c r="T95" s="4"/>
      <c r="U95" s="4"/>
      <c r="V95" s="4"/>
      <c r="W95" s="4"/>
      <c r="X95" s="4"/>
      <c r="Y95" s="4"/>
      <c r="Z95" s="4"/>
    </row>
    <row r="96" ht="15.75" customHeight="1">
      <c r="A96" s="23" t="s">
        <v>513</v>
      </c>
      <c r="B96" s="22" t="str">
        <f>'5조'!B89</f>
        <v>-</v>
      </c>
      <c r="C96" s="23" t="str">
        <f>'5조'!C89</f>
        <v>분산된 환경을 고려한 test도구가 필요하며, 각 물리적 tier의 특성을 고려해야 하기 때문에 통합 testability가 떨어짐</v>
      </c>
      <c r="D96" s="22" t="str">
        <f>'5조'!D89</f>
        <v>-</v>
      </c>
      <c r="E96" s="23" t="str">
        <f>'5조'!E89</f>
        <v>서버의 설정을 모두 고려해야 하기 때문에 test용이성이 떨어짐</v>
      </c>
      <c r="F96" s="26"/>
      <c r="G96" s="4"/>
      <c r="H96" s="4"/>
      <c r="I96" s="4"/>
      <c r="J96" s="4"/>
      <c r="K96" s="4"/>
      <c r="L96" s="4"/>
      <c r="M96" s="4"/>
      <c r="N96" s="4"/>
      <c r="O96" s="4"/>
      <c r="P96" s="4"/>
      <c r="Q96" s="4"/>
      <c r="R96" s="4"/>
      <c r="S96" s="4"/>
      <c r="T96" s="4"/>
      <c r="U96" s="4"/>
      <c r="V96" s="4"/>
      <c r="W96" s="4"/>
      <c r="X96" s="4"/>
      <c r="Y96" s="4"/>
      <c r="Z96" s="4"/>
    </row>
    <row r="97" ht="15.75" customHeight="1">
      <c r="A97" s="23" t="s">
        <v>516</v>
      </c>
      <c r="B97" s="22" t="str">
        <f>'6조'!B89</f>
        <v>+</v>
      </c>
      <c r="C97" s="23" t="str">
        <f>'6조'!C89</f>
        <v>각 Tier의 책임이 비교적 명확하므로 Presentation, Business, Data 계층을 개별적으로 테스트하기 쉽다. Mock/Stub을 이용해 Tier 간 의존성을 대체할 수도 있다. 다만 실제 분산 환경에서의 통합 테스트는 복잡해진다.</v>
      </c>
      <c r="D97" s="22" t="str">
        <f>'6조'!D89</f>
        <v>+</v>
      </c>
      <c r="E97" s="23" t="str">
        <f>'6조'!E89</f>
        <v>클라이언트와 서버를 독립적으로 각각 격리 테스트 가능함</v>
      </c>
      <c r="F97" s="26"/>
      <c r="G97" s="4"/>
      <c r="H97" s="4"/>
      <c r="I97" s="4"/>
      <c r="J97" s="4"/>
      <c r="K97" s="4"/>
      <c r="L97" s="4"/>
      <c r="M97" s="4"/>
      <c r="N97" s="4"/>
      <c r="O97" s="4"/>
      <c r="P97" s="4"/>
      <c r="Q97" s="4"/>
      <c r="R97" s="4"/>
      <c r="S97" s="4"/>
      <c r="T97" s="4"/>
      <c r="U97" s="4"/>
      <c r="V97" s="4"/>
      <c r="W97" s="4"/>
      <c r="X97" s="4"/>
      <c r="Y97" s="4"/>
      <c r="Z97" s="4"/>
    </row>
    <row r="98" ht="15.75" customHeight="1">
      <c r="A98" s="23" t="s">
        <v>520</v>
      </c>
      <c r="B98" s="22" t="str">
        <f>'7조'!B89</f>
        <v/>
      </c>
      <c r="C98" s="23" t="str">
        <f>'7조'!C89</f>
        <v>7조 - Multi-tier - Testability</v>
      </c>
      <c r="D98" s="22" t="str">
        <f>'7조'!D89</f>
        <v/>
      </c>
      <c r="E98" s="23" t="str">
        <f>'7조'!E89</f>
        <v>7조 - Client-Server - Testability</v>
      </c>
      <c r="F98" s="26"/>
      <c r="G98" s="4"/>
      <c r="H98" s="4"/>
      <c r="I98" s="4"/>
      <c r="J98" s="4"/>
      <c r="K98" s="4"/>
      <c r="L98" s="4"/>
      <c r="M98" s="4"/>
      <c r="N98" s="4"/>
      <c r="O98" s="4"/>
      <c r="P98" s="4"/>
      <c r="Q98" s="4"/>
      <c r="R98" s="4"/>
      <c r="S98" s="4"/>
      <c r="T98" s="4"/>
      <c r="U98" s="4"/>
      <c r="V98" s="4"/>
      <c r="W98" s="4"/>
      <c r="X98" s="4"/>
      <c r="Y98" s="4"/>
      <c r="Z98" s="4"/>
    </row>
    <row r="99" ht="15.75" customHeight="1">
      <c r="A99" s="23" t="s">
        <v>523</v>
      </c>
      <c r="B99" s="22" t="str">
        <f>'8조'!B89</f>
        <v/>
      </c>
      <c r="C99" s="23" t="str">
        <f>'8조'!C89</f>
        <v>8조 - Multi-tier - Testability</v>
      </c>
      <c r="D99" s="22" t="str">
        <f>'8조'!D89</f>
        <v/>
      </c>
      <c r="E99" s="23" t="str">
        <f>'8조'!E89</f>
        <v>8조 - Client-Server - Testability</v>
      </c>
      <c r="F99" s="26"/>
      <c r="G99" s="4"/>
      <c r="H99" s="4"/>
      <c r="I99" s="4"/>
      <c r="J99" s="4"/>
      <c r="K99" s="4"/>
      <c r="L99" s="4"/>
      <c r="M99" s="4"/>
      <c r="N99" s="4"/>
      <c r="O99" s="4"/>
      <c r="P99" s="4"/>
      <c r="Q99" s="4"/>
      <c r="R99" s="4"/>
      <c r="S99" s="4"/>
      <c r="T99" s="4"/>
      <c r="U99" s="4"/>
      <c r="V99" s="4"/>
      <c r="W99" s="4"/>
      <c r="X99" s="4"/>
      <c r="Y99" s="4"/>
      <c r="Z99" s="4"/>
    </row>
    <row r="100" ht="15.75" customHeight="1">
      <c r="A100" s="23" t="s">
        <v>526</v>
      </c>
      <c r="B100" s="22" t="str">
        <f>'9조'!B89</f>
        <v/>
      </c>
      <c r="C100" s="23" t="str">
        <f>'9조'!C89</f>
        <v>9조 - Multi-tier - Testability</v>
      </c>
      <c r="D100" s="22" t="str">
        <f>'9조'!D89</f>
        <v/>
      </c>
      <c r="E100" s="23" t="str">
        <f>'9조'!E89</f>
        <v>9조 - Client-Server - Testability</v>
      </c>
      <c r="F100" s="26"/>
      <c r="G100" s="4"/>
      <c r="H100" s="4"/>
      <c r="I100" s="4"/>
      <c r="J100" s="4"/>
      <c r="K100" s="4"/>
      <c r="L100" s="4"/>
      <c r="M100" s="4"/>
      <c r="N100" s="4"/>
      <c r="O100" s="4"/>
      <c r="P100" s="4"/>
      <c r="Q100" s="4"/>
      <c r="R100" s="4"/>
      <c r="S100" s="4"/>
      <c r="T100" s="4"/>
      <c r="U100" s="4"/>
      <c r="V100" s="4"/>
      <c r="W100" s="4"/>
      <c r="X100" s="4"/>
      <c r="Y100" s="4"/>
      <c r="Z100" s="4"/>
    </row>
    <row r="101" ht="15.0" customHeight="1">
      <c r="A101" s="23"/>
      <c r="B101" s="23"/>
      <c r="C101" s="23"/>
      <c r="D101" s="23"/>
      <c r="E101" s="23"/>
      <c r="F101" s="24"/>
      <c r="G101" s="4"/>
      <c r="H101" s="4"/>
      <c r="I101" s="4"/>
      <c r="J101" s="4"/>
      <c r="K101" s="4"/>
      <c r="L101" s="4"/>
      <c r="M101" s="4"/>
      <c r="N101" s="4"/>
      <c r="O101" s="4"/>
      <c r="P101" s="4"/>
      <c r="Q101" s="4"/>
      <c r="R101" s="4"/>
      <c r="S101" s="4"/>
      <c r="T101" s="4"/>
      <c r="U101" s="4"/>
      <c r="V101" s="4"/>
      <c r="W101" s="4"/>
      <c r="X101" s="4"/>
      <c r="Y101" s="4"/>
      <c r="Z101" s="4"/>
    </row>
    <row r="102" ht="15.75" customHeight="1">
      <c r="A102" s="7" t="s">
        <v>346</v>
      </c>
      <c r="B102" s="7">
        <v>0.0</v>
      </c>
      <c r="C102" s="7">
        <v>0.0</v>
      </c>
      <c r="D102" s="7">
        <v>0.0</v>
      </c>
      <c r="E102" s="7">
        <v>0.0</v>
      </c>
      <c r="F102" s="24"/>
      <c r="G102" s="4"/>
      <c r="H102" s="4"/>
      <c r="I102" s="4"/>
      <c r="J102" s="4"/>
      <c r="K102" s="4"/>
      <c r="L102" s="4"/>
      <c r="M102" s="4"/>
      <c r="N102" s="4"/>
      <c r="O102" s="4"/>
      <c r="P102" s="4"/>
      <c r="Q102" s="4"/>
      <c r="R102" s="4"/>
      <c r="S102" s="4"/>
      <c r="T102" s="4"/>
      <c r="U102" s="4"/>
      <c r="V102" s="4"/>
      <c r="W102" s="4"/>
      <c r="X102" s="4"/>
      <c r="Y102" s="4"/>
      <c r="Z102" s="4"/>
    </row>
    <row r="103" ht="15.75" customHeight="1">
      <c r="A103" s="23" t="s">
        <v>502</v>
      </c>
      <c r="B103" s="22" t="str">
        <f>'1조'!B90</f>
        <v>0</v>
      </c>
      <c r="C103" s="23" t="str">
        <f>'1조'!C90</f>
        <v>물리적 Tier 분리는 사용자 화면이나 조작 편의성을 직접 결정하지 않는다.</v>
      </c>
      <c r="D103" s="22" t="str">
        <f>'1조'!D90</f>
        <v>0</v>
      </c>
      <c r="E103" s="23" t="str">
        <f>'1조'!E90</f>
        <v>요청·응답 구조 자체는 사용자의 작업 편의성을 결정하지 않는다.</v>
      </c>
      <c r="F103" s="25" t="s">
        <v>649</v>
      </c>
      <c r="G103" s="4"/>
      <c r="H103" s="4"/>
      <c r="I103" s="4"/>
      <c r="J103" s="4"/>
      <c r="K103" s="4"/>
      <c r="L103" s="4"/>
      <c r="M103" s="4"/>
      <c r="N103" s="4"/>
      <c r="O103" s="4"/>
      <c r="P103" s="4"/>
      <c r="Q103" s="4"/>
      <c r="R103" s="4"/>
      <c r="S103" s="4"/>
      <c r="T103" s="4"/>
      <c r="U103" s="4"/>
      <c r="V103" s="4"/>
      <c r="W103" s="4"/>
      <c r="X103" s="4"/>
      <c r="Y103" s="4"/>
      <c r="Z103" s="4"/>
    </row>
    <row r="104" ht="15.75" customHeight="1">
      <c r="A104" s="23" t="s">
        <v>507</v>
      </c>
      <c r="B104" s="22" t="str">
        <f>'2조'!B90</f>
        <v>0</v>
      </c>
      <c r="C104" s="23" t="str">
        <f>'2조'!C90</f>
        <v>(+) 프레젠테이션 티어가 독립되어 다양한 사용자 인터페이스(웹, 앱)를 맞춤형으로 제공 가능. / (-) 물리적 티어 분리 구조 자체는 사용자 경험을 직접 규정하지 않으며 네트워크 지연 발생 시 체감 응답성이 저하될 수 있음</v>
      </c>
      <c r="D104" s="22" t="str">
        <f>'2조'!D90</f>
        <v>0</v>
      </c>
      <c r="E104" s="23" t="str">
        <f>'2조'!E90</f>
        <v>(+) Thin/Thick Client 설계를 통해 인터랙티브한 UI 구현이 가능함. 
(-) 클라이언트-서버 구조 자체는 사용자 인터페이스 사용성을 직접 결정하지 않으며 서버 응답 지연에 종속적임.</v>
      </c>
      <c r="F104" s="26"/>
      <c r="G104" s="4"/>
      <c r="H104" s="4"/>
      <c r="I104" s="4"/>
      <c r="J104" s="4"/>
      <c r="K104" s="4"/>
      <c r="L104" s="4"/>
      <c r="M104" s="4"/>
      <c r="N104" s="4"/>
      <c r="O104" s="4"/>
      <c r="P104" s="4"/>
      <c r="Q104" s="4"/>
      <c r="R104" s="4"/>
      <c r="S104" s="4"/>
      <c r="T104" s="4"/>
      <c r="U104" s="4"/>
      <c r="V104" s="4"/>
      <c r="W104" s="4"/>
      <c r="X104" s="4"/>
      <c r="Y104" s="4"/>
      <c r="Z104" s="4"/>
    </row>
    <row r="105" ht="15.75" customHeight="1">
      <c r="A105" s="23" t="s">
        <v>510</v>
      </c>
      <c r="B105" s="22" t="str">
        <f>'3조'!B90</f>
        <v>0</v>
      </c>
      <c r="C105" s="23" t="str">
        <f>'3조'!C90</f>
        <v>사용자 입장에서 usability 영향은 적다</v>
      </c>
      <c r="D105" s="22" t="str">
        <f>'3조'!D90</f>
        <v>0</v>
      </c>
      <c r="E105" s="23" t="str">
        <f>'3조'!E90</f>
        <v>사용자 입장에서 usability 영향은 적다</v>
      </c>
      <c r="F105" s="26"/>
      <c r="G105" s="4"/>
      <c r="H105" s="4"/>
      <c r="I105" s="4"/>
      <c r="J105" s="4"/>
      <c r="K105" s="4"/>
      <c r="L105" s="4"/>
      <c r="M105" s="4"/>
      <c r="N105" s="4"/>
      <c r="O105" s="4"/>
      <c r="P105" s="4"/>
      <c r="Q105" s="4"/>
      <c r="R105" s="4"/>
      <c r="S105" s="4"/>
      <c r="T105" s="4"/>
      <c r="U105" s="4"/>
      <c r="V105" s="4"/>
      <c r="W105" s="4"/>
      <c r="X105" s="4"/>
      <c r="Y105" s="4"/>
      <c r="Z105" s="4"/>
    </row>
    <row r="106" ht="15.75" customHeight="1">
      <c r="A106" s="23" t="s">
        <v>511</v>
      </c>
      <c r="B106" s="22" t="str">
        <f>'4조'!B90</f>
        <v>0</v>
      </c>
      <c r="C106" s="23" t="str">
        <f>'4조'!C90</f>
        <v>사용자에게 직접적인 영향은 없으나, 누적된 티어 간 지연이 체감 응답성을 좌우한다.</v>
      </c>
      <c r="D106" s="22" t="str">
        <f>'4조'!D90</f>
        <v>+</v>
      </c>
      <c r="E106" s="23" t="str">
        <f>'4조'!E90</f>
        <v>공통 Server의 정보를 여러 Client에서 일관되게 보여주기 좋다.</v>
      </c>
      <c r="F106" s="26"/>
      <c r="G106" s="4"/>
      <c r="H106" s="4"/>
      <c r="I106" s="4"/>
      <c r="J106" s="4"/>
      <c r="K106" s="4"/>
      <c r="L106" s="4"/>
      <c r="M106" s="4"/>
      <c r="N106" s="4"/>
      <c r="O106" s="4"/>
      <c r="P106" s="4"/>
      <c r="Q106" s="4"/>
      <c r="R106" s="4"/>
      <c r="S106" s="4"/>
      <c r="T106" s="4"/>
      <c r="U106" s="4"/>
      <c r="V106" s="4"/>
      <c r="W106" s="4"/>
      <c r="X106" s="4"/>
      <c r="Y106" s="4"/>
      <c r="Z106" s="4"/>
    </row>
    <row r="107" ht="15.75" customHeight="1">
      <c r="A107" s="23" t="s">
        <v>513</v>
      </c>
      <c r="B107" s="22" t="str">
        <f>'5조'!B90</f>
        <v>0</v>
      </c>
      <c r="C107" s="23" t="str">
        <f>'5조'!C90</f>
        <v>Presentation tier가 존재한다면, User experience 향상을 위한 다양한 지원 기능을 추가할 수 있다. 그러나 해당 tier가 없을 경우 아키텍쳐적인 이득은 없다.</v>
      </c>
      <c r="D107" s="22" t="str">
        <f>'5조'!D90</f>
        <v>0</v>
      </c>
      <c r="E107" s="23" t="str">
        <f>'5조'!E90</f>
        <v>이 아키텍처 스타일이 해당 품질속성을 직접 좌우하지 않음.</v>
      </c>
      <c r="F107" s="26"/>
      <c r="G107" s="4"/>
      <c r="H107" s="4"/>
      <c r="I107" s="4"/>
      <c r="J107" s="4"/>
      <c r="K107" s="4"/>
      <c r="L107" s="4"/>
      <c r="M107" s="4"/>
      <c r="N107" s="4"/>
      <c r="O107" s="4"/>
      <c r="P107" s="4"/>
      <c r="Q107" s="4"/>
      <c r="R107" s="4"/>
      <c r="S107" s="4"/>
      <c r="T107" s="4"/>
      <c r="U107" s="4"/>
      <c r="V107" s="4"/>
      <c r="W107" s="4"/>
      <c r="X107" s="4"/>
      <c r="Y107" s="4"/>
      <c r="Z107" s="4"/>
    </row>
    <row r="108" ht="15.75" customHeight="1">
      <c r="A108" s="23" t="s">
        <v>516</v>
      </c>
      <c r="B108" s="22" t="str">
        <f>'6조'!B90</f>
        <v>0</v>
      </c>
      <c r="C108" s="23" t="str">
        <f>'6조'!C90</f>
        <v>Multi-tier 자체가 사용자 경험을 직접 향상시키는 Architecture Style은 아니다. 다만 Presentation Tier를 독립적으로 발전시키고 Backend와 분리할 수 있어 UI/UX 개선에는 유리하다. 반면 추가적인 네트워크 latency가 UX에 영향을 줄 수 있다</v>
      </c>
      <c r="D108" s="22" t="str">
        <f>'6조'!D90</f>
        <v>+</v>
      </c>
      <c r="E108" s="23" t="str">
        <f>'6조'!E90</f>
        <v>클라이언트가 사용자 인터페이스를 제공함</v>
      </c>
      <c r="F108" s="26"/>
      <c r="G108" s="4"/>
      <c r="H108" s="4"/>
      <c r="I108" s="4"/>
      <c r="J108" s="4"/>
      <c r="K108" s="4"/>
      <c r="L108" s="4"/>
      <c r="M108" s="4"/>
      <c r="N108" s="4"/>
      <c r="O108" s="4"/>
      <c r="P108" s="4"/>
      <c r="Q108" s="4"/>
      <c r="R108" s="4"/>
      <c r="S108" s="4"/>
      <c r="T108" s="4"/>
      <c r="U108" s="4"/>
      <c r="V108" s="4"/>
      <c r="W108" s="4"/>
      <c r="X108" s="4"/>
      <c r="Y108" s="4"/>
      <c r="Z108" s="4"/>
    </row>
    <row r="109" ht="15.75" customHeight="1">
      <c r="A109" s="23" t="s">
        <v>520</v>
      </c>
      <c r="B109" s="22" t="str">
        <f>'7조'!B90</f>
        <v/>
      </c>
      <c r="C109" s="23" t="str">
        <f>'7조'!C90</f>
        <v>7조 - Multi-tier - Usability</v>
      </c>
      <c r="D109" s="22" t="str">
        <f>'7조'!D90</f>
        <v/>
      </c>
      <c r="E109" s="23" t="str">
        <f>'7조'!E90</f>
        <v>7조 - Client-Server - Usability</v>
      </c>
      <c r="F109" s="26"/>
      <c r="G109" s="4"/>
      <c r="H109" s="4"/>
      <c r="I109" s="4"/>
      <c r="J109" s="4"/>
      <c r="K109" s="4"/>
      <c r="L109" s="4"/>
      <c r="M109" s="4"/>
      <c r="N109" s="4"/>
      <c r="O109" s="4"/>
      <c r="P109" s="4"/>
      <c r="Q109" s="4"/>
      <c r="R109" s="4"/>
      <c r="S109" s="4"/>
      <c r="T109" s="4"/>
      <c r="U109" s="4"/>
      <c r="V109" s="4"/>
      <c r="W109" s="4"/>
      <c r="X109" s="4"/>
      <c r="Y109" s="4"/>
      <c r="Z109" s="4"/>
    </row>
    <row r="110" ht="15.75" customHeight="1">
      <c r="A110" s="23" t="s">
        <v>523</v>
      </c>
      <c r="B110" s="22" t="str">
        <f>'8조'!B90</f>
        <v/>
      </c>
      <c r="C110" s="23" t="str">
        <f>'8조'!C90</f>
        <v>8조 - Multi-tier - Usability</v>
      </c>
      <c r="D110" s="22" t="str">
        <f>'8조'!D90</f>
        <v/>
      </c>
      <c r="E110" s="23" t="str">
        <f>'8조'!E90</f>
        <v>8조 - Client-Server - Usability</v>
      </c>
      <c r="F110" s="26"/>
      <c r="G110" s="4"/>
      <c r="H110" s="4"/>
      <c r="I110" s="4"/>
      <c r="J110" s="4"/>
      <c r="K110" s="4"/>
      <c r="L110" s="4"/>
      <c r="M110" s="4"/>
      <c r="N110" s="4"/>
      <c r="O110" s="4"/>
      <c r="P110" s="4"/>
      <c r="Q110" s="4"/>
      <c r="R110" s="4"/>
      <c r="S110" s="4"/>
      <c r="T110" s="4"/>
      <c r="U110" s="4"/>
      <c r="V110" s="4"/>
      <c r="W110" s="4"/>
      <c r="X110" s="4"/>
      <c r="Y110" s="4"/>
      <c r="Z110" s="4"/>
    </row>
    <row r="111" ht="15.75" customHeight="1">
      <c r="A111" s="23" t="s">
        <v>526</v>
      </c>
      <c r="B111" s="22" t="str">
        <f>'9조'!B90</f>
        <v/>
      </c>
      <c r="C111" s="23" t="str">
        <f>'9조'!C90</f>
        <v>9조 - Multi-tier - Usability</v>
      </c>
      <c r="D111" s="22" t="str">
        <f>'9조'!D90</f>
        <v/>
      </c>
      <c r="E111" s="23" t="str">
        <f>'9조'!E90</f>
        <v>9조 - Client-Server - Usability</v>
      </c>
      <c r="F111" s="26"/>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8:F56"/>
    <mergeCell ref="F59:F67"/>
    <mergeCell ref="F70:F78"/>
    <mergeCell ref="F81:F89"/>
    <mergeCell ref="F92:F100"/>
    <mergeCell ref="F103:F111"/>
    <mergeCell ref="A1:A2"/>
    <mergeCell ref="B1:C1"/>
    <mergeCell ref="D1:E1"/>
    <mergeCell ref="F4:F12"/>
    <mergeCell ref="F15:F23"/>
    <mergeCell ref="F26:F34"/>
    <mergeCell ref="F37:F45"/>
  </mergeCells>
  <printOptions/>
  <pageMargins bottom="0.75" footer="0.0" header="0.0" left="0.7" right="0.7" top="0.75"/>
  <pageSetup orientation="landscape"/>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57.0"/>
    <col customWidth="1" min="4" max="4" width="7.71"/>
    <col customWidth="1" min="5" max="5" width="63.0"/>
    <col customWidth="1" min="6" max="6" width="51.0"/>
  </cols>
  <sheetData>
    <row r="1">
      <c r="A1" s="28" t="s">
        <v>493</v>
      </c>
      <c r="B1" s="29" t="s">
        <v>550</v>
      </c>
      <c r="C1" s="30"/>
      <c r="D1" s="29" t="s">
        <v>551</v>
      </c>
      <c r="E1" s="30"/>
      <c r="F1" s="24"/>
      <c r="G1" s="4"/>
      <c r="H1" s="4"/>
      <c r="I1" s="4"/>
      <c r="J1" s="4"/>
      <c r="K1" s="4"/>
      <c r="L1" s="4"/>
      <c r="M1" s="4"/>
      <c r="N1" s="4"/>
      <c r="O1" s="4"/>
      <c r="P1" s="4"/>
      <c r="Q1" s="4"/>
      <c r="R1" s="4"/>
      <c r="S1" s="4"/>
      <c r="T1" s="4"/>
      <c r="U1" s="4"/>
      <c r="V1" s="4"/>
      <c r="W1" s="4"/>
      <c r="X1" s="4"/>
      <c r="Y1" s="4"/>
      <c r="Z1" s="4"/>
    </row>
    <row r="2">
      <c r="A2" s="31"/>
      <c r="B2" s="32" t="s">
        <v>11</v>
      </c>
      <c r="C2" s="32" t="s">
        <v>12</v>
      </c>
      <c r="D2" s="32" t="s">
        <v>11</v>
      </c>
      <c r="E2" s="32" t="s">
        <v>12</v>
      </c>
      <c r="F2" s="24"/>
      <c r="G2" s="4"/>
      <c r="H2" s="4"/>
      <c r="I2" s="4"/>
      <c r="J2" s="4"/>
      <c r="K2" s="4"/>
      <c r="L2" s="4"/>
      <c r="M2" s="4"/>
      <c r="N2" s="4"/>
      <c r="O2" s="4"/>
      <c r="P2" s="4"/>
      <c r="Q2" s="4"/>
      <c r="R2" s="4"/>
      <c r="S2" s="4"/>
      <c r="T2" s="4"/>
      <c r="U2" s="4"/>
      <c r="V2" s="4"/>
      <c r="W2" s="4"/>
      <c r="X2" s="4"/>
      <c r="Y2" s="4"/>
      <c r="Z2" s="4"/>
    </row>
    <row r="3" ht="15.0" customHeight="1">
      <c r="A3" s="33" t="s">
        <v>14</v>
      </c>
      <c r="B3" s="33">
        <v>0.0</v>
      </c>
      <c r="C3" s="33">
        <v>0.0</v>
      </c>
      <c r="D3" s="33">
        <v>0.0</v>
      </c>
      <c r="E3" s="33">
        <v>0.0</v>
      </c>
      <c r="F3" s="24"/>
      <c r="G3" s="4"/>
      <c r="H3" s="4"/>
      <c r="I3" s="4"/>
      <c r="J3" s="4"/>
      <c r="K3" s="4"/>
      <c r="L3" s="4"/>
      <c r="M3" s="4"/>
      <c r="N3" s="4"/>
      <c r="O3" s="4"/>
      <c r="P3" s="4"/>
      <c r="Q3" s="4"/>
      <c r="R3" s="4"/>
      <c r="S3" s="4"/>
      <c r="T3" s="4"/>
      <c r="U3" s="4"/>
      <c r="V3" s="4"/>
      <c r="W3" s="4"/>
      <c r="X3" s="4"/>
      <c r="Y3" s="4"/>
      <c r="Z3" s="4"/>
    </row>
    <row r="4">
      <c r="A4" s="34" t="s">
        <v>502</v>
      </c>
      <c r="B4" s="35" t="str">
        <f>'1조'!B94</f>
        <v>-</v>
      </c>
      <c r="C4" s="34" t="str">
        <f>'1조'!C94</f>
        <v>[-] 중앙 Broker 장애 시 전체 분산 시스템 마비 (SPOF)</v>
      </c>
      <c r="D4" s="35" t="str">
        <f>'1조'!D94</f>
        <v>+</v>
      </c>
      <c r="E4" s="34" t="str">
        <f>'1조'!E94</f>
        <v>[+] 장애 우회: 노드 상태 감시를 통해 장애 발생 시 정상 작업 노드로 즉시 요청을 재라우팅(Failover)함.</v>
      </c>
      <c r="F4" s="36" t="s">
        <v>559</v>
      </c>
      <c r="G4" s="4"/>
      <c r="H4" s="4"/>
      <c r="I4" s="4"/>
      <c r="J4" s="4"/>
      <c r="K4" s="4"/>
      <c r="L4" s="4"/>
      <c r="M4" s="4"/>
      <c r="N4" s="4"/>
      <c r="O4" s="4"/>
      <c r="P4" s="4"/>
      <c r="Q4" s="4"/>
      <c r="R4" s="4"/>
      <c r="S4" s="4"/>
      <c r="T4" s="4"/>
      <c r="U4" s="4"/>
      <c r="V4" s="4"/>
      <c r="W4" s="4"/>
      <c r="X4" s="4"/>
      <c r="Y4" s="4"/>
      <c r="Z4" s="4"/>
    </row>
    <row r="5">
      <c r="A5" s="34" t="s">
        <v>507</v>
      </c>
      <c r="B5" s="35" t="str">
        <f>'2조'!B94</f>
        <v>--</v>
      </c>
      <c r="C5" s="34" t="str">
        <f>'2조'!C94</f>
        <v>낮은 fault tolerance 가 약점이다 — server 나 broker 가 실행 중 죽으면 이에 의존하는 모든 application 이 계속 진행할 수 없다.</v>
      </c>
      <c r="D5" s="35" t="str">
        <f>'2조'!D94</f>
        <v>++</v>
      </c>
      <c r="E5" s="34" t="str">
        <f>'2조'!E94</f>
        <v>(+) 네트워크나 서버 장애 발생 시 디스패처가 다른 장비에서 새로운 서버를 동적으로 탐색 및 활성화(Failover)할 수 있어 결함 허용성(Fault tolerance)과 고가용성을 보장함 (교안 장점 명시). / (-) 디스패처 자체 이중화 필요</v>
      </c>
      <c r="F5" s="37"/>
      <c r="G5" s="4"/>
      <c r="H5" s="4"/>
      <c r="I5" s="4"/>
      <c r="J5" s="4"/>
      <c r="K5" s="4"/>
      <c r="L5" s="4"/>
      <c r="M5" s="4"/>
      <c r="N5" s="4"/>
      <c r="O5" s="4"/>
      <c r="P5" s="4"/>
      <c r="Q5" s="4"/>
      <c r="R5" s="4"/>
      <c r="S5" s="4"/>
      <c r="T5" s="4"/>
      <c r="U5" s="4"/>
      <c r="V5" s="4"/>
      <c r="W5" s="4"/>
      <c r="X5" s="4"/>
      <c r="Y5" s="4"/>
      <c r="Z5" s="4"/>
    </row>
    <row r="6">
      <c r="A6" s="34" t="s">
        <v>510</v>
      </c>
      <c r="B6" s="35" t="str">
        <f>'3조'!B94</f>
        <v>-</v>
      </c>
      <c r="C6" s="34" t="str">
        <f>'3조'!C94</f>
        <v>Broker가 중개와 라우팅의 중심이므로 Broker 장애 시 서비스 연결 전체가 영향을 받을 수 있다.</v>
      </c>
      <c r="D6" s="35" t="str">
        <f>'3조'!D94</f>
        <v>+</v>
      </c>
      <c r="E6" s="34" t="str">
        <f>'3조'!E94</f>
        <v>통신 채널을 맺는 시점에만 디스패처를 사용하고, 데이터 송수신은 직접 수행하므로, 디스 패처 장애시에도 채널 유지 및 동적 재연결이 가능함</v>
      </c>
      <c r="F6" s="37"/>
      <c r="G6" s="4"/>
      <c r="H6" s="4"/>
      <c r="I6" s="4"/>
      <c r="J6" s="4"/>
      <c r="K6" s="4"/>
      <c r="L6" s="4"/>
      <c r="M6" s="4"/>
      <c r="N6" s="4"/>
      <c r="O6" s="4"/>
      <c r="P6" s="4"/>
      <c r="Q6" s="4"/>
      <c r="R6" s="4"/>
      <c r="S6" s="4"/>
      <c r="T6" s="4"/>
      <c r="U6" s="4"/>
      <c r="V6" s="4"/>
      <c r="W6" s="4"/>
      <c r="X6" s="4"/>
      <c r="Y6" s="4"/>
      <c r="Z6" s="4"/>
    </row>
    <row r="7">
      <c r="A7" s="34" t="s">
        <v>511</v>
      </c>
      <c r="B7" s="35" t="str">
        <f>'4조'!B94</f>
        <v>+</v>
      </c>
      <c r="C7" s="34" t="str">
        <f>'4조'!C94</f>
        <v>요청자와 처리자를 분리해 교체하기 좋지만 Broker 자체의 장애는 대비해야 한다.</v>
      </c>
      <c r="D7" s="35" t="str">
        <f>'4조'!D94</f>
        <v>0</v>
      </c>
      <c r="E7" s="34" t="str">
        <f>'4조'!E94</f>
        <v>여러 처리기로 작업을 나눌 수 있지만 Dispatcher 장애가 전체 요청에 영향을 줄 수 있다.</v>
      </c>
      <c r="F7" s="37"/>
      <c r="G7" s="4"/>
      <c r="H7" s="4"/>
      <c r="I7" s="4"/>
      <c r="J7" s="4"/>
      <c r="K7" s="4"/>
      <c r="L7" s="4"/>
      <c r="M7" s="4"/>
      <c r="N7" s="4"/>
      <c r="O7" s="4"/>
      <c r="P7" s="4"/>
      <c r="Q7" s="4"/>
      <c r="R7" s="4"/>
      <c r="S7" s="4"/>
      <c r="T7" s="4"/>
      <c r="U7" s="4"/>
      <c r="V7" s="4"/>
      <c r="W7" s="4"/>
      <c r="X7" s="4"/>
      <c r="Y7" s="4"/>
      <c r="Z7" s="4"/>
    </row>
    <row r="8">
      <c r="A8" s="34" t="s">
        <v>513</v>
      </c>
      <c r="B8" s="35" t="str">
        <f>'5조'!B94</f>
        <v>--</v>
      </c>
      <c r="C8" s="34" t="str">
        <f>'5조'!C94</f>
        <v>Server나 Broker에 장애가 발생하면 이에 의존하는 모든 application이 중단될 수 있다.</v>
      </c>
      <c r="D8" s="35" t="str">
        <f>'5조'!D94</f>
        <v>+</v>
      </c>
      <c r="E8" s="34" t="str">
        <f>'5조'!E94</f>
        <v>네트워크나 서버 장애 시 다른 머신에서 새 서버를 활성화할 수 있다.</v>
      </c>
      <c r="F8" s="37"/>
      <c r="G8" s="4"/>
      <c r="H8" s="4"/>
      <c r="I8" s="4"/>
      <c r="J8" s="4"/>
      <c r="K8" s="4"/>
      <c r="L8" s="4"/>
      <c r="M8" s="4"/>
      <c r="N8" s="4"/>
      <c r="O8" s="4"/>
      <c r="P8" s="4"/>
      <c r="Q8" s="4"/>
      <c r="R8" s="4"/>
      <c r="S8" s="4"/>
      <c r="T8" s="4"/>
      <c r="U8" s="4"/>
      <c r="V8" s="4"/>
      <c r="W8" s="4"/>
      <c r="X8" s="4"/>
      <c r="Y8" s="4"/>
      <c r="Z8" s="4"/>
    </row>
    <row r="9">
      <c r="A9" s="34" t="s">
        <v>516</v>
      </c>
      <c r="B9" s="35" t="str">
        <f>'6조'!B94</f>
        <v>-</v>
      </c>
      <c r="C9" s="34" t="str">
        <f>'6조'!C94</f>
        <v>broker의 장애가 모든 client-server간의 통신에 영향을 주기 때문에 전체 시스템이 먹통이 될 수 있다.
또한 특정 server에 장애가 생길 경우에도 전체 application이 영향을 받을 수 있다.</v>
      </c>
      <c r="D9" s="35" t="str">
        <f>'6조'!D94</f>
        <v>+</v>
      </c>
      <c r="E9" s="34" t="str">
        <f>'6조'!E94</f>
        <v>기본적으로 동등한 대상에 대해서 이중화가 이루어지기 때문에 장애로부터 복구되기 용이하기 때문에 장애 복구 시간이 짧다.</v>
      </c>
      <c r="F9" s="37"/>
      <c r="G9" s="4"/>
      <c r="H9" s="4"/>
      <c r="I9" s="4"/>
      <c r="J9" s="4"/>
      <c r="K9" s="4"/>
      <c r="L9" s="4"/>
      <c r="M9" s="4"/>
      <c r="N9" s="4"/>
      <c r="O9" s="4"/>
      <c r="P9" s="4"/>
      <c r="Q9" s="4"/>
      <c r="R9" s="4"/>
      <c r="S9" s="4"/>
      <c r="T9" s="4"/>
      <c r="U9" s="4"/>
      <c r="V9" s="4"/>
      <c r="W9" s="4"/>
      <c r="X9" s="4"/>
      <c r="Y9" s="4"/>
      <c r="Z9" s="4"/>
    </row>
    <row r="10">
      <c r="A10" s="34" t="s">
        <v>520</v>
      </c>
      <c r="B10" s="35" t="str">
        <f>'7조'!B94</f>
        <v/>
      </c>
      <c r="C10" s="34" t="str">
        <f>'7조'!C94</f>
        <v>7조 - Broker - Availability</v>
      </c>
      <c r="D10" s="35" t="str">
        <f>'7조'!D94</f>
        <v/>
      </c>
      <c r="E10" s="34" t="str">
        <f>'7조'!E94</f>
        <v>7조 - Dispatcher - Availability</v>
      </c>
      <c r="F10" s="37"/>
      <c r="G10" s="4"/>
      <c r="H10" s="4"/>
      <c r="I10" s="4"/>
      <c r="J10" s="4"/>
      <c r="K10" s="4"/>
      <c r="L10" s="4"/>
      <c r="M10" s="4"/>
      <c r="N10" s="4"/>
      <c r="O10" s="4"/>
      <c r="P10" s="4"/>
      <c r="Q10" s="4"/>
      <c r="R10" s="4"/>
      <c r="S10" s="4"/>
      <c r="T10" s="4"/>
      <c r="U10" s="4"/>
      <c r="V10" s="4"/>
      <c r="W10" s="4"/>
      <c r="X10" s="4"/>
      <c r="Y10" s="4"/>
      <c r="Z10" s="4"/>
    </row>
    <row r="11">
      <c r="A11" s="34" t="s">
        <v>523</v>
      </c>
      <c r="B11" s="35" t="str">
        <f>'8조'!B94</f>
        <v/>
      </c>
      <c r="C11" s="34" t="str">
        <f>'8조'!C94</f>
        <v>8조 - Broker - Availability</v>
      </c>
      <c r="D11" s="35" t="str">
        <f>'8조'!D94</f>
        <v/>
      </c>
      <c r="E11" s="34" t="str">
        <f>'8조'!E94</f>
        <v>8조 - Dispatcher - Availability</v>
      </c>
      <c r="F11" s="37"/>
      <c r="G11" s="4"/>
      <c r="H11" s="4"/>
      <c r="I11" s="4"/>
      <c r="J11" s="4"/>
      <c r="K11" s="4"/>
      <c r="L11" s="4"/>
      <c r="M11" s="4"/>
      <c r="N11" s="4"/>
      <c r="O11" s="4"/>
      <c r="P11" s="4"/>
      <c r="Q11" s="4"/>
      <c r="R11" s="4"/>
      <c r="S11" s="4"/>
      <c r="T11" s="4"/>
      <c r="U11" s="4"/>
      <c r="V11" s="4"/>
      <c r="W11" s="4"/>
      <c r="X11" s="4"/>
      <c r="Y11" s="4"/>
      <c r="Z11" s="4"/>
    </row>
    <row r="12">
      <c r="A12" s="34" t="s">
        <v>526</v>
      </c>
      <c r="B12" s="35" t="str">
        <f>'9조'!B94</f>
        <v/>
      </c>
      <c r="C12" s="34" t="str">
        <f>'9조'!C94</f>
        <v>9조 - Broker - Availability</v>
      </c>
      <c r="D12" s="35" t="str">
        <f>'9조'!D94</f>
        <v/>
      </c>
      <c r="E12" s="34" t="str">
        <f>'9조'!E94</f>
        <v>9조 - Dispatcher - Availability</v>
      </c>
      <c r="F12" s="37"/>
      <c r="G12" s="4"/>
      <c r="H12" s="4"/>
      <c r="I12" s="4"/>
      <c r="J12" s="4"/>
      <c r="K12" s="4"/>
      <c r="L12" s="4"/>
      <c r="M12" s="4"/>
      <c r="N12" s="4"/>
      <c r="O12" s="4"/>
      <c r="P12" s="4"/>
      <c r="Q12" s="4"/>
      <c r="R12" s="4"/>
      <c r="S12" s="4"/>
      <c r="T12" s="4"/>
      <c r="U12" s="4"/>
      <c r="V12" s="4"/>
      <c r="W12" s="4"/>
      <c r="X12" s="4"/>
      <c r="Y12" s="4"/>
      <c r="Z12" s="4"/>
    </row>
    <row r="13">
      <c r="A13" s="34"/>
      <c r="B13" s="34"/>
      <c r="C13" s="34"/>
      <c r="D13" s="34"/>
      <c r="E13" s="34"/>
      <c r="F13" s="24"/>
      <c r="G13" s="4"/>
      <c r="H13" s="4"/>
      <c r="I13" s="4"/>
      <c r="J13" s="4"/>
      <c r="K13" s="4"/>
      <c r="L13" s="4"/>
      <c r="M13" s="4"/>
      <c r="N13" s="4"/>
      <c r="O13" s="4"/>
      <c r="P13" s="4"/>
      <c r="Q13" s="4"/>
      <c r="R13" s="4"/>
      <c r="S13" s="4"/>
      <c r="T13" s="4"/>
      <c r="U13" s="4"/>
      <c r="V13" s="4"/>
      <c r="W13" s="4"/>
      <c r="X13" s="4"/>
      <c r="Y13" s="4"/>
      <c r="Z13" s="4"/>
    </row>
    <row r="14" ht="15.0" customHeight="1">
      <c r="A14" s="33" t="s">
        <v>47</v>
      </c>
      <c r="B14" s="33">
        <v>0.0</v>
      </c>
      <c r="C14" s="33">
        <v>0.0</v>
      </c>
      <c r="D14" s="33">
        <v>0.0</v>
      </c>
      <c r="E14" s="33">
        <v>0.0</v>
      </c>
      <c r="F14" s="24"/>
      <c r="G14" s="4"/>
      <c r="H14" s="4"/>
      <c r="I14" s="4"/>
      <c r="J14" s="4"/>
      <c r="K14" s="4"/>
      <c r="L14" s="4"/>
      <c r="M14" s="4"/>
      <c r="N14" s="4"/>
      <c r="O14" s="4"/>
      <c r="P14" s="4"/>
      <c r="Q14" s="4"/>
      <c r="R14" s="4"/>
      <c r="S14" s="4"/>
      <c r="T14" s="4"/>
      <c r="U14" s="4"/>
      <c r="V14" s="4"/>
      <c r="W14" s="4"/>
      <c r="X14" s="4"/>
      <c r="Y14" s="4"/>
      <c r="Z14" s="4"/>
    </row>
    <row r="15">
      <c r="A15" s="34" t="s">
        <v>502</v>
      </c>
      <c r="B15" s="35" t="str">
        <f>'1조'!B95</f>
        <v>+</v>
      </c>
      <c r="C15" s="34" t="str">
        <f>'1조'!C95</f>
        <v>[+] 위치 투명성으로 클라이언트 영향 없이 서버 독립 배포 가능</v>
      </c>
      <c r="D15" s="35" t="str">
        <f>'1조'!D95</f>
        <v>+</v>
      </c>
      <c r="E15" s="34" t="str">
        <f>'1조'!E95</f>
        <v>[+] 동적 노드 추가: 기존 시스템 중단 없이 신규 처리 노드(Worker)를 동적으로 추가 및 배포할 수 있음.</v>
      </c>
      <c r="F15" s="36" t="s">
        <v>573</v>
      </c>
      <c r="G15" s="4"/>
      <c r="H15" s="4"/>
      <c r="I15" s="4"/>
      <c r="J15" s="4"/>
      <c r="K15" s="4"/>
      <c r="L15" s="4"/>
      <c r="M15" s="4"/>
      <c r="N15" s="4"/>
      <c r="O15" s="4"/>
      <c r="P15" s="4"/>
      <c r="Q15" s="4"/>
      <c r="R15" s="4"/>
      <c r="S15" s="4"/>
      <c r="T15" s="4"/>
      <c r="U15" s="4"/>
      <c r="V15" s="4"/>
      <c r="W15" s="4"/>
      <c r="X15" s="4"/>
      <c r="Y15" s="4"/>
      <c r="Z15" s="4"/>
    </row>
    <row r="16">
      <c r="A16" s="34" t="s">
        <v>507</v>
      </c>
      <c r="B16" s="35" t="str">
        <f>'2조'!B95</f>
        <v>++</v>
      </c>
      <c r="C16" s="34" t="str">
        <f>'2조'!C95</f>
        <v>실행 중에 server component 를 추가·제거할 수 있다.(runtime changes) 무중단 배포가 된다.</v>
      </c>
      <c r="D16" s="35" t="str">
        <f>'2조'!D95</f>
        <v>++</v>
      </c>
      <c r="E16" s="34" t="str">
        <f>'2조'!E95</f>
        <v>(+) 디스패처나 클라이언트를 수정하지 않고 서버를 추가·교체할 수 있으며(Exchangeability), 어떤 서버를 어디에 배치할지 런타임에 동적으로 결정(Re-configuration)할 수 있어 배포 유연성이 탁월함 (교안 장점 명시)</v>
      </c>
      <c r="F16" s="37"/>
      <c r="G16" s="4"/>
      <c r="H16" s="4"/>
      <c r="I16" s="4"/>
      <c r="J16" s="4"/>
      <c r="K16" s="4"/>
      <c r="L16" s="4"/>
      <c r="M16" s="4"/>
      <c r="N16" s="4"/>
      <c r="O16" s="4"/>
      <c r="P16" s="4"/>
      <c r="Q16" s="4"/>
      <c r="R16" s="4"/>
      <c r="S16" s="4"/>
      <c r="T16" s="4"/>
      <c r="U16" s="4"/>
      <c r="V16" s="4"/>
      <c r="W16" s="4"/>
      <c r="X16" s="4"/>
      <c r="Y16" s="4"/>
      <c r="Z16" s="4"/>
    </row>
    <row r="17">
      <c r="A17" s="34" t="s">
        <v>510</v>
      </c>
      <c r="B17" s="35" t="str">
        <f>'3조'!B95</f>
        <v>++</v>
      </c>
      <c r="C17" s="34" t="str">
        <f>'3조'!C95</f>
        <v>client와 서버가 느슨하게 연결되어, 서비스 추가 교체 배포가 용이하다.</v>
      </c>
      <c r="D17" s="35" t="str">
        <f>'3조'!D95</f>
        <v>+</v>
      </c>
      <c r="E17" s="34" t="str">
        <f>'3조'!E95</f>
        <v>서버 추가 수정 및 Migration이 용이하므로, 런타임에 서버 배포가 용이함</v>
      </c>
      <c r="F17" s="37"/>
      <c r="G17" s="4"/>
      <c r="H17" s="4"/>
      <c r="I17" s="4"/>
      <c r="J17" s="4"/>
      <c r="K17" s="4"/>
      <c r="L17" s="4"/>
      <c r="M17" s="4"/>
      <c r="N17" s="4"/>
      <c r="O17" s="4"/>
      <c r="P17" s="4"/>
      <c r="Q17" s="4"/>
      <c r="R17" s="4"/>
      <c r="S17" s="4"/>
      <c r="T17" s="4"/>
      <c r="U17" s="4"/>
      <c r="V17" s="4"/>
      <c r="W17" s="4"/>
      <c r="X17" s="4"/>
      <c r="Y17" s="4"/>
      <c r="Z17" s="4"/>
    </row>
    <row r="18">
      <c r="A18" s="34" t="s">
        <v>511</v>
      </c>
      <c r="B18" s="35" t="str">
        <f>'4조'!B95</f>
        <v>++</v>
      </c>
      <c r="C18" s="34" t="str">
        <f>'4조'!C95</f>
        <v>서버가 런타임에 브로커에 등록되므로 클라이언트 설정을 바꾸지 않고 인스턴스를 추가·이동·교체할 수 있다.</v>
      </c>
      <c r="D18" s="35" t="str">
        <f>'4조'!D95</f>
        <v>0</v>
      </c>
      <c r="E18" s="34" t="str">
        <f>'4조'!E95</f>
        <v>처리기 역할은 나뉘지만 강한 연결 때문에 Dispatcher와 함께 배포해야 할 수 있다.</v>
      </c>
      <c r="F18" s="37"/>
      <c r="G18" s="4"/>
      <c r="H18" s="4"/>
      <c r="I18" s="4"/>
      <c r="J18" s="4"/>
      <c r="K18" s="4"/>
      <c r="L18" s="4"/>
      <c r="M18" s="4"/>
      <c r="N18" s="4"/>
      <c r="O18" s="4"/>
      <c r="P18" s="4"/>
      <c r="Q18" s="4"/>
      <c r="R18" s="4"/>
      <c r="S18" s="4"/>
      <c r="T18" s="4"/>
      <c r="U18" s="4"/>
      <c r="V18" s="4"/>
      <c r="W18" s="4"/>
      <c r="X18" s="4"/>
      <c r="Y18" s="4"/>
      <c r="Z18" s="4"/>
    </row>
    <row r="19">
      <c r="A19" s="34" t="s">
        <v>513</v>
      </c>
      <c r="B19" s="35" t="str">
        <f>'5조'!B95</f>
        <v>++</v>
      </c>
      <c r="C19" s="34" t="str">
        <f>'5조'!C95</f>
        <v>간접 계층이 OS와 네트워크 세부 사항을 Client와 Server로부터 숨겨, 다른 운영 환경으로 시스템을 이식하고 배포하기 용이하다.</v>
      </c>
      <c r="D19" s="35" t="str">
        <f>'5조'!D95</f>
        <v>+</v>
      </c>
      <c r="E19" s="34" t="str">
        <f>'5조'!E95</f>
        <v>어떤 서버를 어디에 둘지 시작 시점 또는 이후에 결정할 수 있고, 서버를 dispatcher·client 수정 없이 추가·변경할 수 있다.</v>
      </c>
      <c r="F19" s="37"/>
      <c r="G19" s="4"/>
      <c r="H19" s="4"/>
      <c r="I19" s="4"/>
      <c r="J19" s="4"/>
      <c r="K19" s="4"/>
      <c r="L19" s="4"/>
      <c r="M19" s="4"/>
      <c r="N19" s="4"/>
      <c r="O19" s="4"/>
      <c r="P19" s="4"/>
      <c r="Q19" s="4"/>
      <c r="R19" s="4"/>
      <c r="S19" s="4"/>
      <c r="T19" s="4"/>
      <c r="U19" s="4"/>
      <c r="V19" s="4"/>
      <c r="W19" s="4"/>
      <c r="X19" s="4"/>
      <c r="Y19" s="4"/>
      <c r="Z19" s="4"/>
    </row>
    <row r="20">
      <c r="A20" s="34" t="s">
        <v>516</v>
      </c>
      <c r="B20" s="35" t="str">
        <f>'6조'!B95</f>
        <v>+</v>
      </c>
      <c r="C20" s="34" t="str">
        <f>'6조'!C95</f>
        <v>runtime 중 server의 추가/삭제가 용이하다.</v>
      </c>
      <c r="D20" s="35" t="str">
        <f>'6조'!D95</f>
        <v>+</v>
      </c>
      <c r="E20" s="34" t="str">
        <f>'6조'!E95</f>
        <v>클라이언트가 연결되어 있지 않은 상황에서 다른 머신에 배포시키기가 수월.</v>
      </c>
      <c r="F20" s="37"/>
      <c r="G20" s="4"/>
      <c r="H20" s="4"/>
      <c r="I20" s="4"/>
      <c r="J20" s="4"/>
      <c r="K20" s="4"/>
      <c r="L20" s="4"/>
      <c r="M20" s="4"/>
      <c r="N20" s="4"/>
      <c r="O20" s="4"/>
      <c r="P20" s="4"/>
      <c r="Q20" s="4"/>
      <c r="R20" s="4"/>
      <c r="S20" s="4"/>
      <c r="T20" s="4"/>
      <c r="U20" s="4"/>
      <c r="V20" s="4"/>
      <c r="W20" s="4"/>
      <c r="X20" s="4"/>
      <c r="Y20" s="4"/>
      <c r="Z20" s="4"/>
    </row>
    <row r="21" ht="15.75" customHeight="1">
      <c r="A21" s="34" t="s">
        <v>520</v>
      </c>
      <c r="B21" s="35" t="str">
        <f>'7조'!B95</f>
        <v/>
      </c>
      <c r="C21" s="34" t="str">
        <f>'7조'!C95</f>
        <v>7조 - Broker - Deployability</v>
      </c>
      <c r="D21" s="35" t="str">
        <f>'7조'!D95</f>
        <v/>
      </c>
      <c r="E21" s="34" t="str">
        <f>'7조'!E95</f>
        <v>7조 - Dispatcher - Deployability</v>
      </c>
      <c r="F21" s="37"/>
      <c r="G21" s="4"/>
      <c r="H21" s="4"/>
      <c r="I21" s="4"/>
      <c r="J21" s="4"/>
      <c r="K21" s="4"/>
      <c r="L21" s="4"/>
      <c r="M21" s="4"/>
      <c r="N21" s="4"/>
      <c r="O21" s="4"/>
      <c r="P21" s="4"/>
      <c r="Q21" s="4"/>
      <c r="R21" s="4"/>
      <c r="S21" s="4"/>
      <c r="T21" s="4"/>
      <c r="U21" s="4"/>
      <c r="V21" s="4"/>
      <c r="W21" s="4"/>
      <c r="X21" s="4"/>
      <c r="Y21" s="4"/>
      <c r="Z21" s="4"/>
    </row>
    <row r="22" ht="15.75" customHeight="1">
      <c r="A22" s="34" t="s">
        <v>523</v>
      </c>
      <c r="B22" s="35" t="str">
        <f>'8조'!B95</f>
        <v/>
      </c>
      <c r="C22" s="34" t="str">
        <f>'8조'!C95</f>
        <v>8조 - Broker - Deployability</v>
      </c>
      <c r="D22" s="35" t="str">
        <f>'8조'!D95</f>
        <v/>
      </c>
      <c r="E22" s="34" t="str">
        <f>'8조'!E95</f>
        <v>8조 - Dispatcher - Deployability</v>
      </c>
      <c r="F22" s="37"/>
      <c r="G22" s="4"/>
      <c r="H22" s="4"/>
      <c r="I22" s="4"/>
      <c r="J22" s="4"/>
      <c r="K22" s="4"/>
      <c r="L22" s="4"/>
      <c r="M22" s="4"/>
      <c r="N22" s="4"/>
      <c r="O22" s="4"/>
      <c r="P22" s="4"/>
      <c r="Q22" s="4"/>
      <c r="R22" s="4"/>
      <c r="S22" s="4"/>
      <c r="T22" s="4"/>
      <c r="U22" s="4"/>
      <c r="V22" s="4"/>
      <c r="W22" s="4"/>
      <c r="X22" s="4"/>
      <c r="Y22" s="4"/>
      <c r="Z22" s="4"/>
    </row>
    <row r="23" ht="15.75" customHeight="1">
      <c r="A23" s="34" t="s">
        <v>526</v>
      </c>
      <c r="B23" s="35" t="str">
        <f>'9조'!B95</f>
        <v/>
      </c>
      <c r="C23" s="34" t="str">
        <f>'9조'!C95</f>
        <v>9조 - Broker - Deployability</v>
      </c>
      <c r="D23" s="35" t="str">
        <f>'9조'!D95</f>
        <v/>
      </c>
      <c r="E23" s="34" t="str">
        <f>'9조'!E95</f>
        <v>9조 - Dispatcher - Deployability</v>
      </c>
      <c r="F23" s="37"/>
      <c r="G23" s="4"/>
      <c r="H23" s="4"/>
      <c r="I23" s="4"/>
      <c r="J23" s="4"/>
      <c r="K23" s="4"/>
      <c r="L23" s="4"/>
      <c r="M23" s="4"/>
      <c r="N23" s="4"/>
      <c r="O23" s="4"/>
      <c r="P23" s="4"/>
      <c r="Q23" s="4"/>
      <c r="R23" s="4"/>
      <c r="S23" s="4"/>
      <c r="T23" s="4"/>
      <c r="U23" s="4"/>
      <c r="V23" s="4"/>
      <c r="W23" s="4"/>
      <c r="X23" s="4"/>
      <c r="Y23" s="4"/>
      <c r="Z23" s="4"/>
    </row>
    <row r="24" ht="15.75" customHeight="1">
      <c r="A24" s="34"/>
      <c r="B24" s="34"/>
      <c r="C24" s="34"/>
      <c r="D24" s="34"/>
      <c r="E24" s="34"/>
      <c r="F24" s="24"/>
      <c r="G24" s="4"/>
      <c r="H24" s="4"/>
      <c r="I24" s="4"/>
      <c r="J24" s="4"/>
      <c r="K24" s="4"/>
      <c r="L24" s="4"/>
      <c r="M24" s="4"/>
      <c r="N24" s="4"/>
      <c r="O24" s="4"/>
      <c r="P24" s="4"/>
      <c r="Q24" s="4"/>
      <c r="R24" s="4"/>
      <c r="S24" s="4"/>
      <c r="T24" s="4"/>
      <c r="U24" s="4"/>
      <c r="V24" s="4"/>
      <c r="W24" s="4"/>
      <c r="X24" s="4"/>
      <c r="Y24" s="4"/>
      <c r="Z24" s="4"/>
    </row>
    <row r="25" ht="15.0" customHeight="1">
      <c r="A25" s="33" t="s">
        <v>80</v>
      </c>
      <c r="B25" s="33">
        <v>0.0</v>
      </c>
      <c r="C25" s="33">
        <v>0.0</v>
      </c>
      <c r="D25" s="33">
        <v>0.0</v>
      </c>
      <c r="E25" s="33">
        <v>0.0</v>
      </c>
      <c r="F25" s="24"/>
      <c r="G25" s="4"/>
      <c r="H25" s="4"/>
      <c r="I25" s="4"/>
      <c r="J25" s="4"/>
      <c r="K25" s="4"/>
      <c r="L25" s="4"/>
      <c r="M25" s="4"/>
      <c r="N25" s="4"/>
      <c r="O25" s="4"/>
      <c r="P25" s="4"/>
      <c r="Q25" s="4"/>
      <c r="R25" s="4"/>
      <c r="S25" s="4"/>
      <c r="T25" s="4"/>
      <c r="U25" s="4"/>
      <c r="V25" s="4"/>
      <c r="W25" s="4"/>
      <c r="X25" s="4"/>
      <c r="Y25" s="4"/>
      <c r="Z25" s="4"/>
    </row>
    <row r="26" ht="15.75" customHeight="1">
      <c r="A26" s="34" t="s">
        <v>502</v>
      </c>
      <c r="B26" s="35" t="str">
        <f>'1조'!B96</f>
        <v>++</v>
      </c>
      <c r="C26" s="34" t="str">
        <f>'1조'!C96</f>
        <v>[++] 이종 언어/플랫폼 간 표준 규격을 통한 통합 극대화</v>
      </c>
      <c r="D26" s="35" t="str">
        <f>'1조'!D96</f>
        <v>+</v>
      </c>
      <c r="E26" s="34" t="str">
        <f>'1조'!E96</f>
        <v>[+] 워커 확장: 동일한 작업 인터페이스 규격을 갖춘 신규 노드를 쉽게 라우팅 대상으로 통합함.</v>
      </c>
      <c r="F26" s="36" t="s">
        <v>589</v>
      </c>
      <c r="G26" s="4"/>
      <c r="H26" s="4"/>
      <c r="I26" s="4"/>
      <c r="J26" s="4"/>
      <c r="K26" s="4"/>
      <c r="L26" s="4"/>
      <c r="M26" s="4"/>
      <c r="N26" s="4"/>
      <c r="O26" s="4"/>
      <c r="P26" s="4"/>
      <c r="Q26" s="4"/>
      <c r="R26" s="4"/>
      <c r="S26" s="4"/>
      <c r="T26" s="4"/>
      <c r="U26" s="4"/>
      <c r="V26" s="4"/>
      <c r="W26" s="4"/>
      <c r="X26" s="4"/>
      <c r="Y26" s="4"/>
      <c r="Z26" s="4"/>
    </row>
    <row r="27" ht="15.75" customHeight="1">
      <c r="A27" s="34" t="s">
        <v>507</v>
      </c>
      <c r="B27" s="35" t="str">
        <f>'2조'!B96</f>
        <v>++</v>
      </c>
      <c r="C27" s="34" t="str">
        <f>'2조'!C96</f>
        <v>bridge 가 공통 프로토콜을 구현하면 서로 다른 Broker 시스템끼리 상호운용할 수 있고, 기존 서비스를 재사용해 새 application 을 구성할 수 있다.</v>
      </c>
      <c r="D27" s="35" t="str">
        <f>'2조'!D96</f>
        <v>+</v>
      </c>
      <c r="E27" s="34" t="str">
        <f>'2조'!E96</f>
        <v>server 는 dispatcher 에 등록만 하면 붙는다. 다만 dispatcher 의 interface 변경에 민감하다는 것이 교안의 약점이다</v>
      </c>
      <c r="F27" s="37"/>
      <c r="G27" s="4"/>
      <c r="H27" s="4"/>
      <c r="I27" s="4"/>
      <c r="J27" s="4"/>
      <c r="K27" s="4"/>
      <c r="L27" s="4"/>
      <c r="M27" s="4"/>
      <c r="N27" s="4"/>
      <c r="O27" s="4"/>
      <c r="P27" s="4"/>
      <c r="Q27" s="4"/>
      <c r="R27" s="4"/>
      <c r="S27" s="4"/>
      <c r="T27" s="4"/>
      <c r="U27" s="4"/>
      <c r="V27" s="4"/>
      <c r="W27" s="4"/>
      <c r="X27" s="4"/>
      <c r="Y27" s="4"/>
      <c r="Z27" s="4"/>
    </row>
    <row r="28" ht="15.75" customHeight="1">
      <c r="A28" s="34" t="s">
        <v>510</v>
      </c>
      <c r="B28" s="35" t="str">
        <f>'3조'!B96</f>
        <v>++</v>
      </c>
      <c r="C28" s="34" t="str">
        <f>'3조'!C96</f>
        <v>Broker가 위치, 호출 방식, 프로토콜 차이를 중개하므로 Client와 Server가 직접 알지 않아도 이기종 서비스를 통합하기 쉽다.</v>
      </c>
      <c r="D28" s="35" t="str">
        <f>'3조'!D96</f>
        <v>+</v>
      </c>
      <c r="E28" s="34" t="str">
        <f>'3조'!E96</f>
        <v>Dispatcher가 요청을 적절한 처리 대상으로 전달하므로 여러 서비스나 서버를 하나의 진입점 뒤에 통합하기 쉽다</v>
      </c>
      <c r="F28" s="37"/>
      <c r="G28" s="4"/>
      <c r="H28" s="4"/>
      <c r="I28" s="4"/>
      <c r="J28" s="4"/>
      <c r="K28" s="4"/>
      <c r="L28" s="4"/>
      <c r="M28" s="4"/>
      <c r="N28" s="4"/>
      <c r="O28" s="4"/>
      <c r="P28" s="4"/>
      <c r="Q28" s="4"/>
      <c r="R28" s="4"/>
      <c r="S28" s="4"/>
      <c r="T28" s="4"/>
      <c r="U28" s="4"/>
      <c r="V28" s="4"/>
      <c r="W28" s="4"/>
      <c r="X28" s="4"/>
      <c r="Y28" s="4"/>
      <c r="Z28" s="4"/>
    </row>
    <row r="29" ht="15.75" customHeight="1">
      <c r="A29" s="34" t="s">
        <v>511</v>
      </c>
      <c r="B29" s="35" t="str">
        <f>'4조'!B96</f>
        <v>++</v>
      </c>
      <c r="C29" s="34" t="str">
        <f>'4조'!C96</f>
        <v>Broker가 연결을 중개하므로 서로 다른 구성요소를 추가·연결하기 매우 좋다.</v>
      </c>
      <c r="D29" s="35" t="str">
        <f>'4조'!D96</f>
        <v>-</v>
      </c>
      <c r="E29" s="34" t="str">
        <f>'4조'!E96</f>
        <v>새 처리기를 연결할 때 Dispatcher의 배분 규칙과 직접 연결을 함께 맞춰야 한다.</v>
      </c>
      <c r="F29" s="37"/>
      <c r="G29" s="4"/>
      <c r="H29" s="4"/>
      <c r="I29" s="4"/>
      <c r="J29" s="4"/>
      <c r="K29" s="4"/>
      <c r="L29" s="4"/>
      <c r="M29" s="4"/>
      <c r="N29" s="4"/>
      <c r="O29" s="4"/>
      <c r="P29" s="4"/>
      <c r="Q29" s="4"/>
      <c r="R29" s="4"/>
      <c r="S29" s="4"/>
      <c r="T29" s="4"/>
      <c r="U29" s="4"/>
      <c r="V29" s="4"/>
      <c r="W29" s="4"/>
      <c r="X29" s="4"/>
      <c r="Y29" s="4"/>
      <c r="Z29" s="4"/>
    </row>
    <row r="30" ht="15.75" customHeight="1">
      <c r="A30" s="34" t="s">
        <v>513</v>
      </c>
      <c r="B30" s="35" t="str">
        <f>'5조'!B96</f>
        <v>++</v>
      </c>
      <c r="C30" s="34" t="str">
        <f>'5조'!C96</f>
        <v>Broker가 위치·통신 세부사항을 중개하여 이기종 서비스 연결이 용이하다.</v>
      </c>
      <c r="D30" s="35" t="str">
        <f>'5조'!D96</f>
        <v>+</v>
      </c>
      <c r="E30" s="34" t="str">
        <f>'5조'!E96</f>
        <v>서버 교환성(exchangeability of servers), 위치·이관 투명성(location and migration transparency)으로 서버를 다른 머신으로 동적 이주할 수 있다.</v>
      </c>
      <c r="F30" s="37"/>
      <c r="G30" s="4"/>
      <c r="H30" s="4"/>
      <c r="I30" s="4"/>
      <c r="J30" s="4"/>
      <c r="K30" s="4"/>
      <c r="L30" s="4"/>
      <c r="M30" s="4"/>
      <c r="N30" s="4"/>
      <c r="O30" s="4"/>
      <c r="P30" s="4"/>
      <c r="Q30" s="4"/>
      <c r="R30" s="4"/>
      <c r="S30" s="4"/>
      <c r="T30" s="4"/>
      <c r="U30" s="4"/>
      <c r="V30" s="4"/>
      <c r="W30" s="4"/>
      <c r="X30" s="4"/>
      <c r="Y30" s="4"/>
      <c r="Z30" s="4"/>
    </row>
    <row r="31" ht="15.75" customHeight="1">
      <c r="A31" s="34" t="s">
        <v>516</v>
      </c>
      <c r="B31" s="35" t="str">
        <f>'6조'!B96</f>
        <v>++</v>
      </c>
      <c r="C31" s="34" t="str">
        <f>'6조'!C96</f>
        <v>bridge를 통해 다른 format의 protocol을 사용하는 여러 broker를 연결할 수 있다.</v>
      </c>
      <c r="D31" s="35" t="str">
        <f>'6조'!D96</f>
        <v>-</v>
      </c>
      <c r="E31" s="34" t="str">
        <f>'6조'!E96</f>
        <v>동일 인터페이스인 인스턴스를 추가하는 비용은 거의 없지만 호환되지 않는 인터페이스라면 통합되기 어려움 (이건 브로커의 역할)</v>
      </c>
      <c r="F31" s="37"/>
      <c r="G31" s="4"/>
      <c r="H31" s="4"/>
      <c r="I31" s="4"/>
      <c r="J31" s="4"/>
      <c r="K31" s="4"/>
      <c r="L31" s="4"/>
      <c r="M31" s="4"/>
      <c r="N31" s="4"/>
      <c r="O31" s="4"/>
      <c r="P31" s="4"/>
      <c r="Q31" s="4"/>
      <c r="R31" s="4"/>
      <c r="S31" s="4"/>
      <c r="T31" s="4"/>
      <c r="U31" s="4"/>
      <c r="V31" s="4"/>
      <c r="W31" s="4"/>
      <c r="X31" s="4"/>
      <c r="Y31" s="4"/>
      <c r="Z31" s="4"/>
    </row>
    <row r="32" ht="15.75" customHeight="1">
      <c r="A32" s="34" t="s">
        <v>520</v>
      </c>
      <c r="B32" s="35" t="str">
        <f>'7조'!B96</f>
        <v/>
      </c>
      <c r="C32" s="34" t="str">
        <f>'7조'!C96</f>
        <v>7조 - Broker - Integrability</v>
      </c>
      <c r="D32" s="35" t="str">
        <f>'7조'!D96</f>
        <v/>
      </c>
      <c r="E32" s="34" t="str">
        <f>'7조'!E96</f>
        <v>7조 - Dispatcher - Integrability</v>
      </c>
      <c r="F32" s="37"/>
      <c r="G32" s="4"/>
      <c r="H32" s="4"/>
      <c r="I32" s="4"/>
      <c r="J32" s="4"/>
      <c r="K32" s="4"/>
      <c r="L32" s="4"/>
      <c r="M32" s="4"/>
      <c r="N32" s="4"/>
      <c r="O32" s="4"/>
      <c r="P32" s="4"/>
      <c r="Q32" s="4"/>
      <c r="R32" s="4"/>
      <c r="S32" s="4"/>
      <c r="T32" s="4"/>
      <c r="U32" s="4"/>
      <c r="V32" s="4"/>
      <c r="W32" s="4"/>
      <c r="X32" s="4"/>
      <c r="Y32" s="4"/>
      <c r="Z32" s="4"/>
    </row>
    <row r="33" ht="15.75" customHeight="1">
      <c r="A33" s="34" t="s">
        <v>523</v>
      </c>
      <c r="B33" s="35" t="str">
        <f>'8조'!B96</f>
        <v/>
      </c>
      <c r="C33" s="34" t="str">
        <f>'8조'!C96</f>
        <v>8조 - Broker - Integrability</v>
      </c>
      <c r="D33" s="35" t="str">
        <f>'8조'!D96</f>
        <v/>
      </c>
      <c r="E33" s="34" t="str">
        <f>'8조'!E96</f>
        <v>8조 - Dispatcher - Integrability</v>
      </c>
      <c r="F33" s="37"/>
      <c r="G33" s="4"/>
      <c r="H33" s="4"/>
      <c r="I33" s="4"/>
      <c r="J33" s="4"/>
      <c r="K33" s="4"/>
      <c r="L33" s="4"/>
      <c r="M33" s="4"/>
      <c r="N33" s="4"/>
      <c r="O33" s="4"/>
      <c r="P33" s="4"/>
      <c r="Q33" s="4"/>
      <c r="R33" s="4"/>
      <c r="S33" s="4"/>
      <c r="T33" s="4"/>
      <c r="U33" s="4"/>
      <c r="V33" s="4"/>
      <c r="W33" s="4"/>
      <c r="X33" s="4"/>
      <c r="Y33" s="4"/>
      <c r="Z33" s="4"/>
    </row>
    <row r="34" ht="15.75" customHeight="1">
      <c r="A34" s="34" t="s">
        <v>526</v>
      </c>
      <c r="B34" s="35" t="str">
        <f>'9조'!B96</f>
        <v/>
      </c>
      <c r="C34" s="34" t="str">
        <f>'9조'!C96</f>
        <v>9조 - Broker - Integrability</v>
      </c>
      <c r="D34" s="35" t="str">
        <f>'9조'!D96</f>
        <v/>
      </c>
      <c r="E34" s="34" t="str">
        <f>'9조'!E96</f>
        <v>9조 - Dispatcher - Integrability</v>
      </c>
      <c r="F34" s="37"/>
      <c r="G34" s="4"/>
      <c r="H34" s="4"/>
      <c r="I34" s="4"/>
      <c r="J34" s="4"/>
      <c r="K34" s="4"/>
      <c r="L34" s="4"/>
      <c r="M34" s="4"/>
      <c r="N34" s="4"/>
      <c r="O34" s="4"/>
      <c r="P34" s="4"/>
      <c r="Q34" s="4"/>
      <c r="R34" s="4"/>
      <c r="S34" s="4"/>
      <c r="T34" s="4"/>
      <c r="U34" s="4"/>
      <c r="V34" s="4"/>
      <c r="W34" s="4"/>
      <c r="X34" s="4"/>
      <c r="Y34" s="4"/>
      <c r="Z34" s="4"/>
    </row>
    <row r="35" ht="15.75" customHeight="1">
      <c r="A35" s="34"/>
      <c r="B35" s="34"/>
      <c r="C35" s="34"/>
      <c r="D35" s="34"/>
      <c r="E35" s="34"/>
      <c r="F35" s="24"/>
      <c r="G35" s="4"/>
      <c r="H35" s="4"/>
      <c r="I35" s="4"/>
      <c r="J35" s="4"/>
      <c r="K35" s="4"/>
      <c r="L35" s="4"/>
      <c r="M35" s="4"/>
      <c r="N35" s="4"/>
      <c r="O35" s="4"/>
      <c r="P35" s="4"/>
      <c r="Q35" s="4"/>
      <c r="R35" s="4"/>
      <c r="S35" s="4"/>
      <c r="T35" s="4"/>
      <c r="U35" s="4"/>
      <c r="V35" s="4"/>
      <c r="W35" s="4"/>
      <c r="X35" s="4"/>
      <c r="Y35" s="4"/>
      <c r="Z35" s="4"/>
    </row>
    <row r="36" ht="15.75" customHeight="1">
      <c r="A36" s="33" t="s">
        <v>117</v>
      </c>
      <c r="B36" s="33">
        <v>0.0</v>
      </c>
      <c r="C36" s="33">
        <v>0.0</v>
      </c>
      <c r="D36" s="33">
        <v>0.0</v>
      </c>
      <c r="E36" s="33">
        <v>0.0</v>
      </c>
      <c r="F36" s="24"/>
      <c r="G36" s="4"/>
      <c r="H36" s="4"/>
      <c r="I36" s="4"/>
      <c r="J36" s="4"/>
      <c r="K36" s="4"/>
      <c r="L36" s="4"/>
      <c r="M36" s="4"/>
      <c r="N36" s="4"/>
      <c r="O36" s="4"/>
      <c r="P36" s="4"/>
      <c r="Q36" s="4"/>
      <c r="R36" s="4"/>
      <c r="S36" s="4"/>
      <c r="T36" s="4"/>
      <c r="U36" s="4"/>
      <c r="V36" s="4"/>
      <c r="W36" s="4"/>
      <c r="X36" s="4"/>
      <c r="Y36" s="4"/>
      <c r="Z36" s="4"/>
    </row>
    <row r="37" ht="15.75" customHeight="1">
      <c r="A37" s="34" t="s">
        <v>502</v>
      </c>
      <c r="B37" s="35" t="str">
        <f>'1조'!B97</f>
        <v>-</v>
      </c>
      <c r="C37" s="34" t="str">
        <f>'1조'!C97</f>
        <v>[-] 메시지 마샬링 및 네트워크 중계 연산으로 전력 소비 증가</v>
      </c>
      <c r="D37" s="35" t="str">
        <f>'1조'!D97</f>
        <v>0</v>
      </c>
      <c r="E37" s="34" t="str">
        <f>'1조'!E97</f>
        <v>[+] 부하 평형: 작업 부하를 균등하게 분산시켜 특정 노드의 과부하 및 자원 낭비를 방지함.
[-] 모니터링 소모: Dispatcher의 상시 모니터링 및 라우팅 연산으로 인한 지속적인 전력 소모가 발생함.</v>
      </c>
      <c r="F37" s="36" t="s">
        <v>607</v>
      </c>
      <c r="G37" s="4"/>
      <c r="H37" s="4"/>
      <c r="I37" s="4"/>
      <c r="J37" s="4"/>
      <c r="K37" s="4"/>
      <c r="L37" s="4"/>
      <c r="M37" s="4"/>
      <c r="N37" s="4"/>
      <c r="O37" s="4"/>
      <c r="P37" s="4"/>
      <c r="Q37" s="4"/>
      <c r="R37" s="4"/>
      <c r="S37" s="4"/>
      <c r="T37" s="4"/>
      <c r="U37" s="4"/>
      <c r="V37" s="4"/>
      <c r="W37" s="4"/>
      <c r="X37" s="4"/>
      <c r="Y37" s="4"/>
      <c r="Z37" s="4"/>
    </row>
    <row r="38" ht="15.75" customHeight="1">
      <c r="A38" s="34" t="s">
        <v>507</v>
      </c>
      <c r="B38" s="35" t="str">
        <f>'2조'!B97</f>
        <v>--</v>
      </c>
      <c r="C38" s="34" t="str">
        <f>'2조'!C97</f>
        <v>모든 통신이 프록시와 브로커를 경유하는 다단계 간접 호출로 이루어져 데이터 직렬화, 패킷 포워딩 및 네트워크 왕복에 따른 자원 낭비가 매우 심함.</v>
      </c>
      <c r="D38" s="35" t="str">
        <f>'2조'!D97</f>
        <v>+</v>
      </c>
      <c r="E38" s="34" t="str">
        <f>'2조'!E97</f>
        <v>(+) 디스패처는 초기 연결 채널 수립만 지원하고 이후 데이터 통신은 클라이언트-서버 간 직접 수행되므로, 브로커 방식 대비 불필요한 중계 통신 오버헤드가 없어 자원 소비가 효율적임 (교안 장점 명시)</v>
      </c>
      <c r="F38" s="37"/>
      <c r="G38" s="4"/>
      <c r="H38" s="4"/>
      <c r="I38" s="4"/>
      <c r="J38" s="4"/>
      <c r="K38" s="4"/>
      <c r="L38" s="4"/>
      <c r="M38" s="4"/>
      <c r="N38" s="4"/>
      <c r="O38" s="4"/>
      <c r="P38" s="4"/>
      <c r="Q38" s="4"/>
      <c r="R38" s="4"/>
      <c r="S38" s="4"/>
      <c r="T38" s="4"/>
      <c r="U38" s="4"/>
      <c r="V38" s="4"/>
      <c r="W38" s="4"/>
      <c r="X38" s="4"/>
      <c r="Y38" s="4"/>
      <c r="Z38" s="4"/>
    </row>
    <row r="39" ht="15.75" customHeight="1">
      <c r="A39" s="34" t="s">
        <v>510</v>
      </c>
      <c r="B39" s="35" t="str">
        <f>'3조'!B97</f>
        <v>-</v>
      </c>
      <c r="C39" s="34" t="str">
        <f>'3조'!C97</f>
        <v>Broker를 거치면서 중개, 라우팅, 등록 정보 조회, 메시지 변환 등의 추가 처리와 통신 overhead가 발생한다.</v>
      </c>
      <c r="D39" s="35" t="str">
        <f>'3조'!D97</f>
        <v>-</v>
      </c>
      <c r="E39" s="34" t="str">
        <f>'3조'!E97</f>
        <v>직접 호출보다 Dispatcher를 통한 요청 전달 단계가 추가되므로 통신과 처리 overhead가 늘 수 있다.</v>
      </c>
      <c r="F39" s="37"/>
      <c r="G39" s="4"/>
      <c r="H39" s="4"/>
      <c r="I39" s="4"/>
      <c r="J39" s="4"/>
      <c r="K39" s="4"/>
      <c r="L39" s="4"/>
      <c r="M39" s="4"/>
      <c r="N39" s="4"/>
      <c r="O39" s="4"/>
      <c r="P39" s="4"/>
      <c r="Q39" s="4"/>
      <c r="R39" s="4"/>
      <c r="S39" s="4"/>
      <c r="T39" s="4"/>
      <c r="U39" s="4"/>
      <c r="V39" s="4"/>
      <c r="W39" s="4"/>
      <c r="X39" s="4"/>
      <c r="Y39" s="4"/>
      <c r="Z39" s="4"/>
    </row>
    <row r="40" ht="15.75" customHeight="1">
      <c r="A40" s="34" t="s">
        <v>511</v>
      </c>
      <c r="B40" s="35" t="str">
        <f>'4조'!B97</f>
        <v>--</v>
      </c>
      <c r="C40" s="34" t="str">
        <f>'4조'!C97</f>
        <v>역할을 나누어 운영하는 비용에 중개와 데이터 변환 비용까지 더해진다.</v>
      </c>
      <c r="D40" s="35" t="str">
        <f>'4조'!D97</f>
        <v>0</v>
      </c>
      <c r="E40" s="34" t="str">
        <f>'4조'!E97</f>
        <v>직접 연결 비용은 적지만 여러 처리기를 동시에 운영하는 비용이 있다.</v>
      </c>
      <c r="F40" s="37"/>
      <c r="G40" s="4"/>
      <c r="H40" s="4"/>
      <c r="I40" s="4"/>
      <c r="J40" s="4"/>
      <c r="K40" s="4"/>
      <c r="L40" s="4"/>
      <c r="M40" s="4"/>
      <c r="N40" s="4"/>
      <c r="O40" s="4"/>
      <c r="P40" s="4"/>
      <c r="Q40" s="4"/>
      <c r="R40" s="4"/>
      <c r="S40" s="4"/>
      <c r="T40" s="4"/>
      <c r="U40" s="4"/>
      <c r="V40" s="4"/>
      <c r="W40" s="4"/>
      <c r="X40" s="4"/>
      <c r="Y40" s="4"/>
      <c r="Z40" s="4"/>
    </row>
    <row r="41" ht="15.75" customHeight="1">
      <c r="A41" s="34" t="s">
        <v>513</v>
      </c>
      <c r="B41" s="35" t="str">
        <f>'5조'!B97</f>
        <v>-</v>
      </c>
      <c r="C41" s="34" t="str">
        <f>'5조'!C97</f>
        <v>Proxy 및 Broker를 거치는 간접 호출 단계가 많아 자원 소모가 크다.</v>
      </c>
      <c r="D41" s="35" t="str">
        <f>'5조'!D97</f>
        <v>-</v>
      </c>
      <c r="E41" s="34" t="str">
        <f>'5조'!E97</f>
        <v>dispatcher를 거치는 오버헤드(dispatcher overhead)가 있다.</v>
      </c>
      <c r="F41" s="37"/>
      <c r="G41" s="4"/>
      <c r="H41" s="4"/>
      <c r="I41" s="4"/>
      <c r="J41" s="4"/>
      <c r="K41" s="4"/>
      <c r="L41" s="4"/>
      <c r="M41" s="4"/>
      <c r="N41" s="4"/>
      <c r="O41" s="4"/>
      <c r="P41" s="4"/>
      <c r="Q41" s="4"/>
      <c r="R41" s="4"/>
      <c r="S41" s="4"/>
      <c r="T41" s="4"/>
      <c r="U41" s="4"/>
      <c r="V41" s="4"/>
      <c r="W41" s="4"/>
      <c r="X41" s="4"/>
      <c r="Y41" s="4"/>
      <c r="Z41" s="4"/>
    </row>
    <row r="42" ht="15.75" customHeight="1">
      <c r="A42" s="34" t="s">
        <v>516</v>
      </c>
      <c r="B42" s="35" t="str">
        <f>'6조'!B97</f>
        <v>-</v>
      </c>
      <c r="C42" s="34" t="str">
        <f>'6조'!C97</f>
        <v>동시성을 띄고 broker와의 통신 overhead 때문에 에너지 소모가 높다. </v>
      </c>
      <c r="D42" s="35" t="str">
        <f>'6조'!D97</f>
        <v>0</v>
      </c>
      <c r="E42" s="34" t="str">
        <f>'6조'!E97</f>
        <v>Dispatcher와 발생되는 통신비용이 오버헤드가 될 수 있지만 누구와 통신을 할지 식별이 된 이후에는 Dispatcher를 거치지 않음</v>
      </c>
      <c r="F42" s="37"/>
      <c r="G42" s="4"/>
      <c r="H42" s="4"/>
      <c r="I42" s="4"/>
      <c r="J42" s="4"/>
      <c r="K42" s="4"/>
      <c r="L42" s="4"/>
      <c r="M42" s="4"/>
      <c r="N42" s="4"/>
      <c r="O42" s="4"/>
      <c r="P42" s="4"/>
      <c r="Q42" s="4"/>
      <c r="R42" s="4"/>
      <c r="S42" s="4"/>
      <c r="T42" s="4"/>
      <c r="U42" s="4"/>
      <c r="V42" s="4"/>
      <c r="W42" s="4"/>
      <c r="X42" s="4"/>
      <c r="Y42" s="4"/>
      <c r="Z42" s="4"/>
    </row>
    <row r="43" ht="15.75" customHeight="1">
      <c r="A43" s="34" t="s">
        <v>520</v>
      </c>
      <c r="B43" s="35" t="str">
        <f>'7조'!B97</f>
        <v/>
      </c>
      <c r="C43" s="34" t="str">
        <f>'7조'!C97</f>
        <v>7조 - Broker - Energy Efficiency</v>
      </c>
      <c r="D43" s="35" t="str">
        <f>'7조'!D97</f>
        <v/>
      </c>
      <c r="E43" s="34" t="str">
        <f>'7조'!E97</f>
        <v>7조 - Dispatcher - Energy Efficiency</v>
      </c>
      <c r="F43" s="37"/>
      <c r="G43" s="4"/>
      <c r="H43" s="4"/>
      <c r="I43" s="4"/>
      <c r="J43" s="4"/>
      <c r="K43" s="4"/>
      <c r="L43" s="4"/>
      <c r="M43" s="4"/>
      <c r="N43" s="4"/>
      <c r="O43" s="4"/>
      <c r="P43" s="4"/>
      <c r="Q43" s="4"/>
      <c r="R43" s="4"/>
      <c r="S43" s="4"/>
      <c r="T43" s="4"/>
      <c r="U43" s="4"/>
      <c r="V43" s="4"/>
      <c r="W43" s="4"/>
      <c r="X43" s="4"/>
      <c r="Y43" s="4"/>
      <c r="Z43" s="4"/>
    </row>
    <row r="44" ht="15.75" customHeight="1">
      <c r="A44" s="34" t="s">
        <v>523</v>
      </c>
      <c r="B44" s="35" t="str">
        <f>'8조'!B97</f>
        <v/>
      </c>
      <c r="C44" s="34" t="str">
        <f>'8조'!C97</f>
        <v>8조 - Broker - Energy Efficiency</v>
      </c>
      <c r="D44" s="35" t="str">
        <f>'8조'!D97</f>
        <v/>
      </c>
      <c r="E44" s="34" t="str">
        <f>'8조'!E97</f>
        <v>8조 - Dispatcher - Energy Efficiency</v>
      </c>
      <c r="F44" s="37"/>
      <c r="G44" s="4"/>
      <c r="H44" s="4"/>
      <c r="I44" s="4"/>
      <c r="J44" s="4"/>
      <c r="K44" s="4"/>
      <c r="L44" s="4"/>
      <c r="M44" s="4"/>
      <c r="N44" s="4"/>
      <c r="O44" s="4"/>
      <c r="P44" s="4"/>
      <c r="Q44" s="4"/>
      <c r="R44" s="4"/>
      <c r="S44" s="4"/>
      <c r="T44" s="4"/>
      <c r="U44" s="4"/>
      <c r="V44" s="4"/>
      <c r="W44" s="4"/>
      <c r="X44" s="4"/>
      <c r="Y44" s="4"/>
      <c r="Z44" s="4"/>
    </row>
    <row r="45" ht="15.75" customHeight="1">
      <c r="A45" s="34" t="s">
        <v>526</v>
      </c>
      <c r="B45" s="35" t="str">
        <f>'9조'!B97</f>
        <v/>
      </c>
      <c r="C45" s="34" t="str">
        <f>'9조'!C97</f>
        <v>9조 - Broker - Energy Efficiency</v>
      </c>
      <c r="D45" s="35" t="str">
        <f>'9조'!D97</f>
        <v/>
      </c>
      <c r="E45" s="34" t="str">
        <f>'9조'!E97</f>
        <v>9조 - Dispatcher - Energy Efficiency</v>
      </c>
      <c r="F45" s="37"/>
      <c r="G45" s="4"/>
      <c r="H45" s="4"/>
      <c r="I45" s="4"/>
      <c r="J45" s="4"/>
      <c r="K45" s="4"/>
      <c r="L45" s="4"/>
      <c r="M45" s="4"/>
      <c r="N45" s="4"/>
      <c r="O45" s="4"/>
      <c r="P45" s="4"/>
      <c r="Q45" s="4"/>
      <c r="R45" s="4"/>
      <c r="S45" s="4"/>
      <c r="T45" s="4"/>
      <c r="U45" s="4"/>
      <c r="V45" s="4"/>
      <c r="W45" s="4"/>
      <c r="X45" s="4"/>
      <c r="Y45" s="4"/>
      <c r="Z45" s="4"/>
    </row>
    <row r="46" ht="15.75" customHeight="1">
      <c r="A46" s="34"/>
      <c r="B46" s="34"/>
      <c r="C46" s="34"/>
      <c r="D46" s="34"/>
      <c r="E46" s="34"/>
      <c r="F46" s="24"/>
      <c r="G46" s="4"/>
      <c r="H46" s="4"/>
      <c r="I46" s="4"/>
      <c r="J46" s="4"/>
      <c r="K46" s="4"/>
      <c r="L46" s="4"/>
      <c r="M46" s="4"/>
      <c r="N46" s="4"/>
      <c r="O46" s="4"/>
      <c r="P46" s="4"/>
      <c r="Q46" s="4"/>
      <c r="R46" s="4"/>
      <c r="S46" s="4"/>
      <c r="T46" s="4"/>
      <c r="U46" s="4"/>
      <c r="V46" s="4"/>
      <c r="W46" s="4"/>
      <c r="X46" s="4"/>
      <c r="Y46" s="4"/>
      <c r="Z46" s="4"/>
    </row>
    <row r="47" ht="15.75" customHeight="1">
      <c r="A47" s="33" t="s">
        <v>151</v>
      </c>
      <c r="B47" s="33">
        <v>0.0</v>
      </c>
      <c r="C47" s="33">
        <v>0.0</v>
      </c>
      <c r="D47" s="33">
        <v>0.0</v>
      </c>
      <c r="E47" s="33">
        <v>0.0</v>
      </c>
      <c r="F47" s="24"/>
      <c r="G47" s="4"/>
      <c r="H47" s="4"/>
      <c r="I47" s="4"/>
      <c r="J47" s="4"/>
      <c r="K47" s="4"/>
      <c r="L47" s="4"/>
      <c r="M47" s="4"/>
      <c r="N47" s="4"/>
      <c r="O47" s="4"/>
      <c r="P47" s="4"/>
      <c r="Q47" s="4"/>
      <c r="R47" s="4"/>
      <c r="S47" s="4"/>
      <c r="T47" s="4"/>
      <c r="U47" s="4"/>
      <c r="V47" s="4"/>
      <c r="W47" s="4"/>
      <c r="X47" s="4"/>
      <c r="Y47" s="4"/>
      <c r="Z47" s="4"/>
    </row>
    <row r="48" ht="15.75" customHeight="1">
      <c r="A48" s="34" t="s">
        <v>502</v>
      </c>
      <c r="B48" s="35" t="str">
        <f>'1조'!B98</f>
        <v>++</v>
      </c>
      <c r="C48" s="34" t="str">
        <f>'1조'!C98</f>
        <v>[++] 클라이언트-서버 간 완벽한 느슨한 결합으로 변경 매우 용이</v>
      </c>
      <c r="D48" s="35" t="str">
        <f>'1조'!D98</f>
        <v>+</v>
      </c>
      <c r="E48" s="34" t="str">
        <f>'1조'!E98</f>
        <v>[+] 라우팅 유연성: 백엔드 작업 노드의 내부 구현 변경이나 부하 분산 알고리즘 교체가 매우 용이함.</v>
      </c>
      <c r="F48" s="36" t="s">
        <v>628</v>
      </c>
      <c r="G48" s="4"/>
      <c r="H48" s="4"/>
      <c r="I48" s="4"/>
      <c r="J48" s="4"/>
      <c r="K48" s="4"/>
      <c r="L48" s="4"/>
      <c r="M48" s="4"/>
      <c r="N48" s="4"/>
      <c r="O48" s="4"/>
      <c r="P48" s="4"/>
      <c r="Q48" s="4"/>
      <c r="R48" s="4"/>
      <c r="S48" s="4"/>
      <c r="T48" s="4"/>
      <c r="U48" s="4"/>
      <c r="V48" s="4"/>
      <c r="W48" s="4"/>
      <c r="X48" s="4"/>
      <c r="Y48" s="4"/>
      <c r="Z48" s="4"/>
    </row>
    <row r="49" ht="15.75" customHeight="1">
      <c r="A49" s="34" t="s">
        <v>507</v>
      </c>
      <c r="B49" s="35" t="str">
        <f>'2조'!B98</f>
        <v>++</v>
      </c>
      <c r="C49" s="34" t="str">
        <f>'2조'!C98</f>
        <v>server 가 바뀌어도 interface 가 같으면 client 에는 기능적 영향이 없고, broker 내부를 바꿔도 API 가 같으면 성능 외에는 영향이 없다</v>
      </c>
      <c r="D49" s="35" t="str">
        <f>'2조'!D98</f>
        <v>+</v>
      </c>
      <c r="E49" s="34" t="str">
        <f>'2조'!E98</f>
        <v>server 를 바꿔 끼우기 쉽다. 다만 dispatcher 의 interface 를 바꾸면 client 와 server 가 함께 영향을 받는다</v>
      </c>
      <c r="F49" s="37"/>
      <c r="G49" s="4"/>
      <c r="H49" s="4"/>
      <c r="I49" s="4"/>
      <c r="J49" s="4"/>
      <c r="K49" s="4"/>
      <c r="L49" s="4"/>
      <c r="M49" s="4"/>
      <c r="N49" s="4"/>
      <c r="O49" s="4"/>
      <c r="P49" s="4"/>
      <c r="Q49" s="4"/>
      <c r="R49" s="4"/>
      <c r="S49" s="4"/>
      <c r="T49" s="4"/>
      <c r="U49" s="4"/>
      <c r="V49" s="4"/>
      <c r="W49" s="4"/>
      <c r="X49" s="4"/>
      <c r="Y49" s="4"/>
      <c r="Z49" s="4"/>
    </row>
    <row r="50" ht="15.75" customHeight="1">
      <c r="A50" s="34" t="s">
        <v>510</v>
      </c>
      <c r="B50" s="35" t="str">
        <f>'3조'!B98</f>
        <v>++</v>
      </c>
      <c r="C50" s="34" t="str">
        <f>'3조'!C98</f>
        <v>Client와 Server가 완전히 분리되어 있어 표준 인터페이스만 유지하면 Component 내부 설계 및 구현 변경이 상대방에게 전혀 영향을 주지 않음</v>
      </c>
      <c r="D50" s="35" t="str">
        <f>'3조'!D98</f>
        <v>0</v>
      </c>
      <c r="E50" s="34" t="str">
        <f>'3조'!E98</f>
        <v>Server 교체 및 재구성이 수월하지만, Dispatcher 인터페이스 변경에는 민감</v>
      </c>
      <c r="F50" s="37"/>
      <c r="G50" s="4"/>
      <c r="H50" s="4"/>
      <c r="I50" s="4"/>
      <c r="J50" s="4"/>
      <c r="K50" s="4"/>
      <c r="L50" s="4"/>
      <c r="M50" s="4"/>
      <c r="N50" s="4"/>
      <c r="O50" s="4"/>
      <c r="P50" s="4"/>
      <c r="Q50" s="4"/>
      <c r="R50" s="4"/>
      <c r="S50" s="4"/>
      <c r="T50" s="4"/>
      <c r="U50" s="4"/>
      <c r="V50" s="4"/>
      <c r="W50" s="4"/>
      <c r="X50" s="4"/>
      <c r="Y50" s="4"/>
      <c r="Z50" s="4"/>
    </row>
    <row r="51" ht="15.75" customHeight="1">
      <c r="A51" s="34" t="s">
        <v>511</v>
      </c>
      <c r="B51" s="35" t="str">
        <f>'4조'!B98</f>
        <v>+</v>
      </c>
      <c r="C51" s="34" t="str">
        <f>'4조'!C98</f>
        <v>상대의 내부 구현을 직접 알 필요가 없어 각 기능을 따로 수정하기 좋다.</v>
      </c>
      <c r="D51" s="35" t="str">
        <f>'4조'!D98</f>
        <v>-</v>
      </c>
      <c r="E51" s="34" t="str">
        <f>'4조'!E98</f>
        <v>처리기나 배분 방식을 바꾸면 강하게 연결된 Dispatcher도 수정해야 할 수 있다.</v>
      </c>
      <c r="F51" s="37"/>
      <c r="G51" s="4"/>
      <c r="H51" s="4"/>
      <c r="I51" s="4"/>
      <c r="J51" s="4"/>
      <c r="K51" s="4"/>
      <c r="L51" s="4"/>
      <c r="M51" s="4"/>
      <c r="N51" s="4"/>
      <c r="O51" s="4"/>
      <c r="P51" s="4"/>
      <c r="Q51" s="4"/>
      <c r="R51" s="4"/>
      <c r="S51" s="4"/>
      <c r="T51" s="4"/>
      <c r="U51" s="4"/>
      <c r="V51" s="4"/>
      <c r="W51" s="4"/>
      <c r="X51" s="4"/>
      <c r="Y51" s="4"/>
      <c r="Z51" s="4"/>
    </row>
    <row r="52" ht="15.75" customHeight="1">
      <c r="A52" s="34" t="s">
        <v>513</v>
      </c>
      <c r="B52" s="35" t="str">
        <f>'5조'!B98</f>
        <v>++</v>
      </c>
      <c r="C52" s="34" t="str">
        <f>'5조'!C98</f>
        <v>Component를 교체하거나 기능을 추가할 때 다른 컴포넌트에 미치는 영향이 적어 runtime changes가 가능하다.</v>
      </c>
      <c r="D52" s="35" t="str">
        <f>'5조'!D98</f>
        <v>+</v>
      </c>
      <c r="E52" s="34" t="str">
        <f>'5조'!E98</f>
        <v>서버를 dispatcher나 client 수정 없이 추가·변경할 수 있지만, Dispatcher interface 변경은 어렵다</v>
      </c>
      <c r="F52" s="37"/>
      <c r="G52" s="4"/>
      <c r="H52" s="4"/>
      <c r="I52" s="4"/>
      <c r="J52" s="4"/>
      <c r="K52" s="4"/>
      <c r="L52" s="4"/>
      <c r="M52" s="4"/>
      <c r="N52" s="4"/>
      <c r="O52" s="4"/>
      <c r="P52" s="4"/>
      <c r="Q52" s="4"/>
      <c r="R52" s="4"/>
      <c r="S52" s="4"/>
      <c r="T52" s="4"/>
      <c r="U52" s="4"/>
      <c r="V52" s="4"/>
      <c r="W52" s="4"/>
      <c r="X52" s="4"/>
      <c r="Y52" s="4"/>
      <c r="Z52" s="4"/>
    </row>
    <row r="53" ht="15.75" customHeight="1">
      <c r="A53" s="34" t="s">
        <v>516</v>
      </c>
      <c r="B53" s="35" t="str">
        <f>'6조'!B98</f>
        <v>+</v>
      </c>
      <c r="C53" s="34" t="str">
        <f>'6조'!C98</f>
        <v>broker의 구현이 바뀌더라도 api의 변경이 없으면 server와 client에 영향을 
주지 않아 수정이 용이하다.</v>
      </c>
      <c r="D53" s="35" t="str">
        <f>'6조'!D98</f>
        <v>+</v>
      </c>
      <c r="E53" s="34" t="str">
        <f>'6조'!E98</f>
        <v>클라이언트 코드는 서버가 얼마나 되는지 어디에 위치하는지 알 필요없이 오직 Dispatcher와 통신하면 되기 때문에 변경이 파급되지 않는다. 다만 인터페이스가 변경되면 모든 서버로 파급될 수 있음.</v>
      </c>
      <c r="F53" s="37"/>
      <c r="G53" s="4"/>
      <c r="H53" s="4"/>
      <c r="I53" s="4"/>
      <c r="J53" s="4"/>
      <c r="K53" s="4"/>
      <c r="L53" s="4"/>
      <c r="M53" s="4"/>
      <c r="N53" s="4"/>
      <c r="O53" s="4"/>
      <c r="P53" s="4"/>
      <c r="Q53" s="4"/>
      <c r="R53" s="4"/>
      <c r="S53" s="4"/>
      <c r="T53" s="4"/>
      <c r="U53" s="4"/>
      <c r="V53" s="4"/>
      <c r="W53" s="4"/>
      <c r="X53" s="4"/>
      <c r="Y53" s="4"/>
      <c r="Z53" s="4"/>
    </row>
    <row r="54" ht="15.75" customHeight="1">
      <c r="A54" s="34" t="s">
        <v>520</v>
      </c>
      <c r="B54" s="35" t="str">
        <f>'7조'!B98</f>
        <v/>
      </c>
      <c r="C54" s="34" t="str">
        <f>'7조'!C98</f>
        <v>7조 - Broker - Modifiability</v>
      </c>
      <c r="D54" s="35" t="str">
        <f>'7조'!D98</f>
        <v/>
      </c>
      <c r="E54" s="34" t="str">
        <f>'7조'!E98</f>
        <v>7조 - Dispatcher - Modifiability</v>
      </c>
      <c r="F54" s="37"/>
      <c r="G54" s="4"/>
      <c r="H54" s="4"/>
      <c r="I54" s="4"/>
      <c r="J54" s="4"/>
      <c r="K54" s="4"/>
      <c r="L54" s="4"/>
      <c r="M54" s="4"/>
      <c r="N54" s="4"/>
      <c r="O54" s="4"/>
      <c r="P54" s="4"/>
      <c r="Q54" s="4"/>
      <c r="R54" s="4"/>
      <c r="S54" s="4"/>
      <c r="T54" s="4"/>
      <c r="U54" s="4"/>
      <c r="V54" s="4"/>
      <c r="W54" s="4"/>
      <c r="X54" s="4"/>
      <c r="Y54" s="4"/>
      <c r="Z54" s="4"/>
    </row>
    <row r="55" ht="15.75" customHeight="1">
      <c r="A55" s="34" t="s">
        <v>523</v>
      </c>
      <c r="B55" s="35" t="str">
        <f>'8조'!B98</f>
        <v/>
      </c>
      <c r="C55" s="34" t="str">
        <f>'8조'!C98</f>
        <v>8조 - Broker - Modifiability</v>
      </c>
      <c r="D55" s="35" t="str">
        <f>'8조'!D98</f>
        <v/>
      </c>
      <c r="E55" s="34" t="str">
        <f>'8조'!E98</f>
        <v>8조 - Dispatcher - Modifiability</v>
      </c>
      <c r="F55" s="37"/>
      <c r="G55" s="4"/>
      <c r="H55" s="4"/>
      <c r="I55" s="4"/>
      <c r="J55" s="4"/>
      <c r="K55" s="4"/>
      <c r="L55" s="4"/>
      <c r="M55" s="4"/>
      <c r="N55" s="4"/>
      <c r="O55" s="4"/>
      <c r="P55" s="4"/>
      <c r="Q55" s="4"/>
      <c r="R55" s="4"/>
      <c r="S55" s="4"/>
      <c r="T55" s="4"/>
      <c r="U55" s="4"/>
      <c r="V55" s="4"/>
      <c r="W55" s="4"/>
      <c r="X55" s="4"/>
      <c r="Y55" s="4"/>
      <c r="Z55" s="4"/>
    </row>
    <row r="56" ht="15.75" customHeight="1">
      <c r="A56" s="34" t="s">
        <v>526</v>
      </c>
      <c r="B56" s="35" t="str">
        <f>'9조'!B98</f>
        <v/>
      </c>
      <c r="C56" s="34" t="str">
        <f>'9조'!C98</f>
        <v>9조 - Broker - Modifiability</v>
      </c>
      <c r="D56" s="35" t="str">
        <f>'9조'!D98</f>
        <v/>
      </c>
      <c r="E56" s="34" t="str">
        <f>'9조'!E98</f>
        <v>9조 - Dispatcher - Modifiability</v>
      </c>
      <c r="F56" s="37"/>
      <c r="G56" s="4"/>
      <c r="H56" s="4"/>
      <c r="I56" s="4"/>
      <c r="J56" s="4"/>
      <c r="K56" s="4"/>
      <c r="L56" s="4"/>
      <c r="M56" s="4"/>
      <c r="N56" s="4"/>
      <c r="O56" s="4"/>
      <c r="P56" s="4"/>
      <c r="Q56" s="4"/>
      <c r="R56" s="4"/>
      <c r="S56" s="4"/>
      <c r="T56" s="4"/>
      <c r="U56" s="4"/>
      <c r="V56" s="4"/>
      <c r="W56" s="4"/>
      <c r="X56" s="4"/>
      <c r="Y56" s="4"/>
      <c r="Z56" s="4"/>
    </row>
    <row r="57" ht="15.75" customHeight="1">
      <c r="A57" s="34"/>
      <c r="B57" s="34"/>
      <c r="C57" s="34"/>
      <c r="D57" s="34"/>
      <c r="E57" s="34"/>
      <c r="F57" s="24"/>
      <c r="G57" s="4"/>
      <c r="H57" s="4"/>
      <c r="I57" s="4"/>
      <c r="J57" s="4"/>
      <c r="K57" s="4"/>
      <c r="L57" s="4"/>
      <c r="M57" s="4"/>
      <c r="N57" s="4"/>
      <c r="O57" s="4"/>
      <c r="P57" s="4"/>
      <c r="Q57" s="4"/>
      <c r="R57" s="4"/>
      <c r="S57" s="4"/>
      <c r="T57" s="4"/>
      <c r="U57" s="4"/>
      <c r="V57" s="4"/>
      <c r="W57" s="4"/>
      <c r="X57" s="4"/>
      <c r="Y57" s="4"/>
      <c r="Z57" s="4"/>
    </row>
    <row r="58" ht="15.75" customHeight="1">
      <c r="A58" s="33" t="s">
        <v>186</v>
      </c>
      <c r="B58" s="33">
        <v>0.0</v>
      </c>
      <c r="C58" s="33">
        <v>0.0</v>
      </c>
      <c r="D58" s="33">
        <v>0.0</v>
      </c>
      <c r="E58" s="33">
        <v>0.0</v>
      </c>
      <c r="F58" s="24"/>
      <c r="G58" s="4"/>
      <c r="H58" s="4"/>
      <c r="I58" s="4"/>
      <c r="J58" s="4"/>
      <c r="K58" s="4"/>
      <c r="L58" s="4"/>
      <c r="M58" s="4"/>
      <c r="N58" s="4"/>
      <c r="O58" s="4"/>
      <c r="P58" s="4"/>
      <c r="Q58" s="4"/>
      <c r="R58" s="4"/>
      <c r="S58" s="4"/>
      <c r="T58" s="4"/>
      <c r="U58" s="4"/>
      <c r="V58" s="4"/>
      <c r="W58" s="4"/>
      <c r="X58" s="4"/>
      <c r="Y58" s="4"/>
      <c r="Z58" s="4"/>
    </row>
    <row r="59" ht="15.75" customHeight="1">
      <c r="A59" s="34" t="s">
        <v>502</v>
      </c>
      <c r="B59" s="35" t="str">
        <f>'1조'!B99</f>
        <v>-</v>
      </c>
      <c r="C59" s="34" t="str">
        <f>'1조'!C99</f>
        <v>[+] 분산 배치를 통한 서버 부하 분산 가능
[--] 브로커 경유(Hop) 및 데이터 직렬화로 Latency 대폭 증가</v>
      </c>
      <c r="D59" s="35" t="str">
        <f>'1조'!D99</f>
        <v>++</v>
      </c>
      <c r="E59" s="34" t="str">
        <f>'1조'!E99</f>
        <v>[++] 로드밸런싱 극대화: 작업 요청을 최적의 노드로 병렬 분산 처리하여 전체 시스템 처리량(Throughput)을 극대화함.</v>
      </c>
      <c r="F59" s="36" t="s">
        <v>636</v>
      </c>
      <c r="G59" s="4"/>
      <c r="H59" s="4"/>
      <c r="I59" s="4"/>
      <c r="J59" s="4"/>
      <c r="K59" s="4"/>
      <c r="L59" s="4"/>
      <c r="M59" s="4"/>
      <c r="N59" s="4"/>
      <c r="O59" s="4"/>
      <c r="P59" s="4"/>
      <c r="Q59" s="4"/>
      <c r="R59" s="4"/>
      <c r="S59" s="4"/>
      <c r="T59" s="4"/>
      <c r="U59" s="4"/>
      <c r="V59" s="4"/>
      <c r="W59" s="4"/>
      <c r="X59" s="4"/>
      <c r="Y59" s="4"/>
      <c r="Z59" s="4"/>
    </row>
    <row r="60" ht="15.75" customHeight="1">
      <c r="A60" s="34" t="s">
        <v>507</v>
      </c>
      <c r="B60" s="35" t="str">
        <f>'2조'!B99</f>
        <v>--</v>
      </c>
      <c r="C60" s="34" t="str">
        <f>'2조'!C99</f>
        <v>모든 통신이 broker 를 경유하는 간접 호출이라 직접 호출보다 느리다.</v>
      </c>
      <c r="D60" s="35" t="str">
        <f>'2조'!D99</f>
        <v>+</v>
      </c>
      <c r="E60" s="34" t="str">
        <f>'2조'!E99</f>
        <v>(+) 초기 채널 형성 이후에는 클라이언트와 서버가 직접(Direct) 고속 통신을 수행하므로 브로커 대비 지연이 매우 낮고 높은 처리 성능을 유지함. / (-) 초기 연결 시 디스패처 조회 오버헤드가 발생함 (교안 약점).</v>
      </c>
      <c r="F60" s="37"/>
      <c r="G60" s="4"/>
      <c r="H60" s="4"/>
      <c r="I60" s="4"/>
      <c r="J60" s="4"/>
      <c r="K60" s="4"/>
      <c r="L60" s="4"/>
      <c r="M60" s="4"/>
      <c r="N60" s="4"/>
      <c r="O60" s="4"/>
      <c r="P60" s="4"/>
      <c r="Q60" s="4"/>
      <c r="R60" s="4"/>
      <c r="S60" s="4"/>
      <c r="T60" s="4"/>
      <c r="U60" s="4"/>
      <c r="V60" s="4"/>
      <c r="W60" s="4"/>
      <c r="X60" s="4"/>
      <c r="Y60" s="4"/>
      <c r="Z60" s="4"/>
    </row>
    <row r="61" ht="15.75" customHeight="1">
      <c r="A61" s="34" t="s">
        <v>510</v>
      </c>
      <c r="B61" s="35" t="str">
        <f>'3조'!B99</f>
        <v>--</v>
      </c>
      <c r="C61" s="34" t="str">
        <f>'3조'!C99</f>
        <v>다중 간접 호출과 데이터 변환 오버헤드로 인해 지연 시간(Latency) 증가</v>
      </c>
      <c r="D61" s="35" t="str">
        <f>'3조'!D99</f>
        <v>0</v>
      </c>
      <c r="E61" s="34" t="str">
        <f>'3조'!E99</f>
        <v>직접 연결보다 전달 overhead는 있지만, 요청 분배로 부하를 나눌 수 있어 장단점이 상쇄된다.</v>
      </c>
      <c r="F61" s="37"/>
      <c r="G61" s="4"/>
      <c r="H61" s="4"/>
      <c r="I61" s="4"/>
      <c r="J61" s="4"/>
      <c r="K61" s="4"/>
      <c r="L61" s="4"/>
      <c r="M61" s="4"/>
      <c r="N61" s="4"/>
      <c r="O61" s="4"/>
      <c r="P61" s="4"/>
      <c r="Q61" s="4"/>
      <c r="R61" s="4"/>
      <c r="S61" s="4"/>
      <c r="T61" s="4"/>
      <c r="U61" s="4"/>
      <c r="V61" s="4"/>
      <c r="W61" s="4"/>
      <c r="X61" s="4"/>
      <c r="Y61" s="4"/>
      <c r="Z61" s="4"/>
    </row>
    <row r="62" ht="15.75" customHeight="1">
      <c r="A62" s="34" t="s">
        <v>511</v>
      </c>
      <c r="B62" s="35" t="str">
        <f>'4조'!B99</f>
        <v>-</v>
      </c>
      <c r="C62" s="34" t="str">
        <f>'4조'!C99</f>
        <v>브로커를 거치는 간접 호출이 매번 지연을 더하고, 브로커가 처리량 병목이 된다.</v>
      </c>
      <c r="D62" s="35" t="str">
        <f>'4조'!D99</f>
        <v>+</v>
      </c>
      <c r="E62" s="34" t="str">
        <f>'4조'!E99</f>
        <v>요청을 여러 처리기로 나누고 직접 전달하므로 처리량을 높이기 좋다.</v>
      </c>
      <c r="F62" s="37"/>
      <c r="G62" s="4"/>
      <c r="H62" s="4"/>
      <c r="I62" s="4"/>
      <c r="J62" s="4"/>
      <c r="K62" s="4"/>
      <c r="L62" s="4"/>
      <c r="M62" s="4"/>
      <c r="N62" s="4"/>
      <c r="O62" s="4"/>
      <c r="P62" s="4"/>
      <c r="Q62" s="4"/>
      <c r="R62" s="4"/>
      <c r="S62" s="4"/>
      <c r="T62" s="4"/>
      <c r="U62" s="4"/>
      <c r="V62" s="4"/>
      <c r="W62" s="4"/>
      <c r="X62" s="4"/>
      <c r="Y62" s="4"/>
      <c r="Z62" s="4"/>
    </row>
    <row r="63" ht="15.75" customHeight="1">
      <c r="A63" s="34" t="s">
        <v>513</v>
      </c>
      <c r="B63" s="35" t="str">
        <f>'5조'!B99</f>
        <v>-</v>
      </c>
      <c r="C63" s="34" t="str">
        <f>'5조'!C99</f>
        <v>Proxy와 Broker를 거치는 간접 호출 때문에  비효율성이 크고 응답 지연이 발생한다.</v>
      </c>
      <c r="D63" s="35" t="str">
        <f>'5조'!D99</f>
        <v>-</v>
      </c>
      <c r="E63" s="34" t="str">
        <f>'5조'!E99</f>
        <v>dispatcher 오버헤드가 있다.</v>
      </c>
      <c r="F63" s="37"/>
      <c r="G63" s="4"/>
      <c r="H63" s="4"/>
      <c r="I63" s="4"/>
      <c r="J63" s="4"/>
      <c r="K63" s="4"/>
      <c r="L63" s="4"/>
      <c r="M63" s="4"/>
      <c r="N63" s="4"/>
      <c r="O63" s="4"/>
      <c r="P63" s="4"/>
      <c r="Q63" s="4"/>
      <c r="R63" s="4"/>
      <c r="S63" s="4"/>
      <c r="T63" s="4"/>
      <c r="U63" s="4"/>
      <c r="V63" s="4"/>
      <c r="W63" s="4"/>
      <c r="X63" s="4"/>
      <c r="Y63" s="4"/>
      <c r="Z63" s="4"/>
    </row>
    <row r="64" ht="15.75" customHeight="1">
      <c r="A64" s="34" t="s">
        <v>516</v>
      </c>
      <c r="B64" s="35" t="str">
        <f>'6조'!B99</f>
        <v>-</v>
      </c>
      <c r="C64" s="34" t="str">
        <f>'6조'!C99</f>
        <v>client-server 간 통신이 broker를 거쳐야 하기 때문에 overhead가 발생한다.</v>
      </c>
      <c r="D64" s="35" t="str">
        <f>'6조'!D99</f>
        <v>+</v>
      </c>
      <c r="E64" s="34" t="str">
        <f>'6조'!E99</f>
        <v>병렬 처리로 처리량과 수평 확장성은 좋아지지만 요청 초기마다 홉이 하나 추가된다는 점은 마이너스가 될 수 있음.</v>
      </c>
      <c r="F64" s="37"/>
      <c r="G64" s="4"/>
      <c r="H64" s="4"/>
      <c r="I64" s="4"/>
      <c r="J64" s="4"/>
      <c r="K64" s="4"/>
      <c r="L64" s="4"/>
      <c r="M64" s="4"/>
      <c r="N64" s="4"/>
      <c r="O64" s="4"/>
      <c r="P64" s="4"/>
      <c r="Q64" s="4"/>
      <c r="R64" s="4"/>
      <c r="S64" s="4"/>
      <c r="T64" s="4"/>
      <c r="U64" s="4"/>
      <c r="V64" s="4"/>
      <c r="W64" s="4"/>
      <c r="X64" s="4"/>
      <c r="Y64" s="4"/>
      <c r="Z64" s="4"/>
    </row>
    <row r="65" ht="15.75" customHeight="1">
      <c r="A65" s="34" t="s">
        <v>520</v>
      </c>
      <c r="B65" s="35" t="str">
        <f>'7조'!B99</f>
        <v/>
      </c>
      <c r="C65" s="34" t="str">
        <f>'7조'!C99</f>
        <v>7조 - Broker - Performance</v>
      </c>
      <c r="D65" s="35" t="str">
        <f>'7조'!D99</f>
        <v/>
      </c>
      <c r="E65" s="34" t="str">
        <f>'7조'!E99</f>
        <v>7조 - Dispatcher - Performance</v>
      </c>
      <c r="F65" s="37"/>
      <c r="G65" s="4"/>
      <c r="H65" s="4"/>
      <c r="I65" s="4"/>
      <c r="J65" s="4"/>
      <c r="K65" s="4"/>
      <c r="L65" s="4"/>
      <c r="M65" s="4"/>
      <c r="N65" s="4"/>
      <c r="O65" s="4"/>
      <c r="P65" s="4"/>
      <c r="Q65" s="4"/>
      <c r="R65" s="4"/>
      <c r="S65" s="4"/>
      <c r="T65" s="4"/>
      <c r="U65" s="4"/>
      <c r="V65" s="4"/>
      <c r="W65" s="4"/>
      <c r="X65" s="4"/>
      <c r="Y65" s="4"/>
      <c r="Z65" s="4"/>
    </row>
    <row r="66" ht="15.75" customHeight="1">
      <c r="A66" s="34" t="s">
        <v>523</v>
      </c>
      <c r="B66" s="35" t="str">
        <f>'8조'!B99</f>
        <v/>
      </c>
      <c r="C66" s="34" t="str">
        <f>'8조'!C99</f>
        <v>8조 - Broker - Performance</v>
      </c>
      <c r="D66" s="35" t="str">
        <f>'8조'!D99</f>
        <v/>
      </c>
      <c r="E66" s="34" t="str">
        <f>'8조'!E99</f>
        <v>8조 - Dispatcher - Performance</v>
      </c>
      <c r="F66" s="37"/>
      <c r="G66" s="4"/>
      <c r="H66" s="4"/>
      <c r="I66" s="4"/>
      <c r="J66" s="4"/>
      <c r="K66" s="4"/>
      <c r="L66" s="4"/>
      <c r="M66" s="4"/>
      <c r="N66" s="4"/>
      <c r="O66" s="4"/>
      <c r="P66" s="4"/>
      <c r="Q66" s="4"/>
      <c r="R66" s="4"/>
      <c r="S66" s="4"/>
      <c r="T66" s="4"/>
      <c r="U66" s="4"/>
      <c r="V66" s="4"/>
      <c r="W66" s="4"/>
      <c r="X66" s="4"/>
      <c r="Y66" s="4"/>
      <c r="Z66" s="4"/>
    </row>
    <row r="67" ht="15.75" customHeight="1">
      <c r="A67" s="34" t="s">
        <v>526</v>
      </c>
      <c r="B67" s="35" t="str">
        <f>'9조'!B99</f>
        <v/>
      </c>
      <c r="C67" s="34" t="str">
        <f>'9조'!C99</f>
        <v>9조 - Broker - Performance</v>
      </c>
      <c r="D67" s="35" t="str">
        <f>'9조'!D99</f>
        <v/>
      </c>
      <c r="E67" s="34" t="str">
        <f>'9조'!E99</f>
        <v>9조 - Dispatcher - Performance</v>
      </c>
      <c r="F67" s="37"/>
      <c r="G67" s="4"/>
      <c r="H67" s="4"/>
      <c r="I67" s="4"/>
      <c r="J67" s="4"/>
      <c r="K67" s="4"/>
      <c r="L67" s="4"/>
      <c r="M67" s="4"/>
      <c r="N67" s="4"/>
      <c r="O67" s="4"/>
      <c r="P67" s="4"/>
      <c r="Q67" s="4"/>
      <c r="R67" s="4"/>
      <c r="S67" s="4"/>
      <c r="T67" s="4"/>
      <c r="U67" s="4"/>
      <c r="V67" s="4"/>
      <c r="W67" s="4"/>
      <c r="X67" s="4"/>
      <c r="Y67" s="4"/>
      <c r="Z67" s="4"/>
    </row>
    <row r="68" ht="15.75" customHeight="1">
      <c r="A68" s="34"/>
      <c r="B68" s="34"/>
      <c r="C68" s="34"/>
      <c r="D68" s="34"/>
      <c r="E68" s="34"/>
      <c r="F68" s="24"/>
      <c r="G68" s="4"/>
      <c r="H68" s="4"/>
      <c r="I68" s="4"/>
      <c r="J68" s="4"/>
      <c r="K68" s="4"/>
      <c r="L68" s="4"/>
      <c r="M68" s="4"/>
      <c r="N68" s="4"/>
      <c r="O68" s="4"/>
      <c r="P68" s="4"/>
      <c r="Q68" s="4"/>
      <c r="R68" s="4"/>
      <c r="S68" s="4"/>
      <c r="T68" s="4"/>
      <c r="U68" s="4"/>
      <c r="V68" s="4"/>
      <c r="W68" s="4"/>
      <c r="X68" s="4"/>
      <c r="Y68" s="4"/>
      <c r="Z68" s="4"/>
    </row>
    <row r="69" ht="15.75" customHeight="1">
      <c r="A69" s="33" t="s">
        <v>221</v>
      </c>
      <c r="B69" s="33">
        <v>0.0</v>
      </c>
      <c r="C69" s="33">
        <v>0.0</v>
      </c>
      <c r="D69" s="33">
        <v>0.0</v>
      </c>
      <c r="E69" s="33">
        <v>0.0</v>
      </c>
      <c r="F69" s="24"/>
      <c r="G69" s="4"/>
      <c r="H69" s="4"/>
      <c r="I69" s="4"/>
      <c r="J69" s="4"/>
      <c r="K69" s="4"/>
      <c r="L69" s="4"/>
      <c r="M69" s="4"/>
      <c r="N69" s="4"/>
      <c r="O69" s="4"/>
      <c r="P69" s="4"/>
      <c r="Q69" s="4"/>
      <c r="R69" s="4"/>
      <c r="S69" s="4"/>
      <c r="T69" s="4"/>
      <c r="U69" s="4"/>
      <c r="V69" s="4"/>
      <c r="W69" s="4"/>
      <c r="X69" s="4"/>
      <c r="Y69" s="4"/>
      <c r="Z69" s="4"/>
    </row>
    <row r="70" ht="15.75" customHeight="1">
      <c r="A70" s="34" t="s">
        <v>502</v>
      </c>
      <c r="B70" s="35" t="str">
        <f>'1조'!B100</f>
        <v>0</v>
      </c>
      <c r="C70" s="34" t="str">
        <f>'1조'!C100</f>
        <v>[+] 결함 노드의 브로커 수준 즉시 격리 가능
[-] 통신 지연으로 실시간 제어 요구 안전 시스템에 부적합</v>
      </c>
      <c r="D70" s="35" t="str">
        <f>'1조'!D100</f>
        <v>0</v>
      </c>
      <c r="E70" s="34" t="str">
        <f>'1조'!E100</f>
        <v>[+] 비정상 격리: 오류를 일으키는 워커 노드를 라우팅 대상에서 즉시 제외하여 잘못된 처리를 방지함.</v>
      </c>
      <c r="F70" s="36" t="s">
        <v>647</v>
      </c>
      <c r="G70" s="4"/>
      <c r="H70" s="4"/>
      <c r="I70" s="4"/>
      <c r="J70" s="4"/>
      <c r="K70" s="4"/>
      <c r="L70" s="4"/>
      <c r="M70" s="4"/>
      <c r="N70" s="4"/>
      <c r="O70" s="4"/>
      <c r="P70" s="4"/>
      <c r="Q70" s="4"/>
      <c r="R70" s="4"/>
      <c r="S70" s="4"/>
      <c r="T70" s="4"/>
      <c r="U70" s="4"/>
      <c r="V70" s="4"/>
      <c r="W70" s="4"/>
      <c r="X70" s="4"/>
      <c r="Y70" s="4"/>
      <c r="Z70" s="4"/>
    </row>
    <row r="71" ht="15.75" customHeight="1">
      <c r="A71" s="34" t="s">
        <v>507</v>
      </c>
      <c r="B71" s="35" t="str">
        <f>'2조'!B100</f>
        <v>-</v>
      </c>
      <c r="C71" s="34" t="str">
        <f>'2조'!C100</f>
        <v>broker 가 죽으면 의존하는 모든 application 이 멈춘다.</v>
      </c>
      <c r="D71" s="35" t="str">
        <f>'2조'!D100</f>
        <v>+</v>
      </c>
      <c r="E71" s="34" t="str">
        <f>'2조'!E100</f>
        <v>장애가 나면 다른 장비의 server 를 활성화해 서비스가 끊기지 않게 할 수 있다</v>
      </c>
      <c r="F71" s="37"/>
      <c r="G71" s="4"/>
      <c r="H71" s="4"/>
      <c r="I71" s="4"/>
      <c r="J71" s="4"/>
      <c r="K71" s="4"/>
      <c r="L71" s="4"/>
      <c r="M71" s="4"/>
      <c r="N71" s="4"/>
      <c r="O71" s="4"/>
      <c r="P71" s="4"/>
      <c r="Q71" s="4"/>
      <c r="R71" s="4"/>
      <c r="S71" s="4"/>
      <c r="T71" s="4"/>
      <c r="U71" s="4"/>
      <c r="V71" s="4"/>
      <c r="W71" s="4"/>
      <c r="X71" s="4"/>
      <c r="Y71" s="4"/>
      <c r="Z71" s="4"/>
    </row>
    <row r="72" ht="15.75" customHeight="1">
      <c r="A72" s="34" t="s">
        <v>510</v>
      </c>
      <c r="B72" s="35" t="str">
        <f>'3조'!B100</f>
        <v>0</v>
      </c>
      <c r="C72" s="34" t="str">
        <f>'3조'!C100</f>
        <v>Broker는 Client와 Server 간 통신을 중개하는 구조로, 위험 상태를 감지·차단하거나 안전 상태로 전환하는 Safety mechanism을 직접 제공하지는 않는다.</v>
      </c>
      <c r="D72" s="35" t="str">
        <f>'3조'!D100</f>
        <v>0</v>
      </c>
      <c r="E72" s="34" t="str">
        <f>'3조'!E100</f>
        <v>Dispatcher는 Server 장애 시 다른 Server를 선택하거나 활성화해 가용성을 높일 수 있지만, 위험 상태 제어를 위한 Safety mechanism 자체를 제공하지는 않는다.</v>
      </c>
      <c r="F72" s="37"/>
      <c r="G72" s="4"/>
      <c r="H72" s="4"/>
      <c r="I72" s="4"/>
      <c r="J72" s="4"/>
      <c r="K72" s="4"/>
      <c r="L72" s="4"/>
      <c r="M72" s="4"/>
      <c r="N72" s="4"/>
      <c r="O72" s="4"/>
      <c r="P72" s="4"/>
      <c r="Q72" s="4"/>
      <c r="R72" s="4"/>
      <c r="S72" s="4"/>
      <c r="T72" s="4"/>
      <c r="U72" s="4"/>
      <c r="V72" s="4"/>
      <c r="W72" s="4"/>
      <c r="X72" s="4"/>
      <c r="Y72" s="4"/>
      <c r="Z72" s="4"/>
    </row>
    <row r="73" ht="15.75" customHeight="1">
      <c r="A73" s="34" t="s">
        <v>511</v>
      </c>
      <c r="B73" s="35" t="str">
        <f>'4조'!B100</f>
        <v>0</v>
      </c>
      <c r="C73" s="34" t="str">
        <f>'4조'!C100</f>
        <v>기능 분리는 오류 격리에 유리하지만 중개 오류와 동시 처리 순서는 점검해야 한다.</v>
      </c>
      <c r="D73" s="35" t="str">
        <f>'4조'!D100</f>
        <v>-</v>
      </c>
      <c r="E73" s="34" t="str">
        <f>'4조'!E100</f>
        <v>동시 처리 오류와 강한 연결로 인한 오류 전파가 위험한 동작으로 이어질 수 있다.</v>
      </c>
      <c r="F73" s="37"/>
      <c r="G73" s="4"/>
      <c r="H73" s="4"/>
      <c r="I73" s="4"/>
      <c r="J73" s="4"/>
      <c r="K73" s="4"/>
      <c r="L73" s="4"/>
      <c r="M73" s="4"/>
      <c r="N73" s="4"/>
      <c r="O73" s="4"/>
      <c r="P73" s="4"/>
      <c r="Q73" s="4"/>
      <c r="R73" s="4"/>
      <c r="S73" s="4"/>
      <c r="T73" s="4"/>
      <c r="U73" s="4"/>
      <c r="V73" s="4"/>
      <c r="W73" s="4"/>
      <c r="X73" s="4"/>
      <c r="Y73" s="4"/>
      <c r="Z73" s="4"/>
    </row>
    <row r="74" ht="15.75" customHeight="1">
      <c r="A74" s="34" t="s">
        <v>513</v>
      </c>
      <c r="B74" s="35" t="str">
        <f>'5조'!B100</f>
        <v>-</v>
      </c>
      <c r="C74" s="34" t="str">
        <f>'5조'!C100</f>
        <v>특정 Server나 Broker 의 장애가 연쇄 중단으로 이어질 위험이 존재한다.</v>
      </c>
      <c r="D74" s="35" t="str">
        <f>'5조'!D100</f>
        <v>+</v>
      </c>
      <c r="E74" s="34" t="str">
        <f>'5조'!E100</f>
        <v>장애 시 대체 Server 동적 활성화 및 이동 투명성을 통해 시스템 전체의 안전성을 유지하기 수월함.</v>
      </c>
      <c r="F74" s="37"/>
      <c r="G74" s="4"/>
      <c r="H74" s="4"/>
      <c r="I74" s="4"/>
      <c r="J74" s="4"/>
      <c r="K74" s="4"/>
      <c r="L74" s="4"/>
      <c r="M74" s="4"/>
      <c r="N74" s="4"/>
      <c r="O74" s="4"/>
      <c r="P74" s="4"/>
      <c r="Q74" s="4"/>
      <c r="R74" s="4"/>
      <c r="S74" s="4"/>
      <c r="T74" s="4"/>
      <c r="U74" s="4"/>
      <c r="V74" s="4"/>
      <c r="W74" s="4"/>
      <c r="X74" s="4"/>
      <c r="Y74" s="4"/>
      <c r="Z74" s="4"/>
    </row>
    <row r="75" ht="15.75" customHeight="1">
      <c r="A75" s="34" t="s">
        <v>516</v>
      </c>
      <c r="B75" s="35" t="str">
        <f>'6조'!B100</f>
        <v>-</v>
      </c>
      <c r="C75" s="34" t="str">
        <f>'6조'!C100</f>
        <v>broker 오류/장애 시 saftey와 관련된 기능에 문제가 발생할 수 있다.</v>
      </c>
      <c r="D75" s="35" t="str">
        <f>'6조'!D100</f>
        <v>0</v>
      </c>
      <c r="E75" s="34" t="str">
        <f>'6조'!E100</f>
        <v>위협/상태를 감지하는 메커니즘이 없고 매 요청마다 처리 주체가 달라져서 재현성 등이 보장되지 않기 때문에 결함 재현과 안정성 논증이 어려움</v>
      </c>
      <c r="F75" s="37"/>
      <c r="G75" s="4"/>
      <c r="H75" s="4"/>
      <c r="I75" s="4"/>
      <c r="J75" s="4"/>
      <c r="K75" s="4"/>
      <c r="L75" s="4"/>
      <c r="M75" s="4"/>
      <c r="N75" s="4"/>
      <c r="O75" s="4"/>
      <c r="P75" s="4"/>
      <c r="Q75" s="4"/>
      <c r="R75" s="4"/>
      <c r="S75" s="4"/>
      <c r="T75" s="4"/>
      <c r="U75" s="4"/>
      <c r="V75" s="4"/>
      <c r="W75" s="4"/>
      <c r="X75" s="4"/>
      <c r="Y75" s="4"/>
      <c r="Z75" s="4"/>
    </row>
    <row r="76" ht="15.75" customHeight="1">
      <c r="A76" s="34" t="s">
        <v>520</v>
      </c>
      <c r="B76" s="35" t="str">
        <f>'7조'!B100</f>
        <v/>
      </c>
      <c r="C76" s="34" t="str">
        <f>'7조'!C100</f>
        <v>7조 - Broker - Safety</v>
      </c>
      <c r="D76" s="35" t="str">
        <f>'7조'!D100</f>
        <v/>
      </c>
      <c r="E76" s="34" t="str">
        <f>'7조'!E100</f>
        <v>7조 - Dispatcher - Safety</v>
      </c>
      <c r="F76" s="37"/>
      <c r="G76" s="4"/>
      <c r="H76" s="4"/>
      <c r="I76" s="4"/>
      <c r="J76" s="4"/>
      <c r="K76" s="4"/>
      <c r="L76" s="4"/>
      <c r="M76" s="4"/>
      <c r="N76" s="4"/>
      <c r="O76" s="4"/>
      <c r="P76" s="4"/>
      <c r="Q76" s="4"/>
      <c r="R76" s="4"/>
      <c r="S76" s="4"/>
      <c r="T76" s="4"/>
      <c r="U76" s="4"/>
      <c r="V76" s="4"/>
      <c r="W76" s="4"/>
      <c r="X76" s="4"/>
      <c r="Y76" s="4"/>
      <c r="Z76" s="4"/>
    </row>
    <row r="77" ht="15.75" customHeight="1">
      <c r="A77" s="34" t="s">
        <v>523</v>
      </c>
      <c r="B77" s="35" t="str">
        <f>'8조'!B100</f>
        <v/>
      </c>
      <c r="C77" s="34" t="str">
        <f>'8조'!C100</f>
        <v>8조 - Broker - Safety</v>
      </c>
      <c r="D77" s="35" t="str">
        <f>'8조'!D100</f>
        <v/>
      </c>
      <c r="E77" s="34" t="str">
        <f>'8조'!E100</f>
        <v>8조 - Dispatcher - Safety</v>
      </c>
      <c r="F77" s="37"/>
      <c r="G77" s="4"/>
      <c r="H77" s="4"/>
      <c r="I77" s="4"/>
      <c r="J77" s="4"/>
      <c r="K77" s="4"/>
      <c r="L77" s="4"/>
      <c r="M77" s="4"/>
      <c r="N77" s="4"/>
      <c r="O77" s="4"/>
      <c r="P77" s="4"/>
      <c r="Q77" s="4"/>
      <c r="R77" s="4"/>
      <c r="S77" s="4"/>
      <c r="T77" s="4"/>
      <c r="U77" s="4"/>
      <c r="V77" s="4"/>
      <c r="W77" s="4"/>
      <c r="X77" s="4"/>
      <c r="Y77" s="4"/>
      <c r="Z77" s="4"/>
    </row>
    <row r="78" ht="15.75" customHeight="1">
      <c r="A78" s="34" t="s">
        <v>526</v>
      </c>
      <c r="B78" s="35" t="str">
        <f>'9조'!B100</f>
        <v/>
      </c>
      <c r="C78" s="34" t="str">
        <f>'9조'!C100</f>
        <v>9조 - Broker - Safety</v>
      </c>
      <c r="D78" s="35" t="str">
        <f>'9조'!D100</f>
        <v/>
      </c>
      <c r="E78" s="34" t="str">
        <f>'9조'!E100</f>
        <v>9조 - Dispatcher - Safety</v>
      </c>
      <c r="F78" s="37"/>
      <c r="G78" s="4"/>
      <c r="H78" s="4"/>
      <c r="I78" s="4"/>
      <c r="J78" s="4"/>
      <c r="K78" s="4"/>
      <c r="L78" s="4"/>
      <c r="M78" s="4"/>
      <c r="N78" s="4"/>
      <c r="O78" s="4"/>
      <c r="P78" s="4"/>
      <c r="Q78" s="4"/>
      <c r="R78" s="4"/>
      <c r="S78" s="4"/>
      <c r="T78" s="4"/>
      <c r="U78" s="4"/>
      <c r="V78" s="4"/>
      <c r="W78" s="4"/>
      <c r="X78" s="4"/>
      <c r="Y78" s="4"/>
      <c r="Z78" s="4"/>
    </row>
    <row r="79" ht="15.75" customHeight="1">
      <c r="A79" s="34"/>
      <c r="B79" s="34"/>
      <c r="C79" s="34"/>
      <c r="D79" s="34"/>
      <c r="E79" s="34"/>
      <c r="F79" s="24"/>
      <c r="G79" s="4"/>
      <c r="H79" s="4"/>
      <c r="I79" s="4"/>
      <c r="J79" s="4"/>
      <c r="K79" s="4"/>
      <c r="L79" s="4"/>
      <c r="M79" s="4"/>
      <c r="N79" s="4"/>
      <c r="O79" s="4"/>
      <c r="P79" s="4"/>
      <c r="Q79" s="4"/>
      <c r="R79" s="4"/>
      <c r="S79" s="4"/>
      <c r="T79" s="4"/>
      <c r="U79" s="4"/>
      <c r="V79" s="4"/>
      <c r="W79" s="4"/>
      <c r="X79" s="4"/>
      <c r="Y79" s="4"/>
      <c r="Z79" s="4"/>
    </row>
    <row r="80" ht="15.75" customHeight="1">
      <c r="A80" s="33" t="s">
        <v>261</v>
      </c>
      <c r="B80" s="33">
        <v>0.0</v>
      </c>
      <c r="C80" s="33">
        <v>0.0</v>
      </c>
      <c r="D80" s="33">
        <v>0.0</v>
      </c>
      <c r="E80" s="33">
        <v>0.0</v>
      </c>
      <c r="F80" s="24"/>
      <c r="G80" s="4"/>
      <c r="H80" s="4"/>
      <c r="I80" s="4"/>
      <c r="J80" s="4"/>
      <c r="K80" s="4"/>
      <c r="L80" s="4"/>
      <c r="M80" s="4"/>
      <c r="N80" s="4"/>
      <c r="O80" s="4"/>
      <c r="P80" s="4"/>
      <c r="Q80" s="4"/>
      <c r="R80" s="4"/>
      <c r="S80" s="4"/>
      <c r="T80" s="4"/>
      <c r="U80" s="4"/>
      <c r="V80" s="4"/>
      <c r="W80" s="4"/>
      <c r="X80" s="4"/>
      <c r="Y80" s="4"/>
      <c r="Z80" s="4"/>
    </row>
    <row r="81" ht="15.75" customHeight="1">
      <c r="A81" s="34" t="s">
        <v>502</v>
      </c>
      <c r="B81" s="35" t="str">
        <f>'1조'!B101</f>
        <v>-</v>
      </c>
      <c r="C81" s="34" t="str">
        <f>'1조'!C101</f>
        <v>[-] 브로커 자체가 주요 보안 공격 표적이 됨</v>
      </c>
      <c r="D81" s="35" t="str">
        <f>'1조'!D101</f>
        <v>-</v>
      </c>
      <c r="E81" s="34" t="str">
        <f>'1조'!E101</f>
        <v>[-] 주요 공격 표적: Dispatcher 노드가 외부 공격자에게 노출될 경우 전체 시스템이 위협받음.</v>
      </c>
      <c r="F81" s="36" t="s">
        <v>650</v>
      </c>
      <c r="G81" s="4"/>
      <c r="H81" s="4"/>
      <c r="I81" s="4"/>
      <c r="J81" s="4"/>
      <c r="K81" s="4"/>
      <c r="L81" s="4"/>
      <c r="M81" s="4"/>
      <c r="N81" s="4"/>
      <c r="O81" s="4"/>
      <c r="P81" s="4"/>
      <c r="Q81" s="4"/>
      <c r="R81" s="4"/>
      <c r="S81" s="4"/>
      <c r="T81" s="4"/>
      <c r="U81" s="4"/>
      <c r="V81" s="4"/>
      <c r="W81" s="4"/>
      <c r="X81" s="4"/>
      <c r="Y81" s="4"/>
      <c r="Z81" s="4"/>
    </row>
    <row r="82" ht="15.75" customHeight="1">
      <c r="A82" s="34" t="s">
        <v>507</v>
      </c>
      <c r="B82" s="35" t="str">
        <f>'2조'!B101</f>
        <v>0</v>
      </c>
      <c r="C82" s="34" t="str">
        <f>'2조'!C101</f>
        <v>모든 통신이 중앙 브로커를 경유하므로 단일 지점에서 인증, 인가, 트래픽 감사를 일괄 적용하기 용이함 (교안 장점). / (-) 반면 브로커가 뚫리면 시스템 전체의 통신 내용이 노출되는 명확한 표적이 됨.</v>
      </c>
      <c r="D82" s="35" t="str">
        <f>'2조'!D101</f>
        <v>0</v>
      </c>
      <c r="E82" s="34" t="str">
        <f>'2조'!E101</f>
        <v>등록과 연결을 dispatcher 한 곳에서 통제할 수 있으나, 연결 뒤 통신은 스타일이 관여하지 않는다</v>
      </c>
      <c r="F82" s="37"/>
      <c r="G82" s="4"/>
      <c r="H82" s="4"/>
      <c r="I82" s="4"/>
      <c r="J82" s="4"/>
      <c r="K82" s="4"/>
      <c r="L82" s="4"/>
      <c r="M82" s="4"/>
      <c r="N82" s="4"/>
      <c r="O82" s="4"/>
      <c r="P82" s="4"/>
      <c r="Q82" s="4"/>
      <c r="R82" s="4"/>
      <c r="S82" s="4"/>
      <c r="T82" s="4"/>
      <c r="U82" s="4"/>
      <c r="V82" s="4"/>
      <c r="W82" s="4"/>
      <c r="X82" s="4"/>
      <c r="Y82" s="4"/>
      <c r="Z82" s="4"/>
    </row>
    <row r="83" ht="15.75" customHeight="1">
      <c r="A83" s="34" t="s">
        <v>510</v>
      </c>
      <c r="B83" s="35" t="str">
        <f>'3조'!B101</f>
        <v>0</v>
      </c>
      <c r="C83" s="34" t="str">
        <f>'3조'!C101</f>
        <v>Broker를 중앙 인증·인가·감사 지점으로 활용할 수 있지만, 동시에 모든 통신이 집중되는 공격 지점이 될 수 있어 Security 측면의 장단점이 상쇄된다.</v>
      </c>
      <c r="D83" s="35" t="str">
        <f>'3조'!D101</f>
        <v>0</v>
      </c>
      <c r="E83" s="34" t="str">
        <f>'3조'!E101</f>
        <v>Dispatcher에서 초기 접근 통제를 적용할 수 있지만 연결 이후 보안은 개별 Client·Server에 의존하고, Dispatcher 자체도 중앙 탐색·등록 지점으로서 공격 대상이 될 수 있다.</v>
      </c>
      <c r="F83" s="37"/>
      <c r="G83" s="4"/>
      <c r="H83" s="4"/>
      <c r="I83" s="4"/>
      <c r="J83" s="4"/>
      <c r="K83" s="4"/>
      <c r="L83" s="4"/>
      <c r="M83" s="4"/>
      <c r="N83" s="4"/>
      <c r="O83" s="4"/>
      <c r="P83" s="4"/>
      <c r="Q83" s="4"/>
      <c r="R83" s="4"/>
      <c r="S83" s="4"/>
      <c r="T83" s="4"/>
      <c r="U83" s="4"/>
      <c r="V83" s="4"/>
      <c r="W83" s="4"/>
      <c r="X83" s="4"/>
      <c r="Y83" s="4"/>
      <c r="Z83" s="4"/>
    </row>
    <row r="84" ht="15.75" customHeight="1">
      <c r="A84" s="34" t="s">
        <v>511</v>
      </c>
      <c r="B84" s="35" t="str">
        <f>'4조'!B101</f>
        <v>+</v>
      </c>
      <c r="C84" s="34" t="str">
        <f>'4조'!C101</f>
        <v>중개 지점에서 접근 규칙을 관리하기 좋지만 실제 인증과 권한 설정은 필요하다.</v>
      </c>
      <c r="D84" s="35" t="str">
        <f>'4조'!D101</f>
        <v>-</v>
      </c>
      <c r="E84" s="34" t="str">
        <f>'4조'!E101</f>
        <v>여러 처리 경로를 보호해야 하며 강한 연결로 침해 영향이 번질 수 있다.</v>
      </c>
      <c r="F84" s="37"/>
      <c r="G84" s="4"/>
      <c r="H84" s="4"/>
      <c r="I84" s="4"/>
      <c r="J84" s="4"/>
      <c r="K84" s="4"/>
      <c r="L84" s="4"/>
      <c r="M84" s="4"/>
      <c r="N84" s="4"/>
      <c r="O84" s="4"/>
      <c r="P84" s="4"/>
      <c r="Q84" s="4"/>
      <c r="R84" s="4"/>
      <c r="S84" s="4"/>
      <c r="T84" s="4"/>
      <c r="U84" s="4"/>
      <c r="V84" s="4"/>
      <c r="W84" s="4"/>
      <c r="X84" s="4"/>
      <c r="Y84" s="4"/>
      <c r="Z84" s="4"/>
    </row>
    <row r="85" ht="15.75" customHeight="1">
      <c r="A85" s="34" t="s">
        <v>513</v>
      </c>
      <c r="B85" s="35" t="str">
        <f>'5조'!B101</f>
        <v>-</v>
      </c>
      <c r="C85" s="34" t="str">
        <f>'5조'!C101</f>
        <v>Bridge 및 분산 통신 경로로 인해 Component의 보안 검증과 정책 적용이 복잡하다.</v>
      </c>
      <c r="D85" s="35" t="str">
        <f>'5조'!D101</f>
        <v>0</v>
      </c>
      <c r="E85" s="34" t="str">
        <f>'5조'!E101</f>
        <v>단일 진입점에 인증/권한/라우팅 제한을 적용하기 쉬우나 Dispatcher 인터페이스 단일점에 대한 관리 포인트가 존재</v>
      </c>
      <c r="F85" s="37"/>
      <c r="G85" s="4"/>
      <c r="H85" s="4"/>
      <c r="I85" s="4"/>
      <c r="J85" s="4"/>
      <c r="K85" s="4"/>
      <c r="L85" s="4"/>
      <c r="M85" s="4"/>
      <c r="N85" s="4"/>
      <c r="O85" s="4"/>
      <c r="P85" s="4"/>
      <c r="Q85" s="4"/>
      <c r="R85" s="4"/>
      <c r="S85" s="4"/>
      <c r="T85" s="4"/>
      <c r="U85" s="4"/>
      <c r="V85" s="4"/>
      <c r="W85" s="4"/>
      <c r="X85" s="4"/>
      <c r="Y85" s="4"/>
      <c r="Z85" s="4"/>
    </row>
    <row r="86" ht="15.75" customHeight="1">
      <c r="A86" s="34" t="s">
        <v>516</v>
      </c>
      <c r="B86" s="35" t="str">
        <f>'6조'!B101</f>
        <v>--</v>
      </c>
      <c r="C86" s="34" t="str">
        <f>'6조'!C101</f>
        <v>broker 에 모든 정보가 몰리기 때문에 명확한 attack point가 존재한다.</v>
      </c>
      <c r="D86" s="35" t="str">
        <f>'6조'!D101</f>
        <v>-</v>
      </c>
      <c r="E86" s="34" t="str">
        <f>'6조'!E101</f>
        <v>dispatcher가 최우선 공격 표적이 될 수 있으며 공격당할 시 시스템 전체가 마비될 수 있음.</v>
      </c>
      <c r="F86" s="37"/>
      <c r="G86" s="4"/>
      <c r="H86" s="4"/>
      <c r="I86" s="4"/>
      <c r="J86" s="4"/>
      <c r="K86" s="4"/>
      <c r="L86" s="4"/>
      <c r="M86" s="4"/>
      <c r="N86" s="4"/>
      <c r="O86" s="4"/>
      <c r="P86" s="4"/>
      <c r="Q86" s="4"/>
      <c r="R86" s="4"/>
      <c r="S86" s="4"/>
      <c r="T86" s="4"/>
      <c r="U86" s="4"/>
      <c r="V86" s="4"/>
      <c r="W86" s="4"/>
      <c r="X86" s="4"/>
      <c r="Y86" s="4"/>
      <c r="Z86" s="4"/>
    </row>
    <row r="87" ht="15.75" customHeight="1">
      <c r="A87" s="34" t="s">
        <v>520</v>
      </c>
      <c r="B87" s="35" t="str">
        <f>'7조'!B101</f>
        <v/>
      </c>
      <c r="C87" s="34" t="str">
        <f>'7조'!C101</f>
        <v>7조 - Broker - Security</v>
      </c>
      <c r="D87" s="35" t="str">
        <f>'7조'!D101</f>
        <v/>
      </c>
      <c r="E87" s="34" t="str">
        <f>'7조'!E101</f>
        <v>7조 - Dispatcher - Security</v>
      </c>
      <c r="F87" s="37"/>
      <c r="G87" s="4"/>
      <c r="H87" s="4"/>
      <c r="I87" s="4"/>
      <c r="J87" s="4"/>
      <c r="K87" s="4"/>
      <c r="L87" s="4"/>
      <c r="M87" s="4"/>
      <c r="N87" s="4"/>
      <c r="O87" s="4"/>
      <c r="P87" s="4"/>
      <c r="Q87" s="4"/>
      <c r="R87" s="4"/>
      <c r="S87" s="4"/>
      <c r="T87" s="4"/>
      <c r="U87" s="4"/>
      <c r="V87" s="4"/>
      <c r="W87" s="4"/>
      <c r="X87" s="4"/>
      <c r="Y87" s="4"/>
      <c r="Z87" s="4"/>
    </row>
    <row r="88" ht="15.75" customHeight="1">
      <c r="A88" s="34" t="s">
        <v>523</v>
      </c>
      <c r="B88" s="35" t="str">
        <f>'8조'!B101</f>
        <v/>
      </c>
      <c r="C88" s="34" t="str">
        <f>'8조'!C101</f>
        <v>8조 - Broker - Security</v>
      </c>
      <c r="D88" s="35" t="str">
        <f>'8조'!D101</f>
        <v/>
      </c>
      <c r="E88" s="34" t="str">
        <f>'8조'!E101</f>
        <v>8조 - Dispatcher - Security</v>
      </c>
      <c r="F88" s="37"/>
      <c r="G88" s="4"/>
      <c r="H88" s="4"/>
      <c r="I88" s="4"/>
      <c r="J88" s="4"/>
      <c r="K88" s="4"/>
      <c r="L88" s="4"/>
      <c r="M88" s="4"/>
      <c r="N88" s="4"/>
      <c r="O88" s="4"/>
      <c r="P88" s="4"/>
      <c r="Q88" s="4"/>
      <c r="R88" s="4"/>
      <c r="S88" s="4"/>
      <c r="T88" s="4"/>
      <c r="U88" s="4"/>
      <c r="V88" s="4"/>
      <c r="W88" s="4"/>
      <c r="X88" s="4"/>
      <c r="Y88" s="4"/>
      <c r="Z88" s="4"/>
    </row>
    <row r="89" ht="15.75" customHeight="1">
      <c r="A89" s="34" t="s">
        <v>526</v>
      </c>
      <c r="B89" s="35" t="str">
        <f>'9조'!B101</f>
        <v/>
      </c>
      <c r="C89" s="34" t="str">
        <f>'9조'!C101</f>
        <v>9조 - Broker - Security</v>
      </c>
      <c r="D89" s="35" t="str">
        <f>'9조'!D101</f>
        <v/>
      </c>
      <c r="E89" s="34" t="str">
        <f>'9조'!E101</f>
        <v>9조 - Dispatcher - Security</v>
      </c>
      <c r="F89" s="37"/>
      <c r="G89" s="4"/>
      <c r="H89" s="4"/>
      <c r="I89" s="4"/>
      <c r="J89" s="4"/>
      <c r="K89" s="4"/>
      <c r="L89" s="4"/>
      <c r="M89" s="4"/>
      <c r="N89" s="4"/>
      <c r="O89" s="4"/>
      <c r="P89" s="4"/>
      <c r="Q89" s="4"/>
      <c r="R89" s="4"/>
      <c r="S89" s="4"/>
      <c r="T89" s="4"/>
      <c r="U89" s="4"/>
      <c r="V89" s="4"/>
      <c r="W89" s="4"/>
      <c r="X89" s="4"/>
      <c r="Y89" s="4"/>
      <c r="Z89" s="4"/>
    </row>
    <row r="90" ht="15.75" customHeight="1">
      <c r="A90" s="34"/>
      <c r="B90" s="34"/>
      <c r="C90" s="34"/>
      <c r="D90" s="34"/>
      <c r="E90" s="34"/>
      <c r="F90" s="24"/>
      <c r="G90" s="4"/>
      <c r="H90" s="4"/>
      <c r="I90" s="4"/>
      <c r="J90" s="4"/>
      <c r="K90" s="4"/>
      <c r="L90" s="4"/>
      <c r="M90" s="4"/>
      <c r="N90" s="4"/>
      <c r="O90" s="4"/>
      <c r="P90" s="4"/>
      <c r="Q90" s="4"/>
      <c r="R90" s="4"/>
      <c r="S90" s="4"/>
      <c r="T90" s="4"/>
      <c r="U90" s="4"/>
      <c r="V90" s="4"/>
      <c r="W90" s="4"/>
      <c r="X90" s="4"/>
      <c r="Y90" s="4"/>
      <c r="Z90" s="4"/>
    </row>
    <row r="91" ht="15.75" customHeight="1">
      <c r="A91" s="33" t="s">
        <v>310</v>
      </c>
      <c r="B91" s="33">
        <v>0.0</v>
      </c>
      <c r="C91" s="33">
        <v>0.0</v>
      </c>
      <c r="D91" s="33">
        <v>0.0</v>
      </c>
      <c r="E91" s="33">
        <v>0.0</v>
      </c>
      <c r="F91" s="24"/>
      <c r="G91" s="4"/>
      <c r="H91" s="4"/>
      <c r="I91" s="4"/>
      <c r="J91" s="4"/>
      <c r="K91" s="4"/>
      <c r="L91" s="4"/>
      <c r="M91" s="4"/>
      <c r="N91" s="4"/>
      <c r="O91" s="4"/>
      <c r="P91" s="4"/>
      <c r="Q91" s="4"/>
      <c r="R91" s="4"/>
      <c r="S91" s="4"/>
      <c r="T91" s="4"/>
      <c r="U91" s="4"/>
      <c r="V91" s="4"/>
      <c r="W91" s="4"/>
      <c r="X91" s="4"/>
      <c r="Y91" s="4"/>
      <c r="Z91" s="4"/>
    </row>
    <row r="92" ht="15.75" customHeight="1">
      <c r="A92" s="34" t="s">
        <v>502</v>
      </c>
      <c r="B92" s="35" t="str">
        <f>'1조'!B102</f>
        <v>--</v>
      </c>
      <c r="C92" s="34" t="str">
        <f>'1조'!C102</f>
        <v>[--] 비동기 메시징 및 네트워크 지연으로 통합 테스트 극도로 어려움</v>
      </c>
      <c r="D92" s="35" t="str">
        <f>'1조'!D102</f>
        <v>--</v>
      </c>
      <c r="E92" s="34" t="str">
        <f>'1조'!E102</f>
        <v>[--] 분산 동기화 난제: 복수의 분산 노드 간 작업 동기화, 타임아웃, 비동기 응답 통합 테스트가 극도로 복잡함.</v>
      </c>
      <c r="F92" s="36" t="s">
        <v>651</v>
      </c>
      <c r="G92" s="4"/>
      <c r="H92" s="4"/>
      <c r="I92" s="4"/>
      <c r="J92" s="4"/>
      <c r="K92" s="4"/>
      <c r="L92" s="4"/>
      <c r="M92" s="4"/>
      <c r="N92" s="4"/>
      <c r="O92" s="4"/>
      <c r="P92" s="4"/>
      <c r="Q92" s="4"/>
      <c r="R92" s="4"/>
      <c r="S92" s="4"/>
      <c r="T92" s="4"/>
      <c r="U92" s="4"/>
      <c r="V92" s="4"/>
      <c r="W92" s="4"/>
      <c r="X92" s="4"/>
      <c r="Y92" s="4"/>
      <c r="Z92" s="4"/>
    </row>
    <row r="93" ht="15.75" customHeight="1">
      <c r="A93" s="34" t="s">
        <v>507</v>
      </c>
      <c r="B93" s="35" t="str">
        <f>'2조'!B102</f>
        <v>--</v>
      </c>
      <c r="C93" s="34" t="str">
        <f>'2조'!C102</f>
        <v>클라이언트, 서버, 프록시, 브로커, 브리지 등 수많은 분산 컴포넌트가 얽혀 있어 전체 시스템의 테스트와 디버깅이 지루하고 대단히 번거로움</v>
      </c>
      <c r="D93" s="35" t="str">
        <f>'2조'!D102</f>
        <v>-</v>
      </c>
      <c r="E93" s="34" t="str">
        <f>'2조'!E102</f>
        <v>어느 server 가 응답할지 실행 시점에 정해져(load balancer 처럼 매번 달라질 수 있다) 같은 조건을 재현하기 어렵다</v>
      </c>
      <c r="F93" s="37"/>
      <c r="G93" s="4"/>
      <c r="H93" s="4"/>
      <c r="I93" s="4"/>
      <c r="J93" s="4"/>
      <c r="K93" s="4"/>
      <c r="L93" s="4"/>
      <c r="M93" s="4"/>
      <c r="N93" s="4"/>
      <c r="O93" s="4"/>
      <c r="P93" s="4"/>
      <c r="Q93" s="4"/>
      <c r="R93" s="4"/>
      <c r="S93" s="4"/>
      <c r="T93" s="4"/>
      <c r="U93" s="4"/>
      <c r="V93" s="4"/>
      <c r="W93" s="4"/>
      <c r="X93" s="4"/>
      <c r="Y93" s="4"/>
      <c r="Z93" s="4"/>
    </row>
    <row r="94" ht="15.75" customHeight="1">
      <c r="A94" s="34" t="s">
        <v>510</v>
      </c>
      <c r="B94" s="35" t="str">
        <f>'3조'!B102</f>
        <v>-</v>
      </c>
      <c r="C94" s="34" t="str">
        <f>'3조'!C102</f>
        <v>프록시, 브로커, 브리지 등 연관된 간접 계층이 많아 런타임 오류 추적이 매우 복잡하고 디버깅이 까다로움.</v>
      </c>
      <c r="D94" s="35" t="str">
        <f>'3조'!D102</f>
        <v>-</v>
      </c>
      <c r="E94" s="34" t="str">
        <f>'3조'!E102</f>
        <v>동적 바인딩(Dynamic Binding) 및 네트워크 타이밍 의존성으로 인해 정적 테스트 환경에서 통신 결함을 일관되게 재현하기 까다로움.</v>
      </c>
      <c r="F94" s="37"/>
      <c r="G94" s="4"/>
      <c r="H94" s="4"/>
      <c r="I94" s="4"/>
      <c r="J94" s="4"/>
      <c r="K94" s="4"/>
      <c r="L94" s="4"/>
      <c r="M94" s="4"/>
      <c r="N94" s="4"/>
      <c r="O94" s="4"/>
      <c r="P94" s="4"/>
      <c r="Q94" s="4"/>
      <c r="R94" s="4"/>
      <c r="S94" s="4"/>
      <c r="T94" s="4"/>
      <c r="U94" s="4"/>
      <c r="V94" s="4"/>
      <c r="W94" s="4"/>
      <c r="X94" s="4"/>
      <c r="Y94" s="4"/>
      <c r="Z94" s="4"/>
    </row>
    <row r="95" ht="15.75" customHeight="1">
      <c r="A95" s="34" t="s">
        <v>511</v>
      </c>
      <c r="B95" s="35" t="str">
        <f>'4조'!B102</f>
        <v>-</v>
      </c>
      <c r="C95" s="34" t="str">
        <f>'4조'!C102</f>
        <v>Broker를 거치는 여러 기능의 동시 실행을 따라가며 재현하기 어렵다.</v>
      </c>
      <c r="D95" s="35" t="str">
        <f>'4조'!D102</f>
        <v>-</v>
      </c>
      <c r="E95" s="34" t="str">
        <f>'4조'!E102</f>
        <v>여러 처리기의 실행 순서를 재현하기 어렵고 직접 연결된 기능을 따로 시험하기도 불편하다.</v>
      </c>
      <c r="F95" s="37"/>
      <c r="G95" s="4"/>
      <c r="H95" s="4"/>
      <c r="I95" s="4"/>
      <c r="J95" s="4"/>
      <c r="K95" s="4"/>
      <c r="L95" s="4"/>
      <c r="M95" s="4"/>
      <c r="N95" s="4"/>
      <c r="O95" s="4"/>
      <c r="P95" s="4"/>
      <c r="Q95" s="4"/>
      <c r="R95" s="4"/>
      <c r="S95" s="4"/>
      <c r="T95" s="4"/>
      <c r="U95" s="4"/>
      <c r="V95" s="4"/>
      <c r="W95" s="4"/>
      <c r="X95" s="4"/>
      <c r="Y95" s="4"/>
      <c r="Z95" s="4"/>
    </row>
    <row r="96" ht="15.75" customHeight="1">
      <c r="A96" s="34" t="s">
        <v>513</v>
      </c>
      <c r="B96" s="35" t="str">
        <f>'5조'!B102</f>
        <v>-</v>
      </c>
      <c r="C96" s="34" t="str">
        <f>'5조'!C102</f>
        <v>여러 Component 간 상호작용을 확인해야 하므로 결함 발견과 원인 추적이 어렵다.</v>
      </c>
      <c r="D96" s="35" t="str">
        <f>'5조'!D102</f>
        <v>-</v>
      </c>
      <c r="E96" s="34" t="str">
        <f>'5조'!E102</f>
        <v>Dispatcher 의존성 및 서버 동적 이동에 따른 시나리오 테스트 난이도가 존재하나 Broker보다는 단순</v>
      </c>
      <c r="F96" s="37"/>
      <c r="G96" s="4"/>
      <c r="H96" s="4"/>
      <c r="I96" s="4"/>
      <c r="J96" s="4"/>
      <c r="K96" s="4"/>
      <c r="L96" s="4"/>
      <c r="M96" s="4"/>
      <c r="N96" s="4"/>
      <c r="O96" s="4"/>
      <c r="P96" s="4"/>
      <c r="Q96" s="4"/>
      <c r="R96" s="4"/>
      <c r="S96" s="4"/>
      <c r="T96" s="4"/>
      <c r="U96" s="4"/>
      <c r="V96" s="4"/>
      <c r="W96" s="4"/>
      <c r="X96" s="4"/>
      <c r="Y96" s="4"/>
      <c r="Z96" s="4"/>
    </row>
    <row r="97" ht="15.75" customHeight="1">
      <c r="A97" s="34" t="s">
        <v>516</v>
      </c>
      <c r="B97" s="35" t="str">
        <f>'6조'!B102</f>
        <v>-</v>
      </c>
      <c r="C97" s="34" t="str">
        <f>'6조'!C102</f>
        <v>동시성을 띄며 약한 결합이기 떄문에 통합 테스트가 힘들다.</v>
      </c>
      <c r="D97" s="35" t="str">
        <f>'6조'!D102</f>
        <v>-</v>
      </c>
      <c r="E97" s="34" t="str">
        <f>'6조'!E102</f>
        <v>서버 각각은 stateless에 동등하므로 단위 테스트는 쉽지만 어느 인스턴스에서 처리할지 비결정적이라 통합 테스팅할 때 결함 재현이 어려움</v>
      </c>
      <c r="F97" s="37"/>
      <c r="G97" s="4"/>
      <c r="H97" s="4"/>
      <c r="I97" s="4"/>
      <c r="J97" s="4"/>
      <c r="K97" s="4"/>
      <c r="L97" s="4"/>
      <c r="M97" s="4"/>
      <c r="N97" s="4"/>
      <c r="O97" s="4"/>
      <c r="P97" s="4"/>
      <c r="Q97" s="4"/>
      <c r="R97" s="4"/>
      <c r="S97" s="4"/>
      <c r="T97" s="4"/>
      <c r="U97" s="4"/>
      <c r="V97" s="4"/>
      <c r="W97" s="4"/>
      <c r="X97" s="4"/>
      <c r="Y97" s="4"/>
      <c r="Z97" s="4"/>
    </row>
    <row r="98" ht="15.75" customHeight="1">
      <c r="A98" s="34" t="s">
        <v>520</v>
      </c>
      <c r="B98" s="35" t="str">
        <f>'7조'!B102</f>
        <v/>
      </c>
      <c r="C98" s="34" t="str">
        <f>'7조'!C102</f>
        <v>7조 - Broker - Testability</v>
      </c>
      <c r="D98" s="35" t="str">
        <f>'7조'!D102</f>
        <v/>
      </c>
      <c r="E98" s="34" t="str">
        <f>'7조'!E102</f>
        <v>7조 - Dispatcher - Testability</v>
      </c>
      <c r="F98" s="37"/>
      <c r="G98" s="4"/>
      <c r="H98" s="4"/>
      <c r="I98" s="4"/>
      <c r="J98" s="4"/>
      <c r="K98" s="4"/>
      <c r="L98" s="4"/>
      <c r="M98" s="4"/>
      <c r="N98" s="4"/>
      <c r="O98" s="4"/>
      <c r="P98" s="4"/>
      <c r="Q98" s="4"/>
      <c r="R98" s="4"/>
      <c r="S98" s="4"/>
      <c r="T98" s="4"/>
      <c r="U98" s="4"/>
      <c r="V98" s="4"/>
      <c r="W98" s="4"/>
      <c r="X98" s="4"/>
      <c r="Y98" s="4"/>
      <c r="Z98" s="4"/>
    </row>
    <row r="99" ht="15.75" customHeight="1">
      <c r="A99" s="34" t="s">
        <v>523</v>
      </c>
      <c r="B99" s="35" t="str">
        <f>'8조'!B102</f>
        <v/>
      </c>
      <c r="C99" s="34" t="str">
        <f>'8조'!C102</f>
        <v>8조 - Broker - Testability</v>
      </c>
      <c r="D99" s="35" t="str">
        <f>'8조'!D102</f>
        <v/>
      </c>
      <c r="E99" s="34" t="str">
        <f>'8조'!E102</f>
        <v>8조 - Dispatcher - Testability</v>
      </c>
      <c r="F99" s="37"/>
      <c r="G99" s="4"/>
      <c r="H99" s="4"/>
      <c r="I99" s="4"/>
      <c r="J99" s="4"/>
      <c r="K99" s="4"/>
      <c r="L99" s="4"/>
      <c r="M99" s="4"/>
      <c r="N99" s="4"/>
      <c r="O99" s="4"/>
      <c r="P99" s="4"/>
      <c r="Q99" s="4"/>
      <c r="R99" s="4"/>
      <c r="S99" s="4"/>
      <c r="T99" s="4"/>
      <c r="U99" s="4"/>
      <c r="V99" s="4"/>
      <c r="W99" s="4"/>
      <c r="X99" s="4"/>
      <c r="Y99" s="4"/>
      <c r="Z99" s="4"/>
    </row>
    <row r="100" ht="15.75" customHeight="1">
      <c r="A100" s="34" t="s">
        <v>526</v>
      </c>
      <c r="B100" s="35" t="str">
        <f>'9조'!B102</f>
        <v/>
      </c>
      <c r="C100" s="34" t="str">
        <f>'9조'!C102</f>
        <v>9조 - Broker - Testability</v>
      </c>
      <c r="D100" s="35" t="str">
        <f>'9조'!D102</f>
        <v/>
      </c>
      <c r="E100" s="34" t="str">
        <f>'9조'!E102</f>
        <v>9조 - Dispatcher - Testability</v>
      </c>
      <c r="F100" s="37"/>
      <c r="G100" s="4"/>
      <c r="H100" s="4"/>
      <c r="I100" s="4"/>
      <c r="J100" s="4"/>
      <c r="K100" s="4"/>
      <c r="L100" s="4"/>
      <c r="M100" s="4"/>
      <c r="N100" s="4"/>
      <c r="O100" s="4"/>
      <c r="P100" s="4"/>
      <c r="Q100" s="4"/>
      <c r="R100" s="4"/>
      <c r="S100" s="4"/>
      <c r="T100" s="4"/>
      <c r="U100" s="4"/>
      <c r="V100" s="4"/>
      <c r="W100" s="4"/>
      <c r="X100" s="4"/>
      <c r="Y100" s="4"/>
      <c r="Z100" s="4"/>
    </row>
    <row r="101" ht="15.0" customHeight="1">
      <c r="A101" s="34"/>
      <c r="B101" s="34"/>
      <c r="C101" s="34"/>
      <c r="D101" s="34"/>
      <c r="E101" s="34"/>
      <c r="F101" s="24"/>
      <c r="G101" s="4"/>
      <c r="H101" s="4"/>
      <c r="I101" s="4"/>
      <c r="J101" s="4"/>
      <c r="K101" s="4"/>
      <c r="L101" s="4"/>
      <c r="M101" s="4"/>
      <c r="N101" s="4"/>
      <c r="O101" s="4"/>
      <c r="P101" s="4"/>
      <c r="Q101" s="4"/>
      <c r="R101" s="4"/>
      <c r="S101" s="4"/>
      <c r="T101" s="4"/>
      <c r="U101" s="4"/>
      <c r="V101" s="4"/>
      <c r="W101" s="4"/>
      <c r="X101" s="4"/>
      <c r="Y101" s="4"/>
      <c r="Z101" s="4"/>
    </row>
    <row r="102" ht="15.75" customHeight="1">
      <c r="A102" s="33" t="s">
        <v>346</v>
      </c>
      <c r="B102" s="33">
        <v>0.0</v>
      </c>
      <c r="C102" s="33">
        <v>0.0</v>
      </c>
      <c r="D102" s="33">
        <v>0.0</v>
      </c>
      <c r="E102" s="33">
        <v>0.0</v>
      </c>
      <c r="F102" s="24"/>
      <c r="G102" s="4"/>
      <c r="H102" s="4"/>
      <c r="I102" s="4"/>
      <c r="J102" s="4"/>
      <c r="K102" s="4"/>
      <c r="L102" s="4"/>
      <c r="M102" s="4"/>
      <c r="N102" s="4"/>
      <c r="O102" s="4"/>
      <c r="P102" s="4"/>
      <c r="Q102" s="4"/>
      <c r="R102" s="4"/>
      <c r="S102" s="4"/>
      <c r="T102" s="4"/>
      <c r="U102" s="4"/>
      <c r="V102" s="4"/>
      <c r="W102" s="4"/>
      <c r="X102" s="4"/>
      <c r="Y102" s="4"/>
      <c r="Z102" s="4"/>
    </row>
    <row r="103" ht="15.75" customHeight="1">
      <c r="A103" s="34" t="s">
        <v>502</v>
      </c>
      <c r="B103" s="35" t="str">
        <f>'1조'!B103</f>
        <v>0</v>
      </c>
      <c r="C103" s="34" t="str">
        <f>'1조'!C103</f>
        <v>사용자가 서버 위치를 몰라도 서비스를 사용할 수 있도록 만드는 기반은 있지만, 위치 투명성은 우선 구성 요소의 연결 특성이다. 실제 UI·피드백·오류 복구 경험을 정의하지 않으므로 직접적인 사용성 영향은 중립이다.</v>
      </c>
      <c r="D103" s="35" t="str">
        <f>'1조'!D103</f>
        <v>0</v>
      </c>
      <c r="E103" s="34" t="str">
        <f>'1조'!E103</f>
        <v>서버 위치를 사용자가 관리하지 않도록 할 기반은 있지만 Dispatcher는 주로 내부 연결을 해결한다. 사용자 화면과 작업 절차를 정의하지 않으므로 사용성에 직접 높은 점수를 부여하지 않는다.</v>
      </c>
      <c r="F103" s="36" t="s">
        <v>652</v>
      </c>
      <c r="G103" s="4"/>
      <c r="H103" s="4"/>
      <c r="I103" s="4"/>
      <c r="J103" s="4"/>
      <c r="K103" s="4"/>
      <c r="L103" s="4"/>
      <c r="M103" s="4"/>
      <c r="N103" s="4"/>
      <c r="O103" s="4"/>
      <c r="P103" s="4"/>
      <c r="Q103" s="4"/>
      <c r="R103" s="4"/>
      <c r="S103" s="4"/>
      <c r="T103" s="4"/>
      <c r="U103" s="4"/>
      <c r="V103" s="4"/>
      <c r="W103" s="4"/>
      <c r="X103" s="4"/>
      <c r="Y103" s="4"/>
      <c r="Z103" s="4"/>
    </row>
    <row r="104" ht="15.75" customHeight="1">
      <c r="A104" s="34" t="s">
        <v>507</v>
      </c>
      <c r="B104" s="35" t="str">
        <f>'2조'!B103</f>
        <v>0</v>
      </c>
      <c r="C104" s="34" t="str">
        <f>'2조'!C103</f>
        <v>(+) 위치 투명성으로 인해 사용자가 서버의 물리적 위치나 주소 변경을 전혀 의식할 필요가 없음. / (-) 사용자 인터페이스 자체를 다루는 스타일이 아니며, 간접 호출 지연으로 인해 화면 반응성에 부정적일 수 있음.</v>
      </c>
      <c r="D104" s="35" t="str">
        <f>'2조'!D103</f>
        <v>0</v>
      </c>
      <c r="E104" s="34" t="str">
        <f>'2조'!E103</f>
        <v>사용자 접점을 규정하지 않는다.</v>
      </c>
      <c r="F104" s="37"/>
      <c r="G104" s="4"/>
      <c r="H104" s="4"/>
      <c r="I104" s="4"/>
      <c r="J104" s="4"/>
      <c r="K104" s="4"/>
      <c r="L104" s="4"/>
      <c r="M104" s="4"/>
      <c r="N104" s="4"/>
      <c r="O104" s="4"/>
      <c r="P104" s="4"/>
      <c r="Q104" s="4"/>
      <c r="R104" s="4"/>
      <c r="S104" s="4"/>
      <c r="T104" s="4"/>
      <c r="U104" s="4"/>
      <c r="V104" s="4"/>
      <c r="W104" s="4"/>
      <c r="X104" s="4"/>
      <c r="Y104" s="4"/>
      <c r="Z104" s="4"/>
    </row>
    <row r="105" ht="15.75" customHeight="1">
      <c r="A105" s="34" t="s">
        <v>510</v>
      </c>
      <c r="B105" s="35" t="str">
        <f>'3조'!B103</f>
        <v>0</v>
      </c>
      <c r="C105" s="34" t="str">
        <f>'3조'!C103</f>
        <v>사용자 입장에서 usability 영향은 적다</v>
      </c>
      <c r="D105" s="35" t="str">
        <f>'3조'!D103</f>
        <v>0</v>
      </c>
      <c r="E105" s="34" t="str">
        <f>'3조'!E103</f>
        <v>사용자 입장에서 usability 영향은 적다</v>
      </c>
      <c r="F105" s="37"/>
      <c r="G105" s="4"/>
      <c r="H105" s="4"/>
      <c r="I105" s="4"/>
      <c r="J105" s="4"/>
      <c r="K105" s="4"/>
      <c r="L105" s="4"/>
      <c r="M105" s="4"/>
      <c r="N105" s="4"/>
      <c r="O105" s="4"/>
      <c r="P105" s="4"/>
      <c r="Q105" s="4"/>
      <c r="R105" s="4"/>
      <c r="S105" s="4"/>
      <c r="T105" s="4"/>
      <c r="U105" s="4"/>
      <c r="V105" s="4"/>
      <c r="W105" s="4"/>
      <c r="X105" s="4"/>
      <c r="Y105" s="4"/>
      <c r="Z105" s="4"/>
    </row>
    <row r="106" ht="15.75" customHeight="1">
      <c r="A106" s="34" t="s">
        <v>511</v>
      </c>
      <c r="B106" s="35" t="str">
        <f>'4조'!B103</f>
        <v>0</v>
      </c>
      <c r="C106" s="34" t="str">
        <f>'4조'!C103</f>
        <v>여러 처리를 동시에 진행해 응답성을 높이기 좋지만 중개 지연은 관리해야 한다.</v>
      </c>
      <c r="D106" s="35" t="str">
        <f>'4조'!D103</f>
        <v>+</v>
      </c>
      <c r="E106" s="34" t="str">
        <f>'4조'!E103</f>
        <v>여러 요청을 나누어 처리하므로 한 작업 때문에 다른 사용자가 기다리는 일을 줄이기 좋다.</v>
      </c>
      <c r="F106" s="37"/>
      <c r="G106" s="4"/>
      <c r="H106" s="4"/>
      <c r="I106" s="4"/>
      <c r="J106" s="4"/>
      <c r="K106" s="4"/>
      <c r="L106" s="4"/>
      <c r="M106" s="4"/>
      <c r="N106" s="4"/>
      <c r="O106" s="4"/>
      <c r="P106" s="4"/>
      <c r="Q106" s="4"/>
      <c r="R106" s="4"/>
      <c r="S106" s="4"/>
      <c r="T106" s="4"/>
      <c r="U106" s="4"/>
      <c r="V106" s="4"/>
      <c r="W106" s="4"/>
      <c r="X106" s="4"/>
      <c r="Y106" s="4"/>
      <c r="Z106" s="4"/>
    </row>
    <row r="107" ht="15.75" customHeight="1">
      <c r="A107" s="34" t="s">
        <v>513</v>
      </c>
      <c r="B107" s="35" t="str">
        <f>'5조'!B103</f>
        <v>0</v>
      </c>
      <c r="C107" s="34" t="str">
        <f>'5조'!C103</f>
        <v>서비스 중개 구조 자체는 사용자 조작 편의성을 결정하지 않는다.</v>
      </c>
      <c r="D107" s="35" t="str">
        <f>'5조'!D103</f>
        <v>0</v>
      </c>
      <c r="E107" s="34" t="str">
        <f>'5조'!E103</f>
        <v>이 아키텍처 스타일이 해당 품질속성을 직접 좌우하지 않음.</v>
      </c>
      <c r="F107" s="37"/>
      <c r="G107" s="4"/>
      <c r="H107" s="4"/>
      <c r="I107" s="4"/>
      <c r="J107" s="4"/>
      <c r="K107" s="4"/>
      <c r="L107" s="4"/>
      <c r="M107" s="4"/>
      <c r="N107" s="4"/>
      <c r="O107" s="4"/>
      <c r="P107" s="4"/>
      <c r="Q107" s="4"/>
      <c r="R107" s="4"/>
      <c r="S107" s="4"/>
      <c r="T107" s="4"/>
      <c r="U107" s="4"/>
      <c r="V107" s="4"/>
      <c r="W107" s="4"/>
      <c r="X107" s="4"/>
      <c r="Y107" s="4"/>
      <c r="Z107" s="4"/>
    </row>
    <row r="108" ht="15.75" customHeight="1">
      <c r="A108" s="34" t="s">
        <v>516</v>
      </c>
      <c r="B108" s="35" t="str">
        <f>'6조'!B103</f>
        <v>0</v>
      </c>
      <c r="C108" s="34" t="str">
        <f>'6조'!C103</f>
        <v>복잡한 distribute 구조를 UI에 드러내지 않기 때문에 사용성이 좋은 측면도 있지만 사용자가 broker를 공유하기 때문에 UX는 좋지 않을 수 있다.</v>
      </c>
      <c r="D108" s="35" t="str">
        <f>'6조'!D103</f>
        <v>0</v>
      </c>
      <c r="E108" s="34" t="str">
        <f>'6조'!E103</f>
        <v>사용자에게 안정적인 응답을 제공해줄 수는 있으나 구조 자체가 사용성을 개선시키는 구조는 아님.</v>
      </c>
      <c r="F108" s="37"/>
      <c r="G108" s="4"/>
      <c r="H108" s="4"/>
      <c r="I108" s="4"/>
      <c r="J108" s="4"/>
      <c r="K108" s="4"/>
      <c r="L108" s="4"/>
      <c r="M108" s="4"/>
      <c r="N108" s="4"/>
      <c r="O108" s="4"/>
      <c r="P108" s="4"/>
      <c r="Q108" s="4"/>
      <c r="R108" s="4"/>
      <c r="S108" s="4"/>
      <c r="T108" s="4"/>
      <c r="U108" s="4"/>
      <c r="V108" s="4"/>
      <c r="W108" s="4"/>
      <c r="X108" s="4"/>
      <c r="Y108" s="4"/>
      <c r="Z108" s="4"/>
    </row>
    <row r="109" ht="15.75" customHeight="1">
      <c r="A109" s="34" t="s">
        <v>520</v>
      </c>
      <c r="B109" s="35" t="str">
        <f>'7조'!B103</f>
        <v/>
      </c>
      <c r="C109" s="34" t="str">
        <f>'7조'!C103</f>
        <v>7조 - Broker - Usability</v>
      </c>
      <c r="D109" s="35" t="str">
        <f>'7조'!D103</f>
        <v/>
      </c>
      <c r="E109" s="34" t="str">
        <f>'7조'!E103</f>
        <v>7조 - Dispatcher - Usability</v>
      </c>
      <c r="F109" s="37"/>
      <c r="G109" s="4"/>
      <c r="H109" s="4"/>
      <c r="I109" s="4"/>
      <c r="J109" s="4"/>
      <c r="K109" s="4"/>
      <c r="L109" s="4"/>
      <c r="M109" s="4"/>
      <c r="N109" s="4"/>
      <c r="O109" s="4"/>
      <c r="P109" s="4"/>
      <c r="Q109" s="4"/>
      <c r="R109" s="4"/>
      <c r="S109" s="4"/>
      <c r="T109" s="4"/>
      <c r="U109" s="4"/>
      <c r="V109" s="4"/>
      <c r="W109" s="4"/>
      <c r="X109" s="4"/>
      <c r="Y109" s="4"/>
      <c r="Z109" s="4"/>
    </row>
    <row r="110" ht="15.75" customHeight="1">
      <c r="A110" s="34" t="s">
        <v>523</v>
      </c>
      <c r="B110" s="35" t="str">
        <f>'8조'!B103</f>
        <v/>
      </c>
      <c r="C110" s="34" t="str">
        <f>'8조'!C103</f>
        <v>8조 - Broker - Usability</v>
      </c>
      <c r="D110" s="35" t="str">
        <f>'8조'!D103</f>
        <v/>
      </c>
      <c r="E110" s="34" t="str">
        <f>'8조'!E103</f>
        <v>8조 - Dispatcher - Usability</v>
      </c>
      <c r="F110" s="37"/>
      <c r="G110" s="4"/>
      <c r="H110" s="4"/>
      <c r="I110" s="4"/>
      <c r="J110" s="4"/>
      <c r="K110" s="4"/>
      <c r="L110" s="4"/>
      <c r="M110" s="4"/>
      <c r="N110" s="4"/>
      <c r="O110" s="4"/>
      <c r="P110" s="4"/>
      <c r="Q110" s="4"/>
      <c r="R110" s="4"/>
      <c r="S110" s="4"/>
      <c r="T110" s="4"/>
      <c r="U110" s="4"/>
      <c r="V110" s="4"/>
      <c r="W110" s="4"/>
      <c r="X110" s="4"/>
      <c r="Y110" s="4"/>
      <c r="Z110" s="4"/>
    </row>
    <row r="111" ht="15.75" customHeight="1">
      <c r="A111" s="34" t="s">
        <v>526</v>
      </c>
      <c r="B111" s="35" t="str">
        <f>'9조'!B103</f>
        <v/>
      </c>
      <c r="C111" s="34" t="str">
        <f>'9조'!C103</f>
        <v>9조 - Broker - Usability</v>
      </c>
      <c r="D111" s="35" t="str">
        <f>'9조'!D103</f>
        <v/>
      </c>
      <c r="E111" s="34" t="str">
        <f>'9조'!E103</f>
        <v>9조 - Dispatcher - Usability</v>
      </c>
      <c r="F111" s="37"/>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8:F56"/>
    <mergeCell ref="F59:F67"/>
    <mergeCell ref="F70:F78"/>
    <mergeCell ref="F81:F89"/>
    <mergeCell ref="F92:F100"/>
    <mergeCell ref="F103:F111"/>
    <mergeCell ref="A1:A2"/>
    <mergeCell ref="B1:C1"/>
    <mergeCell ref="D1:E1"/>
    <mergeCell ref="F4:F12"/>
    <mergeCell ref="F15:F23"/>
    <mergeCell ref="F26:F34"/>
    <mergeCell ref="F37:F45"/>
  </mergeCells>
  <printOptions/>
  <pageMargins bottom="0.75" footer="0.0" header="0.0" left="0.7" right="0.7" top="0.75"/>
  <pageSetup orientation="landscape"/>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7.71"/>
    <col customWidth="1" min="3" max="3" width="52.0"/>
    <col customWidth="1" min="4" max="4" width="7.71"/>
    <col customWidth="1" min="5" max="5" width="59.0"/>
    <col customWidth="1" min="6" max="6" width="52.57"/>
    <col customWidth="1" min="7" max="26" width="8.71"/>
  </cols>
  <sheetData>
    <row r="1">
      <c r="A1" s="28" t="s">
        <v>493</v>
      </c>
      <c r="B1" s="29" t="s">
        <v>653</v>
      </c>
      <c r="C1" s="30"/>
      <c r="D1" s="29" t="s">
        <v>654</v>
      </c>
      <c r="E1" s="30"/>
      <c r="F1" s="24"/>
      <c r="G1" s="4"/>
      <c r="H1" s="4"/>
      <c r="I1" s="4"/>
      <c r="J1" s="4"/>
      <c r="K1" s="4"/>
      <c r="L1" s="4"/>
      <c r="M1" s="4"/>
      <c r="N1" s="4"/>
      <c r="O1" s="4"/>
      <c r="P1" s="4"/>
      <c r="Q1" s="4"/>
      <c r="R1" s="4"/>
      <c r="S1" s="4"/>
      <c r="T1" s="4"/>
      <c r="U1" s="4"/>
      <c r="V1" s="4"/>
      <c r="W1" s="4"/>
      <c r="X1" s="4"/>
      <c r="Y1" s="4"/>
      <c r="Z1" s="4"/>
    </row>
    <row r="2">
      <c r="A2" s="31"/>
      <c r="B2" s="32" t="s">
        <v>11</v>
      </c>
      <c r="C2" s="32" t="s">
        <v>12</v>
      </c>
      <c r="D2" s="32" t="s">
        <v>11</v>
      </c>
      <c r="E2" s="32" t="s">
        <v>12</v>
      </c>
      <c r="F2" s="24"/>
      <c r="G2" s="4"/>
      <c r="H2" s="4"/>
      <c r="I2" s="4"/>
      <c r="J2" s="4"/>
      <c r="K2" s="4"/>
      <c r="L2" s="4"/>
      <c r="M2" s="4"/>
      <c r="N2" s="4"/>
      <c r="O2" s="4"/>
      <c r="P2" s="4"/>
      <c r="Q2" s="4"/>
      <c r="R2" s="4"/>
      <c r="S2" s="4"/>
      <c r="T2" s="4"/>
      <c r="U2" s="4"/>
      <c r="V2" s="4"/>
      <c r="W2" s="4"/>
      <c r="X2" s="4"/>
      <c r="Y2" s="4"/>
      <c r="Z2" s="4"/>
    </row>
    <row r="3">
      <c r="A3" s="33" t="s">
        <v>14</v>
      </c>
      <c r="B3" s="33">
        <v>0.0</v>
      </c>
      <c r="C3" s="33">
        <v>0.0</v>
      </c>
      <c r="D3" s="33">
        <v>0.0</v>
      </c>
      <c r="E3" s="33">
        <v>0.0</v>
      </c>
      <c r="F3" s="24"/>
      <c r="G3" s="4"/>
      <c r="H3" s="4"/>
      <c r="I3" s="4"/>
      <c r="J3" s="4"/>
      <c r="K3" s="4"/>
      <c r="L3" s="4"/>
      <c r="M3" s="4"/>
      <c r="N3" s="4"/>
      <c r="O3" s="4"/>
      <c r="P3" s="4"/>
      <c r="Q3" s="4"/>
      <c r="R3" s="4"/>
      <c r="S3" s="4"/>
      <c r="T3" s="4"/>
      <c r="U3" s="4"/>
      <c r="V3" s="4"/>
      <c r="W3" s="4"/>
      <c r="X3" s="4"/>
      <c r="Y3" s="4"/>
      <c r="Z3" s="4"/>
    </row>
    <row r="4">
      <c r="A4" s="34" t="s">
        <v>502</v>
      </c>
      <c r="B4" s="35" t="str">
        <f>'1조'!B107</f>
        <v>0</v>
      </c>
      <c r="C4" s="34" t="str">
        <f>'1조'!C107</f>
        <v>[+] Stateless Service는 상태 의존을 줄이고 서로 다른 Process·컴퓨터에 분산할 수 있어 서비스별 장애 대응 단위를 제공한다.
 [-] Intermediary와 필수 외부 Service Provider의 장애는 연계 업무를 중단시킬 수 있으며, 강의 자료는 자동 복구를 기본 제약으로 두지 않는다.</v>
      </c>
      <c r="D4" s="35" t="str">
        <f>'1조'!D107</f>
        <v>++</v>
      </c>
      <c r="E4" s="34" t="str">
        <f>'1조'!E107</f>
        <v>독립된 실행·데이터 소유 경계로 비관련 서비스의 동작과 개별 복구를 분리할 기반이 있다. 교안의 역할·정보 분산에 따른 가용성 이점을 반영한다. 그러나 필수 서비스를 연쇄 호출하는 임무까지 모두 계속된다는 뜻은 아니다.</v>
      </c>
      <c r="F4" s="36" t="s">
        <v>655</v>
      </c>
      <c r="G4" s="4"/>
      <c r="H4" s="4"/>
      <c r="I4" s="4"/>
      <c r="J4" s="4"/>
      <c r="K4" s="4"/>
      <c r="L4" s="4"/>
      <c r="M4" s="4"/>
      <c r="N4" s="4"/>
      <c r="O4" s="4"/>
      <c r="P4" s="4"/>
      <c r="Q4" s="4"/>
      <c r="R4" s="4"/>
      <c r="S4" s="4"/>
      <c r="T4" s="4"/>
      <c r="U4" s="4"/>
      <c r="V4" s="4"/>
      <c r="W4" s="4"/>
      <c r="X4" s="4"/>
      <c r="Y4" s="4"/>
      <c r="Z4" s="4"/>
    </row>
    <row r="5">
      <c r="A5" s="34" t="s">
        <v>507</v>
      </c>
      <c r="B5" s="35" t="str">
        <f>'2조'!B107</f>
        <v>0</v>
      </c>
      <c r="C5" s="34" t="str">
        <f>'2조'!C107</f>
        <v>(+) 서비스들이 서로 다른 프로세스/컴퓨터로 분산 실행되어 부분 장애 격리가 가능함. / (-) 외부 벤더나 타 조직이 운영하는 서비스에 의존할 경우 해당 서비스 장애 시 전체 비즈니스 프로세스가 중단됨 (교안 약점 명시).</v>
      </c>
      <c r="D5" s="35" t="str">
        <f>'2조'!D107</f>
        <v>++</v>
      </c>
      <c r="E5" s="34" t="str">
        <f>'2조'!E107</f>
        <v>(+) 결함 격리(Fault Isolation)가 완벽하여 특정 마이크로서비스 인스턴스가 다운되더라도 서킷 브레이커 등을 통해 전체 애플리케이션으로 장애가 번지지 않고 독립 복구됨</v>
      </c>
      <c r="F5" s="37"/>
      <c r="G5" s="4"/>
      <c r="H5" s="4"/>
      <c r="I5" s="4"/>
      <c r="J5" s="4"/>
      <c r="K5" s="4"/>
      <c r="L5" s="4"/>
      <c r="M5" s="4"/>
      <c r="N5" s="4"/>
      <c r="O5" s="4"/>
      <c r="P5" s="4"/>
      <c r="Q5" s="4"/>
      <c r="R5" s="4"/>
      <c r="S5" s="4"/>
      <c r="T5" s="4"/>
      <c r="U5" s="4"/>
      <c r="V5" s="4"/>
      <c r="W5" s="4"/>
      <c r="X5" s="4"/>
      <c r="Y5" s="4"/>
      <c r="Z5" s="4"/>
    </row>
    <row r="6">
      <c r="A6" s="34" t="s">
        <v>510</v>
      </c>
      <c r="B6" s="35" t="str">
        <f>'3조'!B107</f>
        <v>0</v>
      </c>
      <c r="C6" s="34" t="str">
        <f>'3조'!C107</f>
        <v>서비스가 분리되어 일부 장애 격리는 가능하지만, service intermediary나 공통 서비스 의존이 장애 지점이 될 수 있다.</v>
      </c>
      <c r="D6" s="35" t="str">
        <f>'3조'!D107</f>
        <v>+</v>
      </c>
      <c r="E6" s="34" t="str">
        <f>'3조'!E107</f>
        <v>서비스가 독립 실행 단위라 일부 서비스 장애가 전체로 전파되는 범위를 줄일 수 있다.</v>
      </c>
      <c r="F6" s="37"/>
      <c r="G6" s="4"/>
      <c r="H6" s="4"/>
      <c r="I6" s="4"/>
      <c r="J6" s="4"/>
      <c r="K6" s="4"/>
      <c r="L6" s="4"/>
      <c r="M6" s="4"/>
      <c r="N6" s="4"/>
      <c r="O6" s="4"/>
      <c r="P6" s="4"/>
      <c r="Q6" s="4"/>
      <c r="R6" s="4"/>
      <c r="S6" s="4"/>
      <c r="T6" s="4"/>
      <c r="U6" s="4"/>
      <c r="V6" s="4"/>
      <c r="W6" s="4"/>
      <c r="X6" s="4"/>
      <c r="Y6" s="4"/>
      <c r="Z6" s="4"/>
    </row>
    <row r="7">
      <c r="A7" s="34" t="s">
        <v>511</v>
      </c>
      <c r="B7" s="35" t="str">
        <f>'4조'!B107</f>
        <v>+</v>
      </c>
      <c r="C7" s="34" t="str">
        <f>'4조'!C107</f>
        <v>서비스별 역할을 나누고 의존성을 줄여 한 서비스의 장애가 다른 서비스로 번지는 것을 줄이기 좋다.</v>
      </c>
      <c r="D7" s="35" t="str">
        <f>'4조'!D107</f>
        <v>++</v>
      </c>
      <c r="E7" s="34" t="str">
        <f>'4조'!E107</f>
        <v>역할과 정보를 나누고 약하게 연결해 일부 서비스의 장애 영향을 제한하기 매우 좋다.</v>
      </c>
      <c r="F7" s="37"/>
      <c r="G7" s="4"/>
      <c r="H7" s="4"/>
      <c r="I7" s="4"/>
      <c r="J7" s="4"/>
      <c r="K7" s="4"/>
      <c r="L7" s="4"/>
      <c r="M7" s="4"/>
      <c r="N7" s="4"/>
      <c r="O7" s="4"/>
      <c r="P7" s="4"/>
      <c r="Q7" s="4"/>
      <c r="R7" s="4"/>
      <c r="S7" s="4"/>
      <c r="T7" s="4"/>
      <c r="U7" s="4"/>
      <c r="V7" s="4"/>
      <c r="W7" s="4"/>
      <c r="X7" s="4"/>
      <c r="Y7" s="4"/>
      <c r="Z7" s="4"/>
    </row>
    <row r="8">
      <c r="A8" s="34" t="s">
        <v>513</v>
      </c>
      <c r="B8" s="35" t="str">
        <f>'5조'!B107</f>
        <v>+</v>
      </c>
      <c r="C8" s="34" t="str">
        <f>'5조'!C107</f>
        <v>오케스트레이션 의존성은 추가되나 각 서비스를 격리하기 때문에 부하가 분산되어 availability가 높다. </v>
      </c>
      <c r="D8" s="35" t="str">
        <f>'5조'!D107</f>
        <v>++</v>
      </c>
      <c r="E8" s="34" t="str">
        <f>'5조'!E107</f>
        <v>서비스가 독립적일 경우, 하나의 장애가 전체를 멈추지 않음</v>
      </c>
      <c r="F8" s="37"/>
      <c r="G8" s="4"/>
      <c r="H8" s="4"/>
      <c r="I8" s="4"/>
      <c r="J8" s="4"/>
      <c r="K8" s="4"/>
      <c r="L8" s="4"/>
      <c r="M8" s="4"/>
      <c r="N8" s="4"/>
      <c r="O8" s="4"/>
      <c r="P8" s="4"/>
      <c r="Q8" s="4"/>
      <c r="R8" s="4"/>
      <c r="S8" s="4"/>
      <c r="T8" s="4"/>
      <c r="U8" s="4"/>
      <c r="V8" s="4"/>
      <c r="W8" s="4"/>
      <c r="X8" s="4"/>
      <c r="Y8" s="4"/>
      <c r="Z8" s="4"/>
    </row>
    <row r="9">
      <c r="A9" s="34" t="s">
        <v>516</v>
      </c>
      <c r="B9" s="35" t="str">
        <f>'6조'!B107</f>
        <v>0</v>
      </c>
      <c r="C9" s="34" t="str">
        <f>'6조'!C107</f>
        <v>intermediary가 연결을 해줄뿐이지 실 availability 가 service provider에 영향을 받는 경우가 많음</v>
      </c>
      <c r="D9" s="35" t="str">
        <f>'6조'!D107</f>
        <v>++</v>
      </c>
      <c r="E9" s="34" t="str">
        <f>'6조'!E107</f>
        <v>각 서비스가 독립 프로세스로 격리되어 있어, 하나의 microservice가 죽어도 upstream 서비스가 장애를 올바르게 처리하도록 설계되어 있다면 전체는 계속 동작한다</v>
      </c>
      <c r="F9" s="37"/>
      <c r="G9" s="4"/>
      <c r="H9" s="4"/>
      <c r="I9" s="4"/>
      <c r="J9" s="4"/>
      <c r="K9" s="4"/>
      <c r="L9" s="4"/>
      <c r="M9" s="4"/>
      <c r="N9" s="4"/>
      <c r="O9" s="4"/>
      <c r="P9" s="4"/>
      <c r="Q9" s="4"/>
      <c r="R9" s="4"/>
      <c r="S9" s="4"/>
      <c r="T9" s="4"/>
      <c r="U9" s="4"/>
      <c r="V9" s="4"/>
      <c r="W9" s="4"/>
      <c r="X9" s="4"/>
      <c r="Y9" s="4"/>
      <c r="Z9" s="4"/>
    </row>
    <row r="10">
      <c r="A10" s="34" t="s">
        <v>520</v>
      </c>
      <c r="B10" s="35" t="str">
        <f>'7조'!B107</f>
        <v/>
      </c>
      <c r="C10" s="34" t="str">
        <f>'7조'!C107</f>
        <v>7조 - SOA - Availability</v>
      </c>
      <c r="D10" s="35" t="str">
        <f>'7조'!D107</f>
        <v/>
      </c>
      <c r="E10" s="34" t="str">
        <f>'7조'!E107</f>
        <v>7조 - Mico-Service - Availability</v>
      </c>
      <c r="F10" s="37"/>
      <c r="G10" s="4"/>
      <c r="H10" s="4"/>
      <c r="I10" s="4"/>
      <c r="J10" s="4"/>
      <c r="K10" s="4"/>
      <c r="L10" s="4"/>
      <c r="M10" s="4"/>
      <c r="N10" s="4"/>
      <c r="O10" s="4"/>
      <c r="P10" s="4"/>
      <c r="Q10" s="4"/>
      <c r="R10" s="4"/>
      <c r="S10" s="4"/>
      <c r="T10" s="4"/>
      <c r="U10" s="4"/>
      <c r="V10" s="4"/>
      <c r="W10" s="4"/>
      <c r="X10" s="4"/>
      <c r="Y10" s="4"/>
      <c r="Z10" s="4"/>
    </row>
    <row r="11">
      <c r="A11" s="34" t="s">
        <v>523</v>
      </c>
      <c r="B11" s="35" t="str">
        <f>'8조'!B107</f>
        <v/>
      </c>
      <c r="C11" s="34" t="str">
        <f>'8조'!C107</f>
        <v>8조 - SOA - Availability</v>
      </c>
      <c r="D11" s="35" t="str">
        <f>'8조'!D107</f>
        <v/>
      </c>
      <c r="E11" s="34" t="str">
        <f>'8조'!E107</f>
        <v>8조 - Mico-Service - Availability</v>
      </c>
      <c r="F11" s="37"/>
      <c r="G11" s="4"/>
      <c r="H11" s="4"/>
      <c r="I11" s="4"/>
      <c r="J11" s="4"/>
      <c r="K11" s="4"/>
      <c r="L11" s="4"/>
      <c r="M11" s="4"/>
      <c r="N11" s="4"/>
      <c r="O11" s="4"/>
      <c r="P11" s="4"/>
      <c r="Q11" s="4"/>
      <c r="R11" s="4"/>
      <c r="S11" s="4"/>
      <c r="T11" s="4"/>
      <c r="U11" s="4"/>
      <c r="V11" s="4"/>
      <c r="W11" s="4"/>
      <c r="X11" s="4"/>
      <c r="Y11" s="4"/>
      <c r="Z11" s="4"/>
    </row>
    <row r="12">
      <c r="A12" s="34" t="s">
        <v>526</v>
      </c>
      <c r="B12" s="35" t="str">
        <f>'9조'!B107</f>
        <v/>
      </c>
      <c r="C12" s="34" t="str">
        <f>'9조'!C107</f>
        <v>9조 - SOA - Availability</v>
      </c>
      <c r="D12" s="35" t="str">
        <f>'9조'!D107</f>
        <v/>
      </c>
      <c r="E12" s="34" t="str">
        <f>'9조'!E107</f>
        <v>9조 - Mico-Service - Availability</v>
      </c>
      <c r="F12" s="37"/>
      <c r="G12" s="4"/>
      <c r="H12" s="4"/>
      <c r="I12" s="4"/>
      <c r="J12" s="4"/>
      <c r="K12" s="4"/>
      <c r="L12" s="4"/>
      <c r="M12" s="4"/>
      <c r="N12" s="4"/>
      <c r="O12" s="4"/>
      <c r="P12" s="4"/>
      <c r="Q12" s="4"/>
      <c r="R12" s="4"/>
      <c r="S12" s="4"/>
      <c r="T12" s="4"/>
      <c r="U12" s="4"/>
      <c r="V12" s="4"/>
      <c r="W12" s="4"/>
      <c r="X12" s="4"/>
      <c r="Y12" s="4"/>
      <c r="Z12" s="4"/>
    </row>
    <row r="13">
      <c r="A13" s="34"/>
      <c r="B13" s="34"/>
      <c r="C13" s="34"/>
      <c r="D13" s="34"/>
      <c r="E13" s="34"/>
      <c r="F13" s="24"/>
      <c r="G13" s="4"/>
      <c r="H13" s="4"/>
      <c r="I13" s="4"/>
      <c r="J13" s="4"/>
      <c r="K13" s="4"/>
      <c r="L13" s="4"/>
      <c r="M13" s="4"/>
      <c r="N13" s="4"/>
      <c r="O13" s="4"/>
      <c r="P13" s="4"/>
      <c r="Q13" s="4"/>
      <c r="R13" s="4"/>
      <c r="S13" s="4"/>
      <c r="T13" s="4"/>
      <c r="U13" s="4"/>
      <c r="V13" s="4"/>
      <c r="W13" s="4"/>
      <c r="X13" s="4"/>
      <c r="Y13" s="4"/>
      <c r="Z13" s="4"/>
    </row>
    <row r="14">
      <c r="A14" s="33" t="s">
        <v>47</v>
      </c>
      <c r="B14" s="33">
        <v>0.0</v>
      </c>
      <c r="C14" s="33">
        <v>0.0</v>
      </c>
      <c r="D14" s="33">
        <v>0.0</v>
      </c>
      <c r="E14" s="33">
        <v>0.0</v>
      </c>
      <c r="F14" s="24"/>
      <c r="G14" s="4"/>
      <c r="H14" s="4"/>
      <c r="I14" s="4"/>
      <c r="J14" s="4"/>
      <c r="K14" s="4"/>
      <c r="L14" s="4"/>
      <c r="M14" s="4"/>
      <c r="N14" s="4"/>
      <c r="O14" s="4"/>
      <c r="P14" s="4"/>
      <c r="Q14" s="4"/>
      <c r="R14" s="4"/>
      <c r="S14" s="4"/>
      <c r="T14" s="4"/>
      <c r="U14" s="4"/>
      <c r="V14" s="4"/>
      <c r="W14" s="4"/>
      <c r="X14" s="4"/>
      <c r="Y14" s="4"/>
      <c r="Z14" s="4"/>
    </row>
    <row r="15">
      <c r="A15" s="34" t="s">
        <v>502</v>
      </c>
      <c r="B15" s="35" t="str">
        <f>'1조'!B108</f>
        <v>+</v>
      </c>
      <c r="C15" s="34" t="str">
        <f>'1조'!C108</f>
        <v>[+] 공개 Interface가 유지되면 Service Provider의 구현을 독립적으로 갱신할 수 있다.</v>
      </c>
      <c r="D15" s="35" t="str">
        <f>'1조'!D108</f>
        <v>++</v>
      </c>
      <c r="E15" s="34" t="str">
        <f>'1조'!E108</f>
        <v>[++] 각 Service가 별도 Codebase·데이터·배포 단위를 가지므로 전체 Application 재배포 없이 기능별 Release와 Rollback이 가능하다.</v>
      </c>
      <c r="F15" s="36" t="s">
        <v>661</v>
      </c>
      <c r="G15" s="4"/>
      <c r="H15" s="4"/>
      <c r="I15" s="4"/>
      <c r="J15" s="4"/>
      <c r="K15" s="4"/>
      <c r="L15" s="4"/>
      <c r="M15" s="4"/>
      <c r="N15" s="4"/>
      <c r="O15" s="4"/>
      <c r="P15" s="4"/>
      <c r="Q15" s="4"/>
      <c r="R15" s="4"/>
      <c r="S15" s="4"/>
      <c r="T15" s="4"/>
      <c r="U15" s="4"/>
      <c r="V15" s="4"/>
      <c r="W15" s="4"/>
      <c r="X15" s="4"/>
      <c r="Y15" s="4"/>
      <c r="Z15" s="4"/>
    </row>
    <row r="16">
      <c r="A16" s="34" t="s">
        <v>507</v>
      </c>
      <c r="B16" s="35" t="str">
        <f>'2조'!B108</f>
        <v>+</v>
      </c>
      <c r="C16" s="34" t="str">
        <f>'2조'!C108</f>
        <v>(+) 비상태(Stateless) 서비스 특성상 공개 인터페이스만 유지되면 개별 서비스 구현을 독립 배포 가능. / (-) 전사적(Enterprise) 엔드-투-엔드 구축 및 서비스 버스 연계가 복잡하여 배포 절차가 무거움 (교안 약점 명시)</v>
      </c>
      <c r="D16" s="35" t="str">
        <f>'2조'!D108</f>
        <v>++</v>
      </c>
      <c r="E16" s="34" t="str">
        <f>'2조'!E108</f>
        <v>애자일성(Agility): 서비스별 코드베이스가 완전히 분리되어 있어 전체 애플리케이션 재빌드/재배포 없이 개별 서비스 단위로 독립적인 빠른 배포, 버그 수정, 롤백이 가능함</v>
      </c>
      <c r="F16" s="37"/>
      <c r="G16" s="4"/>
      <c r="H16" s="4"/>
      <c r="I16" s="4"/>
      <c r="J16" s="4"/>
      <c r="K16" s="4"/>
      <c r="L16" s="4"/>
      <c r="M16" s="4"/>
      <c r="N16" s="4"/>
      <c r="O16" s="4"/>
      <c r="P16" s="4"/>
      <c r="Q16" s="4"/>
      <c r="R16" s="4"/>
      <c r="S16" s="4"/>
      <c r="T16" s="4"/>
      <c r="U16" s="4"/>
      <c r="V16" s="4"/>
      <c r="W16" s="4"/>
      <c r="X16" s="4"/>
      <c r="Y16" s="4"/>
      <c r="Z16" s="4"/>
    </row>
    <row r="17">
      <c r="A17" s="34" t="s">
        <v>510</v>
      </c>
      <c r="B17" s="35" t="str">
        <f>'3조'!B108</f>
        <v>+</v>
      </c>
      <c r="C17" s="34" t="str">
        <f>'3조'!C108</f>
        <v>서비스 단위로 배포·교체할 수 있어 전체 시스템을 한 번에 배포하지 않아도 된다.</v>
      </c>
      <c r="D17" s="35" t="str">
        <f>'3조'!D108</f>
        <v>++</v>
      </c>
      <c r="E17" s="34" t="str">
        <f>'3조'!E108</f>
        <v>작은 독립 서비스 단위로 개별 배포와 scale-out이 가능해 배포 용이성이 매우 높다.</v>
      </c>
      <c r="F17" s="37"/>
      <c r="G17" s="4"/>
      <c r="H17" s="4"/>
      <c r="I17" s="4"/>
      <c r="J17" s="4"/>
      <c r="K17" s="4"/>
      <c r="L17" s="4"/>
      <c r="M17" s="4"/>
      <c r="N17" s="4"/>
      <c r="O17" s="4"/>
      <c r="P17" s="4"/>
      <c r="Q17" s="4"/>
      <c r="R17" s="4"/>
      <c r="S17" s="4"/>
      <c r="T17" s="4"/>
      <c r="U17" s="4"/>
      <c r="V17" s="4"/>
      <c r="W17" s="4"/>
      <c r="X17" s="4"/>
      <c r="Y17" s="4"/>
      <c r="Z17" s="4"/>
    </row>
    <row r="18">
      <c r="A18" s="34" t="s">
        <v>511</v>
      </c>
      <c r="B18" s="35" t="str">
        <f>'4조'!B108</f>
        <v>+</v>
      </c>
      <c r="C18" s="34" t="str">
        <f>'4조'!C108</f>
        <v>서비스 간 연결 규칙을 유지하면 개별 서비스를 따로 교체하거나 배포하기 좋다.</v>
      </c>
      <c r="D18" s="35" t="str">
        <f>'4조'!D108</f>
        <v>++</v>
      </c>
      <c r="E18" s="34" t="str">
        <f>'4조'!E108</f>
        <v>서비스별 책임과 데이터가 나뉘어 필요한 서비스만 따로 배포하기 매우 좋다.</v>
      </c>
      <c r="F18" s="37"/>
      <c r="G18" s="4"/>
      <c r="H18" s="4"/>
      <c r="I18" s="4"/>
      <c r="J18" s="4"/>
      <c r="K18" s="4"/>
      <c r="L18" s="4"/>
      <c r="M18" s="4"/>
      <c r="N18" s="4"/>
      <c r="O18" s="4"/>
      <c r="P18" s="4"/>
      <c r="Q18" s="4"/>
      <c r="R18" s="4"/>
      <c r="S18" s="4"/>
      <c r="T18" s="4"/>
      <c r="U18" s="4"/>
      <c r="V18" s="4"/>
      <c r="W18" s="4"/>
      <c r="X18" s="4"/>
      <c r="Y18" s="4"/>
      <c r="Z18" s="4"/>
    </row>
    <row r="19">
      <c r="A19" s="34" t="s">
        <v>513</v>
      </c>
      <c r="B19" s="35" t="str">
        <f>'5조'!B108</f>
        <v>0</v>
      </c>
      <c r="C19" s="34" t="str">
        <f>'5조'!C108</f>
        <v>서비스 단위 배포는 가능하나 Intermediary에 관한 영향을 고려해야 한다.</v>
      </c>
      <c r="D19" s="35" t="str">
        <f>'5조'!D108</f>
        <v>+</v>
      </c>
      <c r="E19" s="34" t="str">
        <f>'5조'!E108</f>
        <v>독립배포로 bugfix,release,roll back이 쉬움</v>
      </c>
      <c r="F19" s="37"/>
      <c r="G19" s="4"/>
      <c r="H19" s="4"/>
      <c r="I19" s="4"/>
      <c r="J19" s="4"/>
      <c r="K19" s="4"/>
      <c r="L19" s="4"/>
      <c r="M19" s="4"/>
      <c r="N19" s="4"/>
      <c r="O19" s="4"/>
      <c r="P19" s="4"/>
      <c r="Q19" s="4"/>
      <c r="R19" s="4"/>
      <c r="S19" s="4"/>
      <c r="T19" s="4"/>
      <c r="U19" s="4"/>
      <c r="V19" s="4"/>
      <c r="W19" s="4"/>
      <c r="X19" s="4"/>
      <c r="Y19" s="4"/>
      <c r="Z19" s="4"/>
    </row>
    <row r="20">
      <c r="A20" s="34" t="s">
        <v>516</v>
      </c>
      <c r="B20" s="35" t="str">
        <f>'6조'!B108</f>
        <v>0</v>
      </c>
      <c r="C20" s="34" t="str">
        <f>'6조'!C108</f>
        <v>중앙 intermediary에 의존하는 시스템은 이중화 보장이 되어있지 않은 이상 deployability 가 좋다고 볼 수 없음</v>
      </c>
      <c r="D20" s="35" t="str">
        <f>'6조'!D108</f>
        <v>++</v>
      </c>
      <c r="E20" s="34" t="str">
        <f>'6조'!E108</f>
        <v>서비스별로 별도 독립 배포가 가능해, 전체 application을 재배포하지 않고 서비스 하나만 갱신·롤백할 수 있다</v>
      </c>
      <c r="F20" s="37"/>
      <c r="G20" s="4"/>
      <c r="H20" s="4"/>
      <c r="I20" s="4"/>
      <c r="J20" s="4"/>
      <c r="K20" s="4"/>
      <c r="L20" s="4"/>
      <c r="M20" s="4"/>
      <c r="N20" s="4"/>
      <c r="O20" s="4"/>
      <c r="P20" s="4"/>
      <c r="Q20" s="4"/>
      <c r="R20" s="4"/>
      <c r="S20" s="4"/>
      <c r="T20" s="4"/>
      <c r="U20" s="4"/>
      <c r="V20" s="4"/>
      <c r="W20" s="4"/>
      <c r="X20" s="4"/>
      <c r="Y20" s="4"/>
      <c r="Z20" s="4"/>
    </row>
    <row r="21" ht="15.75" customHeight="1">
      <c r="A21" s="34" t="s">
        <v>520</v>
      </c>
      <c r="B21" s="35" t="str">
        <f>'7조'!B108</f>
        <v/>
      </c>
      <c r="C21" s="34" t="str">
        <f>'7조'!C108</f>
        <v>7조 - SOA - Deployability</v>
      </c>
      <c r="D21" s="35" t="str">
        <f>'7조'!D108</f>
        <v/>
      </c>
      <c r="E21" s="34" t="str">
        <f>'7조'!E108</f>
        <v>7조 - Mico-Service - Deployability</v>
      </c>
      <c r="F21" s="37"/>
      <c r="G21" s="4"/>
      <c r="H21" s="4"/>
      <c r="I21" s="4"/>
      <c r="J21" s="4"/>
      <c r="K21" s="4"/>
      <c r="L21" s="4"/>
      <c r="M21" s="4"/>
      <c r="N21" s="4"/>
      <c r="O21" s="4"/>
      <c r="P21" s="4"/>
      <c r="Q21" s="4"/>
      <c r="R21" s="4"/>
      <c r="S21" s="4"/>
      <c r="T21" s="4"/>
      <c r="U21" s="4"/>
      <c r="V21" s="4"/>
      <c r="W21" s="4"/>
      <c r="X21" s="4"/>
      <c r="Y21" s="4"/>
      <c r="Z21" s="4"/>
    </row>
    <row r="22" ht="15.75" customHeight="1">
      <c r="A22" s="34" t="s">
        <v>523</v>
      </c>
      <c r="B22" s="35" t="str">
        <f>'8조'!B108</f>
        <v/>
      </c>
      <c r="C22" s="34" t="str">
        <f>'8조'!C108</f>
        <v>8조 - SOA - Deployability</v>
      </c>
      <c r="D22" s="35" t="str">
        <f>'8조'!D108</f>
        <v/>
      </c>
      <c r="E22" s="34" t="str">
        <f>'8조'!E108</f>
        <v>8조 - Mico-Service - Deployability</v>
      </c>
      <c r="F22" s="37"/>
      <c r="G22" s="4"/>
      <c r="H22" s="4"/>
      <c r="I22" s="4"/>
      <c r="J22" s="4"/>
      <c r="K22" s="4"/>
      <c r="L22" s="4"/>
      <c r="M22" s="4"/>
      <c r="N22" s="4"/>
      <c r="O22" s="4"/>
      <c r="P22" s="4"/>
      <c r="Q22" s="4"/>
      <c r="R22" s="4"/>
      <c r="S22" s="4"/>
      <c r="T22" s="4"/>
      <c r="U22" s="4"/>
      <c r="V22" s="4"/>
      <c r="W22" s="4"/>
      <c r="X22" s="4"/>
      <c r="Y22" s="4"/>
      <c r="Z22" s="4"/>
    </row>
    <row r="23" ht="15.75" customHeight="1">
      <c r="A23" s="34" t="s">
        <v>526</v>
      </c>
      <c r="B23" s="35" t="str">
        <f>'9조'!B108</f>
        <v/>
      </c>
      <c r="C23" s="34" t="str">
        <f>'9조'!C108</f>
        <v>9조 - SOA - Deployability</v>
      </c>
      <c r="D23" s="35" t="str">
        <f>'9조'!D108</f>
        <v/>
      </c>
      <c r="E23" s="34" t="str">
        <f>'9조'!E108</f>
        <v>9조 - Mico-Service - Deployability</v>
      </c>
      <c r="F23" s="37"/>
      <c r="G23" s="4"/>
      <c r="H23" s="4"/>
      <c r="I23" s="4"/>
      <c r="J23" s="4"/>
      <c r="K23" s="4"/>
      <c r="L23" s="4"/>
      <c r="M23" s="4"/>
      <c r="N23" s="4"/>
      <c r="O23" s="4"/>
      <c r="P23" s="4"/>
      <c r="Q23" s="4"/>
      <c r="R23" s="4"/>
      <c r="S23" s="4"/>
      <c r="T23" s="4"/>
      <c r="U23" s="4"/>
      <c r="V23" s="4"/>
      <c r="W23" s="4"/>
      <c r="X23" s="4"/>
      <c r="Y23" s="4"/>
      <c r="Z23" s="4"/>
    </row>
    <row r="24" ht="15.75" customHeight="1">
      <c r="A24" s="34"/>
      <c r="B24" s="34"/>
      <c r="C24" s="34"/>
      <c r="D24" s="34"/>
      <c r="E24" s="34"/>
      <c r="F24" s="24"/>
      <c r="G24" s="4"/>
      <c r="H24" s="4"/>
      <c r="I24" s="4"/>
      <c r="J24" s="4"/>
      <c r="K24" s="4"/>
      <c r="L24" s="4"/>
      <c r="M24" s="4"/>
      <c r="N24" s="4"/>
      <c r="O24" s="4"/>
      <c r="P24" s="4"/>
      <c r="Q24" s="4"/>
      <c r="R24" s="4"/>
      <c r="S24" s="4"/>
      <c r="T24" s="4"/>
      <c r="U24" s="4"/>
      <c r="V24" s="4"/>
      <c r="W24" s="4"/>
      <c r="X24" s="4"/>
      <c r="Y24" s="4"/>
      <c r="Z24" s="4"/>
    </row>
    <row r="25" ht="15.75" customHeight="1">
      <c r="A25" s="33" t="s">
        <v>80</v>
      </c>
      <c r="B25" s="33">
        <v>0.0</v>
      </c>
      <c r="C25" s="33">
        <v>0.0</v>
      </c>
      <c r="D25" s="33">
        <v>0.0</v>
      </c>
      <c r="E25" s="33">
        <v>0.0</v>
      </c>
      <c r="F25" s="24"/>
      <c r="G25" s="4"/>
      <c r="H25" s="4"/>
      <c r="I25" s="4"/>
      <c r="J25" s="4"/>
      <c r="K25" s="4"/>
      <c r="L25" s="4"/>
      <c r="M25" s="4"/>
      <c r="N25" s="4"/>
      <c r="O25" s="4"/>
      <c r="P25" s="4"/>
      <c r="Q25" s="4"/>
      <c r="R25" s="4"/>
      <c r="S25" s="4"/>
      <c r="T25" s="4"/>
      <c r="U25" s="4"/>
      <c r="V25" s="4"/>
      <c r="W25" s="4"/>
      <c r="X25" s="4"/>
      <c r="Y25" s="4"/>
      <c r="Z25" s="4"/>
    </row>
    <row r="26" ht="15.75" customHeight="1">
      <c r="A26" s="34" t="s">
        <v>502</v>
      </c>
      <c r="B26" s="35" t="str">
        <f>'1조'!B109</f>
        <v>++</v>
      </c>
      <c r="C26" s="34" t="str">
        <f>'1조'!C109</f>
        <v>[++] Platform·기술·Vendor·언어와 무관한 표준 통신과 공개 Interface로 서비스 재사용·조합·외부 시스템 연동이 매우 쉽다.</v>
      </c>
      <c r="D26" s="35" t="str">
        <f>'1조'!D109</f>
        <v>+</v>
      </c>
      <c r="E26" s="34" t="str">
        <f>'1조'!E109</f>
        <v>[+] 잘 정의된 API와 내부 구현 은닉, 서로 다른 기술 Stack 허용으로 별도 개발 Service를 연결하기 쉽다.</v>
      </c>
      <c r="F26" s="36" t="s">
        <v>663</v>
      </c>
      <c r="G26" s="4"/>
      <c r="H26" s="4"/>
      <c r="I26" s="4"/>
      <c r="J26" s="4"/>
      <c r="K26" s="4"/>
      <c r="L26" s="4"/>
      <c r="M26" s="4"/>
      <c r="N26" s="4"/>
      <c r="O26" s="4"/>
      <c r="P26" s="4"/>
      <c r="Q26" s="4"/>
      <c r="R26" s="4"/>
      <c r="S26" s="4"/>
      <c r="T26" s="4"/>
      <c r="U26" s="4"/>
      <c r="V26" s="4"/>
      <c r="W26" s="4"/>
      <c r="X26" s="4"/>
      <c r="Y26" s="4"/>
      <c r="Z26" s="4"/>
    </row>
    <row r="27" ht="15.75" customHeight="1">
      <c r="A27" s="34" t="s">
        <v>507</v>
      </c>
      <c r="B27" s="35" t="str">
        <f>'2조'!B109</f>
        <v>++</v>
      </c>
      <c r="C27" s="34" t="str">
        <f>'2조'!C109</f>
        <v>(+) 플랫폼, 기술, 벤더, 언어 구현에 완전히 독립적인 표준 인터페이스(WSDL, SOAP/REST)로 서비스가 공개되어 있어, 이기종 시스템 간 조합 및 전사적 상호운용성(Interoperability)이 극대화됨 (교안 장점 핵심 명시)</v>
      </c>
      <c r="D27" s="35" t="str">
        <f>'2조'!D109</f>
        <v>+</v>
      </c>
      <c r="E27" s="34" t="str">
        <f>'2조'!E109</f>
        <v>(+) 코드와 데이터 저장소를 공유하지 않고 잘 정의된 API로만 통신하므로 신규 기능 결합이 용이함 (-) 다수 서비스 간 backward/forward API 버전 호환성(Versioning) 유지가 어려움 </v>
      </c>
      <c r="F27" s="37"/>
      <c r="G27" s="4"/>
      <c r="H27" s="4"/>
      <c r="I27" s="4"/>
      <c r="J27" s="4"/>
      <c r="K27" s="4"/>
      <c r="L27" s="4"/>
      <c r="M27" s="4"/>
      <c r="N27" s="4"/>
      <c r="O27" s="4"/>
      <c r="P27" s="4"/>
      <c r="Q27" s="4"/>
      <c r="R27" s="4"/>
      <c r="S27" s="4"/>
      <c r="T27" s="4"/>
      <c r="U27" s="4"/>
      <c r="V27" s="4"/>
      <c r="W27" s="4"/>
      <c r="X27" s="4"/>
      <c r="Y27" s="4"/>
      <c r="Z27" s="4"/>
    </row>
    <row r="28" ht="15.75" customHeight="1">
      <c r="A28" s="34" t="s">
        <v>510</v>
      </c>
      <c r="B28" s="35" t="str">
        <f>'3조'!B109</f>
        <v>++</v>
      </c>
      <c r="C28" s="34" t="str">
        <f>'3조'!C109</f>
        <v>표준화된 서비스 계약과 Service Registry/Intermediary를 통해 기술, 플랫폼, 언어가 다른 이기종 시스템과 서비스를 통합하기 쉽다.</v>
      </c>
      <c r="D28" s="35" t="str">
        <f>'3조'!D109</f>
        <v>+</v>
      </c>
      <c r="E28" s="34" t="str">
        <f>'3조'!E109</f>
        <v>각 서비스가 API를 통해 기능을 제공하므로 서비스 단위 통합은 쉽다. 다만 서비스 수가 많아질수록 API 의존성과 연동 관리가 복잡해진다.</v>
      </c>
      <c r="F28" s="37"/>
      <c r="G28" s="4"/>
      <c r="H28" s="4"/>
      <c r="I28" s="4"/>
      <c r="J28" s="4"/>
      <c r="K28" s="4"/>
      <c r="L28" s="4"/>
      <c r="M28" s="4"/>
      <c r="N28" s="4"/>
      <c r="O28" s="4"/>
      <c r="P28" s="4"/>
      <c r="Q28" s="4"/>
      <c r="R28" s="4"/>
      <c r="S28" s="4"/>
      <c r="T28" s="4"/>
      <c r="U28" s="4"/>
      <c r="V28" s="4"/>
      <c r="W28" s="4"/>
      <c r="X28" s="4"/>
      <c r="Y28" s="4"/>
      <c r="Z28" s="4"/>
    </row>
    <row r="29" ht="15.75" customHeight="1">
      <c r="A29" s="34" t="s">
        <v>511</v>
      </c>
      <c r="B29" s="35" t="str">
        <f>'4조'!B109</f>
        <v>++</v>
      </c>
      <c r="C29" s="34" t="str">
        <f>'4조'!C109</f>
        <v>공통 서비스 규칙을 통해 서로 다른 시스템의 기능을 연결하기 쉽다.</v>
      </c>
      <c r="D29" s="35" t="str">
        <f>'4조'!D109</f>
        <v>+</v>
      </c>
      <c r="E29" s="34" t="str">
        <f>'4조'!E109</f>
        <v>서비스 계약으로 새 기능을 연결하기 좋지만 분산된 데이터의 형식과 의미를 맞춰야 한다.</v>
      </c>
      <c r="F29" s="37"/>
      <c r="G29" s="4"/>
      <c r="H29" s="4"/>
      <c r="I29" s="4"/>
      <c r="J29" s="4"/>
      <c r="K29" s="4"/>
      <c r="L29" s="4"/>
      <c r="M29" s="4"/>
      <c r="N29" s="4"/>
      <c r="O29" s="4"/>
      <c r="P29" s="4"/>
      <c r="Q29" s="4"/>
      <c r="R29" s="4"/>
      <c r="S29" s="4"/>
      <c r="T29" s="4"/>
      <c r="U29" s="4"/>
      <c r="V29" s="4"/>
      <c r="W29" s="4"/>
      <c r="X29" s="4"/>
      <c r="Y29" s="4"/>
      <c r="Z29" s="4"/>
    </row>
    <row r="30" ht="15.75" customHeight="1">
      <c r="A30" s="34" t="s">
        <v>513</v>
      </c>
      <c r="B30" s="35" t="str">
        <f>'5조'!B109</f>
        <v>++</v>
      </c>
      <c r="C30" s="34" t="str">
        <f>'5조'!C109</f>
        <v>기술적으로 어떤 client 나 서비스든 platform, 기술, vendor, 언어와 무관하게 다른 서비스에 접근할 수 있다</v>
      </c>
      <c r="D30" s="35" t="str">
        <f>'5조'!D109</f>
        <v>+</v>
      </c>
      <c r="E30" s="34" t="str">
        <f>'5조'!E109</f>
        <v>코드, data store 비공유로 의존성 최소화</v>
      </c>
      <c r="F30" s="37"/>
      <c r="G30" s="4"/>
      <c r="H30" s="4"/>
      <c r="I30" s="4"/>
      <c r="J30" s="4"/>
      <c r="K30" s="4"/>
      <c r="L30" s="4"/>
      <c r="M30" s="4"/>
      <c r="N30" s="4"/>
      <c r="O30" s="4"/>
      <c r="P30" s="4"/>
      <c r="Q30" s="4"/>
      <c r="R30" s="4"/>
      <c r="S30" s="4"/>
      <c r="T30" s="4"/>
      <c r="U30" s="4"/>
      <c r="V30" s="4"/>
      <c r="W30" s="4"/>
      <c r="X30" s="4"/>
      <c r="Y30" s="4"/>
      <c r="Z30" s="4"/>
    </row>
    <row r="31" ht="15.75" customHeight="1">
      <c r="A31" s="34" t="s">
        <v>516</v>
      </c>
      <c r="B31" s="35" t="str">
        <f>'6조'!B109</f>
        <v>++</v>
      </c>
      <c r="C31" s="34" t="str">
        <f>'6조'!C109</f>
        <v>표준화된 통신이 보장되기 때문에 service provider, service customer 확장이 용이함. </v>
      </c>
      <c r="D31" s="35" t="str">
        <f>'6조'!D109</f>
        <v>-</v>
      </c>
      <c r="E31" s="34" t="str">
        <f>'6조'!E109</f>
        <v>서비스마다 기술 스택·언어·프레임워크를 자유롭게 선택할 수 있어, 서비스 일관성 유지와 버저닝 관리가 어려움</v>
      </c>
      <c r="F31" s="37"/>
      <c r="G31" s="4"/>
      <c r="H31" s="4"/>
      <c r="I31" s="4"/>
      <c r="J31" s="4"/>
      <c r="K31" s="4"/>
      <c r="L31" s="4"/>
      <c r="M31" s="4"/>
      <c r="N31" s="4"/>
      <c r="O31" s="4"/>
      <c r="P31" s="4"/>
      <c r="Q31" s="4"/>
      <c r="R31" s="4"/>
      <c r="S31" s="4"/>
      <c r="T31" s="4"/>
      <c r="U31" s="4"/>
      <c r="V31" s="4"/>
      <c r="W31" s="4"/>
      <c r="X31" s="4"/>
      <c r="Y31" s="4"/>
      <c r="Z31" s="4"/>
    </row>
    <row r="32" ht="15.75" customHeight="1">
      <c r="A32" s="34" t="s">
        <v>520</v>
      </c>
      <c r="B32" s="35" t="str">
        <f>'7조'!B109</f>
        <v/>
      </c>
      <c r="C32" s="34" t="str">
        <f>'7조'!C109</f>
        <v>7조 - SOA - Integrability</v>
      </c>
      <c r="D32" s="35" t="str">
        <f>'7조'!D109</f>
        <v/>
      </c>
      <c r="E32" s="34" t="str">
        <f>'7조'!E109</f>
        <v>7조 - Mico-Service - Integrability</v>
      </c>
      <c r="F32" s="37"/>
      <c r="G32" s="4"/>
      <c r="H32" s="4"/>
      <c r="I32" s="4"/>
      <c r="J32" s="4"/>
      <c r="K32" s="4"/>
      <c r="L32" s="4"/>
      <c r="M32" s="4"/>
      <c r="N32" s="4"/>
      <c r="O32" s="4"/>
      <c r="P32" s="4"/>
      <c r="Q32" s="4"/>
      <c r="R32" s="4"/>
      <c r="S32" s="4"/>
      <c r="T32" s="4"/>
      <c r="U32" s="4"/>
      <c r="V32" s="4"/>
      <c r="W32" s="4"/>
      <c r="X32" s="4"/>
      <c r="Y32" s="4"/>
      <c r="Z32" s="4"/>
    </row>
    <row r="33" ht="15.75" customHeight="1">
      <c r="A33" s="34" t="s">
        <v>523</v>
      </c>
      <c r="B33" s="35" t="str">
        <f>'8조'!B109</f>
        <v/>
      </c>
      <c r="C33" s="34" t="str">
        <f>'8조'!C109</f>
        <v>8조 - SOA - Integrability</v>
      </c>
      <c r="D33" s="35" t="str">
        <f>'8조'!D109</f>
        <v/>
      </c>
      <c r="E33" s="34" t="str">
        <f>'8조'!E109</f>
        <v>8조 - Mico-Service - Integrability</v>
      </c>
      <c r="F33" s="37"/>
      <c r="G33" s="4"/>
      <c r="H33" s="4"/>
      <c r="I33" s="4"/>
      <c r="J33" s="4"/>
      <c r="K33" s="4"/>
      <c r="L33" s="4"/>
      <c r="M33" s="4"/>
      <c r="N33" s="4"/>
      <c r="O33" s="4"/>
      <c r="P33" s="4"/>
      <c r="Q33" s="4"/>
      <c r="R33" s="4"/>
      <c r="S33" s="4"/>
      <c r="T33" s="4"/>
      <c r="U33" s="4"/>
      <c r="V33" s="4"/>
      <c r="W33" s="4"/>
      <c r="X33" s="4"/>
      <c r="Y33" s="4"/>
      <c r="Z33" s="4"/>
    </row>
    <row r="34" ht="15.75" customHeight="1">
      <c r="A34" s="34" t="s">
        <v>526</v>
      </c>
      <c r="B34" s="35" t="str">
        <f>'9조'!B109</f>
        <v/>
      </c>
      <c r="C34" s="34" t="str">
        <f>'9조'!C109</f>
        <v>9조 - SOA - Integrability</v>
      </c>
      <c r="D34" s="35" t="str">
        <f>'9조'!D109</f>
        <v/>
      </c>
      <c r="E34" s="34" t="str">
        <f>'9조'!E109</f>
        <v>9조 - Mico-Service - Integrability</v>
      </c>
      <c r="F34" s="37"/>
      <c r="G34" s="4"/>
      <c r="H34" s="4"/>
      <c r="I34" s="4"/>
      <c r="J34" s="4"/>
      <c r="K34" s="4"/>
      <c r="L34" s="4"/>
      <c r="M34" s="4"/>
      <c r="N34" s="4"/>
      <c r="O34" s="4"/>
      <c r="P34" s="4"/>
      <c r="Q34" s="4"/>
      <c r="R34" s="4"/>
      <c r="S34" s="4"/>
      <c r="T34" s="4"/>
      <c r="U34" s="4"/>
      <c r="V34" s="4"/>
      <c r="W34" s="4"/>
      <c r="X34" s="4"/>
      <c r="Y34" s="4"/>
      <c r="Z34" s="4"/>
    </row>
    <row r="35" ht="15.75" customHeight="1">
      <c r="A35" s="34"/>
      <c r="B35" s="34"/>
      <c r="C35" s="34"/>
      <c r="D35" s="34"/>
      <c r="E35" s="34"/>
      <c r="F35" s="24"/>
      <c r="G35" s="4"/>
      <c r="H35" s="4"/>
      <c r="I35" s="4"/>
      <c r="J35" s="4"/>
      <c r="K35" s="4"/>
      <c r="L35" s="4"/>
      <c r="M35" s="4"/>
      <c r="N35" s="4"/>
      <c r="O35" s="4"/>
      <c r="P35" s="4"/>
      <c r="Q35" s="4"/>
      <c r="R35" s="4"/>
      <c r="S35" s="4"/>
      <c r="T35" s="4"/>
      <c r="U35" s="4"/>
      <c r="V35" s="4"/>
      <c r="W35" s="4"/>
      <c r="X35" s="4"/>
      <c r="Y35" s="4"/>
      <c r="Z35" s="4"/>
    </row>
    <row r="36" ht="15.75" customHeight="1">
      <c r="A36" s="33" t="s">
        <v>117</v>
      </c>
      <c r="B36" s="33">
        <v>0.0</v>
      </c>
      <c r="C36" s="33">
        <v>0.0</v>
      </c>
      <c r="D36" s="33">
        <v>0.0</v>
      </c>
      <c r="E36" s="33">
        <v>0.0</v>
      </c>
      <c r="F36" s="24"/>
      <c r="G36" s="4"/>
      <c r="H36" s="4"/>
      <c r="I36" s="4"/>
      <c r="J36" s="4"/>
      <c r="K36" s="4"/>
      <c r="L36" s="4"/>
      <c r="M36" s="4"/>
      <c r="N36" s="4"/>
      <c r="O36" s="4"/>
      <c r="P36" s="4"/>
      <c r="Q36" s="4"/>
      <c r="R36" s="4"/>
      <c r="S36" s="4"/>
      <c r="T36" s="4"/>
      <c r="U36" s="4"/>
      <c r="V36" s="4"/>
      <c r="W36" s="4"/>
      <c r="X36" s="4"/>
      <c r="Y36" s="4"/>
      <c r="Z36" s="4"/>
    </row>
    <row r="37" ht="15.75" customHeight="1">
      <c r="A37" s="34" t="s">
        <v>502</v>
      </c>
      <c r="B37" s="35" t="str">
        <f>'1조'!B110</f>
        <v>-</v>
      </c>
      <c r="C37" s="34" t="str">
        <f>'1조'!C110</f>
        <v>[-] Middleware의 라우팅·변환, 원격 통신, 직렬화와 분산 Process의 유지에 추가 자원을 사용한다.</v>
      </c>
      <c r="D37" s="35" t="str">
        <f>'1조'!D110</f>
        <v>-</v>
      </c>
      <c r="E37" s="34" t="str">
        <f>'1조'!E110</f>
        <v>[-] 다수 Service·Data Store·Gateway·Orchestration의 상시 유지와 서비스 간 Network 통신·직렬화가 자원을 소비한다.</v>
      </c>
      <c r="F37" s="36" t="s">
        <v>664</v>
      </c>
      <c r="G37" s="4"/>
      <c r="H37" s="4"/>
      <c r="I37" s="4"/>
      <c r="J37" s="4"/>
      <c r="K37" s="4"/>
      <c r="L37" s="4"/>
      <c r="M37" s="4"/>
      <c r="N37" s="4"/>
      <c r="O37" s="4"/>
      <c r="P37" s="4"/>
      <c r="Q37" s="4"/>
      <c r="R37" s="4"/>
      <c r="S37" s="4"/>
      <c r="T37" s="4"/>
      <c r="U37" s="4"/>
      <c r="V37" s="4"/>
      <c r="W37" s="4"/>
      <c r="X37" s="4"/>
      <c r="Y37" s="4"/>
      <c r="Z37" s="4"/>
    </row>
    <row r="38" ht="15.75" customHeight="1">
      <c r="A38" s="34" t="s">
        <v>507</v>
      </c>
      <c r="B38" s="35" t="str">
        <f>'2조'!B110</f>
        <v>-</v>
      </c>
      <c r="C38" s="34" t="str">
        <f>'2조'!C110</f>
        <v>(-) middleware 로 인한 성능 overhead 가 있다고 교안이 약점으로 명시한다 — 같은 일에 중개 비용이 더 든다</v>
      </c>
      <c r="D38" s="35" t="str">
        <f>'2조'!D110</f>
        <v>--</v>
      </c>
      <c r="E38" s="34" t="str">
        <f>'2조'!E110</f>
        <v>서비스 간 통신이 늘어 network congestion 과 latency 가 생긴다고 교안이 약점으로 든다 — 같은 일에 통신 자원을 훨씬 더 쓴다</v>
      </c>
      <c r="F38" s="37"/>
      <c r="G38" s="4"/>
      <c r="H38" s="4"/>
      <c r="I38" s="4"/>
      <c r="J38" s="4"/>
      <c r="K38" s="4"/>
      <c r="L38" s="4"/>
      <c r="M38" s="4"/>
      <c r="N38" s="4"/>
      <c r="O38" s="4"/>
      <c r="P38" s="4"/>
      <c r="Q38" s="4"/>
      <c r="R38" s="4"/>
      <c r="S38" s="4"/>
      <c r="T38" s="4"/>
      <c r="U38" s="4"/>
      <c r="V38" s="4"/>
      <c r="W38" s="4"/>
      <c r="X38" s="4"/>
      <c r="Y38" s="4"/>
      <c r="Z38" s="4"/>
    </row>
    <row r="39" ht="15.75" customHeight="1">
      <c r="A39" s="34" t="s">
        <v>510</v>
      </c>
      <c r="B39" s="35" t="str">
        <f>'3조'!B110</f>
        <v>-</v>
      </c>
      <c r="C39" s="34" t="str">
        <f>'3조'!C110</f>
        <v>서비스 호출, 메시지 변환, Intermediary를 통한 라우팅 등 분산 처리 overhead가 발생해 CPU, 네트워크 자원 사용량이 늘 수 있다.</v>
      </c>
      <c r="D39" s="35" t="str">
        <f>'3조'!D110</f>
        <v>--</v>
      </c>
      <c r="E39" s="34" t="str">
        <f>'3조'!E110</f>
        <v>많은 소규모 서비스가 각각 독립 런타임이나 컨테이너에서 동작하고, 서비스 간 네트워크 호출도 많아져 자원 소비가 크게 증가할 수 있다.</v>
      </c>
      <c r="F39" s="37"/>
      <c r="G39" s="4"/>
      <c r="H39" s="4"/>
      <c r="I39" s="4"/>
      <c r="J39" s="4"/>
      <c r="K39" s="4"/>
      <c r="L39" s="4"/>
      <c r="M39" s="4"/>
      <c r="N39" s="4"/>
      <c r="O39" s="4"/>
      <c r="P39" s="4"/>
      <c r="Q39" s="4"/>
      <c r="R39" s="4"/>
      <c r="S39" s="4"/>
      <c r="T39" s="4"/>
      <c r="U39" s="4"/>
      <c r="V39" s="4"/>
      <c r="W39" s="4"/>
      <c r="X39" s="4"/>
      <c r="Y39" s="4"/>
      <c r="Z39" s="4"/>
    </row>
    <row r="40" ht="15.75" customHeight="1">
      <c r="A40" s="34" t="s">
        <v>511</v>
      </c>
      <c r="B40" s="35" t="str">
        <f>'4조'!B110</f>
        <v>-</v>
      </c>
      <c r="C40" s="34" t="str">
        <f>'4조'!C110</f>
        <v>여러 서비스를 따로 실행하고 서로 통신하는 데 추가 자원이 든다.</v>
      </c>
      <c r="D40" s="35" t="str">
        <f>'4조'!D110</f>
        <v>--</v>
      </c>
      <c r="E40" s="34" t="str">
        <f>'4조'!E110</f>
        <v>많은 서비스를 따로 운영하고 분산된 데이터를 주고받아 자원 소모가 커진다.</v>
      </c>
      <c r="F40" s="37"/>
      <c r="G40" s="4"/>
      <c r="H40" s="4"/>
      <c r="I40" s="4"/>
      <c r="J40" s="4"/>
      <c r="K40" s="4"/>
      <c r="L40" s="4"/>
      <c r="M40" s="4"/>
      <c r="N40" s="4"/>
      <c r="O40" s="4"/>
      <c r="P40" s="4"/>
      <c r="Q40" s="4"/>
      <c r="R40" s="4"/>
      <c r="S40" s="4"/>
      <c r="T40" s="4"/>
      <c r="U40" s="4"/>
      <c r="V40" s="4"/>
      <c r="W40" s="4"/>
      <c r="X40" s="4"/>
      <c r="Y40" s="4"/>
      <c r="Z40" s="4"/>
    </row>
    <row r="41" ht="15.75" customHeight="1">
      <c r="A41" s="34" t="s">
        <v>513</v>
      </c>
      <c r="B41" s="35" t="str">
        <f>'5조'!B110</f>
        <v>-</v>
      </c>
      <c r="C41" s="34" t="str">
        <f>'5조'!C110</f>
        <v>중개 기능과 분산 환경으로 인해 에너지 소모가 크다. </v>
      </c>
      <c r="D41" s="35" t="str">
        <f>'5조'!D110</f>
        <v>--</v>
      </c>
      <c r="E41" s="34" t="str">
        <f>'5조'!E110</f>
        <v>서비스 수에 비례하여 overhead커짐</v>
      </c>
      <c r="F41" s="37"/>
      <c r="G41" s="4"/>
      <c r="H41" s="4"/>
      <c r="I41" s="4"/>
      <c r="J41" s="4"/>
      <c r="K41" s="4"/>
      <c r="L41" s="4"/>
      <c r="M41" s="4"/>
      <c r="N41" s="4"/>
      <c r="O41" s="4"/>
      <c r="P41" s="4"/>
      <c r="Q41" s="4"/>
      <c r="R41" s="4"/>
      <c r="S41" s="4"/>
      <c r="T41" s="4"/>
      <c r="U41" s="4"/>
      <c r="V41" s="4"/>
      <c r="W41" s="4"/>
      <c r="X41" s="4"/>
      <c r="Y41" s="4"/>
      <c r="Z41" s="4"/>
    </row>
    <row r="42" ht="15.75" customHeight="1">
      <c r="A42" s="34" t="s">
        <v>516</v>
      </c>
      <c r="B42" s="35" t="str">
        <f>'6조'!B110</f>
        <v>-</v>
      </c>
      <c r="C42" s="34" t="str">
        <f>'6조'!C110</f>
        <v>middleware의 존재로 성능 효율이 좋은 편이라고 볼 수 없음 </v>
      </c>
      <c r="D42" s="35" t="str">
        <f>'6조'!D110</f>
        <v>--</v>
      </c>
      <c r="E42" s="34" t="str">
        <f>'6조'!E110</f>
        <v>서비스 수만큼 프로세스/컨테이너가 늘어나고 서비스 간 네트워크 통신이 잦아져, 인프라·통신 오버헤드가 커진다</v>
      </c>
      <c r="F42" s="37"/>
      <c r="G42" s="4"/>
      <c r="H42" s="4"/>
      <c r="I42" s="4"/>
      <c r="J42" s="4"/>
      <c r="K42" s="4"/>
      <c r="L42" s="4"/>
      <c r="M42" s="4"/>
      <c r="N42" s="4"/>
      <c r="O42" s="4"/>
      <c r="P42" s="4"/>
      <c r="Q42" s="4"/>
      <c r="R42" s="4"/>
      <c r="S42" s="4"/>
      <c r="T42" s="4"/>
      <c r="U42" s="4"/>
      <c r="V42" s="4"/>
      <c r="W42" s="4"/>
      <c r="X42" s="4"/>
      <c r="Y42" s="4"/>
      <c r="Z42" s="4"/>
    </row>
    <row r="43" ht="15.75" customHeight="1">
      <c r="A43" s="34" t="s">
        <v>520</v>
      </c>
      <c r="B43" s="35" t="str">
        <f>'7조'!B110</f>
        <v/>
      </c>
      <c r="C43" s="34" t="str">
        <f>'7조'!C110</f>
        <v>7조 - SOA - Energy Efficiency</v>
      </c>
      <c r="D43" s="35" t="str">
        <f>'7조'!D110</f>
        <v/>
      </c>
      <c r="E43" s="34" t="str">
        <f>'7조'!E110</f>
        <v>7조 - Mico-Service - Energy Efficiency</v>
      </c>
      <c r="F43" s="37"/>
      <c r="G43" s="4"/>
      <c r="H43" s="4"/>
      <c r="I43" s="4"/>
      <c r="J43" s="4"/>
      <c r="K43" s="4"/>
      <c r="L43" s="4"/>
      <c r="M43" s="4"/>
      <c r="N43" s="4"/>
      <c r="O43" s="4"/>
      <c r="P43" s="4"/>
      <c r="Q43" s="4"/>
      <c r="R43" s="4"/>
      <c r="S43" s="4"/>
      <c r="T43" s="4"/>
      <c r="U43" s="4"/>
      <c r="V43" s="4"/>
      <c r="W43" s="4"/>
      <c r="X43" s="4"/>
      <c r="Y43" s="4"/>
      <c r="Z43" s="4"/>
    </row>
    <row r="44" ht="15.75" customHeight="1">
      <c r="A44" s="34" t="s">
        <v>523</v>
      </c>
      <c r="B44" s="35" t="str">
        <f>'8조'!B110</f>
        <v/>
      </c>
      <c r="C44" s="34" t="str">
        <f>'8조'!C110</f>
        <v>8조 - SOA - Energy Efficiency</v>
      </c>
      <c r="D44" s="35" t="str">
        <f>'8조'!D110</f>
        <v/>
      </c>
      <c r="E44" s="34" t="str">
        <f>'8조'!E110</f>
        <v>8조 - Mico-Service - Energy Efficiency</v>
      </c>
      <c r="F44" s="37"/>
      <c r="G44" s="4"/>
      <c r="H44" s="4"/>
      <c r="I44" s="4"/>
      <c r="J44" s="4"/>
      <c r="K44" s="4"/>
      <c r="L44" s="4"/>
      <c r="M44" s="4"/>
      <c r="N44" s="4"/>
      <c r="O44" s="4"/>
      <c r="P44" s="4"/>
      <c r="Q44" s="4"/>
      <c r="R44" s="4"/>
      <c r="S44" s="4"/>
      <c r="T44" s="4"/>
      <c r="U44" s="4"/>
      <c r="V44" s="4"/>
      <c r="W44" s="4"/>
      <c r="X44" s="4"/>
      <c r="Y44" s="4"/>
      <c r="Z44" s="4"/>
    </row>
    <row r="45" ht="15.75" customHeight="1">
      <c r="A45" s="34" t="s">
        <v>526</v>
      </c>
      <c r="B45" s="35" t="str">
        <f>'9조'!B110</f>
        <v/>
      </c>
      <c r="C45" s="34" t="str">
        <f>'9조'!C110</f>
        <v>9조 - SOA - Energy Efficiency</v>
      </c>
      <c r="D45" s="35" t="str">
        <f>'9조'!D110</f>
        <v/>
      </c>
      <c r="E45" s="34" t="str">
        <f>'9조'!E110</f>
        <v>9조 - Mico-Service - Energy Efficiency</v>
      </c>
      <c r="F45" s="37"/>
      <c r="G45" s="4"/>
      <c r="H45" s="4"/>
      <c r="I45" s="4"/>
      <c r="J45" s="4"/>
      <c r="K45" s="4"/>
      <c r="L45" s="4"/>
      <c r="M45" s="4"/>
      <c r="N45" s="4"/>
      <c r="O45" s="4"/>
      <c r="P45" s="4"/>
      <c r="Q45" s="4"/>
      <c r="R45" s="4"/>
      <c r="S45" s="4"/>
      <c r="T45" s="4"/>
      <c r="U45" s="4"/>
      <c r="V45" s="4"/>
      <c r="W45" s="4"/>
      <c r="X45" s="4"/>
      <c r="Y45" s="4"/>
      <c r="Z45" s="4"/>
    </row>
    <row r="46" ht="15.75" customHeight="1">
      <c r="A46" s="34"/>
      <c r="B46" s="34"/>
      <c r="C46" s="34"/>
      <c r="D46" s="34"/>
      <c r="E46" s="34"/>
      <c r="F46" s="24"/>
      <c r="G46" s="4"/>
      <c r="H46" s="4"/>
      <c r="I46" s="4"/>
      <c r="J46" s="4"/>
      <c r="K46" s="4"/>
      <c r="L46" s="4"/>
      <c r="M46" s="4"/>
      <c r="N46" s="4"/>
      <c r="O46" s="4"/>
      <c r="P46" s="4"/>
      <c r="Q46" s="4"/>
      <c r="R46" s="4"/>
      <c r="S46" s="4"/>
      <c r="T46" s="4"/>
      <c r="U46" s="4"/>
      <c r="V46" s="4"/>
      <c r="W46" s="4"/>
      <c r="X46" s="4"/>
      <c r="Y46" s="4"/>
      <c r="Z46" s="4"/>
    </row>
    <row r="47" ht="15.75" customHeight="1">
      <c r="A47" s="33" t="s">
        <v>151</v>
      </c>
      <c r="B47" s="33">
        <v>0.0</v>
      </c>
      <c r="C47" s="33">
        <v>0.0</v>
      </c>
      <c r="D47" s="33">
        <v>0.0</v>
      </c>
      <c r="E47" s="33">
        <v>0.0</v>
      </c>
      <c r="F47" s="24"/>
      <c r="G47" s="4"/>
      <c r="H47" s="4"/>
      <c r="I47" s="4"/>
      <c r="J47" s="4"/>
      <c r="K47" s="4"/>
      <c r="L47" s="4"/>
      <c r="M47" s="4"/>
      <c r="N47" s="4"/>
      <c r="O47" s="4"/>
      <c r="P47" s="4"/>
      <c r="Q47" s="4"/>
      <c r="R47" s="4"/>
      <c r="S47" s="4"/>
      <c r="T47" s="4"/>
      <c r="U47" s="4"/>
      <c r="V47" s="4"/>
      <c r="W47" s="4"/>
      <c r="X47" s="4"/>
      <c r="Y47" s="4"/>
      <c r="Z47" s="4"/>
    </row>
    <row r="48" ht="15.75" customHeight="1">
      <c r="A48" s="34" t="s">
        <v>502</v>
      </c>
      <c r="B48" s="35" t="str">
        <f>'1조'!B111</f>
        <v>+</v>
      </c>
      <c r="C48" s="34" t="str">
        <f>'1조'!C111</f>
        <v>[++] Stateless Service와 공개 Interface를 유지하면 내부 구현 변경이 Application에 영향을 주지 않아 진화·갱신이 매우 쉽다.
 [-] 공개 Interface나 공통 업무 의미의 변경은 여러 Consumer에 전파될 수 있다.</v>
      </c>
      <c r="D48" s="35" t="str">
        <f>'1조'!D111</f>
        <v>++</v>
      </c>
      <c r="E48" s="34" t="str">
        <f>'1조'!E111</f>
        <v>[++] Business Capability별 독립 Codebase와 Data Store로 새 기능 추가와 내부 Logic·Schema 변경을 단일 Service에 국소화하기 매우 쉽다.</v>
      </c>
      <c r="F48" s="36" t="s">
        <v>667</v>
      </c>
      <c r="G48" s="4"/>
      <c r="H48" s="4"/>
      <c r="I48" s="4"/>
      <c r="J48" s="4"/>
      <c r="K48" s="4"/>
      <c r="L48" s="4"/>
      <c r="M48" s="4"/>
      <c r="N48" s="4"/>
      <c r="O48" s="4"/>
      <c r="P48" s="4"/>
      <c r="Q48" s="4"/>
      <c r="R48" s="4"/>
      <c r="S48" s="4"/>
      <c r="T48" s="4"/>
      <c r="U48" s="4"/>
      <c r="V48" s="4"/>
      <c r="W48" s="4"/>
      <c r="X48" s="4"/>
      <c r="Y48" s="4"/>
      <c r="Z48" s="4"/>
    </row>
    <row r="49" ht="15.75" customHeight="1">
      <c r="A49" s="34" t="s">
        <v>507</v>
      </c>
      <c r="B49" s="35" t="str">
        <f>'2조'!B111</f>
        <v>++</v>
      </c>
      <c r="C49" s="34" t="str">
        <f>'2조'!C111</f>
        <v>(+) 비상태성(Stateless)과 느슨한 결합 덕분에 공개된 표준 인터페이스만 유지되면 서비스 내부 비즈니스 로직을 자유롭게 수정·진화시킬 수 있어 수정 용이성이 극히 우수함 (교안 장점 첫 줄 명시)</v>
      </c>
      <c r="D49" s="35" t="str">
        <f>'2조'!D111</f>
        <v>++</v>
      </c>
      <c r="E49" s="34" t="str">
        <f>'2조'!E111</f>
        <v> 데이터 격리(Data Isolation): 서비스별로 독립된 DB를 소유하므로 스키마 변경이 단 하나의 서비스에만 영향을 미치며, 코드베이스 분리로 새로운 비즈니스 기능을 추가하기 극히 용이함</v>
      </c>
      <c r="F49" s="37"/>
      <c r="G49" s="4"/>
      <c r="H49" s="4"/>
      <c r="I49" s="4"/>
      <c r="J49" s="4"/>
      <c r="K49" s="4"/>
      <c r="L49" s="4"/>
      <c r="M49" s="4"/>
      <c r="N49" s="4"/>
      <c r="O49" s="4"/>
      <c r="P49" s="4"/>
      <c r="Q49" s="4"/>
      <c r="R49" s="4"/>
      <c r="S49" s="4"/>
      <c r="T49" s="4"/>
      <c r="U49" s="4"/>
      <c r="V49" s="4"/>
      <c r="W49" s="4"/>
      <c r="X49" s="4"/>
      <c r="Y49" s="4"/>
      <c r="Z49" s="4"/>
    </row>
    <row r="50" ht="15.75" customHeight="1">
      <c r="A50" s="34" t="s">
        <v>510</v>
      </c>
      <c r="B50" s="35" t="str">
        <f>'3조'!B111</f>
        <v>+</v>
      </c>
      <c r="C50" s="34" t="str">
        <f>'3조'!C111</f>
        <v>Stateless 서비스 특성과 공개 인터페이스 준수를 통해 서비스 내부 구현 변경이 클라이언트 애플리케이션에 영향을 주지 않아 기능 진화(Evolution)가 쉬움</v>
      </c>
      <c r="D50" s="35" t="str">
        <f>'3조'!D111</f>
        <v>++</v>
      </c>
      <c r="E50" s="34" t="str">
        <f>'3조'!E111</f>
        <v>서비스별 독립적인 데이터 저장소(Data Store)와 코드베이스를 유지하여 의존성이 최소화되고, 개별 서비스 수정·교체가 매우 쉽다</v>
      </c>
      <c r="F50" s="37"/>
      <c r="G50" s="4"/>
      <c r="H50" s="4"/>
      <c r="I50" s="4"/>
      <c r="J50" s="4"/>
      <c r="K50" s="4"/>
      <c r="L50" s="4"/>
      <c r="M50" s="4"/>
      <c r="N50" s="4"/>
      <c r="O50" s="4"/>
      <c r="P50" s="4"/>
      <c r="Q50" s="4"/>
      <c r="R50" s="4"/>
      <c r="S50" s="4"/>
      <c r="T50" s="4"/>
      <c r="U50" s="4"/>
      <c r="V50" s="4"/>
      <c r="W50" s="4"/>
      <c r="X50" s="4"/>
      <c r="Y50" s="4"/>
      <c r="Z50" s="4"/>
    </row>
    <row r="51" ht="15.75" customHeight="1">
      <c r="A51" s="34" t="s">
        <v>511</v>
      </c>
      <c r="B51" s="35" t="str">
        <f>'4조'!B111</f>
        <v>+</v>
      </c>
      <c r="C51" s="34" t="str">
        <f>'4조'!C111</f>
        <v>서비스 간 연결 규칙을 유지하면 다른 서비스를 크게 바꾸지 않고 내부 기능을 수정하기 쉽다.</v>
      </c>
      <c r="D51" s="35" t="str">
        <f>'4조'!D111</f>
        <v>++</v>
      </c>
      <c r="E51" s="34" t="str">
        <f>'4조'!E111</f>
        <v>서비스별 책임과 데이터가 분리되어 한 서비스의 기능을 독립적으로 바꾸기 매우 쉽다.</v>
      </c>
      <c r="F51" s="37"/>
      <c r="G51" s="4"/>
      <c r="H51" s="4"/>
      <c r="I51" s="4"/>
      <c r="J51" s="4"/>
      <c r="K51" s="4"/>
      <c r="L51" s="4"/>
      <c r="M51" s="4"/>
      <c r="N51" s="4"/>
      <c r="O51" s="4"/>
      <c r="P51" s="4"/>
      <c r="Q51" s="4"/>
      <c r="R51" s="4"/>
      <c r="S51" s="4"/>
      <c r="T51" s="4"/>
      <c r="U51" s="4"/>
      <c r="V51" s="4"/>
      <c r="W51" s="4"/>
      <c r="X51" s="4"/>
      <c r="Y51" s="4"/>
      <c r="Z51" s="4"/>
    </row>
    <row r="52" ht="15.75" customHeight="1">
      <c r="A52" s="34" t="s">
        <v>513</v>
      </c>
      <c r="B52" s="35" t="str">
        <f>'5조'!B111</f>
        <v>++</v>
      </c>
      <c r="C52" s="34" t="str">
        <f>'5조'!C111</f>
        <v>각 서비스 component가 독립적이므로 공개된 interface만 바뀌지 않는다면 서비스 구현 변경이 application에 영향을 주지 않는다.</v>
      </c>
      <c r="D52" s="35" t="str">
        <f>'5조'!D111</f>
        <v>+</v>
      </c>
      <c r="E52" s="34" t="str">
        <f>'5조'!E111</f>
        <v>서비스별 독립적이여서 수정에 용이함</v>
      </c>
      <c r="F52" s="37"/>
      <c r="G52" s="4"/>
      <c r="H52" s="4"/>
      <c r="I52" s="4"/>
      <c r="J52" s="4"/>
      <c r="K52" s="4"/>
      <c r="L52" s="4"/>
      <c r="M52" s="4"/>
      <c r="N52" s="4"/>
      <c r="O52" s="4"/>
      <c r="P52" s="4"/>
      <c r="Q52" s="4"/>
      <c r="R52" s="4"/>
      <c r="S52" s="4"/>
      <c r="T52" s="4"/>
      <c r="U52" s="4"/>
      <c r="V52" s="4"/>
      <c r="W52" s="4"/>
      <c r="X52" s="4"/>
      <c r="Y52" s="4"/>
      <c r="Z52" s="4"/>
    </row>
    <row r="53" ht="15.75" customHeight="1">
      <c r="A53" s="34" t="s">
        <v>516</v>
      </c>
      <c r="B53" s="35" t="str">
        <f>'6조'!B111</f>
        <v>++</v>
      </c>
      <c r="C53" s="34" t="str">
        <f>'6조'!C111</f>
        <v>표준화된 통신 보장으로 intermediary 수정 없이 service provider 및 customer 변경이 용이. 단 intermediary 변경은 아려움</v>
      </c>
      <c r="D53" s="35" t="str">
        <f>'6조'!D111</f>
        <v>+</v>
      </c>
      <c r="E53" s="34" t="str">
        <f>'6조'!E111</f>
        <v>코드와 data store를 서비스 간 공유하지 않아 의존성이 최소화되므로, 한 서비스의 기능 변경·추가가 다른 서비스에 영향을 주지 않는다</v>
      </c>
      <c r="F53" s="37"/>
      <c r="G53" s="4"/>
      <c r="H53" s="4"/>
      <c r="I53" s="4"/>
      <c r="J53" s="4"/>
      <c r="K53" s="4"/>
      <c r="L53" s="4"/>
      <c r="M53" s="4"/>
      <c r="N53" s="4"/>
      <c r="O53" s="4"/>
      <c r="P53" s="4"/>
      <c r="Q53" s="4"/>
      <c r="R53" s="4"/>
      <c r="S53" s="4"/>
      <c r="T53" s="4"/>
      <c r="U53" s="4"/>
      <c r="V53" s="4"/>
      <c r="W53" s="4"/>
      <c r="X53" s="4"/>
      <c r="Y53" s="4"/>
      <c r="Z53" s="4"/>
    </row>
    <row r="54" ht="15.75" customHeight="1">
      <c r="A54" s="34" t="s">
        <v>520</v>
      </c>
      <c r="B54" s="35" t="str">
        <f>'7조'!B111</f>
        <v/>
      </c>
      <c r="C54" s="34" t="str">
        <f>'7조'!C111</f>
        <v>7조 - SOA - Modifiability</v>
      </c>
      <c r="D54" s="35" t="str">
        <f>'7조'!D111</f>
        <v/>
      </c>
      <c r="E54" s="34" t="str">
        <f>'7조'!E111</f>
        <v>7조 - Mico-Service - Modifiability</v>
      </c>
      <c r="F54" s="37"/>
      <c r="G54" s="4"/>
      <c r="H54" s="4"/>
      <c r="I54" s="4"/>
      <c r="J54" s="4"/>
      <c r="K54" s="4"/>
      <c r="L54" s="4"/>
      <c r="M54" s="4"/>
      <c r="N54" s="4"/>
      <c r="O54" s="4"/>
      <c r="P54" s="4"/>
      <c r="Q54" s="4"/>
      <c r="R54" s="4"/>
      <c r="S54" s="4"/>
      <c r="T54" s="4"/>
      <c r="U54" s="4"/>
      <c r="V54" s="4"/>
      <c r="W54" s="4"/>
      <c r="X54" s="4"/>
      <c r="Y54" s="4"/>
      <c r="Z54" s="4"/>
    </row>
    <row r="55" ht="15.75" customHeight="1">
      <c r="A55" s="34" t="s">
        <v>523</v>
      </c>
      <c r="B55" s="35" t="str">
        <f>'8조'!B111</f>
        <v/>
      </c>
      <c r="C55" s="34" t="str">
        <f>'8조'!C111</f>
        <v>8조 - SOA - Modifiability</v>
      </c>
      <c r="D55" s="35" t="str">
        <f>'8조'!D111</f>
        <v/>
      </c>
      <c r="E55" s="34" t="str">
        <f>'8조'!E111</f>
        <v>8조 - Mico-Service - Modifiability</v>
      </c>
      <c r="F55" s="37"/>
      <c r="G55" s="4"/>
      <c r="H55" s="4"/>
      <c r="I55" s="4"/>
      <c r="J55" s="4"/>
      <c r="K55" s="4"/>
      <c r="L55" s="4"/>
      <c r="M55" s="4"/>
      <c r="N55" s="4"/>
      <c r="O55" s="4"/>
      <c r="P55" s="4"/>
      <c r="Q55" s="4"/>
      <c r="R55" s="4"/>
      <c r="S55" s="4"/>
      <c r="T55" s="4"/>
      <c r="U55" s="4"/>
      <c r="V55" s="4"/>
      <c r="W55" s="4"/>
      <c r="X55" s="4"/>
      <c r="Y55" s="4"/>
      <c r="Z55" s="4"/>
    </row>
    <row r="56" ht="15.75" customHeight="1">
      <c r="A56" s="34" t="s">
        <v>526</v>
      </c>
      <c r="B56" s="35" t="str">
        <f>'9조'!B111</f>
        <v/>
      </c>
      <c r="C56" s="34" t="str">
        <f>'9조'!C111</f>
        <v>9조 - SOA - Modifiability</v>
      </c>
      <c r="D56" s="35" t="str">
        <f>'9조'!D111</f>
        <v/>
      </c>
      <c r="E56" s="34" t="str">
        <f>'9조'!E111</f>
        <v>9조 - Mico-Service - Modifiability</v>
      </c>
      <c r="F56" s="37"/>
      <c r="G56" s="4"/>
      <c r="H56" s="4"/>
      <c r="I56" s="4"/>
      <c r="J56" s="4"/>
      <c r="K56" s="4"/>
      <c r="L56" s="4"/>
      <c r="M56" s="4"/>
      <c r="N56" s="4"/>
      <c r="O56" s="4"/>
      <c r="P56" s="4"/>
      <c r="Q56" s="4"/>
      <c r="R56" s="4"/>
      <c r="S56" s="4"/>
      <c r="T56" s="4"/>
      <c r="U56" s="4"/>
      <c r="V56" s="4"/>
      <c r="W56" s="4"/>
      <c r="X56" s="4"/>
      <c r="Y56" s="4"/>
      <c r="Z56" s="4"/>
    </row>
    <row r="57" ht="15.75" customHeight="1">
      <c r="A57" s="34"/>
      <c r="B57" s="34"/>
      <c r="C57" s="34"/>
      <c r="D57" s="34"/>
      <c r="E57" s="34"/>
      <c r="F57" s="24"/>
      <c r="G57" s="4"/>
      <c r="H57" s="4"/>
      <c r="I57" s="4"/>
      <c r="J57" s="4"/>
      <c r="K57" s="4"/>
      <c r="L57" s="4"/>
      <c r="M57" s="4"/>
      <c r="N57" s="4"/>
      <c r="O57" s="4"/>
      <c r="P57" s="4"/>
      <c r="Q57" s="4"/>
      <c r="R57" s="4"/>
      <c r="S57" s="4"/>
      <c r="T57" s="4"/>
      <c r="U57" s="4"/>
      <c r="V57" s="4"/>
      <c r="W57" s="4"/>
      <c r="X57" s="4"/>
      <c r="Y57" s="4"/>
      <c r="Z57" s="4"/>
    </row>
    <row r="58" ht="15.75" customHeight="1">
      <c r="A58" s="33" t="s">
        <v>186</v>
      </c>
      <c r="B58" s="33">
        <v>0.0</v>
      </c>
      <c r="C58" s="33">
        <v>0.0</v>
      </c>
      <c r="D58" s="33">
        <v>0.0</v>
      </c>
      <c r="E58" s="33">
        <v>0.0</v>
      </c>
      <c r="F58" s="24"/>
      <c r="G58" s="4"/>
      <c r="H58" s="4"/>
      <c r="I58" s="4"/>
      <c r="J58" s="4"/>
      <c r="K58" s="4"/>
      <c r="L58" s="4"/>
      <c r="M58" s="4"/>
      <c r="N58" s="4"/>
      <c r="O58" s="4"/>
      <c r="P58" s="4"/>
      <c r="Q58" s="4"/>
      <c r="R58" s="4"/>
      <c r="S58" s="4"/>
      <c r="T58" s="4"/>
      <c r="U58" s="4"/>
      <c r="V58" s="4"/>
      <c r="W58" s="4"/>
      <c r="X58" s="4"/>
      <c r="Y58" s="4"/>
      <c r="Z58" s="4"/>
    </row>
    <row r="59" ht="15.75" customHeight="1">
      <c r="A59" s="34" t="s">
        <v>502</v>
      </c>
      <c r="B59" s="35" t="str">
        <f>'1조'!B112</f>
        <v>-</v>
      </c>
      <c r="C59" s="34" t="str">
        <f>'1조'!C112</f>
        <v>여러 업무 서비스를 네트워크로 조합하면 로컬 호출 대비 왕복·직렬화·실패 처리 시간이 추가된다. 특히 짧은 기능을 잘게 나누어 연쇄 호출하면 연결 비용의 비중이 커진다. 서비스 재사용을 응답 시간의 자동 개선으로 해석하지 않는다.</v>
      </c>
      <c r="D59" s="35" t="str">
        <f>'1조'!D112</f>
        <v>-</v>
      </c>
      <c r="E59" s="34" t="str">
        <f>'1조'!E112</f>
        <v>하나의 업무를 여러 원격 서비스에 걸쳐 처리하면 호출·직렬화·인증·데이터 조회의 왕복이 누적될 수 있다. 교안이 마이크로서비스의 지연 비용을 약점으로 설명한 점을 반영한다. 서비스별 확장에 따른 처리량 이점과 분리한 평가이다.</v>
      </c>
      <c r="F59" s="36" t="s">
        <v>669</v>
      </c>
      <c r="G59" s="4"/>
      <c r="H59" s="4"/>
      <c r="I59" s="4"/>
      <c r="J59" s="4"/>
      <c r="K59" s="4"/>
      <c r="L59" s="4"/>
      <c r="M59" s="4"/>
      <c r="N59" s="4"/>
      <c r="O59" s="4"/>
      <c r="P59" s="4"/>
      <c r="Q59" s="4"/>
      <c r="R59" s="4"/>
      <c r="S59" s="4"/>
      <c r="T59" s="4"/>
      <c r="U59" s="4"/>
      <c r="V59" s="4"/>
      <c r="W59" s="4"/>
      <c r="X59" s="4"/>
      <c r="Y59" s="4"/>
      <c r="Z59" s="4"/>
    </row>
    <row r="60" ht="15.75" customHeight="1">
      <c r="A60" s="34" t="s">
        <v>507</v>
      </c>
      <c r="B60" s="35" t="str">
        <f>'2조'!B112</f>
        <v>-</v>
      </c>
      <c r="C60" s="34" t="str">
        <f>'2조'!C112</f>
        <v>(+) 서비스를 여러 물리 장비로 분산하여 대규모 작업 부하 분산 가능. / (-) 미들웨어 오버헤드가 크고 통신 병목이 발생할 수 있으며, 서비스 제공자가 엄격한 성능 보장(Guarantee)을 제공하지 못함 (교안 약점 명시)</v>
      </c>
      <c r="D60" s="35" t="str">
        <f>'2조'!D112</f>
        <v>0</v>
      </c>
      <c r="E60" s="34" t="str">
        <f>'2조'!E112</f>
        <v>(+) 부하가 많은 서브시스템만 독립적으로 수평 확장(Scale-out)하여 처리량을 높일 수 있음 (-) 그러나 미세한 서비스 간 긴 호출 체인으로 네트워크 정체 및 응답 지연(Latency)이 크게 증가함</v>
      </c>
      <c r="F60" s="37"/>
      <c r="G60" s="4"/>
      <c r="H60" s="4"/>
      <c r="I60" s="4"/>
      <c r="J60" s="4"/>
      <c r="K60" s="4"/>
      <c r="L60" s="4"/>
      <c r="M60" s="4"/>
      <c r="N60" s="4"/>
      <c r="O60" s="4"/>
      <c r="P60" s="4"/>
      <c r="Q60" s="4"/>
      <c r="R60" s="4"/>
      <c r="S60" s="4"/>
      <c r="T60" s="4"/>
      <c r="U60" s="4"/>
      <c r="V60" s="4"/>
      <c r="W60" s="4"/>
      <c r="X60" s="4"/>
      <c r="Y60" s="4"/>
      <c r="Z60" s="4"/>
    </row>
    <row r="61" ht="15.75" customHeight="1">
      <c r="A61" s="34" t="s">
        <v>510</v>
      </c>
      <c r="B61" s="35" t="str">
        <f>'3조'!B112</f>
        <v>-</v>
      </c>
      <c r="C61" s="34" t="str">
        <f>'3조'!C112</f>
        <v>Middleware로 인해 서비스 간 네트워크 호출이 많아져 성능 overhead 발생</v>
      </c>
      <c r="D61" s="35" t="str">
        <f>'3조'!D112</f>
        <v>-</v>
      </c>
      <c r="E61" s="34" t="str">
        <f>'3조'!E112</f>
        <v>서비스 간 네트워크 호출이 많아지면 latency와 serialization overhead가 발생한다.</v>
      </c>
      <c r="F61" s="37"/>
      <c r="G61" s="4"/>
      <c r="H61" s="4"/>
      <c r="I61" s="4"/>
      <c r="J61" s="4"/>
      <c r="K61" s="4"/>
      <c r="L61" s="4"/>
      <c r="M61" s="4"/>
      <c r="N61" s="4"/>
      <c r="O61" s="4"/>
      <c r="P61" s="4"/>
      <c r="Q61" s="4"/>
      <c r="R61" s="4"/>
      <c r="S61" s="4"/>
      <c r="T61" s="4"/>
      <c r="U61" s="4"/>
      <c r="V61" s="4"/>
      <c r="W61" s="4"/>
      <c r="X61" s="4"/>
      <c r="Y61" s="4"/>
      <c r="Z61" s="4"/>
    </row>
    <row r="62" ht="15.75" customHeight="1">
      <c r="A62" s="34" t="s">
        <v>511</v>
      </c>
      <c r="B62" s="35" t="str">
        <f>'4조'!B112</f>
        <v>-</v>
      </c>
      <c r="C62" s="34" t="str">
        <f>'4조'!C112</f>
        <v>서비스를 원격으로 호출하고 데이터를 변환하는 과정에서 지연이 늘어날 수 있다.</v>
      </c>
      <c r="D62" s="35" t="str">
        <f>'4조'!D112</f>
        <v>-</v>
      </c>
      <c r="E62" s="34" t="str">
        <f>'4조'!E112</f>
        <v>동시 처리는 가능하지만 여러 서비스 호출과 데이터 조정으로 개별 요청의 지연이 늘 수 있다.</v>
      </c>
      <c r="F62" s="37"/>
      <c r="G62" s="4"/>
      <c r="H62" s="4"/>
      <c r="I62" s="4"/>
      <c r="J62" s="4"/>
      <c r="K62" s="4"/>
      <c r="L62" s="4"/>
      <c r="M62" s="4"/>
      <c r="N62" s="4"/>
      <c r="O62" s="4"/>
      <c r="P62" s="4"/>
      <c r="Q62" s="4"/>
      <c r="R62" s="4"/>
      <c r="S62" s="4"/>
      <c r="T62" s="4"/>
      <c r="U62" s="4"/>
      <c r="V62" s="4"/>
      <c r="W62" s="4"/>
      <c r="X62" s="4"/>
      <c r="Y62" s="4"/>
      <c r="Z62" s="4"/>
    </row>
    <row r="63" ht="15.75" customHeight="1">
      <c r="A63" s="34" t="s">
        <v>513</v>
      </c>
      <c r="B63" s="35" t="str">
        <f>'5조'!B112</f>
        <v>-</v>
      </c>
      <c r="C63" s="34" t="str">
        <f>'5조'!C112</f>
        <v>세분화된 원격 호출과 서비스 조합으로 인해 비용이 발생한다. </v>
      </c>
      <c r="D63" s="35" t="str">
        <f>'5조'!D112</f>
        <v>--</v>
      </c>
      <c r="E63" s="34" t="str">
        <f>'5조'!E112</f>
        <v>서비스간 통신 증가로 latency증가</v>
      </c>
      <c r="F63" s="37"/>
      <c r="G63" s="4"/>
      <c r="H63" s="4"/>
      <c r="I63" s="4"/>
      <c r="J63" s="4"/>
      <c r="K63" s="4"/>
      <c r="L63" s="4"/>
      <c r="M63" s="4"/>
      <c r="N63" s="4"/>
      <c r="O63" s="4"/>
      <c r="P63" s="4"/>
      <c r="Q63" s="4"/>
      <c r="R63" s="4"/>
      <c r="S63" s="4"/>
      <c r="T63" s="4"/>
      <c r="U63" s="4"/>
      <c r="V63" s="4"/>
      <c r="W63" s="4"/>
      <c r="X63" s="4"/>
      <c r="Y63" s="4"/>
      <c r="Z63" s="4"/>
    </row>
    <row r="64" ht="15.75" customHeight="1">
      <c r="A64" s="34" t="s">
        <v>516</v>
      </c>
      <c r="B64" s="35" t="str">
        <f>'6조'!B112</f>
        <v>+</v>
      </c>
      <c r="C64" s="34" t="str">
        <f>'6조'!C112</f>
        <v>middleware의 존재로 시간효율 및 자원효율이 좋은 편이라고 볼 수 없음 </v>
      </c>
      <c r="D64" s="35" t="str">
        <f>'6조'!D112</f>
        <v>--</v>
      </c>
      <c r="E64" s="34" t="str">
        <f>'6조'!E112</f>
        <v>세분화된 서비스가 많아질수록 서비스 간 원격 통신이 늘고, 의존 체인이 길어지면 누적 latency가 커져 응답 성능이 저하되기 쉽다</v>
      </c>
      <c r="F64" s="37"/>
      <c r="G64" s="4"/>
      <c r="H64" s="4"/>
      <c r="I64" s="4"/>
      <c r="J64" s="4"/>
      <c r="K64" s="4"/>
      <c r="L64" s="4"/>
      <c r="M64" s="4"/>
      <c r="N64" s="4"/>
      <c r="O64" s="4"/>
      <c r="P64" s="4"/>
      <c r="Q64" s="4"/>
      <c r="R64" s="4"/>
      <c r="S64" s="4"/>
      <c r="T64" s="4"/>
      <c r="U64" s="4"/>
      <c r="V64" s="4"/>
      <c r="W64" s="4"/>
      <c r="X64" s="4"/>
      <c r="Y64" s="4"/>
      <c r="Z64" s="4"/>
    </row>
    <row r="65" ht="15.75" customHeight="1">
      <c r="A65" s="34" t="s">
        <v>520</v>
      </c>
      <c r="B65" s="35" t="str">
        <f>'7조'!B112</f>
        <v/>
      </c>
      <c r="C65" s="34" t="str">
        <f>'7조'!C112</f>
        <v>7조 - SOA - Performance</v>
      </c>
      <c r="D65" s="35" t="str">
        <f>'7조'!D112</f>
        <v/>
      </c>
      <c r="E65" s="34" t="str">
        <f>'7조'!E112</f>
        <v>7조 - Mico-Service - Performance</v>
      </c>
      <c r="F65" s="37"/>
      <c r="G65" s="4"/>
      <c r="H65" s="4"/>
      <c r="I65" s="4"/>
      <c r="J65" s="4"/>
      <c r="K65" s="4"/>
      <c r="L65" s="4"/>
      <c r="M65" s="4"/>
      <c r="N65" s="4"/>
      <c r="O65" s="4"/>
      <c r="P65" s="4"/>
      <c r="Q65" s="4"/>
      <c r="R65" s="4"/>
      <c r="S65" s="4"/>
      <c r="T65" s="4"/>
      <c r="U65" s="4"/>
      <c r="V65" s="4"/>
      <c r="W65" s="4"/>
      <c r="X65" s="4"/>
      <c r="Y65" s="4"/>
      <c r="Z65" s="4"/>
    </row>
    <row r="66" ht="15.75" customHeight="1">
      <c r="A66" s="34" t="s">
        <v>523</v>
      </c>
      <c r="B66" s="35" t="str">
        <f>'8조'!B112</f>
        <v/>
      </c>
      <c r="C66" s="34" t="str">
        <f>'8조'!C112</f>
        <v>8조 - SOA - Performance</v>
      </c>
      <c r="D66" s="35" t="str">
        <f>'8조'!D112</f>
        <v/>
      </c>
      <c r="E66" s="34" t="str">
        <f>'8조'!E112</f>
        <v>8조 - Mico-Service - Performance</v>
      </c>
      <c r="F66" s="37"/>
      <c r="G66" s="4"/>
      <c r="H66" s="4"/>
      <c r="I66" s="4"/>
      <c r="J66" s="4"/>
      <c r="K66" s="4"/>
      <c r="L66" s="4"/>
      <c r="M66" s="4"/>
      <c r="N66" s="4"/>
      <c r="O66" s="4"/>
      <c r="P66" s="4"/>
      <c r="Q66" s="4"/>
      <c r="R66" s="4"/>
      <c r="S66" s="4"/>
      <c r="T66" s="4"/>
      <c r="U66" s="4"/>
      <c r="V66" s="4"/>
      <c r="W66" s="4"/>
      <c r="X66" s="4"/>
      <c r="Y66" s="4"/>
      <c r="Z66" s="4"/>
    </row>
    <row r="67" ht="15.75" customHeight="1">
      <c r="A67" s="34" t="s">
        <v>526</v>
      </c>
      <c r="B67" s="35" t="str">
        <f>'9조'!B112</f>
        <v/>
      </c>
      <c r="C67" s="34" t="str">
        <f>'9조'!C112</f>
        <v>9조 - SOA - Performance</v>
      </c>
      <c r="D67" s="35" t="str">
        <f>'9조'!D112</f>
        <v/>
      </c>
      <c r="E67" s="34" t="str">
        <f>'9조'!E112</f>
        <v>9조 - Mico-Service - Performance</v>
      </c>
      <c r="F67" s="37"/>
      <c r="G67" s="4"/>
      <c r="H67" s="4"/>
      <c r="I67" s="4"/>
      <c r="J67" s="4"/>
      <c r="K67" s="4"/>
      <c r="L67" s="4"/>
      <c r="M67" s="4"/>
      <c r="N67" s="4"/>
      <c r="O67" s="4"/>
      <c r="P67" s="4"/>
      <c r="Q67" s="4"/>
      <c r="R67" s="4"/>
      <c r="S67" s="4"/>
      <c r="T67" s="4"/>
      <c r="U67" s="4"/>
      <c r="V67" s="4"/>
      <c r="W67" s="4"/>
      <c r="X67" s="4"/>
      <c r="Y67" s="4"/>
      <c r="Z67" s="4"/>
    </row>
    <row r="68" ht="15.75" customHeight="1">
      <c r="A68" s="34"/>
      <c r="B68" s="34"/>
      <c r="C68" s="34"/>
      <c r="D68" s="34"/>
      <c r="E68" s="34"/>
      <c r="F68" s="24"/>
      <c r="G68" s="4"/>
      <c r="H68" s="4"/>
      <c r="I68" s="4"/>
      <c r="J68" s="4"/>
      <c r="K68" s="4"/>
      <c r="L68" s="4"/>
      <c r="M68" s="4"/>
      <c r="N68" s="4"/>
      <c r="O68" s="4"/>
      <c r="P68" s="4"/>
      <c r="Q68" s="4"/>
      <c r="R68" s="4"/>
      <c r="S68" s="4"/>
      <c r="T68" s="4"/>
      <c r="U68" s="4"/>
      <c r="V68" s="4"/>
      <c r="W68" s="4"/>
      <c r="X68" s="4"/>
      <c r="Y68" s="4"/>
      <c r="Z68" s="4"/>
    </row>
    <row r="69" ht="15.75" customHeight="1">
      <c r="A69" s="33" t="s">
        <v>221</v>
      </c>
      <c r="B69" s="33">
        <v>0.0</v>
      </c>
      <c r="C69" s="33">
        <v>0.0</v>
      </c>
      <c r="D69" s="33">
        <v>0.0</v>
      </c>
      <c r="E69" s="33">
        <v>0.0</v>
      </c>
      <c r="F69" s="24"/>
      <c r="G69" s="4"/>
      <c r="H69" s="4"/>
      <c r="I69" s="4"/>
      <c r="J69" s="4"/>
      <c r="K69" s="4"/>
      <c r="L69" s="4"/>
      <c r="M69" s="4"/>
      <c r="N69" s="4"/>
      <c r="O69" s="4"/>
      <c r="P69" s="4"/>
      <c r="Q69" s="4"/>
      <c r="R69" s="4"/>
      <c r="S69" s="4"/>
      <c r="T69" s="4"/>
      <c r="U69" s="4"/>
      <c r="V69" s="4"/>
      <c r="W69" s="4"/>
      <c r="X69" s="4"/>
      <c r="Y69" s="4"/>
      <c r="Z69" s="4"/>
    </row>
    <row r="70" ht="15.75" customHeight="1">
      <c r="A70" s="34" t="s">
        <v>502</v>
      </c>
      <c r="B70" s="35" t="str">
        <f>'1조'!B113</f>
        <v>0</v>
      </c>
      <c r="C70" s="34" t="str">
        <f>'1조'!C113</f>
        <v>업무 책임이 서비스로 나뉘면 위해 관련 규칙을 검토할 위치를 정하기 쉽다. 그러나 부분 성공·응답 손실·재시도·여러 상태의 불일치에서 안전한 행동을 보장하는 정책은 교안 개요가 정하지 않는다. 안전성은 중립으로 평가한다.</v>
      </c>
      <c r="D70" s="35" t="str">
        <f>'1조'!D113</f>
        <v>0</v>
      </c>
      <c r="E70" s="34" t="str">
        <f>'1조'!E113</f>
        <v>서비스 경계는 위험한 책임을 분리할 기회를 주지만, 여러 상태의 불일치·부분 성공·재시도에서 위해를 막는 동작을 자동 보장하지 않는다. 분산으로 오류 영향을 줄일 수도 있고 새 조합 위험을 만들 수도 있어 안전성은 중립이다.</v>
      </c>
      <c r="F70" s="36" t="s">
        <v>671</v>
      </c>
      <c r="G70" s="4"/>
      <c r="H70" s="4"/>
      <c r="I70" s="4"/>
      <c r="J70" s="4"/>
      <c r="K70" s="4"/>
      <c r="L70" s="4"/>
      <c r="M70" s="4"/>
      <c r="N70" s="4"/>
      <c r="O70" s="4"/>
      <c r="P70" s="4"/>
      <c r="Q70" s="4"/>
      <c r="R70" s="4"/>
      <c r="S70" s="4"/>
      <c r="T70" s="4"/>
      <c r="U70" s="4"/>
      <c r="V70" s="4"/>
      <c r="W70" s="4"/>
      <c r="X70" s="4"/>
      <c r="Y70" s="4"/>
      <c r="Z70" s="4"/>
    </row>
    <row r="71" ht="15.75" customHeight="1">
      <c r="A71" s="34" t="s">
        <v>507</v>
      </c>
      <c r="B71" s="35" t="str">
        <f>'2조'!B113</f>
        <v>-</v>
      </c>
      <c r="C71" s="34" t="str">
        <f>'2조'!C113</f>
        <v>(-) 독립적인 서비스의 진화를 내가 통제할 수 없다고 교안이 약점으로 든다 — 남의 변경이 예고 없이 내 시스템에 들어온다</v>
      </c>
      <c r="D71" s="35" t="str">
        <f>'2조'!D113</f>
        <v>-</v>
      </c>
      <c r="E71" s="34" t="str">
        <f>'2조'!E113</f>
        <v>서비스마다 데이터를 따로 저장해 일관성(data integrity) 유지가 어렵다고 교안이 약점으로 든다</v>
      </c>
      <c r="F71" s="37"/>
      <c r="G71" s="4"/>
      <c r="H71" s="4"/>
      <c r="I71" s="4"/>
      <c r="J71" s="4"/>
      <c r="K71" s="4"/>
      <c r="L71" s="4"/>
      <c r="M71" s="4"/>
      <c r="N71" s="4"/>
      <c r="O71" s="4"/>
      <c r="P71" s="4"/>
      <c r="Q71" s="4"/>
      <c r="R71" s="4"/>
      <c r="S71" s="4"/>
      <c r="T71" s="4"/>
      <c r="U71" s="4"/>
      <c r="V71" s="4"/>
      <c r="W71" s="4"/>
      <c r="X71" s="4"/>
      <c r="Y71" s="4"/>
      <c r="Z71" s="4"/>
    </row>
    <row r="72" ht="15.75" customHeight="1">
      <c r="A72" s="34" t="s">
        <v>510</v>
      </c>
      <c r="B72" s="35" t="str">
        <f>'3조'!B113</f>
        <v>0</v>
      </c>
      <c r="C72" s="34" t="str">
        <f>'3조'!C113</f>
        <v>표준화된 Service Contract와 독립 서비스 구조는 오류 격리에 일부 도움을 줄 수 있지만, 위험 상태를 감지·회피하거나 안전 상태로 전환하는 Safety mechanism을 직접 제공하지는 않는다.</v>
      </c>
      <c r="D72" s="35" t="str">
        <f>'3조'!D113</f>
        <v>0</v>
      </c>
      <c r="E72" s="34" t="str">
        <f>'3조'!E113</f>
        <v>서비스 단위 Fault isolation은 오류 확산을 줄일 수 있지만, 분산 데이터의 consistency 문제와 부분 장애가 존재하며 Safety를 위한 별도 감지·회피·복구 설계가 필요하다.</v>
      </c>
      <c r="F72" s="37"/>
      <c r="G72" s="4"/>
      <c r="H72" s="4"/>
      <c r="I72" s="4"/>
      <c r="J72" s="4"/>
      <c r="K72" s="4"/>
      <c r="L72" s="4"/>
      <c r="M72" s="4"/>
      <c r="N72" s="4"/>
      <c r="O72" s="4"/>
      <c r="P72" s="4"/>
      <c r="Q72" s="4"/>
      <c r="R72" s="4"/>
      <c r="S72" s="4"/>
      <c r="T72" s="4"/>
      <c r="U72" s="4"/>
      <c r="V72" s="4"/>
      <c r="W72" s="4"/>
      <c r="X72" s="4"/>
      <c r="Y72" s="4"/>
      <c r="Z72" s="4"/>
    </row>
    <row r="73" ht="15.75" customHeight="1">
      <c r="A73" s="34" t="s">
        <v>511</v>
      </c>
      <c r="B73" s="35" t="str">
        <f>'4조'!B113</f>
        <v>0</v>
      </c>
      <c r="C73" s="34" t="str">
        <f>'4조'!C113</f>
        <v>서비스 분리로 오류 영향을 줄이기 좋지만 여러 서비스의 처리 순서는 따로 검증해야 한다.</v>
      </c>
      <c r="D73" s="35" t="str">
        <f>'4조'!D113</f>
        <v>+</v>
      </c>
      <c r="E73" s="34" t="str">
        <f>'4조'!E113</f>
        <v>작은 서비스별로 중요한 동작을 검증하고 오류 영향을 제한하기 좋다.</v>
      </c>
      <c r="F73" s="37"/>
      <c r="G73" s="4"/>
      <c r="H73" s="4"/>
      <c r="I73" s="4"/>
      <c r="J73" s="4"/>
      <c r="K73" s="4"/>
      <c r="L73" s="4"/>
      <c r="M73" s="4"/>
      <c r="N73" s="4"/>
      <c r="O73" s="4"/>
      <c r="P73" s="4"/>
      <c r="Q73" s="4"/>
      <c r="R73" s="4"/>
      <c r="S73" s="4"/>
      <c r="T73" s="4"/>
      <c r="U73" s="4"/>
      <c r="V73" s="4"/>
      <c r="W73" s="4"/>
      <c r="X73" s="4"/>
      <c r="Y73" s="4"/>
      <c r="Z73" s="4"/>
    </row>
    <row r="74" ht="15.75" customHeight="1">
      <c r="A74" s="34" t="s">
        <v>513</v>
      </c>
      <c r="B74" s="35" t="str">
        <f>'5조'!B113</f>
        <v>+</v>
      </c>
      <c r="C74" s="34" t="str">
        <f>'5조'!C113</f>
        <v>서비스 경계로 나누어져 있어 잘못된 동작의 통제가 용이하다. </v>
      </c>
      <c r="D74" s="35" t="str">
        <f>'5조'!D113</f>
        <v>+</v>
      </c>
      <c r="E74" s="34" t="str">
        <f>'5조'!E113</f>
        <v>독립적인 시스템으로 하나의 서비스에 문제가 되더라도 타 서비스에 영향이 적음</v>
      </c>
      <c r="F74" s="37"/>
      <c r="G74" s="4"/>
      <c r="H74" s="4"/>
      <c r="I74" s="4"/>
      <c r="J74" s="4"/>
      <c r="K74" s="4"/>
      <c r="L74" s="4"/>
      <c r="M74" s="4"/>
      <c r="N74" s="4"/>
      <c r="O74" s="4"/>
      <c r="P74" s="4"/>
      <c r="Q74" s="4"/>
      <c r="R74" s="4"/>
      <c r="S74" s="4"/>
      <c r="T74" s="4"/>
      <c r="U74" s="4"/>
      <c r="V74" s="4"/>
      <c r="W74" s="4"/>
      <c r="X74" s="4"/>
      <c r="Y74" s="4"/>
      <c r="Z74" s="4"/>
    </row>
    <row r="75" ht="15.75" customHeight="1">
      <c r="A75" s="34" t="s">
        <v>516</v>
      </c>
      <c r="B75" s="35" t="str">
        <f>'6조'!B113</f>
        <v>+</v>
      </c>
      <c r="C75" s="34" t="str">
        <f>'6조'!C113</f>
        <v>표준화된 통신으로 output 이 명확한 편으로 fault dealing이 용이함</v>
      </c>
      <c r="D75" s="35" t="str">
        <f>'6조'!D113</f>
        <v>0</v>
      </c>
      <c r="E75" s="34" t="str">
        <f>'6조'!E113</f>
        <v>장애 격리로 오류 확산을 줄일 수 있지만, 분산된 만큼 실패 지점이 늘어날 수도 있다.</v>
      </c>
      <c r="F75" s="37"/>
      <c r="G75" s="4"/>
      <c r="H75" s="4"/>
      <c r="I75" s="4"/>
      <c r="J75" s="4"/>
      <c r="K75" s="4"/>
      <c r="L75" s="4"/>
      <c r="M75" s="4"/>
      <c r="N75" s="4"/>
      <c r="O75" s="4"/>
      <c r="P75" s="4"/>
      <c r="Q75" s="4"/>
      <c r="R75" s="4"/>
      <c r="S75" s="4"/>
      <c r="T75" s="4"/>
      <c r="U75" s="4"/>
      <c r="V75" s="4"/>
      <c r="W75" s="4"/>
      <c r="X75" s="4"/>
      <c r="Y75" s="4"/>
      <c r="Z75" s="4"/>
    </row>
    <row r="76" ht="15.75" customHeight="1">
      <c r="A76" s="34" t="s">
        <v>520</v>
      </c>
      <c r="B76" s="35" t="str">
        <f>'7조'!B113</f>
        <v/>
      </c>
      <c r="C76" s="34" t="str">
        <f>'7조'!C113</f>
        <v>7조 - SOA - Safety</v>
      </c>
      <c r="D76" s="35" t="str">
        <f>'7조'!D113</f>
        <v/>
      </c>
      <c r="E76" s="34" t="str">
        <f>'7조'!E113</f>
        <v>7조 - Mico-Service - Safety</v>
      </c>
      <c r="F76" s="37"/>
      <c r="G76" s="4"/>
      <c r="H76" s="4"/>
      <c r="I76" s="4"/>
      <c r="J76" s="4"/>
      <c r="K76" s="4"/>
      <c r="L76" s="4"/>
      <c r="M76" s="4"/>
      <c r="N76" s="4"/>
      <c r="O76" s="4"/>
      <c r="P76" s="4"/>
      <c r="Q76" s="4"/>
      <c r="R76" s="4"/>
      <c r="S76" s="4"/>
      <c r="T76" s="4"/>
      <c r="U76" s="4"/>
      <c r="V76" s="4"/>
      <c r="W76" s="4"/>
      <c r="X76" s="4"/>
      <c r="Y76" s="4"/>
      <c r="Z76" s="4"/>
    </row>
    <row r="77" ht="15.75" customHeight="1">
      <c r="A77" s="34" t="s">
        <v>523</v>
      </c>
      <c r="B77" s="35" t="str">
        <f>'8조'!B113</f>
        <v/>
      </c>
      <c r="C77" s="34" t="str">
        <f>'8조'!C113</f>
        <v>8조 - SOA - Safety</v>
      </c>
      <c r="D77" s="35" t="str">
        <f>'8조'!D113</f>
        <v/>
      </c>
      <c r="E77" s="34" t="str">
        <f>'8조'!E113</f>
        <v>8조 - Mico-Service - Safety</v>
      </c>
      <c r="F77" s="37"/>
      <c r="G77" s="4"/>
      <c r="H77" s="4"/>
      <c r="I77" s="4"/>
      <c r="J77" s="4"/>
      <c r="K77" s="4"/>
      <c r="L77" s="4"/>
      <c r="M77" s="4"/>
      <c r="N77" s="4"/>
      <c r="O77" s="4"/>
      <c r="P77" s="4"/>
      <c r="Q77" s="4"/>
      <c r="R77" s="4"/>
      <c r="S77" s="4"/>
      <c r="T77" s="4"/>
      <c r="U77" s="4"/>
      <c r="V77" s="4"/>
      <c r="W77" s="4"/>
      <c r="X77" s="4"/>
      <c r="Y77" s="4"/>
      <c r="Z77" s="4"/>
    </row>
    <row r="78" ht="15.75" customHeight="1">
      <c r="A78" s="34" t="s">
        <v>526</v>
      </c>
      <c r="B78" s="35" t="str">
        <f>'9조'!B113</f>
        <v/>
      </c>
      <c r="C78" s="34" t="str">
        <f>'9조'!C113</f>
        <v>9조 - SOA - Safety</v>
      </c>
      <c r="D78" s="35" t="str">
        <f>'9조'!D113</f>
        <v/>
      </c>
      <c r="E78" s="34" t="str">
        <f>'9조'!E113</f>
        <v>9조 - Mico-Service - Safety</v>
      </c>
      <c r="F78" s="37"/>
      <c r="G78" s="4"/>
      <c r="H78" s="4"/>
      <c r="I78" s="4"/>
      <c r="J78" s="4"/>
      <c r="K78" s="4"/>
      <c r="L78" s="4"/>
      <c r="M78" s="4"/>
      <c r="N78" s="4"/>
      <c r="O78" s="4"/>
      <c r="P78" s="4"/>
      <c r="Q78" s="4"/>
      <c r="R78" s="4"/>
      <c r="S78" s="4"/>
      <c r="T78" s="4"/>
      <c r="U78" s="4"/>
      <c r="V78" s="4"/>
      <c r="W78" s="4"/>
      <c r="X78" s="4"/>
      <c r="Y78" s="4"/>
      <c r="Z78" s="4"/>
    </row>
    <row r="79" ht="15.75" customHeight="1">
      <c r="A79" s="34"/>
      <c r="B79" s="34"/>
      <c r="C79" s="34"/>
      <c r="D79" s="34"/>
      <c r="E79" s="34"/>
      <c r="F79" s="24"/>
      <c r="G79" s="4"/>
      <c r="H79" s="4"/>
      <c r="I79" s="4"/>
      <c r="J79" s="4"/>
      <c r="K79" s="4"/>
      <c r="L79" s="4"/>
      <c r="M79" s="4"/>
      <c r="N79" s="4"/>
      <c r="O79" s="4"/>
      <c r="P79" s="4"/>
      <c r="Q79" s="4"/>
      <c r="R79" s="4"/>
      <c r="S79" s="4"/>
      <c r="T79" s="4"/>
      <c r="U79" s="4"/>
      <c r="V79" s="4"/>
      <c r="W79" s="4"/>
      <c r="X79" s="4"/>
      <c r="Y79" s="4"/>
      <c r="Z79" s="4"/>
    </row>
    <row r="80" ht="15.75" customHeight="1">
      <c r="A80" s="33" t="s">
        <v>261</v>
      </c>
      <c r="B80" s="33">
        <v>0.0</v>
      </c>
      <c r="C80" s="33">
        <v>0.0</v>
      </c>
      <c r="D80" s="33">
        <v>0.0</v>
      </c>
      <c r="E80" s="33">
        <v>0.0</v>
      </c>
      <c r="F80" s="24"/>
      <c r="G80" s="4"/>
      <c r="H80" s="4"/>
      <c r="I80" s="4"/>
      <c r="J80" s="4"/>
      <c r="K80" s="4"/>
      <c r="L80" s="4"/>
      <c r="M80" s="4"/>
      <c r="N80" s="4"/>
      <c r="O80" s="4"/>
      <c r="P80" s="4"/>
      <c r="Q80" s="4"/>
      <c r="R80" s="4"/>
      <c r="S80" s="4"/>
      <c r="T80" s="4"/>
      <c r="U80" s="4"/>
      <c r="V80" s="4"/>
      <c r="W80" s="4"/>
      <c r="X80" s="4"/>
      <c r="Y80" s="4"/>
      <c r="Z80" s="4"/>
    </row>
    <row r="81" ht="15.75" customHeight="1">
      <c r="A81" s="34" t="s">
        <v>502</v>
      </c>
      <c r="B81" s="35" t="str">
        <f>'1조'!B114</f>
        <v>0</v>
      </c>
      <c r="C81" s="34" t="str">
        <f>'1조'!C114</f>
        <v>서비스 경계에서 인증·권한·감사를 적용할 지점이 생기지만, 보호할 원격 접점과 자격 증명도 늘어난다. 개요의 독립성과 표준 인터페이스는 보안 정책을 자동 제공하지 않으므로 일반적인 보안 순효과를 확정하지 않는다.</v>
      </c>
      <c r="D81" s="35" t="str">
        <f>'1조'!D114</f>
        <v>0</v>
      </c>
      <c r="E81" s="34" t="str">
        <f>'1조'!E114</f>
        <v>서비스별 최소 권한을 적용할 경계가 생기는 반면, 노출 API·서비스 자격 증명·데이터 저장소·통신 접점이 늘어난다. 독립 서비스라는 구조만으로 보안의 순효과를 확정할 수 없다.</v>
      </c>
      <c r="F81" s="36" t="s">
        <v>696</v>
      </c>
      <c r="G81" s="4"/>
      <c r="H81" s="4"/>
      <c r="I81" s="4"/>
      <c r="J81" s="4"/>
      <c r="K81" s="4"/>
      <c r="L81" s="4"/>
      <c r="M81" s="4"/>
      <c r="N81" s="4"/>
      <c r="O81" s="4"/>
      <c r="P81" s="4"/>
      <c r="Q81" s="4"/>
      <c r="R81" s="4"/>
      <c r="S81" s="4"/>
      <c r="T81" s="4"/>
      <c r="U81" s="4"/>
      <c r="V81" s="4"/>
      <c r="W81" s="4"/>
      <c r="X81" s="4"/>
      <c r="Y81" s="4"/>
      <c r="Z81" s="4"/>
    </row>
    <row r="82" ht="15.75" customHeight="1">
      <c r="A82" s="34" t="s">
        <v>507</v>
      </c>
      <c r="B82" s="35" t="str">
        <f>'2조'!B114</f>
        <v>0</v>
      </c>
      <c r="C82" s="34" t="str">
        <f>'2조'!C114</f>
        <v>(+) 표준 엔터프라이즈 인터페이스(ESB/Gateway) 앞단에서 보안 정책, 인증, 암호화를 일괄 집행 가능 (교안 장점). / (-) 전사적 네트워크에 서비스를 공개하는 만큼 외부 공격 노출 지점이 크게 증가함</v>
      </c>
      <c r="D82" s="35" t="str">
        <f>'2조'!D114</f>
        <v>0</v>
      </c>
      <c r="E82" s="34" t="str">
        <f>'2조'!E114</f>
        <v>(+) 각 서비스마다 네트워크/프로세스 경계가 형성되어 특정 서비스 침해 시 피해가 시스템 전체로 확산되지 않음 (-) 서비스 간 통신 인터페이스가 폭증하여 보호해야 할 공격 표면이 대폭 확대됨</v>
      </c>
      <c r="F82" s="37"/>
      <c r="G82" s="4"/>
      <c r="H82" s="4"/>
      <c r="I82" s="4"/>
      <c r="J82" s="4"/>
      <c r="K82" s="4"/>
      <c r="L82" s="4"/>
      <c r="M82" s="4"/>
      <c r="N82" s="4"/>
      <c r="O82" s="4"/>
      <c r="P82" s="4"/>
      <c r="Q82" s="4"/>
      <c r="R82" s="4"/>
      <c r="S82" s="4"/>
      <c r="T82" s="4"/>
      <c r="U82" s="4"/>
      <c r="V82" s="4"/>
      <c r="W82" s="4"/>
      <c r="X82" s="4"/>
      <c r="Y82" s="4"/>
      <c r="Z82" s="4"/>
    </row>
    <row r="83" ht="15.75" customHeight="1">
      <c r="A83" s="34" t="s">
        <v>510</v>
      </c>
      <c r="B83" s="35" t="str">
        <f>'3조'!B114</f>
        <v>0</v>
      </c>
      <c r="C83" s="34" t="str">
        <f>'3조'!C114</f>
        <v>Intermediary를 통해 인증·인가·감사 정책을 중앙 적용할 수 있지만, 여러 독립 Service와 네트워크 인터페이스 때문에 공격 표면과 보안 관리 복잡도도 증가하므로 전체 Security 효과는 중립적이다.</v>
      </c>
      <c r="D83" s="35" t="str">
        <f>'3조'!D114</f>
        <v>-</v>
      </c>
      <c r="E83" s="34" t="str">
        <f>'3조'!E114</f>
        <v>많은 Service/API 경계와 Service-to-Service 통신으로 인증·인가·Secret 관리·통신 보호가 분산되어 공격 표면과 보안 운영 복잡도가 증가한다.</v>
      </c>
      <c r="F83" s="37"/>
      <c r="G83" s="4"/>
      <c r="H83" s="4"/>
      <c r="I83" s="4"/>
      <c r="J83" s="4"/>
      <c r="K83" s="4"/>
      <c r="L83" s="4"/>
      <c r="M83" s="4"/>
      <c r="N83" s="4"/>
      <c r="O83" s="4"/>
      <c r="P83" s="4"/>
      <c r="Q83" s="4"/>
      <c r="R83" s="4"/>
      <c r="S83" s="4"/>
      <c r="T83" s="4"/>
      <c r="U83" s="4"/>
      <c r="V83" s="4"/>
      <c r="W83" s="4"/>
      <c r="X83" s="4"/>
      <c r="Y83" s="4"/>
      <c r="Z83" s="4"/>
    </row>
    <row r="84" ht="15.75" customHeight="1">
      <c r="A84" s="34" t="s">
        <v>511</v>
      </c>
      <c r="B84" s="35" t="str">
        <f>'4조'!B114</f>
        <v>0</v>
      </c>
      <c r="C84" s="34" t="str">
        <f>'4조'!C114</f>
        <v>서비스별 접근 권한을 나누기 좋지만 보호해야 할 통신 지점도 늘어난다.</v>
      </c>
      <c r="D84" s="35" t="str">
        <f>'4조'!D114</f>
        <v>0</v>
      </c>
      <c r="E84" s="34" t="str">
        <f>'4조'!E114</f>
        <v>서비스별 세분화된 인가가 가능하지만, 네트워크 엔드포인트가 많아져 공격 표면이 크게 넓어진다.</v>
      </c>
      <c r="F84" s="37"/>
      <c r="G84" s="4"/>
      <c r="H84" s="4"/>
      <c r="I84" s="4"/>
      <c r="J84" s="4"/>
      <c r="K84" s="4"/>
      <c r="L84" s="4"/>
      <c r="M84" s="4"/>
      <c r="N84" s="4"/>
      <c r="O84" s="4"/>
      <c r="P84" s="4"/>
      <c r="Q84" s="4"/>
      <c r="R84" s="4"/>
      <c r="S84" s="4"/>
      <c r="T84" s="4"/>
      <c r="U84" s="4"/>
      <c r="V84" s="4"/>
      <c r="W84" s="4"/>
      <c r="X84" s="4"/>
      <c r="Y84" s="4"/>
      <c r="Z84" s="4"/>
    </row>
    <row r="85" ht="15.75" customHeight="1">
      <c r="A85" s="34" t="s">
        <v>513</v>
      </c>
      <c r="B85" s="35" t="str">
        <f>'5조'!B114</f>
        <v>+</v>
      </c>
      <c r="C85" s="34" t="str">
        <f>'5조'!C114</f>
        <v>중앙에서 보안 정책 적용이 용이하나 gateway에 대한 보안 위험성이 존재한다. </v>
      </c>
      <c r="D85" s="35" t="str">
        <f>'5조'!D114</f>
        <v>-</v>
      </c>
      <c r="E85" s="34" t="str">
        <f>'5조'!E114</f>
        <v>서비스가 많아질수록 공격받을 포인트가 많아질 수 있음</v>
      </c>
      <c r="F85" s="37"/>
      <c r="G85" s="4"/>
      <c r="H85" s="4"/>
      <c r="I85" s="4"/>
      <c r="J85" s="4"/>
      <c r="K85" s="4"/>
      <c r="L85" s="4"/>
      <c r="M85" s="4"/>
      <c r="N85" s="4"/>
      <c r="O85" s="4"/>
      <c r="P85" s="4"/>
      <c r="Q85" s="4"/>
      <c r="R85" s="4"/>
      <c r="S85" s="4"/>
      <c r="T85" s="4"/>
      <c r="U85" s="4"/>
      <c r="V85" s="4"/>
      <c r="W85" s="4"/>
      <c r="X85" s="4"/>
      <c r="Y85" s="4"/>
      <c r="Z85" s="4"/>
    </row>
    <row r="86" ht="15.75" customHeight="1">
      <c r="A86" s="34" t="s">
        <v>516</v>
      </c>
      <c r="B86" s="35" t="str">
        <f>'6조'!B114</f>
        <v>+</v>
      </c>
      <c r="C86" s="34" t="str">
        <f>'6조'!C114</f>
        <v>표준화된 통신에서 기본적인 authentication 절차를 거침</v>
      </c>
      <c r="D86" s="35" t="str">
        <f>'6조'!D114</f>
        <v>-</v>
      </c>
      <c r="E86" s="34" t="str">
        <f>'6조'!E114</f>
        <v>서비스별 인증·권한 분리가 가능하지만, 외부에 노출되는 API와 통신 경로 및 관리 대상이 증가하여 공격 표면이 넓어진다.</v>
      </c>
      <c r="F86" s="37"/>
      <c r="G86" s="4"/>
      <c r="H86" s="4"/>
      <c r="I86" s="4"/>
      <c r="J86" s="4"/>
      <c r="K86" s="4"/>
      <c r="L86" s="4"/>
      <c r="M86" s="4"/>
      <c r="N86" s="4"/>
      <c r="O86" s="4"/>
      <c r="P86" s="4"/>
      <c r="Q86" s="4"/>
      <c r="R86" s="4"/>
      <c r="S86" s="4"/>
      <c r="T86" s="4"/>
      <c r="U86" s="4"/>
      <c r="V86" s="4"/>
      <c r="W86" s="4"/>
      <c r="X86" s="4"/>
      <c r="Y86" s="4"/>
      <c r="Z86" s="4"/>
    </row>
    <row r="87" ht="15.75" customHeight="1">
      <c r="A87" s="34" t="s">
        <v>520</v>
      </c>
      <c r="B87" s="35" t="str">
        <f>'7조'!B114</f>
        <v/>
      </c>
      <c r="C87" s="34" t="str">
        <f>'7조'!C114</f>
        <v>7조 - SOA - Security</v>
      </c>
      <c r="D87" s="35" t="str">
        <f>'7조'!D114</f>
        <v/>
      </c>
      <c r="E87" s="34" t="str">
        <f>'7조'!E114</f>
        <v>7조 - Mico-Service - Security</v>
      </c>
      <c r="F87" s="37"/>
      <c r="G87" s="4"/>
      <c r="H87" s="4"/>
      <c r="I87" s="4"/>
      <c r="J87" s="4"/>
      <c r="K87" s="4"/>
      <c r="L87" s="4"/>
      <c r="M87" s="4"/>
      <c r="N87" s="4"/>
      <c r="O87" s="4"/>
      <c r="P87" s="4"/>
      <c r="Q87" s="4"/>
      <c r="R87" s="4"/>
      <c r="S87" s="4"/>
      <c r="T87" s="4"/>
      <c r="U87" s="4"/>
      <c r="V87" s="4"/>
      <c r="W87" s="4"/>
      <c r="X87" s="4"/>
      <c r="Y87" s="4"/>
      <c r="Z87" s="4"/>
    </row>
    <row r="88" ht="15.75" customHeight="1">
      <c r="A88" s="34" t="s">
        <v>523</v>
      </c>
      <c r="B88" s="35" t="str">
        <f>'8조'!B114</f>
        <v/>
      </c>
      <c r="C88" s="34" t="str">
        <f>'8조'!C114</f>
        <v>8조 - SOA - Security</v>
      </c>
      <c r="D88" s="35" t="str">
        <f>'8조'!D114</f>
        <v/>
      </c>
      <c r="E88" s="34" t="str">
        <f>'8조'!E114</f>
        <v>8조 - Mico-Service - Security</v>
      </c>
      <c r="F88" s="37"/>
      <c r="G88" s="4"/>
      <c r="H88" s="4"/>
      <c r="I88" s="4"/>
      <c r="J88" s="4"/>
      <c r="K88" s="4"/>
      <c r="L88" s="4"/>
      <c r="M88" s="4"/>
      <c r="N88" s="4"/>
      <c r="O88" s="4"/>
      <c r="P88" s="4"/>
      <c r="Q88" s="4"/>
      <c r="R88" s="4"/>
      <c r="S88" s="4"/>
      <c r="T88" s="4"/>
      <c r="U88" s="4"/>
      <c r="V88" s="4"/>
      <c r="W88" s="4"/>
      <c r="X88" s="4"/>
      <c r="Y88" s="4"/>
      <c r="Z88" s="4"/>
    </row>
    <row r="89" ht="15.75" customHeight="1">
      <c r="A89" s="34" t="s">
        <v>526</v>
      </c>
      <c r="B89" s="35" t="str">
        <f>'9조'!B114</f>
        <v/>
      </c>
      <c r="C89" s="34" t="str">
        <f>'9조'!C114</f>
        <v>9조 - SOA - Security</v>
      </c>
      <c r="D89" s="35" t="str">
        <f>'9조'!D114</f>
        <v/>
      </c>
      <c r="E89" s="34" t="str">
        <f>'9조'!E114</f>
        <v>9조 - Mico-Service - Security</v>
      </c>
      <c r="F89" s="37"/>
      <c r="G89" s="4"/>
      <c r="H89" s="4"/>
      <c r="I89" s="4"/>
      <c r="J89" s="4"/>
      <c r="K89" s="4"/>
      <c r="L89" s="4"/>
      <c r="M89" s="4"/>
      <c r="N89" s="4"/>
      <c r="O89" s="4"/>
      <c r="P89" s="4"/>
      <c r="Q89" s="4"/>
      <c r="R89" s="4"/>
      <c r="S89" s="4"/>
      <c r="T89" s="4"/>
      <c r="U89" s="4"/>
      <c r="V89" s="4"/>
      <c r="W89" s="4"/>
      <c r="X89" s="4"/>
      <c r="Y89" s="4"/>
      <c r="Z89" s="4"/>
    </row>
    <row r="90" ht="15.75" customHeight="1">
      <c r="A90" s="34"/>
      <c r="B90" s="34"/>
      <c r="C90" s="34"/>
      <c r="D90" s="34"/>
      <c r="E90" s="34"/>
      <c r="F90" s="24"/>
      <c r="G90" s="4"/>
      <c r="H90" s="4"/>
      <c r="I90" s="4"/>
      <c r="J90" s="4"/>
      <c r="K90" s="4"/>
      <c r="L90" s="4"/>
      <c r="M90" s="4"/>
      <c r="N90" s="4"/>
      <c r="O90" s="4"/>
      <c r="P90" s="4"/>
      <c r="Q90" s="4"/>
      <c r="R90" s="4"/>
      <c r="S90" s="4"/>
      <c r="T90" s="4"/>
      <c r="U90" s="4"/>
      <c r="V90" s="4"/>
      <c r="W90" s="4"/>
      <c r="X90" s="4"/>
      <c r="Y90" s="4"/>
      <c r="Z90" s="4"/>
    </row>
    <row r="91" ht="15.75" customHeight="1">
      <c r="A91" s="33" t="s">
        <v>310</v>
      </c>
      <c r="B91" s="33">
        <v>0.0</v>
      </c>
      <c r="C91" s="33">
        <v>0.0</v>
      </c>
      <c r="D91" s="33">
        <v>0.0</v>
      </c>
      <c r="E91" s="33">
        <v>0.0</v>
      </c>
      <c r="F91" s="24"/>
      <c r="G91" s="4"/>
      <c r="H91" s="4"/>
      <c r="I91" s="4"/>
      <c r="J91" s="4"/>
      <c r="K91" s="4"/>
      <c r="L91" s="4"/>
      <c r="M91" s="4"/>
      <c r="N91" s="4"/>
      <c r="O91" s="4"/>
      <c r="P91" s="4"/>
      <c r="Q91" s="4"/>
      <c r="R91" s="4"/>
      <c r="S91" s="4"/>
      <c r="T91" s="4"/>
      <c r="U91" s="4"/>
      <c r="V91" s="4"/>
      <c r="W91" s="4"/>
      <c r="X91" s="4"/>
      <c r="Y91" s="4"/>
      <c r="Z91" s="4"/>
    </row>
    <row r="92" ht="15.75" customHeight="1">
      <c r="A92" s="34" t="s">
        <v>502</v>
      </c>
      <c r="B92" s="35" t="str">
        <f>'1조'!B115</f>
        <v>-</v>
      </c>
      <c r="C92" s="34" t="str">
        <f>'1조'!C115</f>
        <v>서비스 내부 규칙은 따로 시험할 수 있지만, 전체 임무에서는 여러 서비스 버전·데이터 상태·네트워크 실패를 함께 재현해야 한다. 원격 서비스 조합의 통합 검증과 원인 추적 부담을 반영하여 부정적으로 평가한다.</v>
      </c>
      <c r="D92" s="35" t="str">
        <f>'1조'!D115</f>
        <v>-</v>
      </c>
      <c r="E92" s="34" t="str">
        <f>'1조'!E115</f>
        <v>서비스 내부는 작게 시험하기 쉽지만 종단 동작은 다수 서비스·버전·저장 상태·통신 오류의 조합을 재현해야 한다. 교안이 정보 분산의 상태 재현과 통합 시험 부담을 지적하므로 전체 시스템의 시험 용이성은 부정적으로 평가한다.</v>
      </c>
      <c r="F92" s="36" t="s">
        <v>723</v>
      </c>
      <c r="G92" s="4"/>
      <c r="H92" s="4"/>
      <c r="I92" s="4"/>
      <c r="J92" s="4"/>
      <c r="K92" s="4"/>
      <c r="L92" s="4"/>
      <c r="M92" s="4"/>
      <c r="N92" s="4"/>
      <c r="O92" s="4"/>
      <c r="P92" s="4"/>
      <c r="Q92" s="4"/>
      <c r="R92" s="4"/>
      <c r="S92" s="4"/>
      <c r="T92" s="4"/>
      <c r="U92" s="4"/>
      <c r="V92" s="4"/>
      <c r="W92" s="4"/>
      <c r="X92" s="4"/>
      <c r="Y92" s="4"/>
      <c r="Z92" s="4"/>
    </row>
    <row r="93" ht="15.75" customHeight="1">
      <c r="A93" s="34" t="s">
        <v>507</v>
      </c>
      <c r="B93" s="35" t="str">
        <f>'2조'!B115</f>
        <v>-</v>
      </c>
      <c r="C93" s="34" t="str">
        <f>'2조'!C115</f>
        <v>(+) 개별 독립 서비스의 기능 단위 테스트는 용이함. / (-) 외부 서드파티 서비스나 타 부서 서비스의 가용성, 데이터 상태에 의존하므로 동일한 테스트 환경 재현 및 E2E 테스트가 대단히 어려움 (교안 약점 명시)</v>
      </c>
      <c r="D93" s="35" t="str">
        <f>'2조'!D115</f>
        <v>--</v>
      </c>
      <c r="E93" s="34" t="str">
        <f>'2조'!E115</f>
        <v>(+) 단일 마이크로서비스 자체의 단위 테스트는 단순함. / (-) 서비스 간 의존성이 복잡하고 분산 환경을 위한 전용 도구 지원이 부족하며, 언어/프레임워크 난립(Lack of governance)으로 통합 테스트 난도가 극히 높음</v>
      </c>
      <c r="F93" s="37"/>
      <c r="G93" s="4"/>
      <c r="H93" s="4"/>
      <c r="I93" s="4"/>
      <c r="J93" s="4"/>
      <c r="K93" s="4"/>
      <c r="L93" s="4"/>
      <c r="M93" s="4"/>
      <c r="N93" s="4"/>
      <c r="O93" s="4"/>
      <c r="P93" s="4"/>
      <c r="Q93" s="4"/>
      <c r="R93" s="4"/>
      <c r="S93" s="4"/>
      <c r="T93" s="4"/>
      <c r="U93" s="4"/>
      <c r="V93" s="4"/>
      <c r="W93" s="4"/>
      <c r="X93" s="4"/>
      <c r="Y93" s="4"/>
      <c r="Z93" s="4"/>
    </row>
    <row r="94" ht="15.75" customHeight="1">
      <c r="A94" s="34" t="s">
        <v>510</v>
      </c>
      <c r="B94" s="35" t="str">
        <f>'3조'!B115</f>
        <v>-</v>
      </c>
      <c r="C94" s="34" t="str">
        <f>'3조'!C115</f>
        <v>여러 계층으로 나눠져있어 통합 테스트 구성이 복잡함</v>
      </c>
      <c r="D94" s="35" t="str">
        <f>'3조'!D115</f>
        <v>-</v>
      </c>
      <c r="E94" s="34" t="str">
        <f>'3조'!E115</f>
        <v>서비스 수가 많고 비동기·분산 호출이 많아 E2E 테스트와 장애 재현이 어렵다.</v>
      </c>
      <c r="F94" s="37"/>
      <c r="G94" s="4"/>
      <c r="H94" s="4"/>
      <c r="I94" s="4"/>
      <c r="J94" s="4"/>
      <c r="K94" s="4"/>
      <c r="L94" s="4"/>
      <c r="M94" s="4"/>
      <c r="N94" s="4"/>
      <c r="O94" s="4"/>
      <c r="P94" s="4"/>
      <c r="Q94" s="4"/>
      <c r="R94" s="4"/>
      <c r="S94" s="4"/>
      <c r="T94" s="4"/>
      <c r="U94" s="4"/>
      <c r="V94" s="4"/>
      <c r="W94" s="4"/>
      <c r="X94" s="4"/>
      <c r="Y94" s="4"/>
      <c r="Z94" s="4"/>
    </row>
    <row r="95" ht="15.75" customHeight="1">
      <c r="A95" s="34" t="s">
        <v>511</v>
      </c>
      <c r="B95" s="35" t="str">
        <f>'4조'!B115</f>
        <v>-</v>
      </c>
      <c r="C95" s="34" t="str">
        <f>'4조'!C115</f>
        <v>여러 서비스에 걸친 처리 순서와 통신 상태를 같은 조건으로 재현하기 어렵다.</v>
      </c>
      <c r="D95" s="35" t="str">
        <f>'4조'!D115</f>
        <v>--</v>
      </c>
      <c r="E95" s="34" t="str">
        <f>'4조'!E115</f>
        <v>여러 서비스의 실행 순서와 분산된 데이터 상태를 함께 재현하기 매우 어렵다.</v>
      </c>
      <c r="F95" s="37"/>
      <c r="G95" s="4"/>
      <c r="H95" s="4"/>
      <c r="I95" s="4"/>
      <c r="J95" s="4"/>
      <c r="K95" s="4"/>
      <c r="L95" s="4"/>
      <c r="M95" s="4"/>
      <c r="N95" s="4"/>
      <c r="O95" s="4"/>
      <c r="P95" s="4"/>
      <c r="Q95" s="4"/>
      <c r="R95" s="4"/>
      <c r="S95" s="4"/>
      <c r="T95" s="4"/>
      <c r="U95" s="4"/>
      <c r="V95" s="4"/>
      <c r="W95" s="4"/>
      <c r="X95" s="4"/>
      <c r="Y95" s="4"/>
      <c r="Z95" s="4"/>
    </row>
    <row r="96" ht="15.75" customHeight="1">
      <c r="A96" s="34" t="s">
        <v>513</v>
      </c>
      <c r="B96" s="35" t="str">
        <f>'5조'!B115</f>
        <v>-</v>
      </c>
      <c r="C96" s="34" t="str">
        <f>'5조'!C115</f>
        <v>분산 환경에 대한 통합 테스트 구성의 복잡도가 증가한다. </v>
      </c>
      <c r="D96" s="35" t="str">
        <f>'5조'!D115</f>
        <v>-</v>
      </c>
      <c r="E96" s="34" t="str">
        <f>'5조'!E115</f>
        <v>서비스 의존성으로 테스트 어려움</v>
      </c>
      <c r="F96" s="37"/>
      <c r="G96" s="4"/>
      <c r="H96" s="4"/>
      <c r="I96" s="4"/>
      <c r="J96" s="4"/>
      <c r="K96" s="4"/>
      <c r="L96" s="4"/>
      <c r="M96" s="4"/>
      <c r="N96" s="4"/>
      <c r="O96" s="4"/>
      <c r="P96" s="4"/>
      <c r="Q96" s="4"/>
      <c r="R96" s="4"/>
      <c r="S96" s="4"/>
      <c r="T96" s="4"/>
      <c r="U96" s="4"/>
      <c r="V96" s="4"/>
      <c r="W96" s="4"/>
      <c r="X96" s="4"/>
      <c r="Y96" s="4"/>
      <c r="Z96" s="4"/>
    </row>
    <row r="97" ht="15.75" customHeight="1">
      <c r="A97" s="34" t="s">
        <v>516</v>
      </c>
      <c r="B97" s="35" t="str">
        <f>'6조'!B115</f>
        <v>++</v>
      </c>
      <c r="C97" s="34" t="str">
        <f>'6조'!C115</f>
        <v>테스트 단위 명문화가 가능하고 (e.g. service provider-intermediary) 표준화된 통신으로 expected output이 명확함</v>
      </c>
      <c r="D97" s="35" t="str">
        <f>'6조'!D115</f>
        <v>--</v>
      </c>
      <c r="E97" s="34" t="str">
        <f>'6조'!E115</f>
        <v>여러 서비스를 함께 검증하려면 네트워크, 데이터 저장소, 메시지 시스템 등의 실행 환경이 필요하며 비동기·분산 동작의 재현도 어렵다.</v>
      </c>
      <c r="F97" s="37"/>
      <c r="G97" s="4"/>
      <c r="H97" s="4"/>
      <c r="I97" s="4"/>
      <c r="J97" s="4"/>
      <c r="K97" s="4"/>
      <c r="L97" s="4"/>
      <c r="M97" s="4"/>
      <c r="N97" s="4"/>
      <c r="O97" s="4"/>
      <c r="P97" s="4"/>
      <c r="Q97" s="4"/>
      <c r="R97" s="4"/>
      <c r="S97" s="4"/>
      <c r="T97" s="4"/>
      <c r="U97" s="4"/>
      <c r="V97" s="4"/>
      <c r="W97" s="4"/>
      <c r="X97" s="4"/>
      <c r="Y97" s="4"/>
      <c r="Z97" s="4"/>
    </row>
    <row r="98" ht="15.75" customHeight="1">
      <c r="A98" s="34" t="s">
        <v>520</v>
      </c>
      <c r="B98" s="35" t="str">
        <f>'7조'!B115</f>
        <v/>
      </c>
      <c r="C98" s="34" t="str">
        <f>'7조'!C115</f>
        <v>7조 - SOA - Testability</v>
      </c>
      <c r="D98" s="35" t="str">
        <f>'7조'!D115</f>
        <v/>
      </c>
      <c r="E98" s="34" t="str">
        <f>'7조'!E115</f>
        <v>7조 - Mico-Service - Testability</v>
      </c>
      <c r="F98" s="37"/>
      <c r="G98" s="4"/>
      <c r="H98" s="4"/>
      <c r="I98" s="4"/>
      <c r="J98" s="4"/>
      <c r="K98" s="4"/>
      <c r="L98" s="4"/>
      <c r="M98" s="4"/>
      <c r="N98" s="4"/>
      <c r="O98" s="4"/>
      <c r="P98" s="4"/>
      <c r="Q98" s="4"/>
      <c r="R98" s="4"/>
      <c r="S98" s="4"/>
      <c r="T98" s="4"/>
      <c r="U98" s="4"/>
      <c r="V98" s="4"/>
      <c r="W98" s="4"/>
      <c r="X98" s="4"/>
      <c r="Y98" s="4"/>
      <c r="Z98" s="4"/>
    </row>
    <row r="99" ht="15.75" customHeight="1">
      <c r="A99" s="34" t="s">
        <v>523</v>
      </c>
      <c r="B99" s="35" t="str">
        <f>'8조'!B115</f>
        <v/>
      </c>
      <c r="C99" s="34" t="str">
        <f>'8조'!C115</f>
        <v>8조 - SOA - Testability</v>
      </c>
      <c r="D99" s="35" t="str">
        <f>'8조'!D115</f>
        <v/>
      </c>
      <c r="E99" s="34" t="str">
        <f>'8조'!E115</f>
        <v>8조 - Mico-Service - Testability</v>
      </c>
      <c r="F99" s="37"/>
      <c r="G99" s="4"/>
      <c r="H99" s="4"/>
      <c r="I99" s="4"/>
      <c r="J99" s="4"/>
      <c r="K99" s="4"/>
      <c r="L99" s="4"/>
      <c r="M99" s="4"/>
      <c r="N99" s="4"/>
      <c r="O99" s="4"/>
      <c r="P99" s="4"/>
      <c r="Q99" s="4"/>
      <c r="R99" s="4"/>
      <c r="S99" s="4"/>
      <c r="T99" s="4"/>
      <c r="U99" s="4"/>
      <c r="V99" s="4"/>
      <c r="W99" s="4"/>
      <c r="X99" s="4"/>
      <c r="Y99" s="4"/>
      <c r="Z99" s="4"/>
    </row>
    <row r="100" ht="15.75" customHeight="1">
      <c r="A100" s="34" t="s">
        <v>526</v>
      </c>
      <c r="B100" s="35" t="str">
        <f>'9조'!B115</f>
        <v/>
      </c>
      <c r="C100" s="34" t="str">
        <f>'9조'!C115</f>
        <v>9조 - SOA - Testability</v>
      </c>
      <c r="D100" s="35" t="str">
        <f>'9조'!D115</f>
        <v/>
      </c>
      <c r="E100" s="34" t="str">
        <f>'9조'!E115</f>
        <v>9조 - Mico-Service - Testability</v>
      </c>
      <c r="F100" s="37"/>
      <c r="G100" s="4"/>
      <c r="H100" s="4"/>
      <c r="I100" s="4"/>
      <c r="J100" s="4"/>
      <c r="K100" s="4"/>
      <c r="L100" s="4"/>
      <c r="M100" s="4"/>
      <c r="N100" s="4"/>
      <c r="O100" s="4"/>
      <c r="P100" s="4"/>
      <c r="Q100" s="4"/>
      <c r="R100" s="4"/>
      <c r="S100" s="4"/>
      <c r="T100" s="4"/>
      <c r="U100" s="4"/>
      <c r="V100" s="4"/>
      <c r="W100" s="4"/>
      <c r="X100" s="4"/>
      <c r="Y100" s="4"/>
      <c r="Z100" s="4"/>
    </row>
    <row r="101" ht="15.75" customHeight="1">
      <c r="A101" s="34"/>
      <c r="B101" s="34"/>
      <c r="C101" s="34"/>
      <c r="D101" s="34"/>
      <c r="E101" s="34"/>
      <c r="F101" s="24"/>
      <c r="G101" s="4"/>
      <c r="H101" s="4"/>
      <c r="I101" s="4"/>
      <c r="J101" s="4"/>
      <c r="K101" s="4"/>
      <c r="L101" s="4"/>
      <c r="M101" s="4"/>
      <c r="N101" s="4"/>
      <c r="O101" s="4"/>
      <c r="P101" s="4"/>
      <c r="Q101" s="4"/>
      <c r="R101" s="4"/>
      <c r="S101" s="4"/>
      <c r="T101" s="4"/>
      <c r="U101" s="4"/>
      <c r="V101" s="4"/>
      <c r="W101" s="4"/>
      <c r="X101" s="4"/>
      <c r="Y101" s="4"/>
      <c r="Z101" s="4"/>
    </row>
    <row r="102" ht="15.75" customHeight="1">
      <c r="A102" s="33" t="s">
        <v>346</v>
      </c>
      <c r="B102" s="33">
        <v>0.0</v>
      </c>
      <c r="C102" s="33">
        <v>0.0</v>
      </c>
      <c r="D102" s="33">
        <v>0.0</v>
      </c>
      <c r="E102" s="33">
        <v>0.0</v>
      </c>
      <c r="F102" s="24"/>
      <c r="G102" s="4"/>
      <c r="H102" s="4"/>
      <c r="I102" s="4"/>
      <c r="J102" s="4"/>
      <c r="K102" s="4"/>
      <c r="L102" s="4"/>
      <c r="M102" s="4"/>
      <c r="N102" s="4"/>
      <c r="O102" s="4"/>
      <c r="P102" s="4"/>
      <c r="Q102" s="4"/>
      <c r="R102" s="4"/>
      <c r="S102" s="4"/>
      <c r="T102" s="4"/>
      <c r="U102" s="4"/>
      <c r="V102" s="4"/>
      <c r="W102" s="4"/>
      <c r="X102" s="4"/>
      <c r="Y102" s="4"/>
      <c r="Z102" s="4"/>
    </row>
    <row r="103" ht="15.75" customHeight="1">
      <c r="A103" s="34" t="s">
        <v>502</v>
      </c>
      <c r="B103" s="35" t="str">
        <f>'1조'!B116</f>
        <v>0</v>
      </c>
      <c r="C103" s="34" t="str">
        <f>'1조'!C116</f>
        <v>[0] Service 재사용·상호운용성은 개발과 시스템 통합의 이점이며 최종 사용자의 작업 편의성을 직접 결정하지 않는다.</v>
      </c>
      <c r="D103" s="35" t="str">
        <f>'1조'!D116</f>
        <v>0</v>
      </c>
      <c r="E103" s="34" t="str">
        <f>'1조'!E116</f>
        <v>[0] Application을 작은 Service로 나누는 내부 구조는 사용자의 화면·업무 흐름을 직접 결정하지 않는다. 부분 실패를 사용자에게 어떻게 안내하는지는 별도 UX 설계 사항이다.</v>
      </c>
      <c r="F103" s="36" t="s">
        <v>766</v>
      </c>
      <c r="G103" s="4"/>
      <c r="H103" s="4"/>
      <c r="I103" s="4"/>
      <c r="J103" s="4"/>
      <c r="K103" s="4"/>
      <c r="L103" s="4"/>
      <c r="M103" s="4"/>
      <c r="N103" s="4"/>
      <c r="O103" s="4"/>
      <c r="P103" s="4"/>
      <c r="Q103" s="4"/>
      <c r="R103" s="4"/>
      <c r="S103" s="4"/>
      <c r="T103" s="4"/>
      <c r="U103" s="4"/>
      <c r="V103" s="4"/>
      <c r="W103" s="4"/>
      <c r="X103" s="4"/>
      <c r="Y103" s="4"/>
      <c r="Z103" s="4"/>
    </row>
    <row r="104" ht="15.75" customHeight="1">
      <c r="A104" s="34" t="s">
        <v>507</v>
      </c>
      <c r="B104" s="35" t="str">
        <f>'2조'!B116</f>
        <v>0</v>
      </c>
      <c r="C104" s="34" t="str">
        <f>'2조'!C116</f>
        <v>(-) 사용자 인터페이스 자체를 정의하는 스타일이 아니며 백엔드 통신 아키텍처에 해당함 (교안 관점)</v>
      </c>
      <c r="D104" s="35" t="str">
        <f>'2조'!D116</f>
        <v>0</v>
      </c>
      <c r="E104" s="34" t="str">
        <f>'2조'!E116</f>
        <v>사용자 접점을 규정하지 않는다. API Gateway 뒤 구성은 사용자에게 보이지 않는다</v>
      </c>
      <c r="F104" s="37"/>
      <c r="G104" s="4"/>
      <c r="H104" s="4"/>
      <c r="I104" s="4"/>
      <c r="J104" s="4"/>
      <c r="K104" s="4"/>
      <c r="L104" s="4"/>
      <c r="M104" s="4"/>
      <c r="N104" s="4"/>
      <c r="O104" s="4"/>
      <c r="P104" s="4"/>
      <c r="Q104" s="4"/>
      <c r="R104" s="4"/>
      <c r="S104" s="4"/>
      <c r="T104" s="4"/>
      <c r="U104" s="4"/>
      <c r="V104" s="4"/>
      <c r="W104" s="4"/>
      <c r="X104" s="4"/>
      <c r="Y104" s="4"/>
      <c r="Z104" s="4"/>
    </row>
    <row r="105" ht="15.75" customHeight="1">
      <c r="A105" s="34" t="s">
        <v>510</v>
      </c>
      <c r="B105" s="35" t="str">
        <f>'3조'!B116</f>
        <v>0</v>
      </c>
      <c r="C105" s="34" t="str">
        <f>'3조'!C116</f>
        <v>사용자 입장에서 usability 영향은 적다</v>
      </c>
      <c r="D105" s="35" t="str">
        <f>'3조'!D116</f>
        <v>+</v>
      </c>
      <c r="E105" s="34" t="str">
        <f>'3조'!E116</f>
        <v>무중단 배포와 부분 장애 격리로 시스템 다운타임이 최소화되며, 비즈니스 기능별 독립 스케일 아웃이 가능해 사용자에게 쾌적한 인터랙션을 보장함.</v>
      </c>
      <c r="F105" s="37"/>
      <c r="G105" s="4"/>
      <c r="H105" s="4"/>
      <c r="I105" s="4"/>
      <c r="J105" s="4"/>
      <c r="K105" s="4"/>
      <c r="L105" s="4"/>
      <c r="M105" s="4"/>
      <c r="N105" s="4"/>
      <c r="O105" s="4"/>
      <c r="P105" s="4"/>
      <c r="Q105" s="4"/>
      <c r="R105" s="4"/>
      <c r="S105" s="4"/>
      <c r="T105" s="4"/>
      <c r="U105" s="4"/>
      <c r="V105" s="4"/>
      <c r="W105" s="4"/>
      <c r="X105" s="4"/>
      <c r="Y105" s="4"/>
      <c r="Z105" s="4"/>
    </row>
    <row r="106" ht="15.75" customHeight="1">
      <c r="A106" s="34" t="s">
        <v>511</v>
      </c>
      <c r="B106" s="35" t="str">
        <f>'4조'!B116</f>
        <v>0</v>
      </c>
      <c r="C106" s="34" t="str">
        <f>'4조'!C116</f>
        <v>서비스 연결 방식 자체가 화면의 편리함에 미치는 직접적인 영향은 적다.</v>
      </c>
      <c r="D106" s="35" t="str">
        <f>'4조'!D116</f>
        <v>0</v>
      </c>
      <c r="E106" s="34" t="str">
        <f>'4조'!E116</f>
        <v>각 기능은 독립적으로 반응하기 좋지만 화면에 보이는 데이터 상태가 서로 다를 수 있다.</v>
      </c>
      <c r="F106" s="37"/>
      <c r="G106" s="4"/>
      <c r="H106" s="4"/>
      <c r="I106" s="4"/>
      <c r="J106" s="4"/>
      <c r="K106" s="4"/>
      <c r="L106" s="4"/>
      <c r="M106" s="4"/>
      <c r="N106" s="4"/>
      <c r="O106" s="4"/>
      <c r="P106" s="4"/>
      <c r="Q106" s="4"/>
      <c r="R106" s="4"/>
      <c r="S106" s="4"/>
      <c r="T106" s="4"/>
      <c r="U106" s="4"/>
      <c r="V106" s="4"/>
      <c r="W106" s="4"/>
      <c r="X106" s="4"/>
      <c r="Y106" s="4"/>
      <c r="Z106" s="4"/>
    </row>
    <row r="107" ht="15.75" customHeight="1">
      <c r="A107" s="34" t="s">
        <v>513</v>
      </c>
      <c r="B107" s="35" t="str">
        <f>'5조'!B116</f>
        <v>0</v>
      </c>
      <c r="C107" s="34" t="str">
        <f>'5조'!C116</f>
        <v>백엔드 구조 스타일로 End-User Usability에 대한 직접적 영향이 없다. </v>
      </c>
      <c r="D107" s="35" t="str">
        <f>'5조'!D116</f>
        <v>0</v>
      </c>
      <c r="E107" s="34" t="str">
        <f>'5조'!E116</f>
        <v>usability와 연관성 없음</v>
      </c>
      <c r="F107" s="37"/>
      <c r="G107" s="4"/>
      <c r="H107" s="4"/>
      <c r="I107" s="4"/>
      <c r="J107" s="4"/>
      <c r="K107" s="4"/>
      <c r="L107" s="4"/>
      <c r="M107" s="4"/>
      <c r="N107" s="4"/>
      <c r="O107" s="4"/>
      <c r="P107" s="4"/>
      <c r="Q107" s="4"/>
      <c r="R107" s="4"/>
      <c r="S107" s="4"/>
      <c r="T107" s="4"/>
      <c r="U107" s="4"/>
      <c r="V107" s="4"/>
      <c r="W107" s="4"/>
      <c r="X107" s="4"/>
      <c r="Y107" s="4"/>
      <c r="Z107" s="4"/>
    </row>
    <row r="108" ht="15.75" customHeight="1">
      <c r="A108" s="34" t="s">
        <v>516</v>
      </c>
      <c r="B108" s="35" t="str">
        <f>'6조'!B116</f>
        <v>+</v>
      </c>
      <c r="C108" s="34" t="str">
        <f>'6조'!C116</f>
        <v>service customer 및 provider 반영이 유연하고 빠름</v>
      </c>
      <c r="D108" s="35" t="str">
        <f>'6조'!D116</f>
        <v>0</v>
      </c>
      <c r="E108" s="34" t="str">
        <f>'6조'!E116</f>
        <v>Micro-Service 구조 자체는 사용자 인터페이스와 직접적인 관계가 없다.</v>
      </c>
      <c r="F108" s="37"/>
      <c r="G108" s="4"/>
      <c r="H108" s="4"/>
      <c r="I108" s="4"/>
      <c r="J108" s="4"/>
      <c r="K108" s="4"/>
      <c r="L108" s="4"/>
      <c r="M108" s="4"/>
      <c r="N108" s="4"/>
      <c r="O108" s="4"/>
      <c r="P108" s="4"/>
      <c r="Q108" s="4"/>
      <c r="R108" s="4"/>
      <c r="S108" s="4"/>
      <c r="T108" s="4"/>
      <c r="U108" s="4"/>
      <c r="V108" s="4"/>
      <c r="W108" s="4"/>
      <c r="X108" s="4"/>
      <c r="Y108" s="4"/>
      <c r="Z108" s="4"/>
    </row>
    <row r="109" ht="15.75" customHeight="1">
      <c r="A109" s="34" t="s">
        <v>520</v>
      </c>
      <c r="B109" s="35" t="str">
        <f>'7조'!B116</f>
        <v/>
      </c>
      <c r="C109" s="34" t="str">
        <f>'7조'!C116</f>
        <v>7조 - SOA - Usability</v>
      </c>
      <c r="D109" s="35" t="str">
        <f>'7조'!D116</f>
        <v/>
      </c>
      <c r="E109" s="34" t="str">
        <f>'7조'!E116</f>
        <v>7조 - Mico-Service - Usability</v>
      </c>
      <c r="F109" s="37"/>
      <c r="G109" s="4"/>
      <c r="H109" s="4"/>
      <c r="I109" s="4"/>
      <c r="J109" s="4"/>
      <c r="K109" s="4"/>
      <c r="L109" s="4"/>
      <c r="M109" s="4"/>
      <c r="N109" s="4"/>
      <c r="O109" s="4"/>
      <c r="P109" s="4"/>
      <c r="Q109" s="4"/>
      <c r="R109" s="4"/>
      <c r="S109" s="4"/>
      <c r="T109" s="4"/>
      <c r="U109" s="4"/>
      <c r="V109" s="4"/>
      <c r="W109" s="4"/>
      <c r="X109" s="4"/>
      <c r="Y109" s="4"/>
      <c r="Z109" s="4"/>
    </row>
    <row r="110" ht="15.75" customHeight="1">
      <c r="A110" s="34" t="s">
        <v>523</v>
      </c>
      <c r="B110" s="35" t="str">
        <f>'8조'!B116</f>
        <v/>
      </c>
      <c r="C110" s="34" t="str">
        <f>'8조'!C116</f>
        <v>8조 - SOA - Usability</v>
      </c>
      <c r="D110" s="35" t="str">
        <f>'8조'!D116</f>
        <v/>
      </c>
      <c r="E110" s="34" t="str">
        <f>'8조'!E116</f>
        <v>8조 - Mico-Service - Usability</v>
      </c>
      <c r="F110" s="37"/>
      <c r="G110" s="4"/>
      <c r="H110" s="4"/>
      <c r="I110" s="4"/>
      <c r="J110" s="4"/>
      <c r="K110" s="4"/>
      <c r="L110" s="4"/>
      <c r="M110" s="4"/>
      <c r="N110" s="4"/>
      <c r="O110" s="4"/>
      <c r="P110" s="4"/>
      <c r="Q110" s="4"/>
      <c r="R110" s="4"/>
      <c r="S110" s="4"/>
      <c r="T110" s="4"/>
      <c r="U110" s="4"/>
      <c r="V110" s="4"/>
      <c r="W110" s="4"/>
      <c r="X110" s="4"/>
      <c r="Y110" s="4"/>
      <c r="Z110" s="4"/>
    </row>
    <row r="111" ht="15.75" customHeight="1">
      <c r="A111" s="34" t="s">
        <v>526</v>
      </c>
      <c r="B111" s="35" t="str">
        <f>'9조'!B116</f>
        <v/>
      </c>
      <c r="C111" s="34" t="str">
        <f>'9조'!C116</f>
        <v>9조 - SOA - Usability</v>
      </c>
      <c r="D111" s="35" t="str">
        <f>'9조'!D116</f>
        <v/>
      </c>
      <c r="E111" s="34" t="str">
        <f>'9조'!E116</f>
        <v>9조 - Mico-Service - Usability</v>
      </c>
      <c r="F111" s="37"/>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3">
    <mergeCell ref="F48:F56"/>
    <mergeCell ref="F59:F67"/>
    <mergeCell ref="F70:F78"/>
    <mergeCell ref="F81:F89"/>
    <mergeCell ref="F92:F100"/>
    <mergeCell ref="F103:F111"/>
    <mergeCell ref="A1:A2"/>
    <mergeCell ref="B1:C1"/>
    <mergeCell ref="D1:E1"/>
    <mergeCell ref="F4:F12"/>
    <mergeCell ref="F15:F23"/>
    <mergeCell ref="F26:F34"/>
    <mergeCell ref="F37:F45"/>
  </mergeCells>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7.57"/>
    <col customWidth="1" min="2" max="2" width="7.71"/>
    <col customWidth="1" min="3" max="3" width="41.14"/>
    <col customWidth="1" min="4" max="4" width="7.71"/>
    <col customWidth="1" min="5" max="5" width="37.14"/>
    <col customWidth="1" min="6" max="6" width="7.71"/>
    <col customWidth="1" min="7" max="7" width="51.29"/>
    <col customWidth="1" min="8" max="8" width="40.43"/>
  </cols>
  <sheetData>
    <row r="1">
      <c r="A1" s="28" t="s">
        <v>656</v>
      </c>
      <c r="B1" s="29" t="s">
        <v>657</v>
      </c>
      <c r="C1" s="30"/>
      <c r="D1" s="29" t="s">
        <v>658</v>
      </c>
      <c r="E1" s="30"/>
      <c r="F1" s="29" t="s">
        <v>659</v>
      </c>
      <c r="G1" s="30"/>
      <c r="H1" s="24"/>
      <c r="I1" s="4"/>
      <c r="J1" s="4"/>
      <c r="K1" s="4"/>
      <c r="L1" s="4"/>
      <c r="M1" s="4"/>
      <c r="N1" s="4"/>
      <c r="O1" s="4"/>
      <c r="P1" s="4"/>
      <c r="Q1" s="4"/>
      <c r="R1" s="4"/>
      <c r="S1" s="4"/>
      <c r="T1" s="4"/>
      <c r="U1" s="4"/>
      <c r="V1" s="4"/>
      <c r="W1" s="4"/>
      <c r="X1" s="4"/>
      <c r="Y1" s="4"/>
      <c r="Z1" s="4"/>
    </row>
    <row r="2">
      <c r="A2" s="31"/>
      <c r="B2" s="32" t="s">
        <v>11</v>
      </c>
      <c r="C2" s="32" t="s">
        <v>12</v>
      </c>
      <c r="D2" s="32" t="s">
        <v>11</v>
      </c>
      <c r="E2" s="32" t="s">
        <v>12</v>
      </c>
      <c r="F2" s="32" t="s">
        <v>11</v>
      </c>
      <c r="G2" s="32" t="s">
        <v>12</v>
      </c>
      <c r="H2" s="24"/>
      <c r="I2" s="4"/>
      <c r="J2" s="4"/>
      <c r="K2" s="4"/>
      <c r="L2" s="4"/>
      <c r="M2" s="4"/>
      <c r="N2" s="4"/>
      <c r="O2" s="4"/>
      <c r="P2" s="4"/>
      <c r="Q2" s="4"/>
      <c r="R2" s="4"/>
      <c r="S2" s="4"/>
      <c r="T2" s="4"/>
      <c r="U2" s="4"/>
      <c r="V2" s="4"/>
      <c r="W2" s="4"/>
      <c r="X2" s="4"/>
      <c r="Y2" s="4"/>
      <c r="Z2" s="4"/>
    </row>
    <row r="3" ht="15.0" customHeight="1">
      <c r="A3" s="33" t="s">
        <v>14</v>
      </c>
      <c r="B3" s="33">
        <v>0.0</v>
      </c>
      <c r="C3" s="33">
        <v>0.0</v>
      </c>
      <c r="D3" s="33">
        <v>0.0</v>
      </c>
      <c r="E3" s="33">
        <v>0.0</v>
      </c>
      <c r="F3" s="33">
        <v>0.0</v>
      </c>
      <c r="G3" s="33">
        <v>0.0</v>
      </c>
      <c r="H3" s="24"/>
      <c r="I3" s="4"/>
      <c r="J3" s="4"/>
      <c r="K3" s="4"/>
      <c r="L3" s="4"/>
      <c r="M3" s="4"/>
      <c r="N3" s="4"/>
      <c r="O3" s="4"/>
      <c r="P3" s="4"/>
      <c r="Q3" s="4"/>
      <c r="R3" s="4"/>
      <c r="S3" s="4"/>
      <c r="T3" s="4"/>
      <c r="U3" s="4"/>
      <c r="V3" s="4"/>
      <c r="W3" s="4"/>
      <c r="X3" s="4"/>
      <c r="Y3" s="4"/>
      <c r="Z3" s="4"/>
    </row>
    <row r="4">
      <c r="A4" s="34" t="s">
        <v>502</v>
      </c>
      <c r="B4" s="34">
        <v>0.0</v>
      </c>
      <c r="C4" s="34" t="str">
        <f>'1조'!C120</f>
        <v>1조 - Container-based - Availability</v>
      </c>
      <c r="D4" s="34">
        <v>0.0</v>
      </c>
      <c r="E4" s="34" t="str">
        <f>'1조'!E120</f>
        <v>1조 - Cloud-based - Availability</v>
      </c>
      <c r="F4" s="35" t="str">
        <f>'1조'!F120</f>
        <v>+</v>
      </c>
      <c r="G4" s="34" t="str">
        <f>'1조'!G120</f>
        <v>[+] 중앙 Site가 멈추거나 연결이 끊겨도 Edge Node가 Local Network에서 연산·제어를 독립적으로 계속할 수 있다.</v>
      </c>
      <c r="H4" s="38" t="s">
        <v>660</v>
      </c>
      <c r="I4" s="4"/>
      <c r="J4" s="4"/>
      <c r="K4" s="4"/>
      <c r="L4" s="4"/>
      <c r="M4" s="4"/>
      <c r="N4" s="4"/>
      <c r="O4" s="4"/>
      <c r="P4" s="4"/>
      <c r="Q4" s="4"/>
      <c r="R4" s="4"/>
      <c r="S4" s="4"/>
      <c r="T4" s="4"/>
      <c r="U4" s="4"/>
      <c r="V4" s="4"/>
      <c r="W4" s="4"/>
      <c r="X4" s="4"/>
      <c r="Y4" s="4"/>
      <c r="Z4" s="4"/>
    </row>
    <row r="5">
      <c r="A5" s="34" t="s">
        <v>507</v>
      </c>
      <c r="B5" s="34">
        <v>0.0</v>
      </c>
      <c r="C5" s="34" t="str">
        <f>'2조'!C120</f>
        <v>2조 - Container-based - Availability</v>
      </c>
      <c r="D5" s="34">
        <v>0.0</v>
      </c>
      <c r="E5" s="34" t="str">
        <f>'2조'!E120</f>
        <v>2조 - Cloud-based - Availability</v>
      </c>
      <c r="F5" s="35" t="str">
        <f>'2조'!F120</f>
        <v>++</v>
      </c>
      <c r="G5" s="34" t="str">
        <f>'2조'!G120</f>
        <v>로컬 네트워크에서 연산을 수행하므로 중앙 site 가 멈춰도 지역 site 는 독립적으로 계속 운영된다고 교안이 장점으로 명시한다.</v>
      </c>
      <c r="H5" s="37"/>
      <c r="I5" s="4"/>
      <c r="J5" s="4"/>
      <c r="K5" s="4"/>
      <c r="L5" s="4"/>
      <c r="M5" s="4"/>
      <c r="N5" s="4"/>
      <c r="O5" s="4"/>
      <c r="P5" s="4"/>
      <c r="Q5" s="4"/>
      <c r="R5" s="4"/>
      <c r="S5" s="4"/>
      <c r="T5" s="4"/>
      <c r="U5" s="4"/>
      <c r="V5" s="4"/>
      <c r="W5" s="4"/>
      <c r="X5" s="4"/>
      <c r="Y5" s="4"/>
      <c r="Z5" s="4"/>
    </row>
    <row r="6">
      <c r="A6" s="34" t="s">
        <v>510</v>
      </c>
      <c r="B6" s="34">
        <v>0.0</v>
      </c>
      <c r="C6" s="34" t="str">
        <f>'3조'!C120</f>
        <v>3조 - Container-based - Availability</v>
      </c>
      <c r="D6" s="34">
        <v>0.0</v>
      </c>
      <c r="E6" s="34" t="str">
        <f>'3조'!E120</f>
        <v>3조 - Cloud-based - Availability</v>
      </c>
      <c r="F6" s="35" t="str">
        <f>'3조'!F120</f>
        <v>+</v>
      </c>
      <c r="G6" s="34" t="str">
        <f>'3조'!G120</f>
        <v>Edge 노드가 사용자 가까이에서 일부 처리를 담당하므로 Cloud 장애나 네트워크 지연 시에도 제한적인 서비스 지속이 가능하다. 다만 개별 Edge 노드 장애 관리는 필요하다.</v>
      </c>
      <c r="H6" s="37"/>
      <c r="I6" s="4"/>
      <c r="J6" s="4"/>
      <c r="K6" s="4"/>
      <c r="L6" s="4"/>
      <c r="M6" s="4"/>
      <c r="N6" s="4"/>
      <c r="O6" s="4"/>
      <c r="P6" s="4"/>
      <c r="Q6" s="4"/>
      <c r="R6" s="4"/>
      <c r="S6" s="4"/>
      <c r="T6" s="4"/>
      <c r="U6" s="4"/>
      <c r="V6" s="4"/>
      <c r="W6" s="4"/>
      <c r="X6" s="4"/>
      <c r="Y6" s="4"/>
      <c r="Z6" s="4"/>
    </row>
    <row r="7">
      <c r="A7" s="34" t="s">
        <v>511</v>
      </c>
      <c r="B7" s="34">
        <v>0.0</v>
      </c>
      <c r="C7" s="34" t="str">
        <f>'4조'!C120</f>
        <v/>
      </c>
      <c r="D7" s="34">
        <v>0.0</v>
      </c>
      <c r="E7" s="34" t="str">
        <f>'4조'!E120</f>
        <v/>
      </c>
      <c r="F7" s="35" t="str">
        <f>'4조'!F120</f>
        <v>+</v>
      </c>
      <c r="G7" s="34" t="str">
        <f>'4조'!G120</f>
        <v>정보와 처리를 현장에 나누면 일부 연결 장애 중에도 현장 기능을 유지하기 좋다.</v>
      </c>
      <c r="H7" s="37"/>
      <c r="I7" s="4"/>
      <c r="J7" s="4"/>
      <c r="K7" s="4"/>
      <c r="L7" s="4"/>
      <c r="M7" s="4"/>
      <c r="N7" s="4"/>
      <c r="O7" s="4"/>
      <c r="P7" s="4"/>
      <c r="Q7" s="4"/>
      <c r="R7" s="4"/>
      <c r="S7" s="4"/>
      <c r="T7" s="4"/>
      <c r="U7" s="4"/>
      <c r="V7" s="4"/>
      <c r="W7" s="4"/>
      <c r="X7" s="4"/>
      <c r="Y7" s="4"/>
      <c r="Z7" s="4"/>
    </row>
    <row r="8">
      <c r="A8" s="34" t="s">
        <v>513</v>
      </c>
      <c r="B8" s="34">
        <v>0.0</v>
      </c>
      <c r="C8" s="34" t="str">
        <f>'5조'!C120</f>
        <v>5조 - Container-based - Availability</v>
      </c>
      <c r="D8" s="34">
        <v>0.0</v>
      </c>
      <c r="E8" s="34" t="str">
        <f>'5조'!E120</f>
        <v/>
      </c>
      <c r="F8" s="35" t="str">
        <f>'5조'!F120</f>
        <v>+</v>
      </c>
      <c r="G8" s="34" t="str">
        <f>'5조'!G120</f>
        <v>중앙 site가 멈춰도 지역 site에서 독립운영하여 가용성을 높일 수 있음, edge node가 1개로 구성시 가용성이 낮아질 수 있음</v>
      </c>
      <c r="H8" s="37"/>
      <c r="I8" s="4"/>
      <c r="J8" s="4"/>
      <c r="K8" s="4"/>
      <c r="L8" s="4"/>
      <c r="M8" s="4"/>
      <c r="N8" s="4"/>
      <c r="O8" s="4"/>
      <c r="P8" s="4"/>
      <c r="Q8" s="4"/>
      <c r="R8" s="4"/>
      <c r="S8" s="4"/>
      <c r="T8" s="4"/>
      <c r="U8" s="4"/>
      <c r="V8" s="4"/>
      <c r="W8" s="4"/>
      <c r="X8" s="4"/>
      <c r="Y8" s="4"/>
      <c r="Z8" s="4"/>
    </row>
    <row r="9">
      <c r="A9" s="34" t="s">
        <v>516</v>
      </c>
      <c r="B9" s="34">
        <v>0.0</v>
      </c>
      <c r="C9" s="34" t="str">
        <f>'6조'!C120</f>
        <v>6조 - Container-based - Availability</v>
      </c>
      <c r="D9" s="34">
        <v>0.0</v>
      </c>
      <c r="E9" s="34" t="str">
        <f>'6조'!E120</f>
        <v>6조 - Cloud-based - Availability</v>
      </c>
      <c r="F9" s="35" t="str">
        <f>'6조'!F120</f>
        <v>+</v>
      </c>
      <c r="G9" s="34" t="str">
        <f>'6조'!G120</f>
        <v>중앙 서버에 모든 처리를 의존하지 않고 여러 Edge에서 서비스를 제공할 수 있어 장애 격리에 유리하다. 하지만 특정 Edge 장비가 고장나면 해당 지역 사용자가 영향을 받을 수 있다.</v>
      </c>
      <c r="H9" s="37"/>
      <c r="I9" s="4"/>
      <c r="J9" s="4"/>
      <c r="K9" s="4"/>
      <c r="L9" s="4"/>
      <c r="M9" s="4"/>
      <c r="N9" s="4"/>
      <c r="O9" s="4"/>
      <c r="P9" s="4"/>
      <c r="Q9" s="4"/>
      <c r="R9" s="4"/>
      <c r="S9" s="4"/>
      <c r="T9" s="4"/>
      <c r="U9" s="4"/>
      <c r="V9" s="4"/>
      <c r="W9" s="4"/>
      <c r="X9" s="4"/>
      <c r="Y9" s="4"/>
      <c r="Z9" s="4"/>
    </row>
    <row r="10">
      <c r="A10" s="34" t="s">
        <v>520</v>
      </c>
      <c r="B10" s="34">
        <v>0.0</v>
      </c>
      <c r="C10" s="34" t="str">
        <f>'7조'!C120</f>
        <v>7조 - Container-based - Availability</v>
      </c>
      <c r="D10" s="34">
        <v>0.0</v>
      </c>
      <c r="E10" s="34" t="str">
        <f>'7조'!E120</f>
        <v>7조 - Cloud-based - Availability</v>
      </c>
      <c r="F10" s="35" t="str">
        <f>'7조'!F120</f>
        <v/>
      </c>
      <c r="G10" s="34" t="str">
        <f>'7조'!G120</f>
        <v>7조 - Edge-based - Availability</v>
      </c>
      <c r="H10" s="37"/>
      <c r="I10" s="4"/>
      <c r="J10" s="4"/>
      <c r="K10" s="4"/>
      <c r="L10" s="4"/>
      <c r="M10" s="4"/>
      <c r="N10" s="4"/>
      <c r="O10" s="4"/>
      <c r="P10" s="4"/>
      <c r="Q10" s="4"/>
      <c r="R10" s="4"/>
      <c r="S10" s="4"/>
      <c r="T10" s="4"/>
      <c r="U10" s="4"/>
      <c r="V10" s="4"/>
      <c r="W10" s="4"/>
      <c r="X10" s="4"/>
      <c r="Y10" s="4"/>
      <c r="Z10" s="4"/>
    </row>
    <row r="11">
      <c r="A11" s="34" t="s">
        <v>523</v>
      </c>
      <c r="B11" s="34">
        <v>0.0</v>
      </c>
      <c r="C11" s="34" t="str">
        <f>'8조'!C120</f>
        <v>8조 - Container-based - Availability</v>
      </c>
      <c r="D11" s="34">
        <v>0.0</v>
      </c>
      <c r="E11" s="34" t="str">
        <f>'8조'!E120</f>
        <v>8조 - Cloud-based - Availability</v>
      </c>
      <c r="F11" s="35" t="str">
        <f>'8조'!F120</f>
        <v/>
      </c>
      <c r="G11" s="34" t="str">
        <f>'8조'!G120</f>
        <v>8조 - Edge-based - Availability</v>
      </c>
      <c r="H11" s="37"/>
      <c r="I11" s="4"/>
      <c r="J11" s="4"/>
      <c r="K11" s="4"/>
      <c r="L11" s="4"/>
      <c r="M11" s="4"/>
      <c r="N11" s="4"/>
      <c r="O11" s="4"/>
      <c r="P11" s="4"/>
      <c r="Q11" s="4"/>
      <c r="R11" s="4"/>
      <c r="S11" s="4"/>
      <c r="T11" s="4"/>
      <c r="U11" s="4"/>
      <c r="V11" s="4"/>
      <c r="W11" s="4"/>
      <c r="X11" s="4"/>
      <c r="Y11" s="4"/>
      <c r="Z11" s="4"/>
    </row>
    <row r="12">
      <c r="A12" s="34" t="s">
        <v>526</v>
      </c>
      <c r="B12" s="34">
        <v>0.0</v>
      </c>
      <c r="C12" s="34" t="str">
        <f>'9조'!C120</f>
        <v>9조 - Container-based - Availability</v>
      </c>
      <c r="D12" s="34">
        <v>0.0</v>
      </c>
      <c r="E12" s="34" t="str">
        <f>'9조'!E120</f>
        <v>9조 - Cloud-based - Availability</v>
      </c>
      <c r="F12" s="35" t="str">
        <f>'9조'!F120</f>
        <v/>
      </c>
      <c r="G12" s="34" t="str">
        <f>'9조'!G120</f>
        <v>9조 - Edge-based - Availability</v>
      </c>
      <c r="H12" s="37"/>
      <c r="I12" s="4"/>
      <c r="J12" s="4"/>
      <c r="K12" s="4"/>
      <c r="L12" s="4"/>
      <c r="M12" s="4"/>
      <c r="N12" s="4"/>
      <c r="O12" s="4"/>
      <c r="P12" s="4"/>
      <c r="Q12" s="4"/>
      <c r="R12" s="4"/>
      <c r="S12" s="4"/>
      <c r="T12" s="4"/>
      <c r="U12" s="4"/>
      <c r="V12" s="4"/>
      <c r="W12" s="4"/>
      <c r="X12" s="4"/>
      <c r="Y12" s="4"/>
      <c r="Z12" s="4"/>
    </row>
    <row r="13">
      <c r="A13" s="34"/>
      <c r="B13" s="34"/>
      <c r="C13" s="34"/>
      <c r="D13" s="34"/>
      <c r="E13" s="34"/>
      <c r="F13" s="34"/>
      <c r="G13" s="34"/>
      <c r="H13" s="24"/>
      <c r="I13" s="4"/>
      <c r="J13" s="4"/>
      <c r="K13" s="4"/>
      <c r="L13" s="4"/>
      <c r="M13" s="4"/>
      <c r="N13" s="4"/>
      <c r="O13" s="4"/>
      <c r="P13" s="4"/>
      <c r="Q13" s="4"/>
      <c r="R13" s="4"/>
      <c r="S13" s="4"/>
      <c r="T13" s="4"/>
      <c r="U13" s="4"/>
      <c r="V13" s="4"/>
      <c r="W13" s="4"/>
      <c r="X13" s="4"/>
      <c r="Y13" s="4"/>
      <c r="Z13" s="4"/>
    </row>
    <row r="14" ht="15.0" customHeight="1">
      <c r="A14" s="33" t="s">
        <v>47</v>
      </c>
      <c r="B14" s="33">
        <v>0.0</v>
      </c>
      <c r="C14" s="33">
        <v>0.0</v>
      </c>
      <c r="D14" s="33">
        <v>0.0</v>
      </c>
      <c r="E14" s="33">
        <v>0.0</v>
      </c>
      <c r="F14" s="33">
        <v>0.0</v>
      </c>
      <c r="G14" s="33">
        <v>0.0</v>
      </c>
      <c r="H14" s="24"/>
      <c r="I14" s="4"/>
      <c r="J14" s="4"/>
      <c r="K14" s="4"/>
      <c r="L14" s="4"/>
      <c r="M14" s="4"/>
      <c r="N14" s="4"/>
      <c r="O14" s="4"/>
      <c r="P14" s="4"/>
      <c r="Q14" s="4"/>
      <c r="R14" s="4"/>
      <c r="S14" s="4"/>
      <c r="T14" s="4"/>
      <c r="U14" s="4"/>
      <c r="V14" s="4"/>
      <c r="W14" s="4"/>
      <c r="X14" s="4"/>
      <c r="Y14" s="4"/>
      <c r="Z14" s="4"/>
    </row>
    <row r="15">
      <c r="A15" s="34" t="s">
        <v>502</v>
      </c>
      <c r="B15" s="34">
        <v>0.0</v>
      </c>
      <c r="C15" s="34" t="str">
        <f>'1조'!C121</f>
        <v>1조 - Container-based - Deployability</v>
      </c>
      <c r="D15" s="34">
        <v>0.0</v>
      </c>
      <c r="E15" s="34" t="str">
        <f>'1조'!E121</f>
        <v>1조 - Cloud-based - Deployability</v>
      </c>
      <c r="F15" s="35" t="str">
        <f>'1조'!F121</f>
        <v>-</v>
      </c>
      <c r="G15" s="34" t="str">
        <f>'1조'!G121</f>
        <v>분산된 여러 현장 장치의 환경과 연결 상태가 다르면 새 버전 배포·검증·되돌리기를 일관되게 끝내기 어렵다.</v>
      </c>
      <c r="H15" s="36" t="s">
        <v>662</v>
      </c>
      <c r="I15" s="4"/>
      <c r="J15" s="4"/>
      <c r="K15" s="4"/>
      <c r="L15" s="4"/>
      <c r="M15" s="4"/>
      <c r="N15" s="4"/>
      <c r="O15" s="4"/>
      <c r="P15" s="4"/>
      <c r="Q15" s="4"/>
      <c r="R15" s="4"/>
      <c r="S15" s="4"/>
      <c r="T15" s="4"/>
      <c r="U15" s="4"/>
      <c r="V15" s="4"/>
      <c r="W15" s="4"/>
      <c r="X15" s="4"/>
      <c r="Y15" s="4"/>
      <c r="Z15" s="4"/>
    </row>
    <row r="16">
      <c r="A16" s="34" t="s">
        <v>507</v>
      </c>
      <c r="B16" s="34">
        <v>0.0</v>
      </c>
      <c r="C16" s="34" t="str">
        <f>'2조'!C121</f>
        <v>2조 - Container-based - Deployability</v>
      </c>
      <c r="D16" s="34">
        <v>0.0</v>
      </c>
      <c r="E16" s="34" t="str">
        <f>'2조'!E121</f>
        <v>2조 - Cloud-based - Deployability</v>
      </c>
      <c r="F16" s="35" t="str">
        <f>'2조'!F121</f>
        <v>--</v>
      </c>
      <c r="G16" s="34" t="str">
        <f>'2조'!G121</f>
        <v>지역마다 흩어진 하드웨어에 올려야 해 한 번에 배포하기 어렵다. 로컬 하드웨어가 더 많이 필요해 초기 투자도 크다(investment cost)</v>
      </c>
      <c r="H16" s="37"/>
      <c r="I16" s="4"/>
      <c r="J16" s="4"/>
      <c r="K16" s="4"/>
      <c r="L16" s="4"/>
      <c r="M16" s="4"/>
      <c r="N16" s="4"/>
      <c r="O16" s="4"/>
      <c r="P16" s="4"/>
      <c r="Q16" s="4"/>
      <c r="R16" s="4"/>
      <c r="S16" s="4"/>
      <c r="T16" s="4"/>
      <c r="U16" s="4"/>
      <c r="V16" s="4"/>
      <c r="W16" s="4"/>
      <c r="X16" s="4"/>
      <c r="Y16" s="4"/>
      <c r="Z16" s="4"/>
    </row>
    <row r="17">
      <c r="A17" s="34" t="s">
        <v>510</v>
      </c>
      <c r="B17" s="34">
        <v>0.0</v>
      </c>
      <c r="C17" s="34" t="str">
        <f>'3조'!C121</f>
        <v>3조 - Container-based - Deployability</v>
      </c>
      <c r="D17" s="34">
        <v>0.0</v>
      </c>
      <c r="E17" s="34" t="str">
        <f>'3조'!E121</f>
        <v>3조 - Cloud-based - Deployability</v>
      </c>
      <c r="F17" s="35" t="str">
        <f>'3조'!F121</f>
        <v>-</v>
      </c>
      <c r="G17" s="34" t="str">
        <f>'3조'!G121</f>
        <v>여러 지역의 Edge 노드에 기능을 배포·갱신해야 하므로 중앙 Cloud보다 버전 관리와 운영 배포가 복잡하다.</v>
      </c>
      <c r="H17" s="37"/>
      <c r="I17" s="4"/>
      <c r="J17" s="4"/>
      <c r="K17" s="4"/>
      <c r="L17" s="4"/>
      <c r="M17" s="4"/>
      <c r="N17" s="4"/>
      <c r="O17" s="4"/>
      <c r="P17" s="4"/>
      <c r="Q17" s="4"/>
      <c r="R17" s="4"/>
      <c r="S17" s="4"/>
      <c r="T17" s="4"/>
      <c r="U17" s="4"/>
      <c r="V17" s="4"/>
      <c r="W17" s="4"/>
      <c r="X17" s="4"/>
      <c r="Y17" s="4"/>
      <c r="Z17" s="4"/>
    </row>
    <row r="18">
      <c r="A18" s="34" t="s">
        <v>511</v>
      </c>
      <c r="B18" s="34">
        <v>0.0</v>
      </c>
      <c r="C18" s="34" t="str">
        <f>'4조'!C121</f>
        <v/>
      </c>
      <c r="D18" s="34">
        <v>0.0</v>
      </c>
      <c r="E18" s="34" t="str">
        <f>'4조'!E121</f>
        <v/>
      </c>
      <c r="F18" s="35" t="str">
        <f>'4조'!F121</f>
        <v>--</v>
      </c>
      <c r="G18" s="34" t="str">
        <f>'4조'!G121</f>
        <v>이기종이고 간헐적으로만 연결되는 대규모 기기 집합을 갱신하는 일은 느리고 위험하며 롤백도 어렵다.</v>
      </c>
      <c r="H18" s="37"/>
      <c r="I18" s="4"/>
      <c r="J18" s="4"/>
      <c r="K18" s="4"/>
      <c r="L18" s="4"/>
      <c r="M18" s="4"/>
      <c r="N18" s="4"/>
      <c r="O18" s="4"/>
      <c r="P18" s="4"/>
      <c r="Q18" s="4"/>
      <c r="R18" s="4"/>
      <c r="S18" s="4"/>
      <c r="T18" s="4"/>
      <c r="U18" s="4"/>
      <c r="V18" s="4"/>
      <c r="W18" s="4"/>
      <c r="X18" s="4"/>
      <c r="Y18" s="4"/>
      <c r="Z18" s="4"/>
    </row>
    <row r="19">
      <c r="A19" s="34" t="s">
        <v>513</v>
      </c>
      <c r="B19" s="34">
        <v>0.0</v>
      </c>
      <c r="C19" s="34" t="str">
        <f>'5조'!C121</f>
        <v>5조 - Container-based - Deployability</v>
      </c>
      <c r="D19" s="34">
        <v>0.0</v>
      </c>
      <c r="E19" s="34" t="str">
        <f>'5조'!E121</f>
        <v/>
      </c>
      <c r="F19" s="35" t="str">
        <f>'5조'!F121</f>
        <v>-</v>
      </c>
      <c r="G19" s="34" t="str">
        <f>'5조'!G121</f>
        <v>지리적으로 분산된 edge별 환경 및 버전 차이로 런타임 시 배포에 어려울 수 있음</v>
      </c>
      <c r="H19" s="37"/>
      <c r="I19" s="4"/>
      <c r="J19" s="4"/>
      <c r="K19" s="4"/>
      <c r="L19" s="4"/>
      <c r="M19" s="4"/>
      <c r="N19" s="4"/>
      <c r="O19" s="4"/>
      <c r="P19" s="4"/>
      <c r="Q19" s="4"/>
      <c r="R19" s="4"/>
      <c r="S19" s="4"/>
      <c r="T19" s="4"/>
      <c r="U19" s="4"/>
      <c r="V19" s="4"/>
      <c r="W19" s="4"/>
      <c r="X19" s="4"/>
      <c r="Y19" s="4"/>
      <c r="Z19" s="4"/>
    </row>
    <row r="20">
      <c r="A20" s="34" t="s">
        <v>516</v>
      </c>
      <c r="B20" s="34">
        <v>0.0</v>
      </c>
      <c r="C20" s="34" t="str">
        <f>'6조'!C121</f>
        <v>6조 - Container-based - Deployability</v>
      </c>
      <c r="D20" s="34">
        <v>0.0</v>
      </c>
      <c r="E20" s="34" t="str">
        <f>'6조'!E121</f>
        <v>6조 - Cloud-based - Deployability</v>
      </c>
      <c r="F20" s="35" t="str">
        <f>'6조'!F121</f>
        <v>--</v>
      </c>
      <c r="G20" s="34" t="str">
        <f>'6조'!G121</f>
        <v>수많은 분산 엣지 디바이스에 업데이트를 배포하고 관리하는 것이 매우 복잡함</v>
      </c>
      <c r="H20" s="37"/>
      <c r="I20" s="4"/>
      <c r="J20" s="4"/>
      <c r="K20" s="4"/>
      <c r="L20" s="4"/>
      <c r="M20" s="4"/>
      <c r="N20" s="4"/>
      <c r="O20" s="4"/>
      <c r="P20" s="4"/>
      <c r="Q20" s="4"/>
      <c r="R20" s="4"/>
      <c r="S20" s="4"/>
      <c r="T20" s="4"/>
      <c r="U20" s="4"/>
      <c r="V20" s="4"/>
      <c r="W20" s="4"/>
      <c r="X20" s="4"/>
      <c r="Y20" s="4"/>
      <c r="Z20" s="4"/>
    </row>
    <row r="21" ht="15.75" customHeight="1">
      <c r="A21" s="34" t="s">
        <v>520</v>
      </c>
      <c r="B21" s="34">
        <v>0.0</v>
      </c>
      <c r="C21" s="34" t="str">
        <f>'7조'!C121</f>
        <v>7조 - Container-based - Deployability</v>
      </c>
      <c r="D21" s="34">
        <v>0.0</v>
      </c>
      <c r="E21" s="34" t="str">
        <f>'7조'!E121</f>
        <v>7조 - Cloud-based - Deployability</v>
      </c>
      <c r="F21" s="35" t="str">
        <f>'7조'!F121</f>
        <v/>
      </c>
      <c r="G21" s="34" t="str">
        <f>'7조'!G121</f>
        <v>7조 - Edge-based - Deployability</v>
      </c>
      <c r="H21" s="37"/>
      <c r="I21" s="4"/>
      <c r="J21" s="4"/>
      <c r="K21" s="4"/>
      <c r="L21" s="4"/>
      <c r="M21" s="4"/>
      <c r="N21" s="4"/>
      <c r="O21" s="4"/>
      <c r="P21" s="4"/>
      <c r="Q21" s="4"/>
      <c r="R21" s="4"/>
      <c r="S21" s="4"/>
      <c r="T21" s="4"/>
      <c r="U21" s="4"/>
      <c r="V21" s="4"/>
      <c r="W21" s="4"/>
      <c r="X21" s="4"/>
      <c r="Y21" s="4"/>
      <c r="Z21" s="4"/>
    </row>
    <row r="22" ht="15.75" customHeight="1">
      <c r="A22" s="34" t="s">
        <v>523</v>
      </c>
      <c r="B22" s="34">
        <v>0.0</v>
      </c>
      <c r="C22" s="34" t="str">
        <f>'8조'!C121</f>
        <v>8조 - Container-based - Deployability</v>
      </c>
      <c r="D22" s="34">
        <v>0.0</v>
      </c>
      <c r="E22" s="34" t="str">
        <f>'8조'!E121</f>
        <v>8조 - Cloud-based - Deployability</v>
      </c>
      <c r="F22" s="35" t="str">
        <f>'8조'!F121</f>
        <v/>
      </c>
      <c r="G22" s="34" t="str">
        <f>'8조'!G121</f>
        <v>8조 - Edge-based - Deployability</v>
      </c>
      <c r="H22" s="37"/>
      <c r="I22" s="4"/>
      <c r="J22" s="4"/>
      <c r="K22" s="4"/>
      <c r="L22" s="4"/>
      <c r="M22" s="4"/>
      <c r="N22" s="4"/>
      <c r="O22" s="4"/>
      <c r="P22" s="4"/>
      <c r="Q22" s="4"/>
      <c r="R22" s="4"/>
      <c r="S22" s="4"/>
      <c r="T22" s="4"/>
      <c r="U22" s="4"/>
      <c r="V22" s="4"/>
      <c r="W22" s="4"/>
      <c r="X22" s="4"/>
      <c r="Y22" s="4"/>
      <c r="Z22" s="4"/>
    </row>
    <row r="23" ht="15.75" customHeight="1">
      <c r="A23" s="34" t="s">
        <v>526</v>
      </c>
      <c r="B23" s="34">
        <v>0.0</v>
      </c>
      <c r="C23" s="34" t="str">
        <f>'9조'!C121</f>
        <v>9조 - Container-based - Deployability</v>
      </c>
      <c r="D23" s="34">
        <v>0.0</v>
      </c>
      <c r="E23" s="34" t="str">
        <f>'9조'!E121</f>
        <v>9조 - Cloud-based - Deployability</v>
      </c>
      <c r="F23" s="35" t="str">
        <f>'9조'!F121</f>
        <v/>
      </c>
      <c r="G23" s="34" t="str">
        <f>'9조'!G121</f>
        <v>9조 - Edge-based - Deployability</v>
      </c>
      <c r="H23" s="37"/>
      <c r="I23" s="4"/>
      <c r="J23" s="4"/>
      <c r="K23" s="4"/>
      <c r="L23" s="4"/>
      <c r="M23" s="4"/>
      <c r="N23" s="4"/>
      <c r="O23" s="4"/>
      <c r="P23" s="4"/>
      <c r="Q23" s="4"/>
      <c r="R23" s="4"/>
      <c r="S23" s="4"/>
      <c r="T23" s="4"/>
      <c r="U23" s="4"/>
      <c r="V23" s="4"/>
      <c r="W23" s="4"/>
      <c r="X23" s="4"/>
      <c r="Y23" s="4"/>
      <c r="Z23" s="4"/>
    </row>
    <row r="24" ht="15.75" customHeight="1">
      <c r="A24" s="34"/>
      <c r="B24" s="34"/>
      <c r="C24" s="34"/>
      <c r="D24" s="34"/>
      <c r="E24" s="34"/>
      <c r="F24" s="34"/>
      <c r="G24" s="34"/>
      <c r="H24" s="24"/>
      <c r="I24" s="4"/>
      <c r="J24" s="4"/>
      <c r="K24" s="4"/>
      <c r="L24" s="4"/>
      <c r="M24" s="4"/>
      <c r="N24" s="4"/>
      <c r="O24" s="4"/>
      <c r="P24" s="4"/>
      <c r="Q24" s="4"/>
      <c r="R24" s="4"/>
      <c r="S24" s="4"/>
      <c r="T24" s="4"/>
      <c r="U24" s="4"/>
      <c r="V24" s="4"/>
      <c r="W24" s="4"/>
      <c r="X24" s="4"/>
      <c r="Y24" s="4"/>
      <c r="Z24" s="4"/>
    </row>
    <row r="25" ht="15.0" customHeight="1">
      <c r="A25" s="33" t="s">
        <v>80</v>
      </c>
      <c r="B25" s="33">
        <v>0.0</v>
      </c>
      <c r="C25" s="33">
        <v>0.0</v>
      </c>
      <c r="D25" s="33">
        <v>0.0</v>
      </c>
      <c r="E25" s="33">
        <v>0.0</v>
      </c>
      <c r="F25" s="33">
        <v>0.0</v>
      </c>
      <c r="G25" s="33">
        <v>0.0</v>
      </c>
      <c r="H25" s="24"/>
      <c r="I25" s="4"/>
      <c r="J25" s="4"/>
      <c r="K25" s="4"/>
      <c r="L25" s="4"/>
      <c r="M25" s="4"/>
      <c r="N25" s="4"/>
      <c r="O25" s="4"/>
      <c r="P25" s="4"/>
      <c r="Q25" s="4"/>
      <c r="R25" s="4"/>
      <c r="S25" s="4"/>
      <c r="T25" s="4"/>
      <c r="U25" s="4"/>
      <c r="V25" s="4"/>
      <c r="W25" s="4"/>
      <c r="X25" s="4"/>
      <c r="Y25" s="4"/>
      <c r="Z25" s="4"/>
    </row>
    <row r="26" ht="15.75" customHeight="1">
      <c r="A26" s="34" t="s">
        <v>502</v>
      </c>
      <c r="B26" s="34">
        <v>0.0</v>
      </c>
      <c r="C26" s="34" t="str">
        <f>'1조'!C122</f>
        <v>1조 - Container-based - Integrability</v>
      </c>
      <c r="D26" s="34">
        <v>0.0</v>
      </c>
      <c r="E26" s="34" t="str">
        <f>'1조'!E122</f>
        <v>1조 - Cloud-based - Integrability</v>
      </c>
      <c r="F26" s="35" t="str">
        <f>'1조'!F122</f>
        <v>-</v>
      </c>
      <c r="G26" s="34" t="str">
        <f>'1조'!G122</f>
        <v>로컬 장치·중간 처리·중앙 서비스의 서로 다른 데이터와 통신 조건을 맞추어야 한다.</v>
      </c>
      <c r="H26" s="36" t="s">
        <v>665</v>
      </c>
      <c r="I26" s="4"/>
      <c r="J26" s="4"/>
      <c r="K26" s="4"/>
      <c r="L26" s="4"/>
      <c r="M26" s="4"/>
      <c r="N26" s="4"/>
      <c r="O26" s="4"/>
      <c r="P26" s="4"/>
      <c r="Q26" s="4"/>
      <c r="R26" s="4"/>
      <c r="S26" s="4"/>
      <c r="T26" s="4"/>
      <c r="U26" s="4"/>
      <c r="V26" s="4"/>
      <c r="W26" s="4"/>
      <c r="X26" s="4"/>
      <c r="Y26" s="4"/>
      <c r="Z26" s="4"/>
    </row>
    <row r="27" ht="15.75" customHeight="1">
      <c r="A27" s="34" t="s">
        <v>507</v>
      </c>
      <c r="B27" s="34">
        <v>0.0</v>
      </c>
      <c r="C27" s="34" t="str">
        <f>'2조'!C122</f>
        <v>2조 - Container-based - Integrability</v>
      </c>
      <c r="D27" s="34">
        <v>0.0</v>
      </c>
      <c r="E27" s="34" t="str">
        <f>'2조'!E122</f>
        <v>2조 - Cloud-based - Integrability</v>
      </c>
      <c r="F27" s="35" t="str">
        <f>'2조'!F122</f>
        <v>0</v>
      </c>
      <c r="G27" s="34" t="str">
        <f>'2조'!G122</f>
        <v>(+) 로컬 센서 및 액추에이터와의 하드웨어 수준 직접 통합은 우수함.
(-) 중앙 클라우드와 엣지 계층 간의 이기종 통신 규격, 지역별 환경 차이로 인해 범용 시스템 통합 비용이 발생함 (교안 관점).</v>
      </c>
      <c r="H27" s="37"/>
      <c r="I27" s="4"/>
      <c r="J27" s="4"/>
      <c r="K27" s="4"/>
      <c r="L27" s="4"/>
      <c r="M27" s="4"/>
      <c r="N27" s="4"/>
      <c r="O27" s="4"/>
      <c r="P27" s="4"/>
      <c r="Q27" s="4"/>
      <c r="R27" s="4"/>
      <c r="S27" s="4"/>
      <c r="T27" s="4"/>
      <c r="U27" s="4"/>
      <c r="V27" s="4"/>
      <c r="W27" s="4"/>
      <c r="X27" s="4"/>
      <c r="Y27" s="4"/>
      <c r="Z27" s="4"/>
    </row>
    <row r="28" ht="15.75" customHeight="1">
      <c r="A28" s="34" t="s">
        <v>510</v>
      </c>
      <c r="B28" s="34">
        <v>0.0</v>
      </c>
      <c r="C28" s="34" t="str">
        <f>'3조'!C122</f>
        <v>3조 - Container-based - Integrability</v>
      </c>
      <c r="D28" s="34">
        <v>0.0</v>
      </c>
      <c r="E28" s="34" t="str">
        <f>'3조'!E122</f>
        <v>3조 - Cloud-based - Integrability</v>
      </c>
      <c r="F28" s="35" t="str">
        <f>'3조'!F122</f>
        <v>0</v>
      </c>
      <c r="G28" s="34" t="str">
        <f>'3조'!G122</f>
        <v>Cloud, Edge, Device를 연결해 통합할 수 있지만, 현장 장치와 원격 Cloud 간 프로토콜·환경 차이를 맞춰야 하므로 장단점이 상쇄된다.</v>
      </c>
      <c r="H28" s="37"/>
      <c r="I28" s="4"/>
      <c r="J28" s="4"/>
      <c r="K28" s="4"/>
      <c r="L28" s="4"/>
      <c r="M28" s="4"/>
      <c r="N28" s="4"/>
      <c r="O28" s="4"/>
      <c r="P28" s="4"/>
      <c r="Q28" s="4"/>
      <c r="R28" s="4"/>
      <c r="S28" s="4"/>
      <c r="T28" s="4"/>
      <c r="U28" s="4"/>
      <c r="V28" s="4"/>
      <c r="W28" s="4"/>
      <c r="X28" s="4"/>
      <c r="Y28" s="4"/>
      <c r="Z28" s="4"/>
    </row>
    <row r="29" ht="15.75" customHeight="1">
      <c r="A29" s="34" t="s">
        <v>511</v>
      </c>
      <c r="B29" s="34">
        <v>0.0</v>
      </c>
      <c r="C29" s="34" t="str">
        <f>'4조'!C122</f>
        <v/>
      </c>
      <c r="D29" s="34">
        <v>0.0</v>
      </c>
      <c r="E29" s="34" t="str">
        <f>'4조'!E122</f>
        <v/>
      </c>
      <c r="F29" s="35" t="str">
        <f>'4조'!F122</f>
        <v>-</v>
      </c>
      <c r="G29" s="34" t="str">
        <f>'4조'!G122</f>
        <v>현장마다 데이터와 장치 환경이 달라 전체 시스템과 연결할 때 조정이 필요하다.</v>
      </c>
      <c r="H29" s="37"/>
      <c r="I29" s="4"/>
      <c r="J29" s="4"/>
      <c r="K29" s="4"/>
      <c r="L29" s="4"/>
      <c r="M29" s="4"/>
      <c r="N29" s="4"/>
      <c r="O29" s="4"/>
      <c r="P29" s="4"/>
      <c r="Q29" s="4"/>
      <c r="R29" s="4"/>
      <c r="S29" s="4"/>
      <c r="T29" s="4"/>
      <c r="U29" s="4"/>
      <c r="V29" s="4"/>
      <c r="W29" s="4"/>
      <c r="X29" s="4"/>
      <c r="Y29" s="4"/>
      <c r="Z29" s="4"/>
    </row>
    <row r="30" ht="15.75" customHeight="1">
      <c r="A30" s="34" t="s">
        <v>513</v>
      </c>
      <c r="B30" s="34">
        <v>0.0</v>
      </c>
      <c r="C30" s="34" t="str">
        <f>'5조'!C122</f>
        <v>5조 - Container-based - Integrability</v>
      </c>
      <c r="D30" s="34">
        <v>0.0</v>
      </c>
      <c r="E30" s="34" t="str">
        <f>'5조'!E122</f>
        <v/>
      </c>
      <c r="F30" s="35" t="str">
        <f>'5조'!F122</f>
        <v>-</v>
      </c>
      <c r="G30" s="34" t="str">
        <f>'5조'!G122</f>
        <v>다양한 레거시 파편화 프로토콜(IoT, 산업용 현장 버스 등) 및 제한된 하드웨어 스펙으로 인해 통합 난이도가 높음</v>
      </c>
      <c r="H30" s="37"/>
      <c r="I30" s="4"/>
      <c r="J30" s="4"/>
      <c r="K30" s="4"/>
      <c r="L30" s="4"/>
      <c r="M30" s="4"/>
      <c r="N30" s="4"/>
      <c r="O30" s="4"/>
      <c r="P30" s="4"/>
      <c r="Q30" s="4"/>
      <c r="R30" s="4"/>
      <c r="S30" s="4"/>
      <c r="T30" s="4"/>
      <c r="U30" s="4"/>
      <c r="V30" s="4"/>
      <c r="W30" s="4"/>
      <c r="X30" s="4"/>
      <c r="Y30" s="4"/>
      <c r="Z30" s="4"/>
    </row>
    <row r="31" ht="15.75" customHeight="1">
      <c r="A31" s="34" t="s">
        <v>516</v>
      </c>
      <c r="B31" s="34">
        <v>0.0</v>
      </c>
      <c r="C31" s="34" t="str">
        <f>'6조'!C122</f>
        <v>6조 - Container-based - Integrability</v>
      </c>
      <c r="D31" s="34">
        <v>0.0</v>
      </c>
      <c r="E31" s="34" t="str">
        <f>'6조'!E122</f>
        <v>6조 - Cloud-based - Integrability</v>
      </c>
      <c r="F31" s="35" t="str">
        <f>'6조'!F122</f>
        <v>+</v>
      </c>
      <c r="G31" s="34" t="str">
        <f>'6조'!G122</f>
        <v>interface가 표준화 되어 있다는 전제 하에 edge node를 추가하기 용이하기 때문에 다른 시스템과의 통합이 용이하다.</v>
      </c>
      <c r="H31" s="37"/>
      <c r="I31" s="4"/>
      <c r="J31" s="4"/>
      <c r="K31" s="4"/>
      <c r="L31" s="4"/>
      <c r="M31" s="4"/>
      <c r="N31" s="4"/>
      <c r="O31" s="4"/>
      <c r="P31" s="4"/>
      <c r="Q31" s="4"/>
      <c r="R31" s="4"/>
      <c r="S31" s="4"/>
      <c r="T31" s="4"/>
      <c r="U31" s="4"/>
      <c r="V31" s="4"/>
      <c r="W31" s="4"/>
      <c r="X31" s="4"/>
      <c r="Y31" s="4"/>
      <c r="Z31" s="4"/>
    </row>
    <row r="32" ht="15.75" customHeight="1">
      <c r="A32" s="34" t="s">
        <v>520</v>
      </c>
      <c r="B32" s="34">
        <v>0.0</v>
      </c>
      <c r="C32" s="34" t="str">
        <f>'7조'!C122</f>
        <v>7조 - Container-based - Integrability</v>
      </c>
      <c r="D32" s="34">
        <v>0.0</v>
      </c>
      <c r="E32" s="34" t="str">
        <f>'7조'!E122</f>
        <v>7조 - Cloud-based - Integrability</v>
      </c>
      <c r="F32" s="35" t="str">
        <f>'7조'!F122</f>
        <v/>
      </c>
      <c r="G32" s="34" t="str">
        <f>'7조'!G122</f>
        <v>7조 - Edge-based - Integrability</v>
      </c>
      <c r="H32" s="37"/>
      <c r="I32" s="4"/>
      <c r="J32" s="4"/>
      <c r="K32" s="4"/>
      <c r="L32" s="4"/>
      <c r="M32" s="4"/>
      <c r="N32" s="4"/>
      <c r="O32" s="4"/>
      <c r="P32" s="4"/>
      <c r="Q32" s="4"/>
      <c r="R32" s="4"/>
      <c r="S32" s="4"/>
      <c r="T32" s="4"/>
      <c r="U32" s="4"/>
      <c r="V32" s="4"/>
      <c r="W32" s="4"/>
      <c r="X32" s="4"/>
      <c r="Y32" s="4"/>
      <c r="Z32" s="4"/>
    </row>
    <row r="33" ht="15.75" customHeight="1">
      <c r="A33" s="34" t="s">
        <v>523</v>
      </c>
      <c r="B33" s="34">
        <v>0.0</v>
      </c>
      <c r="C33" s="34" t="str">
        <f>'8조'!C122</f>
        <v>8조 - Container-based - Integrability</v>
      </c>
      <c r="D33" s="34">
        <v>0.0</v>
      </c>
      <c r="E33" s="34" t="str">
        <f>'8조'!E122</f>
        <v>8조 - Cloud-based - Integrability</v>
      </c>
      <c r="F33" s="35" t="str">
        <f>'8조'!F122</f>
        <v/>
      </c>
      <c r="G33" s="34" t="str">
        <f>'8조'!G122</f>
        <v>8조 - Edge-based - Integrability</v>
      </c>
      <c r="H33" s="37"/>
      <c r="I33" s="4"/>
      <c r="J33" s="4"/>
      <c r="K33" s="4"/>
      <c r="L33" s="4"/>
      <c r="M33" s="4"/>
      <c r="N33" s="4"/>
      <c r="O33" s="4"/>
      <c r="P33" s="4"/>
      <c r="Q33" s="4"/>
      <c r="R33" s="4"/>
      <c r="S33" s="4"/>
      <c r="T33" s="4"/>
      <c r="U33" s="4"/>
      <c r="V33" s="4"/>
      <c r="W33" s="4"/>
      <c r="X33" s="4"/>
      <c r="Y33" s="4"/>
      <c r="Z33" s="4"/>
    </row>
    <row r="34" ht="15.75" customHeight="1">
      <c r="A34" s="34" t="s">
        <v>526</v>
      </c>
      <c r="B34" s="34">
        <v>0.0</v>
      </c>
      <c r="C34" s="34" t="str">
        <f>'9조'!C122</f>
        <v>9조 - Container-based - Integrability</v>
      </c>
      <c r="D34" s="34">
        <v>0.0</v>
      </c>
      <c r="E34" s="34" t="str">
        <f>'9조'!E122</f>
        <v>9조 - Cloud-based - Integrability</v>
      </c>
      <c r="F34" s="35" t="str">
        <f>'9조'!F122</f>
        <v/>
      </c>
      <c r="G34" s="34" t="str">
        <f>'9조'!G122</f>
        <v>9조 - Edge-based - Integrability</v>
      </c>
      <c r="H34" s="37"/>
      <c r="I34" s="4"/>
      <c r="J34" s="4"/>
      <c r="K34" s="4"/>
      <c r="L34" s="4"/>
      <c r="M34" s="4"/>
      <c r="N34" s="4"/>
      <c r="O34" s="4"/>
      <c r="P34" s="4"/>
      <c r="Q34" s="4"/>
      <c r="R34" s="4"/>
      <c r="S34" s="4"/>
      <c r="T34" s="4"/>
      <c r="U34" s="4"/>
      <c r="V34" s="4"/>
      <c r="W34" s="4"/>
      <c r="X34" s="4"/>
      <c r="Y34" s="4"/>
      <c r="Z34" s="4"/>
    </row>
    <row r="35" ht="15.75" customHeight="1">
      <c r="A35" s="34"/>
      <c r="B35" s="34"/>
      <c r="C35" s="34"/>
      <c r="D35" s="34"/>
      <c r="E35" s="34"/>
      <c r="F35" s="34"/>
      <c r="G35" s="34"/>
      <c r="H35" s="24"/>
      <c r="I35" s="4"/>
      <c r="J35" s="4"/>
      <c r="K35" s="4"/>
      <c r="L35" s="4"/>
      <c r="M35" s="4"/>
      <c r="N35" s="4"/>
      <c r="O35" s="4"/>
      <c r="P35" s="4"/>
      <c r="Q35" s="4"/>
      <c r="R35" s="4"/>
      <c r="S35" s="4"/>
      <c r="T35" s="4"/>
      <c r="U35" s="4"/>
      <c r="V35" s="4"/>
      <c r="W35" s="4"/>
      <c r="X35" s="4"/>
      <c r="Y35" s="4"/>
      <c r="Z35" s="4"/>
    </row>
    <row r="36" ht="15.75" customHeight="1">
      <c r="A36" s="33" t="s">
        <v>117</v>
      </c>
      <c r="B36" s="33">
        <v>0.0</v>
      </c>
      <c r="C36" s="33">
        <v>0.0</v>
      </c>
      <c r="D36" s="33">
        <v>0.0</v>
      </c>
      <c r="E36" s="33">
        <v>0.0</v>
      </c>
      <c r="F36" s="33">
        <v>0.0</v>
      </c>
      <c r="G36" s="33">
        <v>0.0</v>
      </c>
      <c r="H36" s="24"/>
      <c r="I36" s="4"/>
      <c r="J36" s="4"/>
      <c r="K36" s="4"/>
      <c r="L36" s="4"/>
      <c r="M36" s="4"/>
      <c r="N36" s="4"/>
      <c r="O36" s="4"/>
      <c r="P36" s="4"/>
      <c r="Q36" s="4"/>
      <c r="R36" s="4"/>
      <c r="S36" s="4"/>
      <c r="T36" s="4"/>
      <c r="U36" s="4"/>
      <c r="V36" s="4"/>
      <c r="W36" s="4"/>
      <c r="X36" s="4"/>
      <c r="Y36" s="4"/>
      <c r="Z36" s="4"/>
    </row>
    <row r="37" ht="15.75" customHeight="1">
      <c r="A37" s="34" t="s">
        <v>502</v>
      </c>
      <c r="B37" s="34">
        <v>0.0</v>
      </c>
      <c r="C37" s="34" t="str">
        <f>'1조'!C123</f>
        <v>1조 - Container-based - Energy Efficiency</v>
      </c>
      <c r="D37" s="34">
        <v>0.0</v>
      </c>
      <c r="E37" s="34" t="str">
        <f>'1조'!E123</f>
        <v>1조 - Cloud-based - Energy Efficiency</v>
      </c>
      <c r="F37" s="35" t="str">
        <f>'1조'!F123</f>
        <v>0</v>
      </c>
      <c r="G37" s="34" t="str">
        <f>'1조'!G123</f>
        <v>현장에서 필터링·집계하면 중앙으로 보내는 데이터와 원격 왕복을 줄일 여지가 있다. 반면 여러 장치의 연산·저장·동기화와 유휴 전력을 함께 부담하므로 네트워크 절감만으로 총에너지 감소를 확정할 수 없다. 작업과 장치 구성에 따른 양면성을 반영해 0으로 평가한다.</v>
      </c>
      <c r="H37" s="38" t="s">
        <v>670</v>
      </c>
      <c r="I37" s="4"/>
      <c r="J37" s="4"/>
      <c r="K37" s="4"/>
      <c r="L37" s="4"/>
      <c r="M37" s="4"/>
      <c r="N37" s="4"/>
      <c r="O37" s="4"/>
      <c r="P37" s="4"/>
      <c r="Q37" s="4"/>
      <c r="R37" s="4"/>
      <c r="S37" s="4"/>
      <c r="T37" s="4"/>
      <c r="U37" s="4"/>
      <c r="V37" s="4"/>
      <c r="W37" s="4"/>
      <c r="X37" s="4"/>
      <c r="Y37" s="4"/>
      <c r="Z37" s="4"/>
    </row>
    <row r="38" ht="15.75" customHeight="1">
      <c r="A38" s="34" t="s">
        <v>507</v>
      </c>
      <c r="B38" s="34">
        <v>0.0</v>
      </c>
      <c r="C38" s="34" t="str">
        <f>'2조'!C123</f>
        <v>2조 - Container-based - Energy Efficiency</v>
      </c>
      <c r="D38" s="34">
        <v>0.0</v>
      </c>
      <c r="E38" s="34" t="str">
        <f>'2조'!E123</f>
        <v>2조 - Cloud-based - Energy Efficiency</v>
      </c>
      <c r="F38" s="35" t="str">
        <f>'2조'!F123</f>
        <v>+</v>
      </c>
      <c r="G38" s="34" t="str">
        <f>'2조'!G123</f>
        <v>데이터를 중앙까지 보내지 않아 전송이 줄고 전체 효율은 높아질 수 있다. 다만 상당한 초기 투자가 필요하다고 교안이 덧붙인다</v>
      </c>
      <c r="H38" s="37"/>
      <c r="I38" s="4"/>
      <c r="J38" s="4"/>
      <c r="K38" s="4"/>
      <c r="L38" s="4"/>
      <c r="M38" s="4"/>
      <c r="N38" s="4"/>
      <c r="O38" s="4"/>
      <c r="P38" s="4"/>
      <c r="Q38" s="4"/>
      <c r="R38" s="4"/>
      <c r="S38" s="4"/>
      <c r="T38" s="4"/>
      <c r="U38" s="4"/>
      <c r="V38" s="4"/>
      <c r="W38" s="4"/>
      <c r="X38" s="4"/>
      <c r="Y38" s="4"/>
      <c r="Z38" s="4"/>
    </row>
    <row r="39" ht="15.75" customHeight="1">
      <c r="A39" s="34" t="s">
        <v>510</v>
      </c>
      <c r="B39" s="34">
        <v>0.0</v>
      </c>
      <c r="C39" s="34" t="str">
        <f>'3조'!C123</f>
        <v>3조 - Container-based - Energy Efficiency</v>
      </c>
      <c r="D39" s="34">
        <v>0.0</v>
      </c>
      <c r="E39" s="34" t="str">
        <f>'3조'!E123</f>
        <v>3조 - Cloud-based - Energy Efficiency</v>
      </c>
      <c r="F39" s="35" t="str">
        <f>'3조'!F123</f>
        <v>+</v>
      </c>
      <c r="G39" s="34" t="str">
        <f>'3조'!G123</f>
        <v>데이터를 Edge에서 전처리해 Cloud로 보내는 데이터량과 원거리 통신을 줄일 수 있어 전체 자원 사용을 낮출 수 있다.</v>
      </c>
      <c r="H39" s="37"/>
      <c r="I39" s="4"/>
      <c r="J39" s="4"/>
      <c r="K39" s="4"/>
      <c r="L39" s="4"/>
      <c r="M39" s="4"/>
      <c r="N39" s="4"/>
      <c r="O39" s="4"/>
      <c r="P39" s="4"/>
      <c r="Q39" s="4"/>
      <c r="R39" s="4"/>
      <c r="S39" s="4"/>
      <c r="T39" s="4"/>
      <c r="U39" s="4"/>
      <c r="V39" s="4"/>
      <c r="W39" s="4"/>
      <c r="X39" s="4"/>
      <c r="Y39" s="4"/>
      <c r="Z39" s="4"/>
    </row>
    <row r="40" ht="15.75" customHeight="1">
      <c r="A40" s="34" t="s">
        <v>511</v>
      </c>
      <c r="B40" s="34">
        <v>0.0</v>
      </c>
      <c r="C40" s="34" t="str">
        <f>'4조'!C123</f>
        <v/>
      </c>
      <c r="D40" s="34">
        <v>0.0</v>
      </c>
      <c r="E40" s="34" t="str">
        <f>'4조'!E123</f>
        <v/>
      </c>
      <c r="F40" s="35" t="str">
        <f>'4조'!F123</f>
        <v>-</v>
      </c>
      <c r="G40" s="34"/>
      <c r="H40" s="37"/>
      <c r="I40" s="4"/>
      <c r="J40" s="4"/>
      <c r="K40" s="4"/>
      <c r="L40" s="4"/>
      <c r="M40" s="4"/>
      <c r="N40" s="4"/>
      <c r="O40" s="4"/>
      <c r="P40" s="4"/>
      <c r="Q40" s="4"/>
      <c r="R40" s="4"/>
      <c r="S40" s="4"/>
      <c r="T40" s="4"/>
      <c r="U40" s="4"/>
      <c r="V40" s="4"/>
      <c r="W40" s="4"/>
      <c r="X40" s="4"/>
      <c r="Y40" s="4"/>
      <c r="Z40" s="4"/>
    </row>
    <row r="41" ht="15.75" customHeight="1">
      <c r="A41" s="34" t="s">
        <v>513</v>
      </c>
      <c r="B41" s="34">
        <v>0.0</v>
      </c>
      <c r="C41" s="34" t="str">
        <f>'5조'!C123</f>
        <v>5조 - Container-based - Energy Efficiency</v>
      </c>
      <c r="D41" s="34">
        <v>0.0</v>
      </c>
      <c r="E41" s="34" t="str">
        <f>'5조'!E123</f>
        <v/>
      </c>
      <c r="F41" s="35" t="str">
        <f>'5조'!F123</f>
        <v>0</v>
      </c>
      <c r="G41" s="34" t="str">
        <f>'5조'!G123</f>
        <v>현장에서 데이터 처리 후 필터링하여 전달하기에 효율 높으나, 별도의 조건 없이 항시 데이터 처리가 필요하여 효율 떨어질수 있어 0</v>
      </c>
      <c r="H41" s="37"/>
      <c r="I41" s="4"/>
      <c r="J41" s="4"/>
      <c r="K41" s="4"/>
      <c r="L41" s="4"/>
      <c r="M41" s="4"/>
      <c r="N41" s="4"/>
      <c r="O41" s="4"/>
      <c r="P41" s="4"/>
      <c r="Q41" s="4"/>
      <c r="R41" s="4"/>
      <c r="S41" s="4"/>
      <c r="T41" s="4"/>
      <c r="U41" s="4"/>
      <c r="V41" s="4"/>
      <c r="W41" s="4"/>
      <c r="X41" s="4"/>
      <c r="Y41" s="4"/>
      <c r="Z41" s="4"/>
    </row>
    <row r="42" ht="15.75" customHeight="1">
      <c r="A42" s="34" t="s">
        <v>516</v>
      </c>
      <c r="B42" s="34">
        <v>0.0</v>
      </c>
      <c r="C42" s="34" t="str">
        <f>'6조'!C123</f>
        <v>6조 - Container-based - Energy Efficiency</v>
      </c>
      <c r="D42" s="34">
        <v>0.0</v>
      </c>
      <c r="E42" s="34" t="str">
        <f>'6조'!E123</f>
        <v>6조 - Cloud-based - Energy Efficiency</v>
      </c>
      <c r="F42" s="35" t="str">
        <f>'6조'!F123</f>
        <v>+</v>
      </c>
      <c r="G42" s="34" t="str">
        <f>'6조'!G123</f>
        <v>클라우드와 엣지에서 수행되어야 할 요청 종류별 분산을 통해 연산의 효율성이 증대</v>
      </c>
      <c r="H42" s="37"/>
      <c r="I42" s="4"/>
      <c r="J42" s="4"/>
      <c r="K42" s="4"/>
      <c r="L42" s="4"/>
      <c r="M42" s="4"/>
      <c r="N42" s="4"/>
      <c r="O42" s="4"/>
      <c r="P42" s="4"/>
      <c r="Q42" s="4"/>
      <c r="R42" s="4"/>
      <c r="S42" s="4"/>
      <c r="T42" s="4"/>
      <c r="U42" s="4"/>
      <c r="V42" s="4"/>
      <c r="W42" s="4"/>
      <c r="X42" s="4"/>
      <c r="Y42" s="4"/>
      <c r="Z42" s="4"/>
    </row>
    <row r="43" ht="15.75" customHeight="1">
      <c r="A43" s="34" t="s">
        <v>520</v>
      </c>
      <c r="B43" s="34">
        <v>0.0</v>
      </c>
      <c r="C43" s="34" t="str">
        <f>'7조'!C123</f>
        <v>7조 - Container-based - Energy Efficiency</v>
      </c>
      <c r="D43" s="34">
        <v>0.0</v>
      </c>
      <c r="E43" s="34" t="str">
        <f>'7조'!E123</f>
        <v>7조 - Cloud-based - Energy Efficiency</v>
      </c>
      <c r="F43" s="35" t="str">
        <f>'7조'!F123</f>
        <v/>
      </c>
      <c r="G43" s="34" t="str">
        <f>'7조'!G123</f>
        <v>7조 - Edge-based - Energy Efficiency</v>
      </c>
      <c r="H43" s="37"/>
      <c r="I43" s="4"/>
      <c r="J43" s="4"/>
      <c r="K43" s="4"/>
      <c r="L43" s="4"/>
      <c r="M43" s="4"/>
      <c r="N43" s="4"/>
      <c r="O43" s="4"/>
      <c r="P43" s="4"/>
      <c r="Q43" s="4"/>
      <c r="R43" s="4"/>
      <c r="S43" s="4"/>
      <c r="T43" s="4"/>
      <c r="U43" s="4"/>
      <c r="V43" s="4"/>
      <c r="W43" s="4"/>
      <c r="X43" s="4"/>
      <c r="Y43" s="4"/>
      <c r="Z43" s="4"/>
    </row>
    <row r="44" ht="15.75" customHeight="1">
      <c r="A44" s="34" t="s">
        <v>523</v>
      </c>
      <c r="B44" s="34">
        <v>0.0</v>
      </c>
      <c r="C44" s="34" t="str">
        <f>'8조'!C123</f>
        <v>8조 - Container-based - Energy Efficiency</v>
      </c>
      <c r="D44" s="34">
        <v>0.0</v>
      </c>
      <c r="E44" s="34" t="str">
        <f>'8조'!E123</f>
        <v>8조 - Cloud-based - Energy Efficiency</v>
      </c>
      <c r="F44" s="35" t="str">
        <f>'8조'!F123</f>
        <v/>
      </c>
      <c r="G44" s="34" t="str">
        <f>'8조'!G123</f>
        <v>8조 - Edge-based - Energy Efficiency</v>
      </c>
      <c r="H44" s="37"/>
      <c r="I44" s="4"/>
      <c r="J44" s="4"/>
      <c r="K44" s="4"/>
      <c r="L44" s="4"/>
      <c r="M44" s="4"/>
      <c r="N44" s="4"/>
      <c r="O44" s="4"/>
      <c r="P44" s="4"/>
      <c r="Q44" s="4"/>
      <c r="R44" s="4"/>
      <c r="S44" s="4"/>
      <c r="T44" s="4"/>
      <c r="U44" s="4"/>
      <c r="V44" s="4"/>
      <c r="W44" s="4"/>
      <c r="X44" s="4"/>
      <c r="Y44" s="4"/>
      <c r="Z44" s="4"/>
    </row>
    <row r="45" ht="15.75" customHeight="1">
      <c r="A45" s="34" t="s">
        <v>526</v>
      </c>
      <c r="B45" s="34">
        <v>0.0</v>
      </c>
      <c r="C45" s="34" t="str">
        <f>'9조'!C123</f>
        <v>9조 - Container-based - Energy Efficiency</v>
      </c>
      <c r="D45" s="34">
        <v>0.0</v>
      </c>
      <c r="E45" s="34" t="str">
        <f>'9조'!E123</f>
        <v>9조 - Cloud-based - Energy Efficiency</v>
      </c>
      <c r="F45" s="35" t="str">
        <f>'9조'!F123</f>
        <v/>
      </c>
      <c r="G45" s="34" t="str">
        <f>'9조'!G123</f>
        <v>9조 - Edge-based - Energy Efficiency</v>
      </c>
      <c r="H45" s="37"/>
      <c r="I45" s="4"/>
      <c r="J45" s="4"/>
      <c r="K45" s="4"/>
      <c r="L45" s="4"/>
      <c r="M45" s="4"/>
      <c r="N45" s="4"/>
      <c r="O45" s="4"/>
      <c r="P45" s="4"/>
      <c r="Q45" s="4"/>
      <c r="R45" s="4"/>
      <c r="S45" s="4"/>
      <c r="T45" s="4"/>
      <c r="U45" s="4"/>
      <c r="V45" s="4"/>
      <c r="W45" s="4"/>
      <c r="X45" s="4"/>
      <c r="Y45" s="4"/>
      <c r="Z45" s="4"/>
    </row>
    <row r="46" ht="15.75" customHeight="1">
      <c r="A46" s="34"/>
      <c r="B46" s="34"/>
      <c r="C46" s="34"/>
      <c r="D46" s="34"/>
      <c r="E46" s="34"/>
      <c r="F46" s="34"/>
      <c r="G46" s="34"/>
      <c r="H46" s="24"/>
      <c r="I46" s="4"/>
      <c r="J46" s="4"/>
      <c r="K46" s="4"/>
      <c r="L46" s="4"/>
      <c r="M46" s="4"/>
      <c r="N46" s="4"/>
      <c r="O46" s="4"/>
      <c r="P46" s="4"/>
      <c r="Q46" s="4"/>
      <c r="R46" s="4"/>
      <c r="S46" s="4"/>
      <c r="T46" s="4"/>
      <c r="U46" s="4"/>
      <c r="V46" s="4"/>
      <c r="W46" s="4"/>
      <c r="X46" s="4"/>
      <c r="Y46" s="4"/>
      <c r="Z46" s="4"/>
    </row>
    <row r="47" ht="15.75" customHeight="1">
      <c r="A47" s="33" t="s">
        <v>151</v>
      </c>
      <c r="B47" s="33">
        <v>0.0</v>
      </c>
      <c r="C47" s="33">
        <v>0.0</v>
      </c>
      <c r="D47" s="33">
        <v>0.0</v>
      </c>
      <c r="E47" s="33">
        <v>0.0</v>
      </c>
      <c r="F47" s="33">
        <v>0.0</v>
      </c>
      <c r="G47" s="33">
        <v>0.0</v>
      </c>
      <c r="H47" s="24"/>
      <c r="I47" s="4"/>
      <c r="J47" s="4"/>
      <c r="K47" s="4"/>
      <c r="L47" s="4"/>
      <c r="M47" s="4"/>
      <c r="N47" s="4"/>
      <c r="O47" s="4"/>
      <c r="P47" s="4"/>
      <c r="Q47" s="4"/>
      <c r="R47" s="4"/>
      <c r="S47" s="4"/>
      <c r="T47" s="4"/>
      <c r="U47" s="4"/>
      <c r="V47" s="4"/>
      <c r="W47" s="4"/>
      <c r="X47" s="4"/>
      <c r="Y47" s="4"/>
      <c r="Z47" s="4"/>
    </row>
    <row r="48" ht="15.75" customHeight="1">
      <c r="A48" s="34" t="s">
        <v>502</v>
      </c>
      <c r="B48" s="34">
        <v>0.0</v>
      </c>
      <c r="C48" s="34" t="str">
        <f>'1조'!C124</f>
        <v>1조 - Container-based - Modifiability</v>
      </c>
      <c r="D48" s="34">
        <v>0.0</v>
      </c>
      <c r="E48" s="34" t="str">
        <f>'1조'!E124</f>
        <v>1조 - Cloud-based - Modifiability</v>
      </c>
      <c r="F48" s="35" t="str">
        <f>'1조'!F124</f>
        <v>0</v>
      </c>
      <c r="G48" s="34" t="str">
        <f>'1조'!G124</f>
        <v>로컬 처리 책임을 분리하면 특정 현장의 정책을 다른 현장과 독립적으로 바꿀 여지가 있다. 그러나 장치별 하드웨어·런타임 조건과 중앙 동기화 계약에 의존하면 같은 변경을 여러 환경에 맞추어야 한다. 배치 위치만으로 소스 코드의 변경 격리가 보장되지 않으므로 종합 평가는 0이다.</v>
      </c>
      <c r="H48" s="38" t="s">
        <v>677</v>
      </c>
      <c r="I48" s="4"/>
      <c r="J48" s="4"/>
      <c r="K48" s="4"/>
      <c r="L48" s="4"/>
      <c r="M48" s="4"/>
      <c r="N48" s="4"/>
      <c r="O48" s="4"/>
      <c r="P48" s="4"/>
      <c r="Q48" s="4"/>
      <c r="R48" s="4"/>
      <c r="S48" s="4"/>
      <c r="T48" s="4"/>
      <c r="U48" s="4"/>
      <c r="V48" s="4"/>
      <c r="W48" s="4"/>
      <c r="X48" s="4"/>
      <c r="Y48" s="4"/>
      <c r="Z48" s="4"/>
    </row>
    <row r="49" ht="15.75" customHeight="1">
      <c r="A49" s="34" t="s">
        <v>507</v>
      </c>
      <c r="B49" s="34">
        <v>0.0</v>
      </c>
      <c r="C49" s="34" t="str">
        <f>'2조'!C124</f>
        <v>2조 - Container-based - Modifiability</v>
      </c>
      <c r="D49" s="34">
        <v>0.0</v>
      </c>
      <c r="E49" s="34" t="str">
        <f>'2조'!E124</f>
        <v>2조 - Cloud-based - Modifiability</v>
      </c>
      <c r="F49" s="35" t="str">
        <f>'2조'!F124</f>
        <v>-</v>
      </c>
      <c r="G49" s="34" t="str">
        <f>'2조'!G124</f>
        <v>널리 분산된 물리적 엣지 장비들의 펌웨어, OS, AI 모델을 현장 방문 없이 일괄 수정하고 갱신하는 유지보수 복잡도가 매우 높음</v>
      </c>
      <c r="H49" s="37"/>
      <c r="I49" s="4"/>
      <c r="J49" s="4"/>
      <c r="K49" s="4"/>
      <c r="L49" s="4"/>
      <c r="M49" s="4"/>
      <c r="N49" s="4"/>
      <c r="O49" s="4"/>
      <c r="P49" s="4"/>
      <c r="Q49" s="4"/>
      <c r="R49" s="4"/>
      <c r="S49" s="4"/>
      <c r="T49" s="4"/>
      <c r="U49" s="4"/>
      <c r="V49" s="4"/>
      <c r="W49" s="4"/>
      <c r="X49" s="4"/>
      <c r="Y49" s="4"/>
      <c r="Z49" s="4"/>
    </row>
    <row r="50" ht="15.75" customHeight="1">
      <c r="A50" s="34" t="s">
        <v>510</v>
      </c>
      <c r="B50" s="34">
        <v>0.0</v>
      </c>
      <c r="C50" s="34" t="str">
        <f>'3조'!C124</f>
        <v>3조 - Container-based - Modifiability</v>
      </c>
      <c r="D50" s="34">
        <v>0.0</v>
      </c>
      <c r="E50" s="34" t="str">
        <f>'3조'!E124</f>
        <v>3조 - Cloud-based - Modifiability</v>
      </c>
      <c r="F50" s="35" t="str">
        <f>'3조'!F124</f>
        <v>0</v>
      </c>
      <c r="G50" s="34" t="str">
        <f>'3조'!G124</f>
        <v>Edge 모듈 자체는 변경 가능하나, 하드웨어 리소스와 분산 환경으로 인해 디자인 타임의 아키텍처적 재설계나 대규모 수정을 적용하기 어려움</v>
      </c>
      <c r="H50" s="37"/>
      <c r="I50" s="4"/>
      <c r="J50" s="4"/>
      <c r="K50" s="4"/>
      <c r="L50" s="4"/>
      <c r="M50" s="4"/>
      <c r="N50" s="4"/>
      <c r="O50" s="4"/>
      <c r="P50" s="4"/>
      <c r="Q50" s="4"/>
      <c r="R50" s="4"/>
      <c r="S50" s="4"/>
      <c r="T50" s="4"/>
      <c r="U50" s="4"/>
      <c r="V50" s="4"/>
      <c r="W50" s="4"/>
      <c r="X50" s="4"/>
      <c r="Y50" s="4"/>
      <c r="Z50" s="4"/>
    </row>
    <row r="51" ht="15.75" customHeight="1">
      <c r="A51" s="34" t="s">
        <v>511</v>
      </c>
      <c r="B51" s="34">
        <v>0.0</v>
      </c>
      <c r="C51" s="34" t="str">
        <f>'4조'!C124</f>
        <v/>
      </c>
      <c r="D51" s="34">
        <v>0.0</v>
      </c>
      <c r="E51" s="34" t="str">
        <f>'4조'!E124</f>
        <v/>
      </c>
      <c r="F51" s="35" t="str">
        <f>'4조'!F124</f>
        <v>-</v>
      </c>
      <c r="G51" s="34" t="str">
        <f>'4조'!G124</f>
        <v>로직이 다수 기기에 분산되어 있어 모든 변경을 전체 기기 집합에 배포하고 검증해야 한다.</v>
      </c>
      <c r="H51" s="37"/>
      <c r="I51" s="4"/>
      <c r="J51" s="4"/>
      <c r="K51" s="4"/>
      <c r="L51" s="4"/>
      <c r="M51" s="4"/>
      <c r="N51" s="4"/>
      <c r="O51" s="4"/>
      <c r="P51" s="4"/>
      <c r="Q51" s="4"/>
      <c r="R51" s="4"/>
      <c r="S51" s="4"/>
      <c r="T51" s="4"/>
      <c r="U51" s="4"/>
      <c r="V51" s="4"/>
      <c r="W51" s="4"/>
      <c r="X51" s="4"/>
      <c r="Y51" s="4"/>
      <c r="Z51" s="4"/>
    </row>
    <row r="52" ht="15.75" customHeight="1">
      <c r="A52" s="34" t="s">
        <v>513</v>
      </c>
      <c r="B52" s="34">
        <v>0.0</v>
      </c>
      <c r="C52" s="34" t="str">
        <f>'5조'!C124</f>
        <v>5조 - Container-based - Modifiability</v>
      </c>
      <c r="D52" s="34">
        <v>0.0</v>
      </c>
      <c r="E52" s="34" t="str">
        <f>'5조'!E124</f>
        <v/>
      </c>
      <c r="F52" s="35" t="str">
        <f>'5조'!F124</f>
        <v>-</v>
      </c>
      <c r="G52" s="34" t="str">
        <f>'5조'!G124</f>
        <v>edge별 환경 및 버전 차이로 수정에 어려울 수 있음</v>
      </c>
      <c r="H52" s="37"/>
      <c r="I52" s="4"/>
      <c r="J52" s="4"/>
      <c r="K52" s="4"/>
      <c r="L52" s="4"/>
      <c r="M52" s="4"/>
      <c r="N52" s="4"/>
      <c r="O52" s="4"/>
      <c r="P52" s="4"/>
      <c r="Q52" s="4"/>
      <c r="R52" s="4"/>
      <c r="S52" s="4"/>
      <c r="T52" s="4"/>
      <c r="U52" s="4"/>
      <c r="V52" s="4"/>
      <c r="W52" s="4"/>
      <c r="X52" s="4"/>
      <c r="Y52" s="4"/>
      <c r="Z52" s="4"/>
    </row>
    <row r="53" ht="15.75" customHeight="1">
      <c r="A53" s="34" t="s">
        <v>516</v>
      </c>
      <c r="B53" s="34">
        <v>0.0</v>
      </c>
      <c r="C53" s="34" t="str">
        <f>'6조'!C124</f>
        <v>6조 - Container-based - Modifiability</v>
      </c>
      <c r="D53" s="34">
        <v>0.0</v>
      </c>
      <c r="E53" s="34" t="str">
        <f>'6조'!E124</f>
        <v>6조 - Cloud-based - Modifiability</v>
      </c>
      <c r="F53" s="35" t="str">
        <f>'6조'!F124</f>
        <v>0</v>
      </c>
      <c r="G53" s="34" t="str">
        <f>'6조'!G124</f>
        <v>중앙 site 는 여러 결합으로 수정 어렵지만, 로컬 site는 변경 용이</v>
      </c>
      <c r="H53" s="37"/>
      <c r="I53" s="4"/>
      <c r="J53" s="4"/>
      <c r="K53" s="4"/>
      <c r="L53" s="4"/>
      <c r="M53" s="4"/>
      <c r="N53" s="4"/>
      <c r="O53" s="4"/>
      <c r="P53" s="4"/>
      <c r="Q53" s="4"/>
      <c r="R53" s="4"/>
      <c r="S53" s="4"/>
      <c r="T53" s="4"/>
      <c r="U53" s="4"/>
      <c r="V53" s="4"/>
      <c r="W53" s="4"/>
      <c r="X53" s="4"/>
      <c r="Y53" s="4"/>
      <c r="Z53" s="4"/>
    </row>
    <row r="54" ht="15.75" customHeight="1">
      <c r="A54" s="34" t="s">
        <v>520</v>
      </c>
      <c r="B54" s="34">
        <v>0.0</v>
      </c>
      <c r="C54" s="34" t="str">
        <f>'7조'!C124</f>
        <v>7조 - Container-based - Modifiability</v>
      </c>
      <c r="D54" s="34">
        <v>0.0</v>
      </c>
      <c r="E54" s="34" t="str">
        <f>'7조'!E124</f>
        <v>7조 - Cloud-based - Modifiability</v>
      </c>
      <c r="F54" s="35" t="str">
        <f>'7조'!F124</f>
        <v/>
      </c>
      <c r="G54" s="34" t="str">
        <f>'7조'!G124</f>
        <v>7조 - Edge-based - Modifiability</v>
      </c>
      <c r="H54" s="37"/>
      <c r="I54" s="4"/>
      <c r="J54" s="4"/>
      <c r="K54" s="4"/>
      <c r="L54" s="4"/>
      <c r="M54" s="4"/>
      <c r="N54" s="4"/>
      <c r="O54" s="4"/>
      <c r="P54" s="4"/>
      <c r="Q54" s="4"/>
      <c r="R54" s="4"/>
      <c r="S54" s="4"/>
      <c r="T54" s="4"/>
      <c r="U54" s="4"/>
      <c r="V54" s="4"/>
      <c r="W54" s="4"/>
      <c r="X54" s="4"/>
      <c r="Y54" s="4"/>
      <c r="Z54" s="4"/>
    </row>
    <row r="55" ht="15.75" customHeight="1">
      <c r="A55" s="34" t="s">
        <v>523</v>
      </c>
      <c r="B55" s="34">
        <v>0.0</v>
      </c>
      <c r="C55" s="34" t="str">
        <f>'8조'!C124</f>
        <v>8조 - Container-based - Modifiability</v>
      </c>
      <c r="D55" s="34">
        <v>0.0</v>
      </c>
      <c r="E55" s="34" t="str">
        <f>'8조'!E124</f>
        <v>8조 - Cloud-based - Modifiability</v>
      </c>
      <c r="F55" s="35" t="str">
        <f>'8조'!F124</f>
        <v/>
      </c>
      <c r="G55" s="34" t="str">
        <f>'8조'!G124</f>
        <v>8조 - Edge-based - Modifiability</v>
      </c>
      <c r="H55" s="37"/>
      <c r="I55" s="4"/>
      <c r="J55" s="4"/>
      <c r="K55" s="4"/>
      <c r="L55" s="4"/>
      <c r="M55" s="4"/>
      <c r="N55" s="4"/>
      <c r="O55" s="4"/>
      <c r="P55" s="4"/>
      <c r="Q55" s="4"/>
      <c r="R55" s="4"/>
      <c r="S55" s="4"/>
      <c r="T55" s="4"/>
      <c r="U55" s="4"/>
      <c r="V55" s="4"/>
      <c r="W55" s="4"/>
      <c r="X55" s="4"/>
      <c r="Y55" s="4"/>
      <c r="Z55" s="4"/>
    </row>
    <row r="56" ht="15.75" customHeight="1">
      <c r="A56" s="34" t="s">
        <v>526</v>
      </c>
      <c r="B56" s="34">
        <v>0.0</v>
      </c>
      <c r="C56" s="34" t="str">
        <f>'9조'!C124</f>
        <v>9조 - Container-based - Modifiability</v>
      </c>
      <c r="D56" s="34">
        <v>0.0</v>
      </c>
      <c r="E56" s="34" t="str">
        <f>'9조'!E124</f>
        <v>9조 - Cloud-based - Modifiability</v>
      </c>
      <c r="F56" s="35" t="str">
        <f>'9조'!F124</f>
        <v/>
      </c>
      <c r="G56" s="34" t="str">
        <f>'9조'!G124</f>
        <v>9조 - Edge-based - Modifiability</v>
      </c>
      <c r="H56" s="37"/>
      <c r="I56" s="4"/>
      <c r="J56" s="4"/>
      <c r="K56" s="4"/>
      <c r="L56" s="4"/>
      <c r="M56" s="4"/>
      <c r="N56" s="4"/>
      <c r="O56" s="4"/>
      <c r="P56" s="4"/>
      <c r="Q56" s="4"/>
      <c r="R56" s="4"/>
      <c r="S56" s="4"/>
      <c r="T56" s="4"/>
      <c r="U56" s="4"/>
      <c r="V56" s="4"/>
      <c r="W56" s="4"/>
      <c r="X56" s="4"/>
      <c r="Y56" s="4"/>
      <c r="Z56" s="4"/>
    </row>
    <row r="57" ht="15.75" customHeight="1">
      <c r="A57" s="34"/>
      <c r="B57" s="34"/>
      <c r="C57" s="34"/>
      <c r="D57" s="34"/>
      <c r="E57" s="34"/>
      <c r="F57" s="34"/>
      <c r="G57" s="34"/>
      <c r="H57" s="24"/>
      <c r="I57" s="4"/>
      <c r="J57" s="4"/>
      <c r="K57" s="4"/>
      <c r="L57" s="4"/>
      <c r="M57" s="4"/>
      <c r="N57" s="4"/>
      <c r="O57" s="4"/>
      <c r="P57" s="4"/>
      <c r="Q57" s="4"/>
      <c r="R57" s="4"/>
      <c r="S57" s="4"/>
      <c r="T57" s="4"/>
      <c r="U57" s="4"/>
      <c r="V57" s="4"/>
      <c r="W57" s="4"/>
      <c r="X57" s="4"/>
      <c r="Y57" s="4"/>
      <c r="Z57" s="4"/>
    </row>
    <row r="58" ht="15.75" customHeight="1">
      <c r="A58" s="33" t="s">
        <v>186</v>
      </c>
      <c r="B58" s="33">
        <v>0.0</v>
      </c>
      <c r="C58" s="33">
        <v>0.0</v>
      </c>
      <c r="D58" s="33">
        <v>0.0</v>
      </c>
      <c r="E58" s="33">
        <v>0.0</v>
      </c>
      <c r="F58" s="33">
        <v>0.0</v>
      </c>
      <c r="G58" s="33">
        <v>0.0</v>
      </c>
      <c r="H58" s="24"/>
      <c r="I58" s="4"/>
      <c r="J58" s="4"/>
      <c r="K58" s="4"/>
      <c r="L58" s="4"/>
      <c r="M58" s="4"/>
      <c r="N58" s="4"/>
      <c r="O58" s="4"/>
      <c r="P58" s="4"/>
      <c r="Q58" s="4"/>
      <c r="R58" s="4"/>
      <c r="S58" s="4"/>
      <c r="T58" s="4"/>
      <c r="U58" s="4"/>
      <c r="V58" s="4"/>
      <c r="W58" s="4"/>
      <c r="X58" s="4"/>
      <c r="Y58" s="4"/>
      <c r="Z58" s="4"/>
    </row>
    <row r="59" ht="15.75" customHeight="1">
      <c r="A59" s="34" t="s">
        <v>502</v>
      </c>
      <c r="B59" s="34">
        <v>0.0</v>
      </c>
      <c r="C59" s="34" t="str">
        <f>'1조'!C125</f>
        <v>1조 - Container-based - Performance</v>
      </c>
      <c r="D59" s="34">
        <v>0.0</v>
      </c>
      <c r="E59" s="34" t="str">
        <f>'1조'!E125</f>
        <v>1조 - Cloud-based - Performance</v>
      </c>
      <c r="F59" s="35" t="str">
        <f>'1조'!F125</f>
        <v>+</v>
      </c>
      <c r="G59" s="34" t="str">
        <f>'1조'!G125</f>
        <v>[+] 연산을 데이터와 사용자 가까이에서 수행하여 원격 왕복 Latency를 크게 줄이고, 원시 데이터 대신 요약 정보만 전송해 Bandwidth를 절약한다.</v>
      </c>
      <c r="H59" s="38" t="s">
        <v>715</v>
      </c>
      <c r="I59" s="4"/>
      <c r="J59" s="4"/>
      <c r="K59" s="4"/>
      <c r="L59" s="4"/>
      <c r="M59" s="4"/>
      <c r="N59" s="4"/>
      <c r="O59" s="4"/>
      <c r="P59" s="4"/>
      <c r="Q59" s="4"/>
      <c r="R59" s="4"/>
      <c r="S59" s="4"/>
      <c r="T59" s="4"/>
      <c r="U59" s="4"/>
      <c r="V59" s="4"/>
      <c r="W59" s="4"/>
      <c r="X59" s="4"/>
      <c r="Y59" s="4"/>
      <c r="Z59" s="4"/>
    </row>
    <row r="60" ht="15.75" customHeight="1">
      <c r="A60" s="34" t="s">
        <v>507</v>
      </c>
      <c r="B60" s="34">
        <v>0.0</v>
      </c>
      <c r="C60" s="34" t="str">
        <f>'2조'!C125</f>
        <v>2조 - Container-based - Performance</v>
      </c>
      <c r="D60" s="34">
        <v>0.0</v>
      </c>
      <c r="E60" s="34" t="str">
        <f>'2조'!E125</f>
        <v>2조 - Cloud-based - Performance</v>
      </c>
      <c r="F60" s="35" t="str">
        <f>'2조'!F125</f>
        <v>++</v>
      </c>
      <c r="G60" s="34" t="str">
        <f>'2조'!G125</f>
        <v>데이터 발생원(센서, 사용자) 바로 옆에서 실시간 연산 및 AI 추론을 수행하므로, 클라우드 왕복 네트워크 지연을 없애 초저지연(Low Latency) 및 즉각적 고속 응답을 달성함.</v>
      </c>
      <c r="H60" s="37"/>
      <c r="I60" s="4"/>
      <c r="J60" s="4"/>
      <c r="K60" s="4"/>
      <c r="L60" s="4"/>
      <c r="M60" s="4"/>
      <c r="N60" s="4"/>
      <c r="O60" s="4"/>
      <c r="P60" s="4"/>
      <c r="Q60" s="4"/>
      <c r="R60" s="4"/>
      <c r="S60" s="4"/>
      <c r="T60" s="4"/>
      <c r="U60" s="4"/>
      <c r="V60" s="4"/>
      <c r="W60" s="4"/>
      <c r="X60" s="4"/>
      <c r="Y60" s="4"/>
      <c r="Z60" s="4"/>
    </row>
    <row r="61" ht="15.75" customHeight="1">
      <c r="A61" s="34" t="s">
        <v>510</v>
      </c>
      <c r="B61" s="34">
        <v>0.0</v>
      </c>
      <c r="C61" s="34" t="str">
        <f>'3조'!C125</f>
        <v>3조 - Container-based - Performance</v>
      </c>
      <c r="D61" s="34">
        <v>0.0</v>
      </c>
      <c r="E61" s="34" t="str">
        <f>'3조'!E125</f>
        <v>3조 - Cloud-based - Performance</v>
      </c>
      <c r="F61" s="35" t="str">
        <f>'3조'!F125</f>
        <v>++</v>
      </c>
      <c r="G61" s="34" t="str">
        <f>'3조'!G125</f>
        <v>Client 가까운 Edge 노드에서 데이터를 처리하므로 Cloud 왕복 지연을 줄이고 실시간 응답성을 크게 높일 수 있다.</v>
      </c>
      <c r="H61" s="37"/>
      <c r="I61" s="4"/>
      <c r="J61" s="4"/>
      <c r="K61" s="4"/>
      <c r="L61" s="4"/>
      <c r="M61" s="4"/>
      <c r="N61" s="4"/>
      <c r="O61" s="4"/>
      <c r="P61" s="4"/>
      <c r="Q61" s="4"/>
      <c r="R61" s="4"/>
      <c r="S61" s="4"/>
      <c r="T61" s="4"/>
      <c r="U61" s="4"/>
      <c r="V61" s="4"/>
      <c r="W61" s="4"/>
      <c r="X61" s="4"/>
      <c r="Y61" s="4"/>
      <c r="Z61" s="4"/>
    </row>
    <row r="62" ht="15.75" customHeight="1">
      <c r="A62" s="34" t="s">
        <v>511</v>
      </c>
      <c r="B62" s="34">
        <v>0.0</v>
      </c>
      <c r="C62" s="34" t="str">
        <f>'4조'!C125</f>
        <v/>
      </c>
      <c r="D62" s="34">
        <v>0.0</v>
      </c>
      <c r="E62" s="34" t="str">
        <f>'4조'!E125</f>
        <v/>
      </c>
      <c r="F62" s="35" t="str">
        <f>'4조'!F125</f>
        <v>++</v>
      </c>
      <c r="G62" s="34" t="str">
        <f>'4조'!G125</f>
        <v>데이터 발생 지점 옆에서 처리해 네트워크 왕복이 사라지고 지연이 매우 낮다. 다만 개별 엣지 노드의 연산 능력은 제한적이다.</v>
      </c>
      <c r="H62" s="37"/>
      <c r="I62" s="4"/>
      <c r="J62" s="4"/>
      <c r="K62" s="4"/>
      <c r="L62" s="4"/>
      <c r="M62" s="4"/>
      <c r="N62" s="4"/>
      <c r="O62" s="4"/>
      <c r="P62" s="4"/>
      <c r="Q62" s="4"/>
      <c r="R62" s="4"/>
      <c r="S62" s="4"/>
      <c r="T62" s="4"/>
      <c r="U62" s="4"/>
      <c r="V62" s="4"/>
      <c r="W62" s="4"/>
      <c r="X62" s="4"/>
      <c r="Y62" s="4"/>
      <c r="Z62" s="4"/>
    </row>
    <row r="63" ht="15.75" customHeight="1">
      <c r="A63" s="34" t="s">
        <v>513</v>
      </c>
      <c r="B63" s="34">
        <v>0.0</v>
      </c>
      <c r="C63" s="34" t="str">
        <f>'5조'!C125</f>
        <v>5조 - Container-based - Performance</v>
      </c>
      <c r="D63" s="34">
        <v>0.0</v>
      </c>
      <c r="E63" s="34" t="str">
        <f>'5조'!E125</f>
        <v/>
      </c>
      <c r="F63" s="35" t="str">
        <f>'5조'!F125</f>
        <v>+</v>
      </c>
      <c r="G63" s="34" t="str">
        <f>'5조'!G125</f>
        <v>분석용 자원을 최종 사용자 가까이에 두기에 속도 측면 좋음</v>
      </c>
      <c r="H63" s="37"/>
      <c r="I63" s="4"/>
      <c r="J63" s="4"/>
      <c r="K63" s="4"/>
      <c r="L63" s="4"/>
      <c r="M63" s="4"/>
      <c r="N63" s="4"/>
      <c r="O63" s="4"/>
      <c r="P63" s="4"/>
      <c r="Q63" s="4"/>
      <c r="R63" s="4"/>
      <c r="S63" s="4"/>
      <c r="T63" s="4"/>
      <c r="U63" s="4"/>
      <c r="V63" s="4"/>
      <c r="W63" s="4"/>
      <c r="X63" s="4"/>
      <c r="Y63" s="4"/>
      <c r="Z63" s="4"/>
    </row>
    <row r="64" ht="15.75" customHeight="1">
      <c r="A64" s="34" t="s">
        <v>516</v>
      </c>
      <c r="B64" s="34">
        <v>0.0</v>
      </c>
      <c r="C64" s="34" t="str">
        <f>'6조'!C125</f>
        <v>6조 - Container-based - Performance</v>
      </c>
      <c r="D64" s="34">
        <v>0.0</v>
      </c>
      <c r="E64" s="34" t="str">
        <f>'6조'!E125</f>
        <v>6조 - Cloud-based - Performance</v>
      </c>
      <c r="F64" s="35" t="str">
        <f>'6조'!F125</f>
        <v>++</v>
      </c>
      <c r="G64" s="34" t="str">
        <f>'6조'!G125</f>
        <v>데이터가 발생하거나 사용되는 위치와 가까운 Edge 장치에서 처리하므로 중앙 서버까지의 왕복 통신을 줄여 응답 지연과 네트워크 트래픽을 크게 감소시킨다.</v>
      </c>
      <c r="H64" s="37"/>
      <c r="I64" s="4"/>
      <c r="J64" s="4"/>
      <c r="K64" s="4"/>
      <c r="L64" s="4"/>
      <c r="M64" s="4"/>
      <c r="N64" s="4"/>
      <c r="O64" s="4"/>
      <c r="P64" s="4"/>
      <c r="Q64" s="4"/>
      <c r="R64" s="4"/>
      <c r="S64" s="4"/>
      <c r="T64" s="4"/>
      <c r="U64" s="4"/>
      <c r="V64" s="4"/>
      <c r="W64" s="4"/>
      <c r="X64" s="4"/>
      <c r="Y64" s="4"/>
      <c r="Z64" s="4"/>
    </row>
    <row r="65" ht="15.75" customHeight="1">
      <c r="A65" s="34" t="s">
        <v>520</v>
      </c>
      <c r="B65" s="34">
        <v>0.0</v>
      </c>
      <c r="C65" s="34" t="str">
        <f>'7조'!C125</f>
        <v>7조 - Container-based - Performance</v>
      </c>
      <c r="D65" s="34">
        <v>0.0</v>
      </c>
      <c r="E65" s="34" t="str">
        <f>'7조'!E125</f>
        <v>7조 - Cloud-based - Performance</v>
      </c>
      <c r="F65" s="35" t="str">
        <f>'7조'!F125</f>
        <v/>
      </c>
      <c r="G65" s="34" t="str">
        <f>'7조'!G125</f>
        <v>7조 - Edge-based - Performance</v>
      </c>
      <c r="H65" s="37"/>
      <c r="I65" s="4"/>
      <c r="J65" s="4"/>
      <c r="K65" s="4"/>
      <c r="L65" s="4"/>
      <c r="M65" s="4"/>
      <c r="N65" s="4"/>
      <c r="O65" s="4"/>
      <c r="P65" s="4"/>
      <c r="Q65" s="4"/>
      <c r="R65" s="4"/>
      <c r="S65" s="4"/>
      <c r="T65" s="4"/>
      <c r="U65" s="4"/>
      <c r="V65" s="4"/>
      <c r="W65" s="4"/>
      <c r="X65" s="4"/>
      <c r="Y65" s="4"/>
      <c r="Z65" s="4"/>
    </row>
    <row r="66" ht="15.75" customHeight="1">
      <c r="A66" s="34" t="s">
        <v>523</v>
      </c>
      <c r="B66" s="34">
        <v>0.0</v>
      </c>
      <c r="C66" s="34" t="str">
        <f>'8조'!C125</f>
        <v>8조 - Container-based - Performance</v>
      </c>
      <c r="D66" s="34">
        <v>0.0</v>
      </c>
      <c r="E66" s="34" t="str">
        <f>'8조'!E125</f>
        <v>8조 - Cloud-based - Performance</v>
      </c>
      <c r="F66" s="35" t="str">
        <f>'8조'!F125</f>
        <v/>
      </c>
      <c r="G66" s="34" t="str">
        <f>'8조'!G125</f>
        <v>8조 - Edge-based - Performance</v>
      </c>
      <c r="H66" s="37"/>
      <c r="I66" s="4"/>
      <c r="J66" s="4"/>
      <c r="K66" s="4"/>
      <c r="L66" s="4"/>
      <c r="M66" s="4"/>
      <c r="N66" s="4"/>
      <c r="O66" s="4"/>
      <c r="P66" s="4"/>
      <c r="Q66" s="4"/>
      <c r="R66" s="4"/>
      <c r="S66" s="4"/>
      <c r="T66" s="4"/>
      <c r="U66" s="4"/>
      <c r="V66" s="4"/>
      <c r="W66" s="4"/>
      <c r="X66" s="4"/>
      <c r="Y66" s="4"/>
      <c r="Z66" s="4"/>
    </row>
    <row r="67" ht="15.75" customHeight="1">
      <c r="A67" s="34" t="s">
        <v>526</v>
      </c>
      <c r="B67" s="34">
        <v>0.0</v>
      </c>
      <c r="C67" s="34" t="str">
        <f>'9조'!C125</f>
        <v>9조 - Container-based - Performance</v>
      </c>
      <c r="D67" s="34">
        <v>0.0</v>
      </c>
      <c r="E67" s="34" t="str">
        <f>'9조'!E125</f>
        <v>9조 - Cloud-based - Performance</v>
      </c>
      <c r="F67" s="35" t="str">
        <f>'9조'!F125</f>
        <v/>
      </c>
      <c r="G67" s="34" t="str">
        <f>'9조'!G125</f>
        <v>9조 - Edge-based - Performance</v>
      </c>
      <c r="H67" s="37"/>
      <c r="I67" s="4"/>
      <c r="J67" s="4"/>
      <c r="K67" s="4"/>
      <c r="L67" s="4"/>
      <c r="M67" s="4"/>
      <c r="N67" s="4"/>
      <c r="O67" s="4"/>
      <c r="P67" s="4"/>
      <c r="Q67" s="4"/>
      <c r="R67" s="4"/>
      <c r="S67" s="4"/>
      <c r="T67" s="4"/>
      <c r="U67" s="4"/>
      <c r="V67" s="4"/>
      <c r="W67" s="4"/>
      <c r="X67" s="4"/>
      <c r="Y67" s="4"/>
      <c r="Z67" s="4"/>
    </row>
    <row r="68" ht="15.75" customHeight="1">
      <c r="A68" s="34"/>
      <c r="B68" s="34"/>
      <c r="C68" s="34"/>
      <c r="D68" s="34"/>
      <c r="E68" s="34"/>
      <c r="F68" s="34"/>
      <c r="G68" s="34"/>
      <c r="H68" s="24"/>
      <c r="I68" s="4"/>
      <c r="J68" s="4"/>
      <c r="K68" s="4"/>
      <c r="L68" s="4"/>
      <c r="M68" s="4"/>
      <c r="N68" s="4"/>
      <c r="O68" s="4"/>
      <c r="P68" s="4"/>
      <c r="Q68" s="4"/>
      <c r="R68" s="4"/>
      <c r="S68" s="4"/>
      <c r="T68" s="4"/>
      <c r="U68" s="4"/>
      <c r="V68" s="4"/>
      <c r="W68" s="4"/>
      <c r="X68" s="4"/>
      <c r="Y68" s="4"/>
      <c r="Z68" s="4"/>
    </row>
    <row r="69" ht="15.75" customHeight="1">
      <c r="A69" s="33" t="s">
        <v>221</v>
      </c>
      <c r="B69" s="33">
        <v>0.0</v>
      </c>
      <c r="C69" s="33">
        <v>0.0</v>
      </c>
      <c r="D69" s="33">
        <v>0.0</v>
      </c>
      <c r="E69" s="33">
        <v>0.0</v>
      </c>
      <c r="F69" s="33">
        <v>0.0</v>
      </c>
      <c r="G69" s="33">
        <v>0.0</v>
      </c>
      <c r="H69" s="24"/>
      <c r="I69" s="4"/>
      <c r="J69" s="4"/>
      <c r="K69" s="4"/>
      <c r="L69" s="4"/>
      <c r="M69" s="4"/>
      <c r="N69" s="4"/>
      <c r="O69" s="4"/>
      <c r="P69" s="4"/>
      <c r="Q69" s="4"/>
      <c r="R69" s="4"/>
      <c r="S69" s="4"/>
      <c r="T69" s="4"/>
      <c r="U69" s="4"/>
      <c r="V69" s="4"/>
      <c r="W69" s="4"/>
      <c r="X69" s="4"/>
      <c r="Y69" s="4"/>
      <c r="Z69" s="4"/>
    </row>
    <row r="70" ht="15.75" customHeight="1">
      <c r="A70" s="34" t="s">
        <v>502</v>
      </c>
      <c r="B70" s="34">
        <v>0.0</v>
      </c>
      <c r="C70" s="34" t="str">
        <f>'1조'!C126</f>
        <v>1조 - Container-based - Safety</v>
      </c>
      <c r="D70" s="34">
        <v>0.0</v>
      </c>
      <c r="E70" s="34" t="str">
        <f>'1조'!E126</f>
        <v>1조 - Cloud-based - Safety</v>
      </c>
      <c r="F70" s="35" t="str">
        <f>'1조'!F126</f>
        <v>0</v>
      </c>
      <c r="G70" s="34" t="str">
        <f>'1조'!G126</f>
        <v>로컬 반응으로 원격 지연을 줄일 수 있지만 빠른 반응이 올바른 안전 동작이라는 뜻은 아니다. 오래된 정책·모델·센서 정보와 장치 오류가 위해로 이어질 수 있으며 중앙과의 상태 불일치도 검토해야 한다. 교안에는 위해 차단 구성의 상세 본문이 없으므로 안전성은 0이다.</v>
      </c>
      <c r="H70" s="38" t="s">
        <v>756</v>
      </c>
      <c r="I70" s="4"/>
      <c r="J70" s="4"/>
      <c r="K70" s="4"/>
      <c r="L70" s="4"/>
      <c r="M70" s="4"/>
      <c r="N70" s="4"/>
      <c r="O70" s="4"/>
      <c r="P70" s="4"/>
      <c r="Q70" s="4"/>
      <c r="R70" s="4"/>
      <c r="S70" s="4"/>
      <c r="T70" s="4"/>
      <c r="U70" s="4"/>
      <c r="V70" s="4"/>
      <c r="W70" s="4"/>
      <c r="X70" s="4"/>
      <c r="Y70" s="4"/>
      <c r="Z70" s="4"/>
    </row>
    <row r="71" ht="15.75" customHeight="1">
      <c r="A71" s="34" t="s">
        <v>507</v>
      </c>
      <c r="B71" s="34">
        <v>0.0</v>
      </c>
      <c r="C71" s="34" t="str">
        <f>'2조'!C126</f>
        <v>2조 - Container-based - Safety</v>
      </c>
      <c r="D71" s="34">
        <v>0.0</v>
      </c>
      <c r="E71" s="34" t="str">
        <f>'2조'!E126</f>
        <v>2조 - Cloud-based - Safety</v>
      </c>
      <c r="F71" s="35" t="str">
        <f>'2조'!F126</f>
        <v>+</v>
      </c>
      <c r="G71" s="34" t="str">
        <f>'2조'!G126</f>
        <v>통신 두절이나 중앙 클라우드 마비 상황에서도 엣지 노드가 자율적으로 판단하여 현장 기기를 안전하게 제어하고 사고를 방지함.</v>
      </c>
      <c r="H71" s="37"/>
      <c r="I71" s="4"/>
      <c r="J71" s="4"/>
      <c r="K71" s="4"/>
      <c r="L71" s="4"/>
      <c r="M71" s="4"/>
      <c r="N71" s="4"/>
      <c r="O71" s="4"/>
      <c r="P71" s="4"/>
      <c r="Q71" s="4"/>
      <c r="R71" s="4"/>
      <c r="S71" s="4"/>
      <c r="T71" s="4"/>
      <c r="U71" s="4"/>
      <c r="V71" s="4"/>
      <c r="W71" s="4"/>
      <c r="X71" s="4"/>
      <c r="Y71" s="4"/>
      <c r="Z71" s="4"/>
    </row>
    <row r="72" ht="15.75" customHeight="1">
      <c r="A72" s="34" t="s">
        <v>510</v>
      </c>
      <c r="B72" s="34">
        <v>0.0</v>
      </c>
      <c r="C72" s="34" t="str">
        <f>'3조'!C126</f>
        <v>3조 - Container-based - Safety</v>
      </c>
      <c r="D72" s="34">
        <v>0.0</v>
      </c>
      <c r="E72" s="34" t="str">
        <f>'3조'!E126</f>
        <v>3조 - Cloud-based - Safety</v>
      </c>
      <c r="F72" s="35" t="str">
        <f>'3조'!F126</f>
        <v>+</v>
      </c>
      <c r="G72" s="34" t="str">
        <f>'3조'!G126</f>
        <v>현장 가까이에서 데이터를 감지·처리해 위험 상황에 더 빠르게 반응할 수 있으므로 safety에 유리하다. 단, 안전 모드 자체는 별도 설계가 필요하다.</v>
      </c>
      <c r="H72" s="37"/>
      <c r="I72" s="4"/>
      <c r="J72" s="4"/>
      <c r="K72" s="4"/>
      <c r="L72" s="4"/>
      <c r="M72" s="4"/>
      <c r="N72" s="4"/>
      <c r="O72" s="4"/>
      <c r="P72" s="4"/>
      <c r="Q72" s="4"/>
      <c r="R72" s="4"/>
      <c r="S72" s="4"/>
      <c r="T72" s="4"/>
      <c r="U72" s="4"/>
      <c r="V72" s="4"/>
      <c r="W72" s="4"/>
      <c r="X72" s="4"/>
      <c r="Y72" s="4"/>
      <c r="Z72" s="4"/>
    </row>
    <row r="73" ht="15.75" customHeight="1">
      <c r="A73" s="34" t="s">
        <v>511</v>
      </c>
      <c r="B73" s="34">
        <v>0.0</v>
      </c>
      <c r="C73" s="34" t="str">
        <f>'4조'!C126</f>
        <v/>
      </c>
      <c r="D73" s="34">
        <v>0.0</v>
      </c>
      <c r="E73" s="34" t="str">
        <f>'4조'!E126</f>
        <v/>
      </c>
      <c r="F73" s="35" t="str">
        <f>'4조'!F126</f>
        <v>++</v>
      </c>
      <c r="G73" s="34" t="str">
        <f>'4조'!G126</f>
        <v>연결이 끊겨도 로컬 제어가 계속되므로 실시간·안전 필수 기능에 필수적인 특성이다.</v>
      </c>
      <c r="H73" s="37"/>
      <c r="I73" s="4"/>
      <c r="J73" s="4"/>
      <c r="K73" s="4"/>
      <c r="L73" s="4"/>
      <c r="M73" s="4"/>
      <c r="N73" s="4"/>
      <c r="O73" s="4"/>
      <c r="P73" s="4"/>
      <c r="Q73" s="4"/>
      <c r="R73" s="4"/>
      <c r="S73" s="4"/>
      <c r="T73" s="4"/>
      <c r="U73" s="4"/>
      <c r="V73" s="4"/>
      <c r="W73" s="4"/>
      <c r="X73" s="4"/>
      <c r="Y73" s="4"/>
      <c r="Z73" s="4"/>
    </row>
    <row r="74" ht="15.75" customHeight="1">
      <c r="A74" s="34" t="s">
        <v>513</v>
      </c>
      <c r="B74" s="34">
        <v>0.0</v>
      </c>
      <c r="C74" s="34" t="str">
        <f>'5조'!C126</f>
        <v>5조 - Container-based - Safety</v>
      </c>
      <c r="D74" s="34">
        <v>0.0</v>
      </c>
      <c r="E74" s="34" t="str">
        <f>'5조'!E126</f>
        <v/>
      </c>
      <c r="F74" s="35" t="str">
        <f>'5조'!F126</f>
        <v>+</v>
      </c>
      <c r="G74" s="34" t="str">
        <f>'5조'!G126</f>
        <v>로컬에서 즉각적인 대응 가능하여 safety 높음</v>
      </c>
      <c r="H74" s="37"/>
      <c r="I74" s="4"/>
      <c r="J74" s="4"/>
      <c r="K74" s="4"/>
      <c r="L74" s="4"/>
      <c r="M74" s="4"/>
      <c r="N74" s="4"/>
      <c r="O74" s="4"/>
      <c r="P74" s="4"/>
      <c r="Q74" s="4"/>
      <c r="R74" s="4"/>
      <c r="S74" s="4"/>
      <c r="T74" s="4"/>
      <c r="U74" s="4"/>
      <c r="V74" s="4"/>
      <c r="W74" s="4"/>
      <c r="X74" s="4"/>
      <c r="Y74" s="4"/>
      <c r="Z74" s="4"/>
    </row>
    <row r="75" ht="15.75" customHeight="1">
      <c r="A75" s="34" t="s">
        <v>516</v>
      </c>
      <c r="B75" s="34">
        <v>0.0</v>
      </c>
      <c r="C75" s="34" t="str">
        <f>'6조'!C126</f>
        <v>6조 - Container-based - Safety</v>
      </c>
      <c r="D75" s="34">
        <v>0.0</v>
      </c>
      <c r="E75" s="34" t="str">
        <f>'6조'!E126</f>
        <v>6조 - Cloud-based - Safety</v>
      </c>
      <c r="F75" s="35" t="str">
        <f>'6조'!F126</f>
        <v>+</v>
      </c>
      <c r="G75" s="34" t="str">
        <f>'6조'!G126</f>
        <v>네트워크 연결이 일시적으로 끊겨도 Edge에서 로컬 처리를 계속할 수 있어 안전성/연속성에 유리할 수 있다. 다만 분산된 Edge 장비를 안전하게 관리해야 한다.</v>
      </c>
      <c r="H75" s="37"/>
      <c r="I75" s="4"/>
      <c r="J75" s="4"/>
      <c r="K75" s="4"/>
      <c r="L75" s="4"/>
      <c r="M75" s="4"/>
      <c r="N75" s="4"/>
      <c r="O75" s="4"/>
      <c r="P75" s="4"/>
      <c r="Q75" s="4"/>
      <c r="R75" s="4"/>
      <c r="S75" s="4"/>
      <c r="T75" s="4"/>
      <c r="U75" s="4"/>
      <c r="V75" s="4"/>
      <c r="W75" s="4"/>
      <c r="X75" s="4"/>
      <c r="Y75" s="4"/>
      <c r="Z75" s="4"/>
    </row>
    <row r="76" ht="15.75" customHeight="1">
      <c r="A76" s="34" t="s">
        <v>520</v>
      </c>
      <c r="B76" s="34">
        <v>0.0</v>
      </c>
      <c r="C76" s="34" t="str">
        <f>'7조'!C126</f>
        <v>7조 - Container-based - Safety</v>
      </c>
      <c r="D76" s="34">
        <v>0.0</v>
      </c>
      <c r="E76" s="34" t="str">
        <f>'7조'!E126</f>
        <v>7조 - Cloud-based - Safety</v>
      </c>
      <c r="F76" s="35" t="str">
        <f>'7조'!F126</f>
        <v/>
      </c>
      <c r="G76" s="34" t="str">
        <f>'7조'!G126</f>
        <v>7조 - Edge-based - Safety</v>
      </c>
      <c r="H76" s="37"/>
      <c r="I76" s="4"/>
      <c r="J76" s="4"/>
      <c r="K76" s="4"/>
      <c r="L76" s="4"/>
      <c r="M76" s="4"/>
      <c r="N76" s="4"/>
      <c r="O76" s="4"/>
      <c r="P76" s="4"/>
      <c r="Q76" s="4"/>
      <c r="R76" s="4"/>
      <c r="S76" s="4"/>
      <c r="T76" s="4"/>
      <c r="U76" s="4"/>
      <c r="V76" s="4"/>
      <c r="W76" s="4"/>
      <c r="X76" s="4"/>
      <c r="Y76" s="4"/>
      <c r="Z76" s="4"/>
    </row>
    <row r="77" ht="15.75" customHeight="1">
      <c r="A77" s="34" t="s">
        <v>523</v>
      </c>
      <c r="B77" s="34">
        <v>0.0</v>
      </c>
      <c r="C77" s="34" t="str">
        <f>'8조'!C126</f>
        <v>8조 - Container-based - Safety</v>
      </c>
      <c r="D77" s="34">
        <v>0.0</v>
      </c>
      <c r="E77" s="34" t="str">
        <f>'8조'!E126</f>
        <v>8조 - Cloud-based - Safety</v>
      </c>
      <c r="F77" s="35" t="str">
        <f>'8조'!F126</f>
        <v/>
      </c>
      <c r="G77" s="34" t="str">
        <f>'8조'!G126</f>
        <v>8조 - Edge-based - Safety</v>
      </c>
      <c r="H77" s="37"/>
      <c r="I77" s="4"/>
      <c r="J77" s="4"/>
      <c r="K77" s="4"/>
      <c r="L77" s="4"/>
      <c r="M77" s="4"/>
      <c r="N77" s="4"/>
      <c r="O77" s="4"/>
      <c r="P77" s="4"/>
      <c r="Q77" s="4"/>
      <c r="R77" s="4"/>
      <c r="S77" s="4"/>
      <c r="T77" s="4"/>
      <c r="U77" s="4"/>
      <c r="V77" s="4"/>
      <c r="W77" s="4"/>
      <c r="X77" s="4"/>
      <c r="Y77" s="4"/>
      <c r="Z77" s="4"/>
    </row>
    <row r="78" ht="15.75" customHeight="1">
      <c r="A78" s="34" t="s">
        <v>526</v>
      </c>
      <c r="B78" s="34">
        <v>0.0</v>
      </c>
      <c r="C78" s="34" t="str">
        <f>'9조'!C126</f>
        <v>9조 - Container-based - Safety</v>
      </c>
      <c r="D78" s="34">
        <v>0.0</v>
      </c>
      <c r="E78" s="34" t="str">
        <f>'9조'!E126</f>
        <v>9조 - Cloud-based - Safety</v>
      </c>
      <c r="F78" s="35" t="str">
        <f>'9조'!F126</f>
        <v/>
      </c>
      <c r="G78" s="34" t="str">
        <f>'9조'!G126</f>
        <v>9조 - Edge-based - Safety</v>
      </c>
      <c r="H78" s="37"/>
      <c r="I78" s="4"/>
      <c r="J78" s="4"/>
      <c r="K78" s="4"/>
      <c r="L78" s="4"/>
      <c r="M78" s="4"/>
      <c r="N78" s="4"/>
      <c r="O78" s="4"/>
      <c r="P78" s="4"/>
      <c r="Q78" s="4"/>
      <c r="R78" s="4"/>
      <c r="S78" s="4"/>
      <c r="T78" s="4"/>
      <c r="U78" s="4"/>
      <c r="V78" s="4"/>
      <c r="W78" s="4"/>
      <c r="X78" s="4"/>
      <c r="Y78" s="4"/>
      <c r="Z78" s="4"/>
    </row>
    <row r="79" ht="15.75" customHeight="1">
      <c r="A79" s="34"/>
      <c r="B79" s="34"/>
      <c r="C79" s="34"/>
      <c r="D79" s="34"/>
      <c r="E79" s="34"/>
      <c r="F79" s="34"/>
      <c r="G79" s="34"/>
      <c r="H79" s="24"/>
      <c r="I79" s="4"/>
      <c r="J79" s="4"/>
      <c r="K79" s="4"/>
      <c r="L79" s="4"/>
      <c r="M79" s="4"/>
      <c r="N79" s="4"/>
      <c r="O79" s="4"/>
      <c r="P79" s="4"/>
      <c r="Q79" s="4"/>
      <c r="R79" s="4"/>
      <c r="S79" s="4"/>
      <c r="T79" s="4"/>
      <c r="U79" s="4"/>
      <c r="V79" s="4"/>
      <c r="W79" s="4"/>
      <c r="X79" s="4"/>
      <c r="Y79" s="4"/>
      <c r="Z79" s="4"/>
    </row>
    <row r="80" ht="15.75" customHeight="1">
      <c r="A80" s="33" t="s">
        <v>261</v>
      </c>
      <c r="B80" s="33">
        <v>0.0</v>
      </c>
      <c r="C80" s="33">
        <v>0.0</v>
      </c>
      <c r="D80" s="33">
        <v>0.0</v>
      </c>
      <c r="E80" s="33">
        <v>0.0</v>
      </c>
      <c r="F80" s="33">
        <v>0.0</v>
      </c>
      <c r="G80" s="33">
        <v>0.0</v>
      </c>
      <c r="H80" s="24"/>
      <c r="I80" s="4"/>
      <c r="J80" s="4"/>
      <c r="K80" s="4"/>
      <c r="L80" s="4"/>
      <c r="M80" s="4"/>
      <c r="N80" s="4"/>
      <c r="O80" s="4"/>
      <c r="P80" s="4"/>
      <c r="Q80" s="4"/>
      <c r="R80" s="4"/>
      <c r="S80" s="4"/>
      <c r="T80" s="4"/>
      <c r="U80" s="4"/>
      <c r="V80" s="4"/>
      <c r="W80" s="4"/>
      <c r="X80" s="4"/>
      <c r="Y80" s="4"/>
      <c r="Z80" s="4"/>
    </row>
    <row r="81" ht="15.75" customHeight="1">
      <c r="A81" s="34" t="s">
        <v>502</v>
      </c>
      <c r="B81" s="34">
        <v>0.0</v>
      </c>
      <c r="C81" s="34" t="str">
        <f>'1조'!C127</f>
        <v>1조 - Container-based - Security</v>
      </c>
      <c r="D81" s="34">
        <v>0.0</v>
      </c>
      <c r="E81" s="34" t="str">
        <f>'1조'!E127</f>
        <v>1조 - Cloud-based - Security</v>
      </c>
      <c r="F81" s="35" t="str">
        <f>'1조'!F127</f>
        <v>-</v>
      </c>
      <c r="G81" s="34" t="str">
        <f>'1조'!G127</f>
        <v>보호해야 할 실행·저장 지점이 여러 현장으로 분산되면 장치 접근·자격 정보·업데이트 신뢰성·감사 일관성을 관리해야 한다.</v>
      </c>
      <c r="H81" s="38" t="s">
        <v>826</v>
      </c>
      <c r="I81" s="4"/>
      <c r="J81" s="4"/>
      <c r="K81" s="4"/>
      <c r="L81" s="4"/>
      <c r="M81" s="4"/>
      <c r="N81" s="4"/>
      <c r="O81" s="4"/>
      <c r="P81" s="4"/>
      <c r="Q81" s="4"/>
      <c r="R81" s="4"/>
      <c r="S81" s="4"/>
      <c r="T81" s="4"/>
      <c r="U81" s="4"/>
      <c r="V81" s="4"/>
      <c r="W81" s="4"/>
      <c r="X81" s="4"/>
      <c r="Y81" s="4"/>
      <c r="Z81" s="4"/>
    </row>
    <row r="82" ht="15.75" customHeight="1">
      <c r="A82" s="34" t="s">
        <v>507</v>
      </c>
      <c r="B82" s="34">
        <v>0.0</v>
      </c>
      <c r="C82" s="34" t="str">
        <f>'2조'!C127</f>
        <v>2조 - Container-based - Security</v>
      </c>
      <c r="D82" s="34">
        <v>0.0</v>
      </c>
      <c r="E82" s="34" t="str">
        <f>'2조'!E127</f>
        <v>2조 - Cloud-based - Security</v>
      </c>
      <c r="F82" s="35" t="str">
        <f>'2조'!F127</f>
        <v>--</v>
      </c>
      <c r="G82" s="34" t="str">
        <f>'2조'!G127</f>
        <v>통제된 데이터센터 외부의 물리적으로 취약한 엣지 환경에 데이터가 분산되므로 도난, 유출, 사이버 침해 위험이 극도로 증가함</v>
      </c>
      <c r="H82" s="37"/>
      <c r="I82" s="4"/>
      <c r="J82" s="4"/>
      <c r="K82" s="4"/>
      <c r="L82" s="4"/>
      <c r="M82" s="4"/>
      <c r="N82" s="4"/>
      <c r="O82" s="4"/>
      <c r="P82" s="4"/>
      <c r="Q82" s="4"/>
      <c r="R82" s="4"/>
      <c r="S82" s="4"/>
      <c r="T82" s="4"/>
      <c r="U82" s="4"/>
      <c r="V82" s="4"/>
      <c r="W82" s="4"/>
      <c r="X82" s="4"/>
      <c r="Y82" s="4"/>
      <c r="Z82" s="4"/>
    </row>
    <row r="83" ht="15.75" customHeight="1">
      <c r="A83" s="34" t="s">
        <v>510</v>
      </c>
      <c r="B83" s="34">
        <v>0.0</v>
      </c>
      <c r="C83" s="34" t="str">
        <f>'3조'!C127</f>
        <v>3조 - Container-based - Security</v>
      </c>
      <c r="D83" s="34">
        <v>0.0</v>
      </c>
      <c r="E83" s="34" t="str">
        <f>'3조'!E127</f>
        <v>3조 - Cloud-based - Security</v>
      </c>
      <c r="F83" s="35" t="str">
        <f>'3조'!F127</f>
        <v>-</v>
      </c>
      <c r="G83" s="34" t="str">
        <f>'3조'!G127</f>
        <v>Edge 노드가 여러 현장에 분산되고 물리적으로 노출될 수 있어 공격 표면과 관리 지점이 증가한다.</v>
      </c>
      <c r="H83" s="37"/>
      <c r="I83" s="4"/>
      <c r="J83" s="4"/>
      <c r="K83" s="4"/>
      <c r="L83" s="4"/>
      <c r="M83" s="4"/>
      <c r="N83" s="4"/>
      <c r="O83" s="4"/>
      <c r="P83" s="4"/>
      <c r="Q83" s="4"/>
      <c r="R83" s="4"/>
      <c r="S83" s="4"/>
      <c r="T83" s="4"/>
      <c r="U83" s="4"/>
      <c r="V83" s="4"/>
      <c r="W83" s="4"/>
      <c r="X83" s="4"/>
      <c r="Y83" s="4"/>
      <c r="Z83" s="4"/>
    </row>
    <row r="84" ht="15.75" customHeight="1">
      <c r="A84" s="34" t="s">
        <v>511</v>
      </c>
      <c r="B84" s="34">
        <v>0.0</v>
      </c>
      <c r="C84" s="34" t="str">
        <f>'4조'!C127</f>
        <v/>
      </c>
      <c r="D84" s="34">
        <v>0.0</v>
      </c>
      <c r="E84" s="34" t="str">
        <f>'4조'!E127</f>
        <v/>
      </c>
      <c r="F84" s="35" t="str">
        <f>'4조'!F127</f>
        <v>-</v>
      </c>
      <c r="G84" s="34" t="str">
        <f>'4조'!G127</f>
        <v>여러 현장 장치와 통신 경로를 각각 보호해야 하므로 관리할 지점이 많다.</v>
      </c>
      <c r="H84" s="37"/>
      <c r="I84" s="4"/>
      <c r="J84" s="4"/>
      <c r="K84" s="4"/>
      <c r="L84" s="4"/>
      <c r="M84" s="4"/>
      <c r="N84" s="4"/>
      <c r="O84" s="4"/>
      <c r="P84" s="4"/>
      <c r="Q84" s="4"/>
      <c r="R84" s="4"/>
      <c r="S84" s="4"/>
      <c r="T84" s="4"/>
      <c r="U84" s="4"/>
      <c r="V84" s="4"/>
      <c r="W84" s="4"/>
      <c r="X84" s="4"/>
      <c r="Y84" s="4"/>
      <c r="Z84" s="4"/>
    </row>
    <row r="85" ht="15.75" customHeight="1">
      <c r="A85" s="34" t="s">
        <v>513</v>
      </c>
      <c r="B85" s="34">
        <v>0.0</v>
      </c>
      <c r="C85" s="34" t="str">
        <f>'5조'!C127</f>
        <v>5조 - Container-based - Security</v>
      </c>
      <c r="D85" s="34">
        <v>0.0</v>
      </c>
      <c r="E85" s="34" t="str">
        <f>'5조'!E127</f>
        <v/>
      </c>
      <c r="F85" s="35" t="str">
        <f>'5조'!F127</f>
        <v>-</v>
      </c>
      <c r="G85" s="34" t="str">
        <f>'5조'!G127</f>
        <v>많은 데이터가 core 밖에서 처리되어 유출, 도난 침해 가능</v>
      </c>
      <c r="H85" s="37"/>
      <c r="I85" s="4"/>
      <c r="J85" s="4"/>
      <c r="K85" s="4"/>
      <c r="L85" s="4"/>
      <c r="M85" s="4"/>
      <c r="N85" s="4"/>
      <c r="O85" s="4"/>
      <c r="P85" s="4"/>
      <c r="Q85" s="4"/>
      <c r="R85" s="4"/>
      <c r="S85" s="4"/>
      <c r="T85" s="4"/>
      <c r="U85" s="4"/>
      <c r="V85" s="4"/>
      <c r="W85" s="4"/>
      <c r="X85" s="4"/>
      <c r="Y85" s="4"/>
      <c r="Z85" s="4"/>
    </row>
    <row r="86" ht="15.75" customHeight="1">
      <c r="A86" s="34" t="s">
        <v>516</v>
      </c>
      <c r="B86" s="34">
        <v>0.0</v>
      </c>
      <c r="C86" s="34" t="str">
        <f>'6조'!C127</f>
        <v>6조 - Container-based - Security</v>
      </c>
      <c r="D86" s="34">
        <v>0.0</v>
      </c>
      <c r="E86" s="34" t="str">
        <f>'6조'!E127</f>
        <v>6조 - Cloud-based - Security</v>
      </c>
      <c r="F86" s="35" t="str">
        <f>'6조'!F127</f>
        <v>-</v>
      </c>
      <c r="G86" s="34" t="str">
        <f>'6조'!G127</f>
        <v>물리적으로 노출된 다수의 디바이스가 공격 대상이 됨</v>
      </c>
      <c r="H86" s="37"/>
      <c r="I86" s="4"/>
      <c r="J86" s="4"/>
      <c r="K86" s="4"/>
      <c r="L86" s="4"/>
      <c r="M86" s="4"/>
      <c r="N86" s="4"/>
      <c r="O86" s="4"/>
      <c r="P86" s="4"/>
      <c r="Q86" s="4"/>
      <c r="R86" s="4"/>
      <c r="S86" s="4"/>
      <c r="T86" s="4"/>
      <c r="U86" s="4"/>
      <c r="V86" s="4"/>
      <c r="W86" s="4"/>
      <c r="X86" s="4"/>
      <c r="Y86" s="4"/>
      <c r="Z86" s="4"/>
    </row>
    <row r="87" ht="15.75" customHeight="1">
      <c r="A87" s="34" t="s">
        <v>520</v>
      </c>
      <c r="B87" s="34">
        <v>0.0</v>
      </c>
      <c r="C87" s="34" t="str">
        <f>'7조'!C127</f>
        <v>7조 - Container-based - Security</v>
      </c>
      <c r="D87" s="34">
        <v>0.0</v>
      </c>
      <c r="E87" s="34" t="str">
        <f>'7조'!E127</f>
        <v>7조 - Cloud-based - Security</v>
      </c>
      <c r="F87" s="35" t="str">
        <f>'7조'!F127</f>
        <v/>
      </c>
      <c r="G87" s="34" t="str">
        <f>'7조'!G127</f>
        <v>7조 - Edge-based - Security</v>
      </c>
      <c r="H87" s="37"/>
      <c r="I87" s="4"/>
      <c r="J87" s="4"/>
      <c r="K87" s="4"/>
      <c r="L87" s="4"/>
      <c r="M87" s="4"/>
      <c r="N87" s="4"/>
      <c r="O87" s="4"/>
      <c r="P87" s="4"/>
      <c r="Q87" s="4"/>
      <c r="R87" s="4"/>
      <c r="S87" s="4"/>
      <c r="T87" s="4"/>
      <c r="U87" s="4"/>
      <c r="V87" s="4"/>
      <c r="W87" s="4"/>
      <c r="X87" s="4"/>
      <c r="Y87" s="4"/>
      <c r="Z87" s="4"/>
    </row>
    <row r="88" ht="15.75" customHeight="1">
      <c r="A88" s="34" t="s">
        <v>523</v>
      </c>
      <c r="B88" s="34">
        <v>0.0</v>
      </c>
      <c r="C88" s="34" t="str">
        <f>'8조'!C127</f>
        <v>8조 - Container-based - Security</v>
      </c>
      <c r="D88" s="34">
        <v>0.0</v>
      </c>
      <c r="E88" s="34" t="str">
        <f>'8조'!E127</f>
        <v>8조 - Cloud-based - Security</v>
      </c>
      <c r="F88" s="35" t="str">
        <f>'8조'!F127</f>
        <v/>
      </c>
      <c r="G88" s="34" t="str">
        <f>'8조'!G127</f>
        <v>8조 - Edge-based - Security</v>
      </c>
      <c r="H88" s="37"/>
      <c r="I88" s="4"/>
      <c r="J88" s="4"/>
      <c r="K88" s="4"/>
      <c r="L88" s="4"/>
      <c r="M88" s="4"/>
      <c r="N88" s="4"/>
      <c r="O88" s="4"/>
      <c r="P88" s="4"/>
      <c r="Q88" s="4"/>
      <c r="R88" s="4"/>
      <c r="S88" s="4"/>
      <c r="T88" s="4"/>
      <c r="U88" s="4"/>
      <c r="V88" s="4"/>
      <c r="W88" s="4"/>
      <c r="X88" s="4"/>
      <c r="Y88" s="4"/>
      <c r="Z88" s="4"/>
    </row>
    <row r="89" ht="15.75" customHeight="1">
      <c r="A89" s="34" t="s">
        <v>526</v>
      </c>
      <c r="B89" s="34">
        <v>0.0</v>
      </c>
      <c r="C89" s="34" t="str">
        <f>'9조'!C127</f>
        <v>9조 - Container-based - Security</v>
      </c>
      <c r="D89" s="34">
        <v>0.0</v>
      </c>
      <c r="E89" s="34" t="str">
        <f>'9조'!E127</f>
        <v>9조 - Cloud-based - Security</v>
      </c>
      <c r="F89" s="35" t="str">
        <f>'9조'!F127</f>
        <v/>
      </c>
      <c r="G89" s="34" t="str">
        <f>'9조'!G127</f>
        <v>9조 - Edge-based - Security</v>
      </c>
      <c r="H89" s="37"/>
      <c r="I89" s="4"/>
      <c r="J89" s="4"/>
      <c r="K89" s="4"/>
      <c r="L89" s="4"/>
      <c r="M89" s="4"/>
      <c r="N89" s="4"/>
      <c r="O89" s="4"/>
      <c r="P89" s="4"/>
      <c r="Q89" s="4"/>
      <c r="R89" s="4"/>
      <c r="S89" s="4"/>
      <c r="T89" s="4"/>
      <c r="U89" s="4"/>
      <c r="V89" s="4"/>
      <c r="W89" s="4"/>
      <c r="X89" s="4"/>
      <c r="Y89" s="4"/>
      <c r="Z89" s="4"/>
    </row>
    <row r="90" ht="15.75" customHeight="1">
      <c r="A90" s="34"/>
      <c r="B90" s="34"/>
      <c r="C90" s="34"/>
      <c r="D90" s="34"/>
      <c r="E90" s="34"/>
      <c r="F90" s="34"/>
      <c r="G90" s="34"/>
      <c r="H90" s="24"/>
      <c r="I90" s="4"/>
      <c r="J90" s="4"/>
      <c r="K90" s="4"/>
      <c r="L90" s="4"/>
      <c r="M90" s="4"/>
      <c r="N90" s="4"/>
      <c r="O90" s="4"/>
      <c r="P90" s="4"/>
      <c r="Q90" s="4"/>
      <c r="R90" s="4"/>
      <c r="S90" s="4"/>
      <c r="T90" s="4"/>
      <c r="U90" s="4"/>
      <c r="V90" s="4"/>
      <c r="W90" s="4"/>
      <c r="X90" s="4"/>
      <c r="Y90" s="4"/>
      <c r="Z90" s="4"/>
    </row>
    <row r="91" ht="15.75" customHeight="1">
      <c r="A91" s="33" t="s">
        <v>310</v>
      </c>
      <c r="B91" s="33">
        <v>0.0</v>
      </c>
      <c r="C91" s="33">
        <v>0.0</v>
      </c>
      <c r="D91" s="33">
        <v>0.0</v>
      </c>
      <c r="E91" s="33">
        <v>0.0</v>
      </c>
      <c r="F91" s="33">
        <v>0.0</v>
      </c>
      <c r="G91" s="33">
        <v>0.0</v>
      </c>
      <c r="H91" s="24"/>
      <c r="I91" s="4"/>
      <c r="J91" s="4"/>
      <c r="K91" s="4"/>
      <c r="L91" s="4"/>
      <c r="M91" s="4"/>
      <c r="N91" s="4"/>
      <c r="O91" s="4"/>
      <c r="P91" s="4"/>
      <c r="Q91" s="4"/>
      <c r="R91" s="4"/>
      <c r="S91" s="4"/>
      <c r="T91" s="4"/>
      <c r="U91" s="4"/>
      <c r="V91" s="4"/>
      <c r="W91" s="4"/>
      <c r="X91" s="4"/>
      <c r="Y91" s="4"/>
      <c r="Z91" s="4"/>
    </row>
    <row r="92" ht="15.75" customHeight="1">
      <c r="A92" s="34" t="s">
        <v>502</v>
      </c>
      <c r="B92" s="34">
        <v>0.0</v>
      </c>
      <c r="C92" s="34" t="str">
        <f>'1조'!C128</f>
        <v>1조 - Container-based - Testability</v>
      </c>
      <c r="D92" s="34">
        <v>0.0</v>
      </c>
      <c r="E92" s="34" t="str">
        <f>'1조'!E128</f>
        <v>1조 - Cloud-based - Testability</v>
      </c>
      <c r="F92" s="35" t="str">
        <f>'1조'!F128</f>
        <v>--</v>
      </c>
      <c r="G92" s="34" t="str">
        <f>'1조'!G128</f>
        <v> [--] 다수 Device·Sensor 입력·통신 단절·재연결·상태 동기화와 실제 현장 환경의 조합을 반복 재현하기 매우 어렵다.</v>
      </c>
      <c r="H92" s="38" t="s">
        <v>872</v>
      </c>
      <c r="I92" s="4"/>
      <c r="J92" s="4"/>
      <c r="K92" s="4"/>
      <c r="L92" s="4"/>
      <c r="M92" s="4"/>
      <c r="N92" s="4"/>
      <c r="O92" s="4"/>
      <c r="P92" s="4"/>
      <c r="Q92" s="4"/>
      <c r="R92" s="4"/>
      <c r="S92" s="4"/>
      <c r="T92" s="4"/>
      <c r="U92" s="4"/>
      <c r="V92" s="4"/>
      <c r="W92" s="4"/>
      <c r="X92" s="4"/>
      <c r="Y92" s="4"/>
      <c r="Z92" s="4"/>
    </row>
    <row r="93" ht="15.75" customHeight="1">
      <c r="A93" s="34" t="s">
        <v>507</v>
      </c>
      <c r="B93" s="34">
        <v>0.0</v>
      </c>
      <c r="C93" s="34" t="str">
        <f>'2조'!C128</f>
        <v>2조 - Container-based - Testability</v>
      </c>
      <c r="D93" s="34">
        <v>0.0</v>
      </c>
      <c r="E93" s="34" t="str">
        <f>'2조'!E128</f>
        <v>2조 - Cloud-based - Testability</v>
      </c>
      <c r="F93" s="35" t="str">
        <f>'2조'!F128</f>
        <v>-</v>
      </c>
      <c r="G93" s="34" t="str">
        <f>'2조'!G128</f>
        <v>로컬 디바이스 단위의 기능 테스트는 가능하지만, 각 지역의 상이한 현장 네트워크 환경, 하드웨어 편차, 물리적 센서 교란 요소를 개발실 환경에서 일관되게 재현하여 통합 테스트하기가 매우 어려움.</v>
      </c>
      <c r="H93" s="37"/>
      <c r="I93" s="4"/>
      <c r="J93" s="4"/>
      <c r="K93" s="4"/>
      <c r="L93" s="4"/>
      <c r="M93" s="4"/>
      <c r="N93" s="4"/>
      <c r="O93" s="4"/>
      <c r="P93" s="4"/>
      <c r="Q93" s="4"/>
      <c r="R93" s="4"/>
      <c r="S93" s="4"/>
      <c r="T93" s="4"/>
      <c r="U93" s="4"/>
      <c r="V93" s="4"/>
      <c r="W93" s="4"/>
      <c r="X93" s="4"/>
      <c r="Y93" s="4"/>
      <c r="Z93" s="4"/>
    </row>
    <row r="94" ht="15.75" customHeight="1">
      <c r="A94" s="34" t="s">
        <v>510</v>
      </c>
      <c r="B94" s="34">
        <v>0.0</v>
      </c>
      <c r="C94" s="34" t="str">
        <f>'3조'!C128</f>
        <v>3조 - Container-based - Testability</v>
      </c>
      <c r="D94" s="34">
        <v>0.0</v>
      </c>
      <c r="E94" s="34" t="str">
        <f>'3조'!E128</f>
        <v>3조 - Cloud-based - Testability</v>
      </c>
      <c r="F94" s="35" t="str">
        <f>'3조'!F128</f>
        <v>-</v>
      </c>
      <c r="G94" s="34" t="str">
        <f>'3조'!G128</f>
        <v>Cloud, Edge, Device가 함께 동작하고 현장 환경 차이가 있어 테스트 환경 재현과 통합 테스트가 어렵다.</v>
      </c>
      <c r="H94" s="37"/>
      <c r="I94" s="4"/>
      <c r="J94" s="4"/>
      <c r="K94" s="4"/>
      <c r="L94" s="4"/>
      <c r="M94" s="4"/>
      <c r="N94" s="4"/>
      <c r="O94" s="4"/>
      <c r="P94" s="4"/>
      <c r="Q94" s="4"/>
      <c r="R94" s="4"/>
      <c r="S94" s="4"/>
      <c r="T94" s="4"/>
      <c r="U94" s="4"/>
      <c r="V94" s="4"/>
      <c r="W94" s="4"/>
      <c r="X94" s="4"/>
      <c r="Y94" s="4"/>
      <c r="Z94" s="4"/>
    </row>
    <row r="95" ht="15.75" customHeight="1">
      <c r="A95" s="34" t="s">
        <v>511</v>
      </c>
      <c r="B95" s="34">
        <v>0.0</v>
      </c>
      <c r="C95" s="34" t="str">
        <f>'4조'!C128</f>
        <v/>
      </c>
      <c r="D95" s="34">
        <v>0.0</v>
      </c>
      <c r="E95" s="34" t="str">
        <f>'4조'!E128</f>
        <v/>
      </c>
      <c r="F95" s="35" t="str">
        <f>'4조'!F128</f>
        <v>--</v>
      </c>
      <c r="G95" s="34" t="str">
        <f>'4조'!G128</f>
        <v>여러 현장의 장치 상태와 통신 상황을 같은 조건으로 재현하기 매우 어렵다.</v>
      </c>
      <c r="H95" s="37"/>
      <c r="I95" s="4"/>
      <c r="J95" s="4"/>
      <c r="K95" s="4"/>
      <c r="L95" s="4"/>
      <c r="M95" s="4"/>
      <c r="N95" s="4"/>
      <c r="O95" s="4"/>
      <c r="P95" s="4"/>
      <c r="Q95" s="4"/>
      <c r="R95" s="4"/>
      <c r="S95" s="4"/>
      <c r="T95" s="4"/>
      <c r="U95" s="4"/>
      <c r="V95" s="4"/>
      <c r="W95" s="4"/>
      <c r="X95" s="4"/>
      <c r="Y95" s="4"/>
      <c r="Z95" s="4"/>
    </row>
    <row r="96" ht="15.75" customHeight="1">
      <c r="A96" s="34" t="s">
        <v>513</v>
      </c>
      <c r="B96" s="34">
        <v>0.0</v>
      </c>
      <c r="C96" s="34" t="str">
        <f>'5조'!C128</f>
        <v>5조 - Container-based - Testability</v>
      </c>
      <c r="D96" s="34">
        <v>0.0</v>
      </c>
      <c r="E96" s="34" t="str">
        <f>'5조'!E128</f>
        <v/>
      </c>
      <c r="F96" s="35" t="str">
        <f>'5조'!F128</f>
        <v>0</v>
      </c>
      <c r="G96" s="34" t="str">
        <f>'5조'!G128</f>
        <v>각 edge별 test는 용이하나 중앙과 연결된 전체 test시 복잡해짐</v>
      </c>
      <c r="H96" s="37"/>
      <c r="I96" s="4"/>
      <c r="J96" s="4"/>
      <c r="K96" s="4"/>
      <c r="L96" s="4"/>
      <c r="M96" s="4"/>
      <c r="N96" s="4"/>
      <c r="O96" s="4"/>
      <c r="P96" s="4"/>
      <c r="Q96" s="4"/>
      <c r="R96" s="4"/>
      <c r="S96" s="4"/>
      <c r="T96" s="4"/>
      <c r="U96" s="4"/>
      <c r="V96" s="4"/>
      <c r="W96" s="4"/>
      <c r="X96" s="4"/>
      <c r="Y96" s="4"/>
      <c r="Z96" s="4"/>
    </row>
    <row r="97" ht="15.75" customHeight="1">
      <c r="A97" s="34" t="s">
        <v>516</v>
      </c>
      <c r="B97" s="34">
        <v>0.0</v>
      </c>
      <c r="C97" s="34" t="str">
        <f>'6조'!C128</f>
        <v>6조 - Container-based - Testability</v>
      </c>
      <c r="D97" s="34">
        <v>0.0</v>
      </c>
      <c r="E97" s="34" t="str">
        <f>'6조'!E128</f>
        <v>6조 - Cloud-based - Testability</v>
      </c>
      <c r="F97" s="35" t="str">
        <f>'6조'!F128</f>
        <v>-</v>
      </c>
      <c r="G97" s="34" t="str">
        <f>'6조'!G128</f>
        <v>여러 edge device/node와 network 환경이 맞물려있기 떄문에 통합 테스트가 어렵다.</v>
      </c>
      <c r="H97" s="37"/>
      <c r="I97" s="4"/>
      <c r="J97" s="4"/>
      <c r="K97" s="4"/>
      <c r="L97" s="4"/>
      <c r="M97" s="4"/>
      <c r="N97" s="4"/>
      <c r="O97" s="4"/>
      <c r="P97" s="4"/>
      <c r="Q97" s="4"/>
      <c r="R97" s="4"/>
      <c r="S97" s="4"/>
      <c r="T97" s="4"/>
      <c r="U97" s="4"/>
      <c r="V97" s="4"/>
      <c r="W97" s="4"/>
      <c r="X97" s="4"/>
      <c r="Y97" s="4"/>
      <c r="Z97" s="4"/>
    </row>
    <row r="98" ht="15.75" customHeight="1">
      <c r="A98" s="34" t="s">
        <v>520</v>
      </c>
      <c r="B98" s="34">
        <v>0.0</v>
      </c>
      <c r="C98" s="34" t="str">
        <f>'7조'!C128</f>
        <v>7조 - Container-based - Testability</v>
      </c>
      <c r="D98" s="34">
        <v>0.0</v>
      </c>
      <c r="E98" s="34" t="str">
        <f>'7조'!E128</f>
        <v>7조 - Cloud-based - Testability</v>
      </c>
      <c r="F98" s="35" t="str">
        <f>'7조'!F128</f>
        <v/>
      </c>
      <c r="G98" s="34" t="str">
        <f>'7조'!G128</f>
        <v>7조 - Edge-based - Testability</v>
      </c>
      <c r="H98" s="37"/>
      <c r="I98" s="4"/>
      <c r="J98" s="4"/>
      <c r="K98" s="4"/>
      <c r="L98" s="4"/>
      <c r="M98" s="4"/>
      <c r="N98" s="4"/>
      <c r="O98" s="4"/>
      <c r="P98" s="4"/>
      <c r="Q98" s="4"/>
      <c r="R98" s="4"/>
      <c r="S98" s="4"/>
      <c r="T98" s="4"/>
      <c r="U98" s="4"/>
      <c r="V98" s="4"/>
      <c r="W98" s="4"/>
      <c r="X98" s="4"/>
      <c r="Y98" s="4"/>
      <c r="Z98" s="4"/>
    </row>
    <row r="99" ht="15.75" customHeight="1">
      <c r="A99" s="34" t="s">
        <v>523</v>
      </c>
      <c r="B99" s="34">
        <v>0.0</v>
      </c>
      <c r="C99" s="34" t="str">
        <f>'8조'!C128</f>
        <v>8조 - Container-based - Testability</v>
      </c>
      <c r="D99" s="34">
        <v>0.0</v>
      </c>
      <c r="E99" s="34" t="str">
        <f>'8조'!E128</f>
        <v>8조 - Cloud-based - Testability</v>
      </c>
      <c r="F99" s="35" t="str">
        <f>'8조'!F128</f>
        <v/>
      </c>
      <c r="G99" s="34" t="str">
        <f>'8조'!G128</f>
        <v>8조 - Edge-based - Testability</v>
      </c>
      <c r="H99" s="37"/>
      <c r="I99" s="4"/>
      <c r="J99" s="4"/>
      <c r="K99" s="4"/>
      <c r="L99" s="4"/>
      <c r="M99" s="4"/>
      <c r="N99" s="4"/>
      <c r="O99" s="4"/>
      <c r="P99" s="4"/>
      <c r="Q99" s="4"/>
      <c r="R99" s="4"/>
      <c r="S99" s="4"/>
      <c r="T99" s="4"/>
      <c r="U99" s="4"/>
      <c r="V99" s="4"/>
      <c r="W99" s="4"/>
      <c r="X99" s="4"/>
      <c r="Y99" s="4"/>
      <c r="Z99" s="4"/>
    </row>
    <row r="100" ht="15.75" customHeight="1">
      <c r="A100" s="34" t="s">
        <v>526</v>
      </c>
      <c r="B100" s="34">
        <v>0.0</v>
      </c>
      <c r="C100" s="34" t="str">
        <f>'9조'!C128</f>
        <v>9조 - Container-based - Testability</v>
      </c>
      <c r="D100" s="34">
        <v>0.0</v>
      </c>
      <c r="E100" s="34" t="str">
        <f>'9조'!E128</f>
        <v>9조 - Cloud-based - Testability</v>
      </c>
      <c r="F100" s="35" t="str">
        <f>'9조'!F128</f>
        <v/>
      </c>
      <c r="G100" s="34" t="str">
        <f>'9조'!G128</f>
        <v>9조 - Edge-based - Testability</v>
      </c>
      <c r="H100" s="37"/>
      <c r="I100" s="4"/>
      <c r="J100" s="4"/>
      <c r="K100" s="4"/>
      <c r="L100" s="4"/>
      <c r="M100" s="4"/>
      <c r="N100" s="4"/>
      <c r="O100" s="4"/>
      <c r="P100" s="4"/>
      <c r="Q100" s="4"/>
      <c r="R100" s="4"/>
      <c r="S100" s="4"/>
      <c r="T100" s="4"/>
      <c r="U100" s="4"/>
      <c r="V100" s="4"/>
      <c r="W100" s="4"/>
      <c r="X100" s="4"/>
      <c r="Y100" s="4"/>
      <c r="Z100" s="4"/>
    </row>
    <row r="101" ht="15.0" customHeight="1">
      <c r="A101" s="34"/>
      <c r="B101" s="34"/>
      <c r="C101" s="34"/>
      <c r="D101" s="34"/>
      <c r="E101" s="34"/>
      <c r="F101" s="34"/>
      <c r="G101" s="34"/>
      <c r="H101" s="24"/>
      <c r="I101" s="4"/>
      <c r="J101" s="4"/>
      <c r="K101" s="4"/>
      <c r="L101" s="4"/>
      <c r="M101" s="4"/>
      <c r="N101" s="4"/>
      <c r="O101" s="4"/>
      <c r="P101" s="4"/>
      <c r="Q101" s="4"/>
      <c r="R101" s="4"/>
      <c r="S101" s="4"/>
      <c r="T101" s="4"/>
      <c r="U101" s="4"/>
      <c r="V101" s="4"/>
      <c r="W101" s="4"/>
      <c r="X101" s="4"/>
      <c r="Y101" s="4"/>
      <c r="Z101" s="4"/>
    </row>
    <row r="102" ht="15.75" customHeight="1">
      <c r="A102" s="33" t="s">
        <v>346</v>
      </c>
      <c r="B102" s="33">
        <v>0.0</v>
      </c>
      <c r="C102" s="33">
        <v>0.0</v>
      </c>
      <c r="D102" s="33">
        <v>0.0</v>
      </c>
      <c r="E102" s="33">
        <v>0.0</v>
      </c>
      <c r="F102" s="33">
        <v>0.0</v>
      </c>
      <c r="G102" s="33">
        <v>0.0</v>
      </c>
      <c r="H102" s="24"/>
      <c r="I102" s="4"/>
      <c r="J102" s="4"/>
      <c r="K102" s="4"/>
      <c r="L102" s="4"/>
      <c r="M102" s="4"/>
      <c r="N102" s="4"/>
      <c r="O102" s="4"/>
      <c r="P102" s="4"/>
      <c r="Q102" s="4"/>
      <c r="R102" s="4"/>
      <c r="S102" s="4"/>
      <c r="T102" s="4"/>
      <c r="U102" s="4"/>
      <c r="V102" s="4"/>
      <c r="W102" s="4"/>
      <c r="X102" s="4"/>
      <c r="Y102" s="4"/>
      <c r="Z102" s="4"/>
    </row>
    <row r="103" ht="15.75" customHeight="1">
      <c r="A103" s="34" t="s">
        <v>502</v>
      </c>
      <c r="B103" s="34">
        <v>0.0</v>
      </c>
      <c r="C103" s="34" t="str">
        <f>'1조'!C129</f>
        <v>1조 - Container-based - Usability</v>
      </c>
      <c r="D103" s="34">
        <v>0.0</v>
      </c>
      <c r="E103" s="34" t="str">
        <f>'1조'!E129</f>
        <v>1조 - Cloud-based - Usability</v>
      </c>
      <c r="F103" s="35" t="str">
        <f>'1조'!F129</f>
        <v>+</v>
      </c>
      <c r="G103" s="34" t="str">
        <f>'1조'!G129</f>
        <v>필요한 기능을 가까운 장치에서 완료하면 사용자에게 더 빠른 피드백을 주고 연결이 불안정할 때도 일부 작업을 유지할 수 있다.</v>
      </c>
      <c r="H103" s="38" t="s">
        <v>930</v>
      </c>
      <c r="I103" s="4"/>
      <c r="J103" s="4"/>
      <c r="K103" s="4"/>
      <c r="L103" s="4"/>
      <c r="M103" s="4"/>
      <c r="N103" s="4"/>
      <c r="O103" s="4"/>
      <c r="P103" s="4"/>
      <c r="Q103" s="4"/>
      <c r="R103" s="4"/>
      <c r="S103" s="4"/>
      <c r="T103" s="4"/>
      <c r="U103" s="4"/>
      <c r="V103" s="4"/>
      <c r="W103" s="4"/>
      <c r="X103" s="4"/>
      <c r="Y103" s="4"/>
      <c r="Z103" s="4"/>
    </row>
    <row r="104" ht="15.75" customHeight="1">
      <c r="A104" s="34" t="s">
        <v>507</v>
      </c>
      <c r="B104" s="34">
        <v>0.0</v>
      </c>
      <c r="C104" s="34" t="str">
        <f>'2조'!C129</f>
        <v>2조 - Container-based - Usability</v>
      </c>
      <c r="D104" s="34">
        <v>0.0</v>
      </c>
      <c r="E104" s="34" t="str">
        <f>'2조'!E129</f>
        <v>2조 - Cloud-based - Usability</v>
      </c>
      <c r="F104" s="35" t="str">
        <f>'2조'!F129</f>
        <v>+</v>
      </c>
      <c r="G104" s="34" t="str">
        <f>'2조'!G129</f>
        <v>통신 지연이 전혀 없는 즉각적인 실시간 반응을 제공하여 체감 사용성을 대폭 개선하고, 데이터의 로컬 보관을 통해 사용자 데이터 프라이버시와 소유권을 보장함.</v>
      </c>
      <c r="H104" s="37"/>
      <c r="I104" s="4"/>
      <c r="J104" s="4"/>
      <c r="K104" s="4"/>
      <c r="L104" s="4"/>
      <c r="M104" s="4"/>
      <c r="N104" s="4"/>
      <c r="O104" s="4"/>
      <c r="P104" s="4"/>
      <c r="Q104" s="4"/>
      <c r="R104" s="4"/>
      <c r="S104" s="4"/>
      <c r="T104" s="4"/>
      <c r="U104" s="4"/>
      <c r="V104" s="4"/>
      <c r="W104" s="4"/>
      <c r="X104" s="4"/>
      <c r="Y104" s="4"/>
      <c r="Z104" s="4"/>
    </row>
    <row r="105" ht="15.75" customHeight="1">
      <c r="A105" s="34" t="s">
        <v>510</v>
      </c>
      <c r="B105" s="34">
        <v>0.0</v>
      </c>
      <c r="C105" s="34" t="str">
        <f>'3조'!C129</f>
        <v>3조 - Container-based - Usability</v>
      </c>
      <c r="D105" s="34">
        <v>0.0</v>
      </c>
      <c r="E105" s="34" t="str">
        <f>'3조'!E129</f>
        <v>3조 - Cloud-based - Usability</v>
      </c>
      <c r="F105" s="35" t="str">
        <f>'3조'!F129</f>
        <v>++</v>
      </c>
      <c r="G105" s="34" t="str">
        <f>'3조'!G129</f>
        <v>사용자 가까이에서 처리해 응답 지연을 줄일 수 있으므로 실시간성이 중요한 기능의 사용자 경험에 유리하다.</v>
      </c>
      <c r="H105" s="37"/>
      <c r="I105" s="4"/>
      <c r="J105" s="4"/>
      <c r="K105" s="4"/>
      <c r="L105" s="4"/>
      <c r="M105" s="4"/>
      <c r="N105" s="4"/>
      <c r="O105" s="4"/>
      <c r="P105" s="4"/>
      <c r="Q105" s="4"/>
      <c r="R105" s="4"/>
      <c r="S105" s="4"/>
      <c r="T105" s="4"/>
      <c r="U105" s="4"/>
      <c r="V105" s="4"/>
      <c r="W105" s="4"/>
      <c r="X105" s="4"/>
      <c r="Y105" s="4"/>
      <c r="Z105" s="4"/>
    </row>
    <row r="106" ht="15.75" customHeight="1">
      <c r="A106" s="34" t="s">
        <v>511</v>
      </c>
      <c r="B106" s="34">
        <v>0.0</v>
      </c>
      <c r="C106" s="34" t="str">
        <f>'4조'!C129</f>
        <v/>
      </c>
      <c r="D106" s="34">
        <v>0.0</v>
      </c>
      <c r="E106" s="34" t="str">
        <f>'4조'!E129</f>
        <v/>
      </c>
      <c r="F106" s="35" t="str">
        <f>'4조'!F129</f>
        <v>+</v>
      </c>
      <c r="G106" s="34" t="str">
        <f>'4조'!G129</f>
        <v>낮은 지연과 오프라인에서도 이어지는 동작 덕분에 사용자가 시스템을 빠르고 믿음직하게 느낀다.</v>
      </c>
      <c r="H106" s="37"/>
      <c r="I106" s="4"/>
      <c r="J106" s="4"/>
      <c r="K106" s="4"/>
      <c r="L106" s="4"/>
      <c r="M106" s="4"/>
      <c r="N106" s="4"/>
      <c r="O106" s="4"/>
      <c r="P106" s="4"/>
      <c r="Q106" s="4"/>
      <c r="R106" s="4"/>
      <c r="S106" s="4"/>
      <c r="T106" s="4"/>
      <c r="U106" s="4"/>
      <c r="V106" s="4"/>
      <c r="W106" s="4"/>
      <c r="X106" s="4"/>
      <c r="Y106" s="4"/>
      <c r="Z106" s="4"/>
    </row>
    <row r="107" ht="15.75" customHeight="1">
      <c r="A107" s="34" t="s">
        <v>513</v>
      </c>
      <c r="B107" s="34">
        <v>0.0</v>
      </c>
      <c r="C107" s="34" t="str">
        <f>'5조'!C129</f>
        <v>5조 - Container-based - Usability</v>
      </c>
      <c r="D107" s="34">
        <v>0.0</v>
      </c>
      <c r="E107" s="34" t="str">
        <f>'5조'!E129</f>
        <v/>
      </c>
      <c r="F107" s="35" t="str">
        <f>'5조'!F129</f>
        <v>0</v>
      </c>
      <c r="G107" s="34" t="str">
        <f>'5조'!G129</f>
        <v>연관성 없다고 판단</v>
      </c>
      <c r="H107" s="37"/>
      <c r="I107" s="4"/>
      <c r="J107" s="4"/>
      <c r="K107" s="4"/>
      <c r="L107" s="4"/>
      <c r="M107" s="4"/>
      <c r="N107" s="4"/>
      <c r="O107" s="4"/>
      <c r="P107" s="4"/>
      <c r="Q107" s="4"/>
      <c r="R107" s="4"/>
      <c r="S107" s="4"/>
      <c r="T107" s="4"/>
      <c r="U107" s="4"/>
      <c r="V107" s="4"/>
      <c r="W107" s="4"/>
      <c r="X107" s="4"/>
      <c r="Y107" s="4"/>
      <c r="Z107" s="4"/>
    </row>
    <row r="108" ht="15.75" customHeight="1">
      <c r="A108" s="34" t="s">
        <v>516</v>
      </c>
      <c r="B108" s="34">
        <v>0.0</v>
      </c>
      <c r="C108" s="34" t="str">
        <f>'6조'!C129</f>
        <v>6조 - Container-based - Usability</v>
      </c>
      <c r="D108" s="34">
        <v>0.0</v>
      </c>
      <c r="E108" s="34" t="str">
        <f>'6조'!E129</f>
        <v>6조 - Cloud-based - Usability</v>
      </c>
      <c r="F108" s="35" t="str">
        <f>'6조'!F129</f>
        <v>+</v>
      </c>
      <c r="G108" s="34" t="str">
        <f>'6조'!G129</f>
        <v>실시간 응답성이 필요한 연산들은 실제 서버까지 갈 필요없이 엣지에서 이루어지고 응답이 돌아오기 때문에 응답시간 단축으로 인한 사용자 경험 증대 기대</v>
      </c>
      <c r="H108" s="37"/>
      <c r="I108" s="4"/>
      <c r="J108" s="4"/>
      <c r="K108" s="4"/>
      <c r="L108" s="4"/>
      <c r="M108" s="4"/>
      <c r="N108" s="4"/>
      <c r="O108" s="4"/>
      <c r="P108" s="4"/>
      <c r="Q108" s="4"/>
      <c r="R108" s="4"/>
      <c r="S108" s="4"/>
      <c r="T108" s="4"/>
      <c r="U108" s="4"/>
      <c r="V108" s="4"/>
      <c r="W108" s="4"/>
      <c r="X108" s="4"/>
      <c r="Y108" s="4"/>
      <c r="Z108" s="4"/>
    </row>
    <row r="109" ht="15.75" customHeight="1">
      <c r="A109" s="34" t="s">
        <v>520</v>
      </c>
      <c r="B109" s="34">
        <v>0.0</v>
      </c>
      <c r="C109" s="34" t="str">
        <f>'7조'!C129</f>
        <v>7조 - Container-based - Usability</v>
      </c>
      <c r="D109" s="34">
        <v>0.0</v>
      </c>
      <c r="E109" s="34" t="str">
        <f>'7조'!E129</f>
        <v>7조 - Cloud-based - Usability</v>
      </c>
      <c r="F109" s="35" t="str">
        <f>'7조'!F129</f>
        <v/>
      </c>
      <c r="G109" s="34" t="str">
        <f>'7조'!G129</f>
        <v>7조 - Edge-based - Usability</v>
      </c>
      <c r="H109" s="37"/>
      <c r="I109" s="4"/>
      <c r="J109" s="4"/>
      <c r="K109" s="4"/>
      <c r="L109" s="4"/>
      <c r="M109" s="4"/>
      <c r="N109" s="4"/>
      <c r="O109" s="4"/>
      <c r="P109" s="4"/>
      <c r="Q109" s="4"/>
      <c r="R109" s="4"/>
      <c r="S109" s="4"/>
      <c r="T109" s="4"/>
      <c r="U109" s="4"/>
      <c r="V109" s="4"/>
      <c r="W109" s="4"/>
      <c r="X109" s="4"/>
      <c r="Y109" s="4"/>
      <c r="Z109" s="4"/>
    </row>
    <row r="110" ht="15.75" customHeight="1">
      <c r="A110" s="34" t="s">
        <v>523</v>
      </c>
      <c r="B110" s="34">
        <v>0.0</v>
      </c>
      <c r="C110" s="34" t="str">
        <f>'8조'!C129</f>
        <v>8조 - Container-based - Usability</v>
      </c>
      <c r="D110" s="34">
        <v>0.0</v>
      </c>
      <c r="E110" s="34" t="str">
        <f>'8조'!E129</f>
        <v>8조 - Cloud-based - Usability</v>
      </c>
      <c r="F110" s="35" t="str">
        <f>'8조'!F129</f>
        <v/>
      </c>
      <c r="G110" s="34" t="str">
        <f>'8조'!G129</f>
        <v>8조 - Edge-based - Usability</v>
      </c>
      <c r="H110" s="37"/>
      <c r="I110" s="4"/>
      <c r="J110" s="4"/>
      <c r="K110" s="4"/>
      <c r="L110" s="4"/>
      <c r="M110" s="4"/>
      <c r="N110" s="4"/>
      <c r="O110" s="4"/>
      <c r="P110" s="4"/>
      <c r="Q110" s="4"/>
      <c r="R110" s="4"/>
      <c r="S110" s="4"/>
      <c r="T110" s="4"/>
      <c r="U110" s="4"/>
      <c r="V110" s="4"/>
      <c r="W110" s="4"/>
      <c r="X110" s="4"/>
      <c r="Y110" s="4"/>
      <c r="Z110" s="4"/>
    </row>
    <row r="111" ht="15.75" customHeight="1">
      <c r="A111" s="34" t="s">
        <v>526</v>
      </c>
      <c r="B111" s="34">
        <v>0.0</v>
      </c>
      <c r="C111" s="34" t="str">
        <f>'9조'!C129</f>
        <v>9조 - Container-based - Usability</v>
      </c>
      <c r="D111" s="34">
        <v>0.0</v>
      </c>
      <c r="E111" s="34" t="str">
        <f>'9조'!E129</f>
        <v>9조 - Cloud-based - Usability</v>
      </c>
      <c r="F111" s="35" t="str">
        <f>'9조'!F129</f>
        <v/>
      </c>
      <c r="G111" s="34" t="str">
        <f>'9조'!G129</f>
        <v>9조 - Edge-based - Usability</v>
      </c>
      <c r="H111" s="37"/>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4">
    <mergeCell ref="H37:H45"/>
    <mergeCell ref="H48:H56"/>
    <mergeCell ref="H59:H67"/>
    <mergeCell ref="H70:H78"/>
    <mergeCell ref="H81:H89"/>
    <mergeCell ref="H92:H100"/>
    <mergeCell ref="H103:H111"/>
    <mergeCell ref="A1:A2"/>
    <mergeCell ref="B1:C1"/>
    <mergeCell ref="D1:E1"/>
    <mergeCell ref="F1:G1"/>
    <mergeCell ref="H4:H12"/>
    <mergeCell ref="H15:H23"/>
    <mergeCell ref="H26:H34"/>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9.57"/>
    <col customWidth="1" min="2" max="2" width="14.71"/>
    <col customWidth="1" min="3" max="3" width="73.86"/>
    <col customWidth="1" min="4" max="4" width="9.86"/>
    <col customWidth="1" min="5" max="5" width="64.43"/>
    <col customWidth="1" min="6" max="6" width="11.43"/>
    <col customWidth="1" min="7" max="7" width="61.57"/>
    <col customWidth="1" min="8" max="8" width="8.86"/>
    <col customWidth="1" min="9" max="9" width="64.14"/>
  </cols>
  <sheetData>
    <row r="1">
      <c r="A1" s="39" t="s">
        <v>666</v>
      </c>
      <c r="B1" s="40" t="s">
        <v>0</v>
      </c>
      <c r="C1" s="30"/>
      <c r="D1" s="40" t="s">
        <v>1</v>
      </c>
      <c r="E1" s="30"/>
      <c r="F1" s="40" t="s">
        <v>2</v>
      </c>
      <c r="G1" s="30"/>
    </row>
    <row r="2">
      <c r="A2" s="31"/>
      <c r="B2" s="41" t="s">
        <v>11</v>
      </c>
      <c r="C2" s="41" t="s">
        <v>12</v>
      </c>
      <c r="D2" s="41" t="s">
        <v>11</v>
      </c>
      <c r="E2" s="41" t="s">
        <v>12</v>
      </c>
      <c r="F2" s="41" t="s">
        <v>11</v>
      </c>
      <c r="G2" s="41" t="s">
        <v>12</v>
      </c>
    </row>
    <row r="3" ht="16.5" customHeight="1">
      <c r="A3" s="42" t="s">
        <v>14</v>
      </c>
      <c r="B3" s="43"/>
      <c r="C3" s="44"/>
      <c r="D3" s="43"/>
      <c r="E3" s="42"/>
      <c r="F3" s="45"/>
      <c r="G3" s="46"/>
    </row>
    <row r="4" ht="16.5" customHeight="1">
      <c r="A4" s="42" t="s">
        <v>47</v>
      </c>
      <c r="B4" s="43"/>
      <c r="C4" s="44"/>
      <c r="D4" s="43"/>
      <c r="E4" s="42"/>
      <c r="F4" s="45"/>
      <c r="G4" s="46"/>
    </row>
    <row r="5" ht="16.5" customHeight="1">
      <c r="A5" s="42" t="s">
        <v>80</v>
      </c>
      <c r="B5" s="43"/>
      <c r="C5" s="44"/>
      <c r="D5" s="43"/>
      <c r="E5" s="47"/>
      <c r="F5" s="45"/>
      <c r="G5" s="48"/>
    </row>
    <row r="6" ht="16.5" customHeight="1">
      <c r="A6" s="42" t="s">
        <v>117</v>
      </c>
      <c r="B6" s="43"/>
      <c r="C6" s="44"/>
      <c r="D6" s="43"/>
      <c r="E6" s="44"/>
      <c r="F6" s="45"/>
      <c r="G6" s="46"/>
    </row>
    <row r="7" ht="16.5" customHeight="1">
      <c r="A7" s="42" t="s">
        <v>151</v>
      </c>
      <c r="B7" s="43"/>
      <c r="C7" s="44"/>
      <c r="D7" s="43"/>
      <c r="E7" s="42"/>
      <c r="F7" s="43"/>
      <c r="G7" s="46"/>
    </row>
    <row r="8" ht="16.5" customHeight="1">
      <c r="A8" s="42" t="s">
        <v>186</v>
      </c>
      <c r="B8" s="43"/>
      <c r="C8" s="42"/>
      <c r="D8" s="43"/>
      <c r="E8" s="42"/>
      <c r="F8" s="45"/>
      <c r="G8" s="44"/>
    </row>
    <row r="9" ht="16.5" customHeight="1">
      <c r="A9" s="42" t="s">
        <v>221</v>
      </c>
      <c r="B9" s="43"/>
      <c r="C9" s="44"/>
      <c r="D9" s="43"/>
      <c r="E9" s="44"/>
      <c r="F9" s="45"/>
      <c r="G9" s="46"/>
    </row>
    <row r="10" ht="16.5" customHeight="1">
      <c r="A10" s="42" t="s">
        <v>261</v>
      </c>
      <c r="B10" s="43"/>
      <c r="C10" s="44"/>
      <c r="D10" s="43"/>
      <c r="E10" s="44"/>
      <c r="F10" s="43"/>
      <c r="G10" s="44"/>
    </row>
    <row r="11" ht="16.5" customHeight="1">
      <c r="A11" s="42" t="s">
        <v>310</v>
      </c>
      <c r="B11" s="43"/>
      <c r="C11" s="44"/>
      <c r="D11" s="43"/>
      <c r="E11" s="42"/>
      <c r="F11" s="43"/>
      <c r="G11" s="44"/>
    </row>
    <row r="12" ht="16.5" customHeight="1">
      <c r="A12" s="42" t="s">
        <v>346</v>
      </c>
      <c r="B12" s="43"/>
      <c r="C12" s="44"/>
      <c r="D12" s="43"/>
      <c r="E12" s="44"/>
      <c r="F12" s="43"/>
      <c r="G12" s="44"/>
    </row>
    <row r="13">
      <c r="A13" s="49"/>
      <c r="B13" s="49"/>
      <c r="C13" s="49"/>
      <c r="D13" s="49"/>
      <c r="E13" s="49"/>
      <c r="F13" s="49"/>
      <c r="G13" s="49"/>
    </row>
    <row r="14" ht="36.0" customHeight="1">
      <c r="A14" s="50" t="s">
        <v>3</v>
      </c>
      <c r="B14" s="40" t="s">
        <v>668</v>
      </c>
      <c r="C14" s="30"/>
      <c r="D14" s="40" t="s">
        <v>8</v>
      </c>
      <c r="E14" s="30"/>
      <c r="F14" s="49"/>
      <c r="G14" s="49"/>
    </row>
    <row r="15">
      <c r="A15" s="51"/>
      <c r="B15" s="52" t="s">
        <v>11</v>
      </c>
      <c r="C15" s="52" t="s">
        <v>12</v>
      </c>
      <c r="D15" s="52" t="s">
        <v>11</v>
      </c>
      <c r="E15" s="52" t="s">
        <v>12</v>
      </c>
      <c r="F15" s="49"/>
      <c r="G15" s="49"/>
    </row>
    <row r="16" ht="16.5" customHeight="1">
      <c r="A16" s="42" t="s">
        <v>14</v>
      </c>
      <c r="B16" s="43"/>
      <c r="C16" s="44"/>
      <c r="D16" s="43"/>
      <c r="E16" s="44"/>
      <c r="F16" s="49"/>
      <c r="G16" s="49"/>
    </row>
    <row r="17" ht="16.5" customHeight="1">
      <c r="A17" s="42" t="s">
        <v>47</v>
      </c>
      <c r="B17" s="43"/>
      <c r="C17" s="44"/>
      <c r="D17" s="43"/>
      <c r="E17" s="44"/>
      <c r="F17" s="49"/>
      <c r="G17" s="49"/>
    </row>
    <row r="18" ht="16.5" customHeight="1">
      <c r="A18" s="42" t="s">
        <v>80</v>
      </c>
      <c r="B18" s="43"/>
      <c r="C18" s="44"/>
      <c r="D18" s="43"/>
      <c r="E18" s="42"/>
      <c r="F18" s="49"/>
      <c r="G18" s="49"/>
    </row>
    <row r="19" ht="16.5" customHeight="1">
      <c r="A19" s="42" t="s">
        <v>117</v>
      </c>
      <c r="B19" s="43"/>
      <c r="C19" s="44"/>
      <c r="D19" s="43"/>
      <c r="E19" s="44"/>
      <c r="F19" s="49"/>
      <c r="G19" s="49"/>
    </row>
    <row r="20" ht="16.5" customHeight="1">
      <c r="A20" s="42" t="s">
        <v>151</v>
      </c>
      <c r="B20" s="43"/>
      <c r="C20" s="34"/>
      <c r="D20" s="43"/>
      <c r="E20" s="34"/>
      <c r="F20" s="49"/>
      <c r="G20" s="49"/>
    </row>
    <row r="21" ht="16.5" customHeight="1">
      <c r="A21" s="42" t="s">
        <v>186</v>
      </c>
      <c r="B21" s="43"/>
      <c r="C21" s="42"/>
      <c r="D21" s="43"/>
      <c r="E21" s="42"/>
      <c r="F21" s="49"/>
      <c r="G21" s="49"/>
    </row>
    <row r="22" ht="16.5" customHeight="1">
      <c r="A22" s="42" t="s">
        <v>221</v>
      </c>
      <c r="B22" s="43"/>
      <c r="C22" s="44"/>
      <c r="D22" s="43"/>
      <c r="E22" s="42"/>
      <c r="F22" s="49"/>
      <c r="G22" s="49"/>
    </row>
    <row r="23" ht="16.5" customHeight="1">
      <c r="A23" s="42" t="s">
        <v>261</v>
      </c>
      <c r="B23" s="43"/>
      <c r="C23" s="44"/>
      <c r="D23" s="43"/>
      <c r="E23" s="44"/>
      <c r="F23" s="49"/>
      <c r="G23" s="49"/>
    </row>
    <row r="24" ht="16.5" customHeight="1">
      <c r="A24" s="42" t="s">
        <v>310</v>
      </c>
      <c r="B24" s="43"/>
      <c r="C24" s="44"/>
      <c r="D24" s="43"/>
      <c r="E24" s="44"/>
      <c r="F24" s="49"/>
      <c r="G24" s="49"/>
    </row>
    <row r="25" ht="16.5" customHeight="1">
      <c r="A25" s="42" t="s">
        <v>346</v>
      </c>
      <c r="B25" s="43"/>
      <c r="C25" s="44"/>
      <c r="D25" s="43"/>
      <c r="E25" s="44"/>
      <c r="F25" s="49"/>
      <c r="G25" s="49"/>
    </row>
    <row r="26" ht="15.75" customHeight="1">
      <c r="A26" s="49"/>
      <c r="B26" s="49"/>
      <c r="C26" s="49"/>
      <c r="D26" s="49"/>
      <c r="E26" s="49"/>
      <c r="F26" s="49"/>
      <c r="G26" s="49"/>
    </row>
    <row r="27" ht="15.75" customHeight="1">
      <c r="A27" s="50" t="s">
        <v>4</v>
      </c>
      <c r="B27" s="40" t="s">
        <v>6</v>
      </c>
      <c r="C27" s="30"/>
      <c r="D27" s="40" t="s">
        <v>9</v>
      </c>
      <c r="E27" s="30"/>
      <c r="F27" s="49"/>
      <c r="G27" s="49"/>
    </row>
    <row r="28" ht="15.75" customHeight="1">
      <c r="A28" s="53"/>
      <c r="B28" s="41" t="s">
        <v>11</v>
      </c>
      <c r="C28" s="41" t="s">
        <v>12</v>
      </c>
      <c r="D28" s="41" t="s">
        <v>11</v>
      </c>
      <c r="E28" s="41" t="s">
        <v>12</v>
      </c>
      <c r="F28" s="49"/>
      <c r="G28" s="49"/>
    </row>
    <row r="29" ht="16.5" customHeight="1">
      <c r="A29" s="42" t="s">
        <v>14</v>
      </c>
      <c r="B29" s="41"/>
      <c r="C29" s="42"/>
      <c r="D29" s="43"/>
      <c r="E29" s="42"/>
      <c r="F29" s="49"/>
      <c r="G29" s="49"/>
    </row>
    <row r="30" ht="16.5" customHeight="1">
      <c r="A30" s="42" t="s">
        <v>47</v>
      </c>
      <c r="B30" s="41"/>
      <c r="C30" s="42"/>
      <c r="D30" s="43"/>
      <c r="E30" s="42"/>
      <c r="F30" s="49"/>
      <c r="G30" s="49"/>
    </row>
    <row r="31" ht="16.5" customHeight="1">
      <c r="A31" s="42" t="s">
        <v>80</v>
      </c>
      <c r="B31" s="41"/>
      <c r="C31" s="44"/>
      <c r="D31" s="43"/>
      <c r="E31" s="44"/>
      <c r="F31" s="49"/>
      <c r="G31" s="49"/>
    </row>
    <row r="32" ht="16.5" customHeight="1">
      <c r="A32" s="42" t="s">
        <v>117</v>
      </c>
      <c r="B32" s="41"/>
      <c r="C32" s="44"/>
      <c r="D32" s="43"/>
      <c r="E32" s="44"/>
      <c r="F32" s="49"/>
      <c r="G32" s="49"/>
    </row>
    <row r="33" ht="16.5" customHeight="1">
      <c r="A33" s="42" t="s">
        <v>151</v>
      </c>
      <c r="B33" s="43"/>
      <c r="C33" s="42"/>
      <c r="D33" s="43"/>
      <c r="E33" s="42"/>
      <c r="F33" s="49"/>
      <c r="G33" s="49"/>
    </row>
    <row r="34" ht="16.5" customHeight="1">
      <c r="A34" s="42" t="s">
        <v>186</v>
      </c>
      <c r="B34" s="41"/>
      <c r="C34" s="42"/>
      <c r="D34" s="43"/>
      <c r="E34" s="42"/>
      <c r="F34" s="49"/>
      <c r="G34" s="49"/>
    </row>
    <row r="35" ht="16.5" customHeight="1">
      <c r="A35" s="42" t="s">
        <v>221</v>
      </c>
      <c r="B35" s="41"/>
      <c r="C35" s="44"/>
      <c r="D35" s="41"/>
      <c r="E35" s="44"/>
      <c r="F35" s="49"/>
      <c r="G35" s="49"/>
    </row>
    <row r="36" ht="16.5" customHeight="1">
      <c r="A36" s="42" t="s">
        <v>261</v>
      </c>
      <c r="B36" s="41"/>
      <c r="C36" s="42"/>
      <c r="D36" s="43"/>
      <c r="E36" s="42"/>
      <c r="F36" s="49"/>
      <c r="G36" s="49"/>
    </row>
    <row r="37" ht="15.75" customHeight="1">
      <c r="A37" s="42" t="s">
        <v>310</v>
      </c>
      <c r="B37" s="41"/>
      <c r="C37" s="42"/>
      <c r="D37" s="41"/>
      <c r="E37" s="42"/>
      <c r="F37" s="49"/>
      <c r="G37" s="49"/>
    </row>
    <row r="38" ht="16.5" customHeight="1">
      <c r="A38" s="42" t="s">
        <v>346</v>
      </c>
      <c r="B38" s="43"/>
      <c r="C38" s="42"/>
      <c r="D38" s="41"/>
      <c r="E38" s="42"/>
      <c r="F38" s="49"/>
      <c r="G38" s="49"/>
    </row>
    <row r="39" ht="15.75" customHeight="1">
      <c r="A39" s="49"/>
      <c r="B39" s="49"/>
      <c r="C39" s="49"/>
      <c r="D39" s="49"/>
      <c r="E39" s="49"/>
      <c r="F39" s="49"/>
      <c r="G39" s="49"/>
    </row>
    <row r="40" ht="15.75" customHeight="1">
      <c r="A40" s="50" t="s">
        <v>7</v>
      </c>
      <c r="B40" s="40" t="s">
        <v>10</v>
      </c>
      <c r="C40" s="30"/>
      <c r="D40" s="40" t="s">
        <v>13</v>
      </c>
      <c r="E40" s="30"/>
      <c r="F40" s="49"/>
      <c r="G40" s="49"/>
    </row>
    <row r="41" ht="16.5" customHeight="1">
      <c r="A41" s="53"/>
      <c r="B41" s="41" t="s">
        <v>11</v>
      </c>
      <c r="C41" s="41" t="s">
        <v>12</v>
      </c>
      <c r="D41" s="41" t="s">
        <v>11</v>
      </c>
      <c r="E41" s="41" t="s">
        <v>12</v>
      </c>
      <c r="F41" s="49"/>
      <c r="G41" s="49"/>
      <c r="H41" s="54"/>
    </row>
    <row r="42" ht="16.5" customHeight="1">
      <c r="A42" s="42" t="s">
        <v>14</v>
      </c>
      <c r="B42" s="43"/>
      <c r="C42" s="44"/>
      <c r="D42" s="43"/>
      <c r="E42" s="44"/>
      <c r="F42" s="49"/>
      <c r="G42" s="49"/>
    </row>
    <row r="43" ht="16.5" customHeight="1">
      <c r="A43" s="42" t="s">
        <v>47</v>
      </c>
      <c r="B43" s="43"/>
      <c r="C43" s="44"/>
      <c r="D43" s="43"/>
      <c r="E43" s="42"/>
      <c r="F43" s="49"/>
      <c r="G43" s="49"/>
      <c r="H43" s="49"/>
    </row>
    <row r="44" ht="16.5" customHeight="1">
      <c r="A44" s="42" t="s">
        <v>80</v>
      </c>
      <c r="B44" s="43"/>
      <c r="C44" s="44"/>
      <c r="D44" s="43"/>
      <c r="E44" s="42"/>
      <c r="F44" s="49"/>
      <c r="G44" s="49"/>
      <c r="H44" s="49"/>
    </row>
    <row r="45" ht="16.5" customHeight="1">
      <c r="A45" s="42" t="s">
        <v>117</v>
      </c>
      <c r="B45" s="43"/>
      <c r="C45" s="44"/>
      <c r="D45" s="43"/>
      <c r="E45" s="44"/>
      <c r="F45" s="49"/>
      <c r="G45" s="49"/>
      <c r="H45" s="49"/>
    </row>
    <row r="46" ht="16.5" customHeight="1">
      <c r="A46" s="42" t="s">
        <v>151</v>
      </c>
      <c r="B46" s="43"/>
      <c r="C46" s="34"/>
      <c r="D46" s="43"/>
      <c r="E46" s="44"/>
      <c r="F46" s="49"/>
      <c r="G46" s="49"/>
      <c r="H46" s="49"/>
    </row>
    <row r="47" ht="16.5" customHeight="1">
      <c r="A47" s="42" t="s">
        <v>186</v>
      </c>
      <c r="B47" s="43"/>
      <c r="C47" s="44"/>
      <c r="D47" s="43"/>
      <c r="E47" s="34"/>
      <c r="F47" s="49"/>
      <c r="G47" s="49"/>
      <c r="H47" s="49"/>
    </row>
    <row r="48" ht="16.5" customHeight="1">
      <c r="A48" s="42" t="s">
        <v>221</v>
      </c>
      <c r="B48" s="43"/>
      <c r="C48" s="44"/>
      <c r="D48" s="43"/>
      <c r="E48" s="44"/>
      <c r="F48" s="49"/>
      <c r="G48" s="49"/>
      <c r="H48" s="49"/>
    </row>
    <row r="49" ht="16.5" customHeight="1">
      <c r="A49" s="42" t="s">
        <v>261</v>
      </c>
      <c r="B49" s="43"/>
      <c r="C49" s="44"/>
      <c r="D49" s="43"/>
      <c r="E49" s="44"/>
      <c r="F49" s="49"/>
      <c r="G49" s="49"/>
      <c r="H49" s="49"/>
    </row>
    <row r="50" ht="16.5" customHeight="1">
      <c r="A50" s="42" t="s">
        <v>310</v>
      </c>
      <c r="B50" s="43"/>
      <c r="C50" s="44"/>
      <c r="D50" s="43"/>
      <c r="E50" s="44"/>
      <c r="F50" s="49"/>
      <c r="G50" s="49"/>
      <c r="H50" s="55"/>
      <c r="I50" s="55"/>
    </row>
    <row r="51" ht="16.5" customHeight="1">
      <c r="A51" s="42" t="s">
        <v>346</v>
      </c>
      <c r="B51" s="43"/>
      <c r="C51" s="44"/>
      <c r="D51" s="43"/>
      <c r="E51" s="44"/>
      <c r="F51" s="49"/>
      <c r="G51" s="56"/>
      <c r="H51" s="54"/>
    </row>
    <row r="52" ht="15.75" customHeight="1">
      <c r="A52" s="49"/>
      <c r="B52" s="49"/>
      <c r="C52" s="49"/>
      <c r="D52" s="49"/>
      <c r="E52" s="49"/>
      <c r="F52" s="49"/>
      <c r="G52" s="49"/>
    </row>
    <row r="53" ht="15.75" customHeight="1">
      <c r="A53" s="50" t="s">
        <v>413</v>
      </c>
      <c r="B53" s="40" t="s">
        <v>414</v>
      </c>
      <c r="C53" s="30"/>
      <c r="D53" s="40" t="s">
        <v>415</v>
      </c>
      <c r="E53" s="30"/>
      <c r="F53" s="49"/>
      <c r="G53" s="49"/>
      <c r="H53" s="49"/>
    </row>
    <row r="54" ht="15.75" customHeight="1">
      <c r="A54" s="53"/>
      <c r="B54" s="41" t="s">
        <v>11</v>
      </c>
      <c r="C54" s="41" t="s">
        <v>12</v>
      </c>
      <c r="D54" s="41" t="s">
        <v>11</v>
      </c>
      <c r="E54" s="41" t="s">
        <v>12</v>
      </c>
      <c r="F54" s="49"/>
      <c r="G54" s="56"/>
      <c r="H54" s="49"/>
    </row>
    <row r="55" ht="16.5" customHeight="1">
      <c r="A55" s="42" t="s">
        <v>14</v>
      </c>
      <c r="B55" s="41"/>
      <c r="C55" s="42"/>
      <c r="D55" s="43"/>
      <c r="E55" s="42"/>
      <c r="F55" s="49"/>
      <c r="G55" s="56"/>
      <c r="H55" s="49"/>
    </row>
    <row r="56" ht="15.75" customHeight="1">
      <c r="A56" s="42" t="s">
        <v>47</v>
      </c>
      <c r="B56" s="41"/>
      <c r="C56" s="47"/>
      <c r="D56" s="41"/>
      <c r="E56" s="42"/>
      <c r="F56" s="49"/>
      <c r="G56" s="56"/>
      <c r="H56" s="49"/>
    </row>
    <row r="57" ht="16.5" customHeight="1">
      <c r="A57" s="42" t="s">
        <v>80</v>
      </c>
      <c r="B57" s="41"/>
      <c r="C57" s="44"/>
      <c r="D57" s="41"/>
      <c r="E57" s="42"/>
      <c r="F57" s="49"/>
      <c r="G57" s="56"/>
      <c r="H57" s="49"/>
    </row>
    <row r="58" ht="16.5" customHeight="1">
      <c r="A58" s="42" t="s">
        <v>117</v>
      </c>
      <c r="B58" s="43"/>
      <c r="C58" s="44"/>
      <c r="D58" s="41"/>
      <c r="E58" s="44"/>
      <c r="F58" s="49"/>
      <c r="G58" s="56"/>
      <c r="H58" s="49"/>
    </row>
    <row r="59" ht="16.5" customHeight="1">
      <c r="A59" s="42" t="s">
        <v>151</v>
      </c>
      <c r="B59" s="41"/>
      <c r="C59" s="42"/>
      <c r="D59" s="43"/>
      <c r="E59" s="42"/>
      <c r="F59" s="49"/>
      <c r="G59" s="56"/>
      <c r="H59" s="49"/>
    </row>
    <row r="60" ht="16.5" customHeight="1">
      <c r="A60" s="42" t="s">
        <v>186</v>
      </c>
      <c r="B60" s="41"/>
      <c r="C60" s="42"/>
      <c r="D60" s="43"/>
      <c r="E60" s="42"/>
      <c r="F60" s="49"/>
      <c r="G60" s="56"/>
      <c r="H60" s="55"/>
      <c r="I60" s="55"/>
    </row>
    <row r="61" ht="16.5" customHeight="1">
      <c r="A61" s="42" t="s">
        <v>221</v>
      </c>
      <c r="B61" s="41"/>
      <c r="C61" s="44"/>
      <c r="D61" s="41"/>
      <c r="E61" s="42"/>
      <c r="F61" s="49"/>
      <c r="G61" s="56"/>
      <c r="H61" s="54"/>
    </row>
    <row r="62" ht="15.75" customHeight="1">
      <c r="A62" s="42" t="s">
        <v>261</v>
      </c>
      <c r="B62" s="41"/>
      <c r="C62" s="42"/>
      <c r="D62" s="41"/>
      <c r="E62" s="42"/>
      <c r="F62" s="49"/>
      <c r="G62" s="56"/>
    </row>
    <row r="63" ht="16.5" customHeight="1">
      <c r="A63" s="42" t="s">
        <v>310</v>
      </c>
      <c r="B63" s="43"/>
      <c r="C63" s="42"/>
      <c r="D63" s="41"/>
      <c r="E63" s="42"/>
      <c r="F63" s="49"/>
      <c r="G63" s="49"/>
      <c r="H63" s="49"/>
    </row>
    <row r="64" ht="15.75" customHeight="1">
      <c r="A64" s="42" t="s">
        <v>346</v>
      </c>
      <c r="B64" s="41"/>
      <c r="C64" s="42"/>
      <c r="D64" s="41"/>
      <c r="E64" s="42"/>
      <c r="F64" s="49"/>
      <c r="G64" s="49"/>
      <c r="H64" s="49"/>
    </row>
    <row r="65" ht="15.75" customHeight="1">
      <c r="A65" s="49"/>
      <c r="B65" s="49"/>
      <c r="C65" s="49"/>
      <c r="D65" s="49"/>
      <c r="E65" s="49"/>
      <c r="F65" s="49"/>
      <c r="G65" s="56"/>
      <c r="H65" s="49"/>
    </row>
    <row r="66" ht="15.75" customHeight="1">
      <c r="A66" s="50" t="s">
        <v>413</v>
      </c>
      <c r="B66" s="40" t="s">
        <v>420</v>
      </c>
      <c r="C66" s="30"/>
      <c r="D66" s="40" t="s">
        <v>421</v>
      </c>
      <c r="E66" s="30"/>
      <c r="F66" s="57" t="s">
        <v>422</v>
      </c>
      <c r="G66" s="30"/>
      <c r="H66" s="49"/>
    </row>
    <row r="67" ht="15.75" customHeight="1">
      <c r="A67" s="53"/>
      <c r="B67" s="41" t="s">
        <v>11</v>
      </c>
      <c r="C67" s="41" t="s">
        <v>12</v>
      </c>
      <c r="D67" s="41" t="s">
        <v>11</v>
      </c>
      <c r="E67" s="41" t="s">
        <v>12</v>
      </c>
      <c r="F67" s="58" t="s">
        <v>11</v>
      </c>
      <c r="G67" s="58" t="s">
        <v>12</v>
      </c>
      <c r="H67" s="49"/>
    </row>
    <row r="68" ht="15.75" customHeight="1">
      <c r="A68" s="42" t="s">
        <v>14</v>
      </c>
      <c r="B68" s="41"/>
      <c r="C68" s="42"/>
      <c r="D68" s="41"/>
      <c r="E68" s="42"/>
      <c r="F68" s="58"/>
      <c r="G68" s="48"/>
      <c r="H68" s="49"/>
    </row>
    <row r="69" ht="16.5" customHeight="1">
      <c r="A69" s="42" t="s">
        <v>47</v>
      </c>
      <c r="B69" s="41"/>
      <c r="C69" s="42"/>
      <c r="D69" s="43"/>
      <c r="E69" s="47"/>
      <c r="F69" s="58"/>
      <c r="G69" s="48"/>
      <c r="H69" s="49"/>
    </row>
    <row r="70" ht="16.5" customHeight="1">
      <c r="A70" s="42" t="s">
        <v>80</v>
      </c>
      <c r="B70" s="43"/>
      <c r="C70" s="44"/>
      <c r="D70" s="43"/>
      <c r="E70" s="42"/>
      <c r="F70" s="58"/>
      <c r="G70" s="48"/>
    </row>
    <row r="71" ht="16.5" customHeight="1">
      <c r="A71" s="42" t="s">
        <v>117</v>
      </c>
      <c r="B71" s="41"/>
      <c r="C71" s="44"/>
      <c r="D71" s="41"/>
      <c r="E71" s="44"/>
      <c r="F71" s="58"/>
      <c r="G71" s="46"/>
    </row>
    <row r="72" ht="16.5" customHeight="1">
      <c r="A72" s="42" t="s">
        <v>151</v>
      </c>
      <c r="B72" s="43"/>
      <c r="C72" s="42"/>
      <c r="D72" s="43"/>
      <c r="E72" s="42"/>
      <c r="F72" s="58"/>
      <c r="G72" s="42"/>
    </row>
    <row r="73" ht="15.75" customHeight="1">
      <c r="A73" s="42" t="s">
        <v>186</v>
      </c>
      <c r="B73" s="41"/>
      <c r="C73" s="42"/>
      <c r="D73" s="41"/>
      <c r="E73" s="42"/>
      <c r="F73" s="41"/>
      <c r="G73" s="42"/>
    </row>
    <row r="74" ht="16.5" customHeight="1">
      <c r="A74" s="42" t="s">
        <v>221</v>
      </c>
      <c r="B74" s="43"/>
      <c r="C74" s="44"/>
      <c r="D74" s="41"/>
      <c r="E74" s="44"/>
      <c r="F74" s="41"/>
      <c r="G74" s="44"/>
    </row>
    <row r="75" ht="16.5" customHeight="1">
      <c r="A75" s="42" t="s">
        <v>261</v>
      </c>
      <c r="B75" s="43"/>
      <c r="C75" s="42"/>
      <c r="D75" s="43"/>
      <c r="E75" s="42"/>
      <c r="F75" s="58"/>
      <c r="G75" s="46"/>
    </row>
    <row r="76" ht="16.5" customHeight="1">
      <c r="A76" s="42" t="s">
        <v>310</v>
      </c>
      <c r="B76" s="43"/>
      <c r="C76" s="42"/>
      <c r="D76" s="43"/>
      <c r="E76" s="42"/>
      <c r="F76" s="43"/>
      <c r="G76" s="46"/>
    </row>
    <row r="77" ht="16.5" customHeight="1">
      <c r="A77" s="42" t="s">
        <v>346</v>
      </c>
      <c r="B77" s="43"/>
      <c r="C77" s="42"/>
      <c r="D77" s="43"/>
      <c r="E77" s="42"/>
      <c r="F77" s="43"/>
      <c r="G77" s="48"/>
    </row>
    <row r="78" ht="15.75" customHeight="1">
      <c r="A78" s="49"/>
      <c r="B78" s="49"/>
      <c r="C78" s="49"/>
      <c r="D78" s="49"/>
      <c r="E78" s="49"/>
      <c r="F78" s="56"/>
      <c r="G78" s="56"/>
    </row>
    <row r="79" ht="15.75" customHeight="1">
      <c r="A79" s="39" t="s">
        <v>493</v>
      </c>
      <c r="B79" s="40" t="s">
        <v>672</v>
      </c>
      <c r="C79" s="30"/>
      <c r="D79" s="40" t="s">
        <v>495</v>
      </c>
      <c r="E79" s="30"/>
      <c r="F79" s="57" t="s">
        <v>550</v>
      </c>
      <c r="G79" s="30"/>
    </row>
    <row r="80" ht="15.75" customHeight="1">
      <c r="A80" s="31"/>
      <c r="B80" s="41" t="s">
        <v>11</v>
      </c>
      <c r="C80" s="41" t="s">
        <v>12</v>
      </c>
      <c r="D80" s="41" t="s">
        <v>11</v>
      </c>
      <c r="E80" s="41" t="s">
        <v>12</v>
      </c>
      <c r="F80" s="58" t="s">
        <v>11</v>
      </c>
      <c r="G80" s="58" t="s">
        <v>12</v>
      </c>
    </row>
    <row r="81" ht="15.75" customHeight="1">
      <c r="A81" s="42" t="s">
        <v>14</v>
      </c>
      <c r="B81" s="41"/>
      <c r="C81" s="42"/>
      <c r="D81" s="41"/>
      <c r="E81" s="42"/>
      <c r="F81" s="58"/>
      <c r="G81" s="48"/>
    </row>
    <row r="82" ht="16.5" customHeight="1">
      <c r="A82" s="42" t="s">
        <v>47</v>
      </c>
      <c r="B82" s="41"/>
      <c r="C82" s="44"/>
      <c r="D82" s="41"/>
      <c r="E82" s="47"/>
      <c r="F82" s="43"/>
      <c r="G82" s="42"/>
    </row>
    <row r="83" ht="16.5" customHeight="1">
      <c r="A83" s="42" t="s">
        <v>80</v>
      </c>
      <c r="B83" s="43"/>
      <c r="C83" s="42"/>
      <c r="D83" s="43"/>
      <c r="E83" s="44"/>
      <c r="F83" s="58"/>
      <c r="G83" s="42"/>
    </row>
    <row r="84" ht="16.5" customHeight="1">
      <c r="A84" s="42" t="s">
        <v>117</v>
      </c>
      <c r="B84" s="41"/>
      <c r="C84" s="44"/>
      <c r="D84" s="41"/>
      <c r="E84" s="44"/>
      <c r="F84" s="41"/>
      <c r="G84" s="44"/>
    </row>
    <row r="85" ht="16.5" customHeight="1">
      <c r="A85" s="42" t="s">
        <v>151</v>
      </c>
      <c r="B85" s="43"/>
      <c r="C85" s="42"/>
      <c r="D85" s="43"/>
      <c r="E85" s="42"/>
      <c r="F85" s="58"/>
      <c r="G85" s="42"/>
    </row>
    <row r="86" ht="16.5" customHeight="1">
      <c r="A86" s="42" t="s">
        <v>186</v>
      </c>
      <c r="B86" s="41"/>
      <c r="C86" s="42"/>
      <c r="D86" s="43"/>
      <c r="E86" s="42"/>
      <c r="F86" s="41"/>
      <c r="G86" s="42"/>
    </row>
    <row r="87" ht="16.5" customHeight="1">
      <c r="A87" s="42" t="s">
        <v>221</v>
      </c>
      <c r="B87" s="41"/>
      <c r="C87" s="44"/>
      <c r="D87" s="41"/>
      <c r="E87" s="44"/>
      <c r="F87" s="41"/>
      <c r="G87" s="44"/>
    </row>
    <row r="88" ht="16.5" customHeight="1">
      <c r="A88" s="42" t="s">
        <v>261</v>
      </c>
      <c r="B88" s="43"/>
      <c r="C88" s="42"/>
      <c r="D88" s="41"/>
      <c r="E88" s="42"/>
      <c r="F88" s="41"/>
      <c r="G88" s="42"/>
    </row>
    <row r="89" ht="15.75" customHeight="1">
      <c r="A89" s="42" t="s">
        <v>310</v>
      </c>
      <c r="B89" s="41"/>
      <c r="C89" s="42"/>
      <c r="D89" s="41"/>
      <c r="E89" s="42"/>
      <c r="F89" s="41"/>
      <c r="G89" s="42"/>
    </row>
    <row r="90" ht="16.5" customHeight="1">
      <c r="A90" s="42" t="s">
        <v>346</v>
      </c>
      <c r="B90" s="43"/>
      <c r="C90" s="42"/>
      <c r="D90" s="43"/>
      <c r="E90" s="42"/>
      <c r="F90" s="41"/>
      <c r="G90" s="42"/>
    </row>
    <row r="91" ht="15.75" customHeight="1">
      <c r="A91" s="49"/>
      <c r="B91" s="49"/>
      <c r="C91" s="49"/>
      <c r="D91" s="49"/>
      <c r="E91" s="49"/>
      <c r="F91" s="49"/>
      <c r="G91" s="49"/>
    </row>
    <row r="92" ht="15.75" customHeight="1">
      <c r="A92" s="39" t="s">
        <v>493</v>
      </c>
      <c r="B92" s="40" t="s">
        <v>551</v>
      </c>
      <c r="C92" s="30"/>
      <c r="D92" s="40" t="s">
        <v>689</v>
      </c>
      <c r="E92" s="30"/>
      <c r="F92" s="68"/>
    </row>
    <row r="93" ht="15.75" customHeight="1">
      <c r="A93" s="31"/>
      <c r="B93" s="41" t="s">
        <v>11</v>
      </c>
      <c r="C93" s="41" t="s">
        <v>12</v>
      </c>
      <c r="D93" s="41" t="s">
        <v>11</v>
      </c>
      <c r="E93" s="41" t="s">
        <v>12</v>
      </c>
      <c r="F93" s="49"/>
      <c r="G93" s="49"/>
    </row>
    <row r="94" ht="16.5" customHeight="1">
      <c r="A94" s="42" t="s">
        <v>14</v>
      </c>
      <c r="B94" s="41"/>
      <c r="C94" s="42"/>
      <c r="D94" s="43"/>
      <c r="E94" s="42"/>
      <c r="F94" s="49"/>
      <c r="G94" s="49"/>
    </row>
    <row r="95" ht="16.5" customHeight="1">
      <c r="A95" s="42" t="s">
        <v>47</v>
      </c>
      <c r="B95" s="43"/>
      <c r="C95" s="42"/>
      <c r="D95" s="58"/>
      <c r="E95" s="42"/>
      <c r="F95" s="49"/>
      <c r="G95" s="49"/>
    </row>
    <row r="96" ht="16.5" customHeight="1">
      <c r="A96" s="42" t="s">
        <v>80</v>
      </c>
      <c r="B96" s="43"/>
      <c r="C96" s="42"/>
      <c r="D96" s="58"/>
      <c r="E96" s="44"/>
      <c r="F96" s="49"/>
      <c r="G96" s="49"/>
    </row>
    <row r="97" ht="16.5" customHeight="1">
      <c r="A97" s="42" t="s">
        <v>117</v>
      </c>
      <c r="B97" s="41"/>
      <c r="C97" s="44"/>
      <c r="D97" s="41"/>
      <c r="E97" s="44"/>
      <c r="F97" s="49"/>
      <c r="G97" s="49"/>
    </row>
    <row r="98" ht="16.5" customHeight="1">
      <c r="A98" s="42" t="s">
        <v>151</v>
      </c>
      <c r="B98" s="41"/>
      <c r="C98" s="42"/>
      <c r="D98" s="43"/>
      <c r="E98" s="42"/>
      <c r="F98" s="49"/>
      <c r="G98" s="49"/>
    </row>
    <row r="99" ht="15.75" customHeight="1">
      <c r="A99" s="42" t="s">
        <v>186</v>
      </c>
      <c r="B99" s="41"/>
      <c r="C99" s="42"/>
      <c r="D99" s="41"/>
      <c r="E99" s="42"/>
      <c r="F99" s="49"/>
      <c r="G99" s="49"/>
    </row>
    <row r="100" ht="16.5" customHeight="1">
      <c r="A100" s="42" t="s">
        <v>221</v>
      </c>
      <c r="B100" s="41"/>
      <c r="C100" s="44"/>
      <c r="D100" s="41"/>
      <c r="E100" s="42"/>
      <c r="F100" s="49"/>
      <c r="G100" s="49"/>
    </row>
    <row r="101" ht="16.5" customHeight="1">
      <c r="A101" s="42" t="s">
        <v>261</v>
      </c>
      <c r="B101" s="41"/>
      <c r="C101" s="42"/>
      <c r="D101" s="43"/>
      <c r="E101" s="42"/>
      <c r="F101" s="49"/>
      <c r="G101" s="49"/>
    </row>
    <row r="102" ht="15.75" customHeight="1">
      <c r="A102" s="42" t="s">
        <v>310</v>
      </c>
      <c r="B102" s="41"/>
      <c r="C102" s="42"/>
      <c r="D102" s="41"/>
      <c r="E102" s="42"/>
      <c r="F102" s="49"/>
      <c r="G102" s="49"/>
    </row>
    <row r="103" ht="16.5" customHeight="1">
      <c r="A103" s="42" t="s">
        <v>346</v>
      </c>
      <c r="B103" s="41"/>
      <c r="C103" s="42"/>
      <c r="D103" s="43"/>
      <c r="E103" s="42"/>
      <c r="F103" s="49"/>
      <c r="G103" s="49"/>
    </row>
    <row r="104" ht="15.75" customHeight="1">
      <c r="A104" s="49"/>
      <c r="B104" s="49"/>
      <c r="C104" s="49"/>
      <c r="D104" s="49"/>
      <c r="E104" s="49"/>
      <c r="F104" s="49"/>
      <c r="G104" s="49"/>
    </row>
    <row r="105" ht="15.75" customHeight="1">
      <c r="A105" s="39" t="s">
        <v>656</v>
      </c>
      <c r="B105" s="40" t="s">
        <v>657</v>
      </c>
      <c r="C105" s="30"/>
      <c r="D105" s="40" t="s">
        <v>658</v>
      </c>
      <c r="E105" s="30"/>
      <c r="F105" s="40" t="s">
        <v>659</v>
      </c>
      <c r="G105" s="30"/>
    </row>
    <row r="106" ht="15.75" customHeight="1">
      <c r="A106" s="31"/>
      <c r="B106" s="41" t="s">
        <v>11</v>
      </c>
      <c r="C106" s="41" t="s">
        <v>12</v>
      </c>
      <c r="D106" s="41" t="s">
        <v>11</v>
      </c>
      <c r="E106" s="41" t="s">
        <v>12</v>
      </c>
      <c r="F106" s="41" t="s">
        <v>11</v>
      </c>
      <c r="G106" s="41" t="s">
        <v>12</v>
      </c>
    </row>
    <row r="107" ht="16.5" customHeight="1">
      <c r="A107" s="42" t="s">
        <v>14</v>
      </c>
      <c r="B107" s="43"/>
      <c r="C107" s="44"/>
      <c r="D107" s="58"/>
      <c r="E107" s="44"/>
      <c r="F107" s="43"/>
      <c r="G107" s="42"/>
    </row>
    <row r="108" ht="15.75" customHeight="1">
      <c r="A108" s="42" t="s">
        <v>47</v>
      </c>
      <c r="B108" s="58"/>
      <c r="C108" s="42"/>
      <c r="D108" s="58"/>
      <c r="E108" s="42"/>
      <c r="F108" s="41"/>
      <c r="G108" s="42"/>
    </row>
    <row r="109" ht="15.75" customHeight="1">
      <c r="A109" s="42" t="s">
        <v>80</v>
      </c>
      <c r="B109" s="58"/>
      <c r="C109" s="42"/>
      <c r="D109" s="58"/>
      <c r="E109" s="42"/>
      <c r="F109" s="41"/>
      <c r="G109" s="42"/>
    </row>
    <row r="110" ht="16.5" customHeight="1">
      <c r="A110" s="42" t="s">
        <v>117</v>
      </c>
      <c r="B110" s="43"/>
      <c r="C110" s="42"/>
      <c r="D110" s="41"/>
      <c r="E110" s="44"/>
      <c r="F110" s="41"/>
      <c r="G110" s="44"/>
    </row>
    <row r="111" ht="16.5" customHeight="1">
      <c r="A111" s="42" t="s">
        <v>151</v>
      </c>
      <c r="B111" s="58"/>
      <c r="C111" s="44"/>
      <c r="D111" s="43"/>
      <c r="E111" s="44"/>
      <c r="F111" s="41"/>
      <c r="G111" s="44"/>
    </row>
    <row r="112" ht="16.5" customHeight="1">
      <c r="A112" s="42" t="s">
        <v>186</v>
      </c>
      <c r="B112" s="41"/>
      <c r="C112" s="42"/>
      <c r="D112" s="43"/>
      <c r="E112" s="44"/>
      <c r="F112" s="43"/>
      <c r="G112" s="44"/>
    </row>
    <row r="113" ht="16.5" customHeight="1">
      <c r="A113" s="42" t="s">
        <v>221</v>
      </c>
      <c r="B113" s="43"/>
      <c r="C113" s="44"/>
      <c r="D113" s="41"/>
      <c r="E113" s="44"/>
      <c r="F113" s="41"/>
      <c r="G113" s="42"/>
    </row>
    <row r="114" ht="16.5" customHeight="1">
      <c r="A114" s="42" t="s">
        <v>261</v>
      </c>
      <c r="B114" s="41"/>
      <c r="C114" s="44"/>
      <c r="D114" s="43"/>
      <c r="E114" s="42"/>
      <c r="F114" s="41"/>
      <c r="G114" s="44"/>
    </row>
    <row r="115" ht="16.5" customHeight="1">
      <c r="A115" s="42" t="s">
        <v>310</v>
      </c>
      <c r="B115" s="43"/>
      <c r="C115" s="44"/>
      <c r="D115" s="43"/>
      <c r="E115" s="42"/>
      <c r="F115" s="41"/>
      <c r="G115" s="42"/>
    </row>
    <row r="116" ht="16.5" customHeight="1">
      <c r="A116" s="42" t="s">
        <v>346</v>
      </c>
      <c r="B116" s="41"/>
      <c r="C116" s="44"/>
      <c r="D116" s="43"/>
      <c r="E116" s="42"/>
      <c r="F116" s="43"/>
      <c r="G116" s="42"/>
    </row>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A1:A2"/>
    <mergeCell ref="B1:C1"/>
    <mergeCell ref="D1:E1"/>
    <mergeCell ref="F1:G1"/>
    <mergeCell ref="B14:C14"/>
    <mergeCell ref="D14:E14"/>
    <mergeCell ref="D27:E27"/>
    <mergeCell ref="B27:C27"/>
    <mergeCell ref="B40:C40"/>
    <mergeCell ref="D40:E40"/>
    <mergeCell ref="H41:I41"/>
    <mergeCell ref="H51:I51"/>
    <mergeCell ref="D53:E53"/>
    <mergeCell ref="H61:I61"/>
    <mergeCell ref="B53:C53"/>
    <mergeCell ref="B66:C66"/>
    <mergeCell ref="D66:E66"/>
    <mergeCell ref="F66:G66"/>
    <mergeCell ref="B79:C79"/>
    <mergeCell ref="D79:E79"/>
    <mergeCell ref="F79:G79"/>
    <mergeCell ref="D105:E105"/>
    <mergeCell ref="F105:G105"/>
    <mergeCell ref="A79:A80"/>
    <mergeCell ref="A92:A93"/>
    <mergeCell ref="B92:C92"/>
    <mergeCell ref="D92:E92"/>
    <mergeCell ref="F92:G92"/>
    <mergeCell ref="A105:A106"/>
    <mergeCell ref="B105:C105"/>
  </mergeCells>
  <dataValidations>
    <dataValidation type="list" allowBlank="1" showErrorMessage="1" sqref="H43:H50 H53:H60 H63:H69">
      <formula1>"++,+,N,-,--"</formula1>
    </dataValidation>
    <dataValidation type="list" allowBlank="1" showErrorMessage="1" sqref="F3:F6 F8:F9 F66:F72 F75 F78:F81 F83 F85 D95:D96 B108:B109 D107:D109 B111">
      <formula1>"'++,'+,'0,'-,'--"</formula1>
    </dataValidation>
  </dataValidations>
  <printOptions/>
  <pageMargins bottom="0.75" footer="0.0" header="0.0" left="0.7" right="0.7" top="0.75"/>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7.86"/>
    <col customWidth="1" min="2" max="2" width="28.86"/>
    <col customWidth="1" min="3" max="3" width="30.57"/>
    <col customWidth="1" min="4" max="4" width="27.43"/>
    <col customWidth="1" min="5" max="5" width="20.57"/>
    <col customWidth="1" min="6" max="6" width="16.0"/>
    <col customWidth="1" min="7" max="7" width="28.86"/>
    <col customWidth="1" min="8" max="8" width="8.86"/>
    <col customWidth="1" min="9" max="9" width="64.14"/>
  </cols>
  <sheetData>
    <row r="1" ht="16.5" customHeight="1">
      <c r="A1" s="59" t="s">
        <v>666</v>
      </c>
      <c r="B1" s="60" t="s">
        <v>0</v>
      </c>
      <c r="C1" s="30"/>
      <c r="D1" s="60" t="s">
        <v>1</v>
      </c>
      <c r="E1" s="30"/>
      <c r="F1" s="60" t="s">
        <v>2</v>
      </c>
      <c r="G1" s="30"/>
      <c r="H1" s="61"/>
      <c r="I1" s="61"/>
      <c r="J1" s="61"/>
      <c r="K1" s="61"/>
      <c r="L1" s="61"/>
      <c r="M1" s="61"/>
      <c r="N1" s="61"/>
      <c r="O1" s="61"/>
      <c r="P1" s="61"/>
      <c r="Q1" s="61"/>
      <c r="R1" s="61"/>
      <c r="S1" s="61"/>
      <c r="T1" s="61"/>
      <c r="U1" s="61"/>
      <c r="V1" s="61"/>
      <c r="W1" s="61"/>
      <c r="X1" s="61"/>
      <c r="Y1" s="61"/>
      <c r="Z1" s="61"/>
    </row>
    <row r="2" ht="16.5" customHeight="1">
      <c r="A2" s="31"/>
      <c r="B2" s="62" t="s">
        <v>11</v>
      </c>
      <c r="C2" s="62" t="s">
        <v>12</v>
      </c>
      <c r="D2" s="62" t="s">
        <v>11</v>
      </c>
      <c r="E2" s="62" t="s">
        <v>12</v>
      </c>
      <c r="F2" s="62" t="s">
        <v>11</v>
      </c>
      <c r="G2" s="62" t="s">
        <v>12</v>
      </c>
      <c r="H2" s="61"/>
      <c r="I2" s="61"/>
      <c r="J2" s="61"/>
      <c r="K2" s="61"/>
      <c r="L2" s="61"/>
      <c r="M2" s="61"/>
      <c r="N2" s="61"/>
      <c r="O2" s="61"/>
      <c r="P2" s="61"/>
      <c r="Q2" s="61"/>
      <c r="R2" s="61"/>
      <c r="S2" s="61"/>
      <c r="T2" s="61"/>
      <c r="U2" s="61"/>
      <c r="V2" s="61"/>
      <c r="W2" s="61"/>
      <c r="X2" s="61"/>
      <c r="Y2" s="61"/>
      <c r="Z2" s="61"/>
    </row>
    <row r="3" ht="16.5" customHeight="1">
      <c r="A3" s="63" t="s">
        <v>14</v>
      </c>
      <c r="B3" s="64" t="s">
        <v>673</v>
      </c>
      <c r="C3" s="65" t="s">
        <v>674</v>
      </c>
      <c r="D3" s="64" t="s">
        <v>673</v>
      </c>
      <c r="E3" s="66" t="s">
        <v>675</v>
      </c>
      <c r="F3" s="64" t="s">
        <v>673</v>
      </c>
      <c r="G3" s="65" t="s">
        <v>676</v>
      </c>
      <c r="H3" s="61"/>
      <c r="I3" s="61"/>
      <c r="J3" s="61"/>
      <c r="K3" s="61"/>
      <c r="L3" s="61"/>
      <c r="M3" s="61"/>
      <c r="N3" s="61"/>
      <c r="O3" s="61"/>
      <c r="P3" s="61"/>
      <c r="Q3" s="61"/>
      <c r="R3" s="61"/>
      <c r="S3" s="61"/>
      <c r="T3" s="61"/>
      <c r="U3" s="61"/>
      <c r="V3" s="61"/>
      <c r="W3" s="61"/>
      <c r="X3" s="61"/>
      <c r="Y3" s="61"/>
      <c r="Z3" s="61"/>
    </row>
    <row r="4" ht="16.5" customHeight="1">
      <c r="A4" s="63" t="s">
        <v>47</v>
      </c>
      <c r="B4" s="64" t="s">
        <v>678</v>
      </c>
      <c r="C4" s="65" t="s">
        <v>679</v>
      </c>
      <c r="D4" s="64" t="s">
        <v>680</v>
      </c>
      <c r="E4" s="65" t="s">
        <v>681</v>
      </c>
      <c r="F4" s="64" t="s">
        <v>673</v>
      </c>
      <c r="G4" s="65" t="s">
        <v>682</v>
      </c>
      <c r="H4" s="61"/>
      <c r="I4" s="61"/>
      <c r="J4" s="61"/>
      <c r="K4" s="61"/>
      <c r="L4" s="61"/>
      <c r="M4" s="61"/>
      <c r="N4" s="61"/>
      <c r="O4" s="61"/>
      <c r="P4" s="61"/>
      <c r="Q4" s="61"/>
      <c r="R4" s="61"/>
      <c r="S4" s="61"/>
      <c r="T4" s="61"/>
      <c r="U4" s="61"/>
      <c r="V4" s="61"/>
      <c r="W4" s="61"/>
      <c r="X4" s="61"/>
      <c r="Y4" s="61"/>
      <c r="Z4" s="61"/>
    </row>
    <row r="5" ht="16.5" customHeight="1">
      <c r="A5" s="63" t="s">
        <v>80</v>
      </c>
      <c r="B5" s="64" t="s">
        <v>680</v>
      </c>
      <c r="C5" s="65" t="s">
        <v>683</v>
      </c>
      <c r="D5" s="64" t="s">
        <v>680</v>
      </c>
      <c r="E5" s="67" t="s">
        <v>684</v>
      </c>
      <c r="F5" s="64" t="s">
        <v>673</v>
      </c>
      <c r="G5" s="65" t="s">
        <v>685</v>
      </c>
      <c r="H5" s="61"/>
      <c r="I5" s="61"/>
      <c r="J5" s="61"/>
      <c r="K5" s="61"/>
      <c r="L5" s="61"/>
      <c r="M5" s="61"/>
      <c r="N5" s="61"/>
      <c r="O5" s="61"/>
      <c r="P5" s="61"/>
      <c r="Q5" s="61"/>
      <c r="R5" s="61"/>
      <c r="S5" s="61"/>
      <c r="T5" s="61"/>
      <c r="U5" s="61"/>
      <c r="V5" s="61"/>
      <c r="W5" s="61"/>
      <c r="X5" s="61"/>
      <c r="Y5" s="61"/>
      <c r="Z5" s="61"/>
    </row>
    <row r="6" ht="16.5" customHeight="1">
      <c r="A6" s="63" t="s">
        <v>117</v>
      </c>
      <c r="B6" s="64" t="s">
        <v>673</v>
      </c>
      <c r="C6" s="65" t="s">
        <v>686</v>
      </c>
      <c r="D6" s="64" t="s">
        <v>673</v>
      </c>
      <c r="E6" s="65" t="s">
        <v>687</v>
      </c>
      <c r="F6" s="64" t="s">
        <v>678</v>
      </c>
      <c r="G6" s="65" t="s">
        <v>688</v>
      </c>
      <c r="H6" s="61"/>
      <c r="I6" s="61"/>
      <c r="J6" s="61"/>
      <c r="K6" s="61"/>
      <c r="L6" s="61"/>
      <c r="M6" s="61"/>
      <c r="N6" s="61"/>
      <c r="O6" s="61"/>
      <c r="P6" s="61"/>
      <c r="Q6" s="61"/>
      <c r="R6" s="61"/>
      <c r="S6" s="61"/>
      <c r="T6" s="61"/>
      <c r="U6" s="61"/>
      <c r="V6" s="61"/>
      <c r="W6" s="61"/>
      <c r="X6" s="61"/>
      <c r="Y6" s="61"/>
      <c r="Z6" s="61"/>
    </row>
    <row r="7" ht="16.5" customHeight="1">
      <c r="A7" s="63" t="s">
        <v>151</v>
      </c>
      <c r="B7" s="64" t="s">
        <v>673</v>
      </c>
      <c r="C7" s="65" t="s">
        <v>690</v>
      </c>
      <c r="D7" s="64" t="s">
        <v>680</v>
      </c>
      <c r="E7" s="65" t="s">
        <v>691</v>
      </c>
      <c r="F7" s="64" t="s">
        <v>673</v>
      </c>
      <c r="G7" s="65" t="s">
        <v>692</v>
      </c>
      <c r="H7" s="61"/>
      <c r="I7" s="61"/>
      <c r="J7" s="61"/>
      <c r="K7" s="61"/>
      <c r="L7" s="61"/>
      <c r="M7" s="61"/>
      <c r="N7" s="61"/>
      <c r="O7" s="61"/>
      <c r="P7" s="61"/>
      <c r="Q7" s="61"/>
      <c r="R7" s="61"/>
      <c r="S7" s="61"/>
      <c r="T7" s="61"/>
      <c r="U7" s="61"/>
      <c r="V7" s="61"/>
      <c r="W7" s="61"/>
      <c r="X7" s="61"/>
      <c r="Y7" s="61"/>
      <c r="Z7" s="61"/>
    </row>
    <row r="8" ht="16.5" customHeight="1">
      <c r="A8" s="63" t="s">
        <v>186</v>
      </c>
      <c r="B8" s="64" t="s">
        <v>693</v>
      </c>
      <c r="C8" s="65" t="s">
        <v>694</v>
      </c>
      <c r="D8" s="64" t="s">
        <v>680</v>
      </c>
      <c r="E8" s="65" t="s">
        <v>695</v>
      </c>
      <c r="F8" s="64" t="s">
        <v>673</v>
      </c>
      <c r="G8" s="65" t="s">
        <v>697</v>
      </c>
      <c r="H8" s="61"/>
      <c r="I8" s="61"/>
      <c r="J8" s="61"/>
      <c r="K8" s="61"/>
      <c r="L8" s="61"/>
      <c r="M8" s="61"/>
      <c r="N8" s="61"/>
      <c r="O8" s="61"/>
      <c r="P8" s="61"/>
      <c r="Q8" s="61"/>
      <c r="R8" s="61"/>
      <c r="S8" s="61"/>
      <c r="T8" s="61"/>
      <c r="U8" s="61"/>
      <c r="V8" s="61"/>
      <c r="W8" s="61"/>
      <c r="X8" s="61"/>
      <c r="Y8" s="61"/>
      <c r="Z8" s="61"/>
    </row>
    <row r="9" ht="16.5" customHeight="1">
      <c r="A9" s="63" t="s">
        <v>221</v>
      </c>
      <c r="B9" s="64" t="s">
        <v>673</v>
      </c>
      <c r="C9" s="65" t="s">
        <v>698</v>
      </c>
      <c r="D9" s="64" t="s">
        <v>673</v>
      </c>
      <c r="E9" s="65" t="s">
        <v>699</v>
      </c>
      <c r="F9" s="64" t="s">
        <v>678</v>
      </c>
      <c r="G9" s="65" t="s">
        <v>700</v>
      </c>
      <c r="H9" s="61"/>
      <c r="I9" s="61"/>
      <c r="J9" s="61"/>
      <c r="K9" s="61"/>
      <c r="L9" s="61"/>
      <c r="M9" s="61"/>
      <c r="N9" s="61"/>
      <c r="O9" s="61"/>
      <c r="P9" s="61"/>
      <c r="Q9" s="61"/>
      <c r="R9" s="61"/>
      <c r="S9" s="61"/>
      <c r="T9" s="61"/>
      <c r="U9" s="61"/>
      <c r="V9" s="61"/>
      <c r="W9" s="61"/>
      <c r="X9" s="61"/>
      <c r="Y9" s="61"/>
      <c r="Z9" s="61"/>
    </row>
    <row r="10" ht="16.5" customHeight="1">
      <c r="A10" s="63" t="s">
        <v>261</v>
      </c>
      <c r="B10" s="64" t="s">
        <v>678</v>
      </c>
      <c r="C10" s="65" t="s">
        <v>701</v>
      </c>
      <c r="D10" s="64" t="s">
        <v>678</v>
      </c>
      <c r="E10" s="65" t="s">
        <v>702</v>
      </c>
      <c r="F10" s="64" t="s">
        <v>693</v>
      </c>
      <c r="G10" s="65" t="s">
        <v>703</v>
      </c>
      <c r="H10" s="61"/>
      <c r="I10" s="61"/>
      <c r="J10" s="61"/>
      <c r="K10" s="61"/>
      <c r="L10" s="61"/>
      <c r="M10" s="61"/>
      <c r="N10" s="61"/>
      <c r="O10" s="61"/>
      <c r="P10" s="61"/>
      <c r="Q10" s="61"/>
      <c r="R10" s="61"/>
      <c r="S10" s="61"/>
      <c r="T10" s="61"/>
      <c r="U10" s="61"/>
      <c r="V10" s="61"/>
      <c r="W10" s="61"/>
      <c r="X10" s="61"/>
      <c r="Y10" s="61"/>
      <c r="Z10" s="61"/>
    </row>
    <row r="11" ht="16.5" customHeight="1">
      <c r="A11" s="63" t="s">
        <v>310</v>
      </c>
      <c r="B11" s="64" t="s">
        <v>680</v>
      </c>
      <c r="C11" s="65" t="s">
        <v>704</v>
      </c>
      <c r="D11" s="64" t="s">
        <v>680</v>
      </c>
      <c r="E11" s="65" t="s">
        <v>705</v>
      </c>
      <c r="F11" s="64" t="s">
        <v>673</v>
      </c>
      <c r="G11" s="65" t="s">
        <v>706</v>
      </c>
      <c r="H11" s="61"/>
      <c r="I11" s="61"/>
      <c r="J11" s="61"/>
      <c r="K11" s="61"/>
      <c r="L11" s="61"/>
      <c r="M11" s="61"/>
      <c r="N11" s="61"/>
      <c r="O11" s="61"/>
      <c r="P11" s="61"/>
      <c r="Q11" s="61"/>
      <c r="R11" s="61"/>
      <c r="S11" s="61"/>
      <c r="T11" s="61"/>
      <c r="U11" s="61"/>
      <c r="V11" s="61"/>
      <c r="W11" s="61"/>
      <c r="X11" s="61"/>
      <c r="Y11" s="61"/>
      <c r="Z11" s="61"/>
    </row>
    <row r="12" ht="16.5" customHeight="1">
      <c r="A12" s="63" t="s">
        <v>346</v>
      </c>
      <c r="B12" s="64" t="s">
        <v>673</v>
      </c>
      <c r="C12" s="65" t="s">
        <v>707</v>
      </c>
      <c r="D12" s="64" t="s">
        <v>673</v>
      </c>
      <c r="E12" s="65" t="s">
        <v>708</v>
      </c>
      <c r="F12" s="64" t="s">
        <v>680</v>
      </c>
      <c r="G12" s="65" t="s">
        <v>709</v>
      </c>
      <c r="H12" s="61"/>
      <c r="I12" s="61"/>
      <c r="J12" s="61"/>
      <c r="K12" s="61"/>
      <c r="L12" s="61"/>
      <c r="M12" s="61"/>
      <c r="N12" s="61"/>
      <c r="O12" s="61"/>
      <c r="P12" s="61"/>
      <c r="Q12" s="61"/>
      <c r="R12" s="61"/>
      <c r="S12" s="61"/>
      <c r="T12" s="61"/>
      <c r="U12" s="61"/>
      <c r="V12" s="61"/>
      <c r="W12" s="61"/>
      <c r="X12" s="61"/>
      <c r="Y12" s="61"/>
      <c r="Z12" s="61"/>
    </row>
    <row r="13" ht="16.5" customHeight="1">
      <c r="A13" s="69"/>
      <c r="B13" s="70"/>
      <c r="C13" s="70"/>
      <c r="D13" s="70"/>
      <c r="E13" s="70"/>
      <c r="F13" s="70"/>
      <c r="G13" s="69"/>
      <c r="H13" s="61"/>
      <c r="I13" s="61"/>
      <c r="J13" s="61"/>
      <c r="K13" s="61"/>
      <c r="L13" s="61"/>
      <c r="M13" s="61"/>
      <c r="N13" s="61"/>
      <c r="O13" s="61"/>
      <c r="P13" s="61"/>
      <c r="Q13" s="61"/>
      <c r="R13" s="61"/>
      <c r="S13" s="61"/>
      <c r="T13" s="61"/>
      <c r="U13" s="61"/>
      <c r="V13" s="61"/>
      <c r="W13" s="61"/>
      <c r="X13" s="61"/>
      <c r="Y13" s="61"/>
      <c r="Z13" s="61"/>
    </row>
    <row r="14" ht="16.5" customHeight="1">
      <c r="A14" s="71" t="s">
        <v>3</v>
      </c>
      <c r="B14" s="72" t="s">
        <v>668</v>
      </c>
      <c r="C14" s="30"/>
      <c r="D14" s="72" t="s">
        <v>8</v>
      </c>
      <c r="E14" s="30"/>
      <c r="F14" s="69"/>
      <c r="G14" s="69"/>
      <c r="H14" s="61"/>
      <c r="I14" s="61"/>
      <c r="J14" s="61"/>
      <c r="K14" s="61"/>
      <c r="L14" s="61"/>
      <c r="M14" s="61"/>
      <c r="N14" s="61"/>
      <c r="O14" s="61"/>
      <c r="P14" s="61"/>
      <c r="Q14" s="61"/>
      <c r="R14" s="61"/>
      <c r="S14" s="61"/>
      <c r="T14" s="61"/>
      <c r="U14" s="61"/>
      <c r="V14" s="61"/>
      <c r="W14" s="61"/>
      <c r="X14" s="61"/>
      <c r="Y14" s="61"/>
      <c r="Z14" s="61"/>
    </row>
    <row r="15" ht="16.5" customHeight="1">
      <c r="A15" s="73"/>
      <c r="B15" s="74" t="s">
        <v>11</v>
      </c>
      <c r="C15" s="75" t="s">
        <v>12</v>
      </c>
      <c r="D15" s="74" t="s">
        <v>11</v>
      </c>
      <c r="E15" s="75" t="s">
        <v>12</v>
      </c>
      <c r="F15" s="69"/>
      <c r="G15" s="69"/>
      <c r="H15" s="61"/>
      <c r="I15" s="61"/>
      <c r="J15" s="61"/>
      <c r="K15" s="61"/>
      <c r="L15" s="61"/>
      <c r="M15" s="61"/>
      <c r="N15" s="61"/>
      <c r="O15" s="61"/>
      <c r="P15" s="61"/>
      <c r="Q15" s="61"/>
      <c r="R15" s="61"/>
      <c r="S15" s="61"/>
      <c r="T15" s="61"/>
      <c r="U15" s="61"/>
      <c r="V15" s="61"/>
      <c r="W15" s="61"/>
      <c r="X15" s="61"/>
      <c r="Y15" s="61"/>
      <c r="Z15" s="61"/>
    </row>
    <row r="16" ht="16.5" customHeight="1">
      <c r="A16" s="63" t="s">
        <v>14</v>
      </c>
      <c r="B16" s="64" t="s">
        <v>673</v>
      </c>
      <c r="C16" s="65" t="s">
        <v>710</v>
      </c>
      <c r="D16" s="64" t="s">
        <v>693</v>
      </c>
      <c r="E16" s="65" t="s">
        <v>711</v>
      </c>
      <c r="F16" s="69"/>
      <c r="G16" s="69"/>
      <c r="H16" s="61"/>
      <c r="I16" s="61"/>
      <c r="J16" s="61"/>
      <c r="K16" s="61"/>
      <c r="L16" s="61"/>
      <c r="M16" s="61"/>
      <c r="N16" s="61"/>
      <c r="O16" s="61"/>
      <c r="P16" s="61"/>
      <c r="Q16" s="61"/>
      <c r="R16" s="61"/>
      <c r="S16" s="61"/>
      <c r="T16" s="61"/>
      <c r="U16" s="61"/>
      <c r="V16" s="61"/>
      <c r="W16" s="61"/>
      <c r="X16" s="61"/>
      <c r="Y16" s="61"/>
      <c r="Z16" s="61"/>
    </row>
    <row r="17" ht="16.5" customHeight="1">
      <c r="A17" s="63" t="s">
        <v>47</v>
      </c>
      <c r="B17" s="76" t="s">
        <v>673</v>
      </c>
      <c r="C17" s="65" t="s">
        <v>712</v>
      </c>
      <c r="D17" s="64" t="s">
        <v>678</v>
      </c>
      <c r="E17" s="65" t="s">
        <v>713</v>
      </c>
      <c r="F17" s="69"/>
      <c r="G17" s="69"/>
      <c r="H17" s="61"/>
      <c r="I17" s="61"/>
      <c r="J17" s="61"/>
      <c r="K17" s="61"/>
      <c r="L17" s="61"/>
      <c r="M17" s="61"/>
      <c r="N17" s="61"/>
      <c r="O17" s="61"/>
      <c r="P17" s="61"/>
      <c r="Q17" s="61"/>
      <c r="R17" s="61"/>
      <c r="S17" s="61"/>
      <c r="T17" s="61"/>
      <c r="U17" s="61"/>
      <c r="V17" s="61"/>
      <c r="W17" s="61"/>
      <c r="X17" s="61"/>
      <c r="Y17" s="61"/>
      <c r="Z17" s="61"/>
    </row>
    <row r="18" ht="16.5" customHeight="1">
      <c r="A18" s="63" t="s">
        <v>80</v>
      </c>
      <c r="B18" s="64" t="s">
        <v>680</v>
      </c>
      <c r="C18" s="65" t="s">
        <v>714</v>
      </c>
      <c r="D18" s="64" t="s">
        <v>680</v>
      </c>
      <c r="E18" s="65" t="s">
        <v>716</v>
      </c>
      <c r="F18" s="69"/>
      <c r="G18" s="69"/>
      <c r="H18" s="61"/>
      <c r="I18" s="61"/>
      <c r="J18" s="61"/>
      <c r="K18" s="61"/>
      <c r="L18" s="61"/>
      <c r="M18" s="61"/>
      <c r="N18" s="61"/>
      <c r="O18" s="61"/>
      <c r="P18" s="61"/>
      <c r="Q18" s="61"/>
      <c r="R18" s="61"/>
      <c r="S18" s="61"/>
      <c r="T18" s="61"/>
      <c r="U18" s="61"/>
      <c r="V18" s="61"/>
      <c r="W18" s="61"/>
      <c r="X18" s="61"/>
      <c r="Y18" s="61"/>
      <c r="Z18" s="61"/>
    </row>
    <row r="19" ht="16.5" customHeight="1">
      <c r="A19" s="63" t="s">
        <v>117</v>
      </c>
      <c r="B19" s="64" t="s">
        <v>678</v>
      </c>
      <c r="C19" s="65" t="s">
        <v>717</v>
      </c>
      <c r="D19" s="64" t="s">
        <v>678</v>
      </c>
      <c r="E19" s="65" t="s">
        <v>718</v>
      </c>
      <c r="F19" s="69"/>
      <c r="G19" s="61"/>
      <c r="H19" s="61"/>
      <c r="I19" s="61"/>
      <c r="J19" s="61"/>
      <c r="K19" s="61"/>
      <c r="L19" s="61"/>
      <c r="M19" s="61"/>
      <c r="N19" s="61"/>
      <c r="O19" s="61"/>
      <c r="P19" s="61"/>
      <c r="Q19" s="61"/>
      <c r="R19" s="61"/>
      <c r="S19" s="61"/>
      <c r="T19" s="61"/>
      <c r="U19" s="61"/>
      <c r="V19" s="61"/>
      <c r="W19" s="61"/>
      <c r="X19" s="61"/>
      <c r="Y19" s="61"/>
      <c r="Z19" s="61"/>
    </row>
    <row r="20" ht="16.5" customHeight="1">
      <c r="A20" s="63" t="s">
        <v>151</v>
      </c>
      <c r="B20" s="64" t="s">
        <v>678</v>
      </c>
      <c r="C20" s="65" t="s">
        <v>719</v>
      </c>
      <c r="D20" s="76" t="s">
        <v>678</v>
      </c>
      <c r="E20" s="77" t="s">
        <v>720</v>
      </c>
      <c r="F20" s="69"/>
      <c r="G20" s="69"/>
      <c r="H20" s="61"/>
      <c r="I20" s="61"/>
      <c r="J20" s="61"/>
      <c r="K20" s="61"/>
      <c r="L20" s="61"/>
      <c r="M20" s="61"/>
      <c r="N20" s="61"/>
      <c r="O20" s="61"/>
      <c r="P20" s="61"/>
      <c r="Q20" s="61"/>
      <c r="R20" s="61"/>
      <c r="S20" s="61"/>
      <c r="T20" s="61"/>
      <c r="U20" s="61"/>
      <c r="V20" s="61"/>
      <c r="W20" s="61"/>
      <c r="X20" s="61"/>
      <c r="Y20" s="61"/>
      <c r="Z20" s="61"/>
    </row>
    <row r="21" ht="16.5" customHeight="1">
      <c r="A21" s="63" t="s">
        <v>186</v>
      </c>
      <c r="B21" s="64" t="s">
        <v>673</v>
      </c>
      <c r="C21" s="65" t="s">
        <v>721</v>
      </c>
      <c r="D21" s="76" t="s">
        <v>673</v>
      </c>
      <c r="E21" s="77" t="s">
        <v>722</v>
      </c>
      <c r="F21" s="69"/>
      <c r="G21" s="69"/>
      <c r="H21" s="61"/>
      <c r="I21" s="61"/>
      <c r="J21" s="61"/>
      <c r="K21" s="61"/>
      <c r="L21" s="61"/>
      <c r="M21" s="61"/>
      <c r="N21" s="61"/>
      <c r="O21" s="61"/>
      <c r="P21" s="61"/>
      <c r="Q21" s="61"/>
      <c r="R21" s="61"/>
      <c r="S21" s="61"/>
      <c r="T21" s="61"/>
      <c r="U21" s="61"/>
      <c r="V21" s="61"/>
      <c r="W21" s="61"/>
      <c r="X21" s="61"/>
      <c r="Y21" s="61"/>
      <c r="Z21" s="61"/>
    </row>
    <row r="22" ht="16.5" customHeight="1">
      <c r="A22" s="63" t="s">
        <v>221</v>
      </c>
      <c r="B22" s="64" t="s">
        <v>673</v>
      </c>
      <c r="C22" s="65" t="s">
        <v>724</v>
      </c>
      <c r="D22" s="64" t="s">
        <v>678</v>
      </c>
      <c r="E22" s="65" t="s">
        <v>725</v>
      </c>
      <c r="F22" s="69"/>
      <c r="G22" s="69"/>
      <c r="H22" s="61"/>
      <c r="I22" s="61"/>
      <c r="J22" s="61"/>
      <c r="K22" s="61"/>
      <c r="L22" s="61"/>
      <c r="M22" s="61"/>
      <c r="N22" s="61"/>
      <c r="O22" s="61"/>
      <c r="P22" s="61"/>
      <c r="Q22" s="61"/>
      <c r="R22" s="61"/>
      <c r="S22" s="61"/>
      <c r="T22" s="61"/>
      <c r="U22" s="61"/>
      <c r="V22" s="61"/>
      <c r="W22" s="61"/>
      <c r="X22" s="61"/>
      <c r="Y22" s="61"/>
      <c r="Z22" s="61"/>
    </row>
    <row r="23" ht="16.5" customHeight="1">
      <c r="A23" s="63" t="s">
        <v>261</v>
      </c>
      <c r="B23" s="64" t="s">
        <v>693</v>
      </c>
      <c r="C23" s="65" t="s">
        <v>726</v>
      </c>
      <c r="D23" s="64" t="s">
        <v>673</v>
      </c>
      <c r="E23" s="65" t="s">
        <v>727</v>
      </c>
      <c r="F23" s="69"/>
      <c r="G23" s="69"/>
      <c r="H23" s="61"/>
      <c r="I23" s="61"/>
      <c r="J23" s="61"/>
      <c r="K23" s="61"/>
      <c r="L23" s="61"/>
      <c r="M23" s="61"/>
      <c r="N23" s="61"/>
      <c r="O23" s="61"/>
      <c r="P23" s="61"/>
      <c r="Q23" s="61"/>
      <c r="R23" s="61"/>
      <c r="S23" s="61"/>
      <c r="T23" s="61"/>
      <c r="U23" s="61"/>
      <c r="V23" s="61"/>
      <c r="W23" s="61"/>
      <c r="X23" s="61"/>
      <c r="Y23" s="61"/>
      <c r="Z23" s="61"/>
    </row>
    <row r="24" ht="16.5" customHeight="1">
      <c r="A24" s="63" t="s">
        <v>310</v>
      </c>
      <c r="B24" s="64" t="s">
        <v>680</v>
      </c>
      <c r="C24" s="65" t="s">
        <v>728</v>
      </c>
      <c r="D24" s="64" t="s">
        <v>693</v>
      </c>
      <c r="E24" s="65" t="s">
        <v>729</v>
      </c>
      <c r="F24" s="69"/>
      <c r="G24" s="69"/>
      <c r="H24" s="61"/>
      <c r="I24" s="61"/>
      <c r="J24" s="61"/>
      <c r="K24" s="61"/>
      <c r="L24" s="61"/>
      <c r="M24" s="61"/>
      <c r="N24" s="61"/>
      <c r="O24" s="61"/>
      <c r="P24" s="61"/>
      <c r="Q24" s="61"/>
      <c r="R24" s="61"/>
      <c r="S24" s="61"/>
      <c r="T24" s="61"/>
      <c r="U24" s="61"/>
      <c r="V24" s="61"/>
      <c r="W24" s="61"/>
      <c r="X24" s="61"/>
      <c r="Y24" s="61"/>
      <c r="Z24" s="61"/>
    </row>
    <row r="25" ht="16.5" customHeight="1">
      <c r="A25" s="63" t="s">
        <v>346</v>
      </c>
      <c r="B25" s="64" t="s">
        <v>678</v>
      </c>
      <c r="C25" s="65" t="s">
        <v>730</v>
      </c>
      <c r="D25" s="64" t="s">
        <v>678</v>
      </c>
      <c r="E25" s="65" t="s">
        <v>731</v>
      </c>
      <c r="F25" s="69"/>
      <c r="G25" s="69"/>
      <c r="H25" s="61"/>
      <c r="I25" s="61"/>
      <c r="J25" s="61"/>
      <c r="K25" s="61"/>
      <c r="L25" s="61"/>
      <c r="M25" s="61"/>
      <c r="N25" s="61"/>
      <c r="O25" s="61"/>
      <c r="P25" s="61"/>
      <c r="Q25" s="61"/>
      <c r="R25" s="61"/>
      <c r="S25" s="61"/>
      <c r="T25" s="61"/>
      <c r="U25" s="61"/>
      <c r="V25" s="61"/>
      <c r="W25" s="61"/>
      <c r="X25" s="61"/>
      <c r="Y25" s="61"/>
      <c r="Z25" s="61"/>
    </row>
    <row r="26" ht="16.5" customHeight="1">
      <c r="A26" s="69"/>
      <c r="B26" s="70"/>
      <c r="C26" s="70"/>
      <c r="D26" s="70"/>
      <c r="E26" s="70"/>
      <c r="F26" s="69"/>
      <c r="G26" s="69"/>
      <c r="H26" s="61"/>
      <c r="I26" s="61"/>
      <c r="J26" s="61"/>
      <c r="K26" s="61"/>
      <c r="L26" s="61"/>
      <c r="M26" s="61"/>
      <c r="N26" s="61"/>
      <c r="O26" s="61"/>
      <c r="P26" s="61"/>
      <c r="Q26" s="61"/>
      <c r="R26" s="61"/>
      <c r="S26" s="61"/>
      <c r="T26" s="61"/>
      <c r="U26" s="61"/>
      <c r="V26" s="61"/>
      <c r="W26" s="61"/>
      <c r="X26" s="61"/>
      <c r="Y26" s="61"/>
      <c r="Z26" s="61"/>
    </row>
    <row r="27" ht="16.5" customHeight="1">
      <c r="A27" s="71" t="s">
        <v>4</v>
      </c>
      <c r="B27" s="72" t="s">
        <v>6</v>
      </c>
      <c r="C27" s="30"/>
      <c r="D27" s="72" t="s">
        <v>9</v>
      </c>
      <c r="E27" s="30"/>
      <c r="F27" s="69"/>
      <c r="G27" s="69"/>
      <c r="H27" s="61"/>
      <c r="I27" s="61"/>
      <c r="J27" s="61"/>
      <c r="K27" s="61"/>
      <c r="L27" s="61"/>
      <c r="M27" s="61"/>
      <c r="N27" s="61"/>
      <c r="O27" s="61"/>
      <c r="P27" s="61"/>
      <c r="Q27" s="61"/>
      <c r="R27" s="61"/>
      <c r="S27" s="61"/>
      <c r="T27" s="61"/>
      <c r="U27" s="61"/>
      <c r="V27" s="61"/>
      <c r="W27" s="61"/>
      <c r="X27" s="61"/>
      <c r="Y27" s="61"/>
      <c r="Z27" s="61"/>
    </row>
    <row r="28" ht="16.5" customHeight="1">
      <c r="A28" s="78"/>
      <c r="B28" s="62" t="s">
        <v>11</v>
      </c>
      <c r="C28" s="79" t="s">
        <v>12</v>
      </c>
      <c r="D28" s="62" t="s">
        <v>11</v>
      </c>
      <c r="E28" s="79" t="s">
        <v>12</v>
      </c>
      <c r="F28" s="69"/>
      <c r="G28" s="69"/>
      <c r="H28" s="61"/>
      <c r="I28" s="61"/>
      <c r="J28" s="61"/>
      <c r="K28" s="61"/>
      <c r="L28" s="61"/>
      <c r="M28" s="61"/>
      <c r="N28" s="61"/>
      <c r="O28" s="61"/>
      <c r="P28" s="61"/>
      <c r="Q28" s="61"/>
      <c r="R28" s="61"/>
      <c r="S28" s="61"/>
      <c r="T28" s="61"/>
      <c r="U28" s="61"/>
      <c r="V28" s="61"/>
      <c r="W28" s="61"/>
      <c r="X28" s="61"/>
      <c r="Y28" s="61"/>
      <c r="Z28" s="61"/>
    </row>
    <row r="29" ht="16.5" customHeight="1">
      <c r="A29" s="63" t="s">
        <v>14</v>
      </c>
      <c r="B29" s="64" t="s">
        <v>680</v>
      </c>
      <c r="C29" s="65" t="s">
        <v>732</v>
      </c>
      <c r="D29" s="64" t="s">
        <v>678</v>
      </c>
      <c r="E29" s="65" t="s">
        <v>733</v>
      </c>
      <c r="F29" s="69"/>
      <c r="G29" s="69"/>
      <c r="H29" s="61"/>
      <c r="I29" s="61"/>
      <c r="J29" s="61"/>
      <c r="K29" s="61"/>
      <c r="L29" s="61"/>
      <c r="M29" s="61"/>
      <c r="N29" s="61"/>
      <c r="O29" s="61"/>
      <c r="P29" s="61"/>
      <c r="Q29" s="61"/>
      <c r="R29" s="61"/>
      <c r="S29" s="61"/>
      <c r="T29" s="61"/>
      <c r="U29" s="61"/>
      <c r="V29" s="61"/>
      <c r="W29" s="61"/>
      <c r="X29" s="61"/>
      <c r="Y29" s="61"/>
      <c r="Z29" s="61"/>
    </row>
    <row r="30" ht="16.5" customHeight="1">
      <c r="A30" s="63" t="s">
        <v>47</v>
      </c>
      <c r="B30" s="64" t="s">
        <v>680</v>
      </c>
      <c r="C30" s="65" t="s">
        <v>734</v>
      </c>
      <c r="D30" s="64" t="s">
        <v>673</v>
      </c>
      <c r="E30" s="65" t="s">
        <v>735</v>
      </c>
      <c r="F30" s="69"/>
      <c r="G30" s="69"/>
      <c r="H30" s="61"/>
      <c r="I30" s="61"/>
      <c r="J30" s="61"/>
      <c r="K30" s="61"/>
      <c r="L30" s="61"/>
      <c r="M30" s="61"/>
      <c r="N30" s="61"/>
      <c r="O30" s="61"/>
      <c r="P30" s="61"/>
      <c r="Q30" s="61"/>
      <c r="R30" s="61"/>
      <c r="S30" s="61"/>
      <c r="T30" s="61"/>
      <c r="U30" s="61"/>
      <c r="V30" s="61"/>
      <c r="W30" s="61"/>
      <c r="X30" s="61"/>
      <c r="Y30" s="61"/>
      <c r="Z30" s="61"/>
    </row>
    <row r="31" ht="16.5" customHeight="1">
      <c r="A31" s="63" t="s">
        <v>80</v>
      </c>
      <c r="B31" s="64" t="s">
        <v>736</v>
      </c>
      <c r="C31" s="65" t="s">
        <v>737</v>
      </c>
      <c r="D31" s="64" t="s">
        <v>680</v>
      </c>
      <c r="E31" s="65" t="s">
        <v>738</v>
      </c>
      <c r="F31" s="69"/>
      <c r="G31" s="69"/>
      <c r="H31" s="61"/>
      <c r="I31" s="61"/>
      <c r="J31" s="61"/>
      <c r="K31" s="61"/>
      <c r="L31" s="61"/>
      <c r="M31" s="61"/>
      <c r="N31" s="61"/>
      <c r="O31" s="61"/>
      <c r="P31" s="61"/>
      <c r="Q31" s="61"/>
      <c r="R31" s="61"/>
      <c r="S31" s="61"/>
      <c r="T31" s="61"/>
      <c r="U31" s="61"/>
      <c r="V31" s="61"/>
      <c r="W31" s="61"/>
      <c r="X31" s="61"/>
      <c r="Y31" s="61"/>
      <c r="Z31" s="61"/>
    </row>
    <row r="32" ht="16.5" customHeight="1">
      <c r="A32" s="63" t="s">
        <v>117</v>
      </c>
      <c r="B32" s="64" t="s">
        <v>680</v>
      </c>
      <c r="C32" s="65" t="s">
        <v>740</v>
      </c>
      <c r="D32" s="64" t="s">
        <v>680</v>
      </c>
      <c r="E32" s="65" t="s">
        <v>742</v>
      </c>
      <c r="F32" s="69"/>
      <c r="G32" s="69"/>
      <c r="H32" s="61"/>
      <c r="I32" s="61"/>
      <c r="J32" s="61"/>
      <c r="K32" s="61"/>
      <c r="L32" s="61"/>
      <c r="M32" s="61"/>
      <c r="N32" s="61"/>
      <c r="O32" s="61"/>
      <c r="P32" s="61"/>
      <c r="Q32" s="61"/>
      <c r="R32" s="61"/>
      <c r="S32" s="61"/>
      <c r="T32" s="61"/>
      <c r="U32" s="61"/>
      <c r="V32" s="61"/>
      <c r="W32" s="61"/>
      <c r="X32" s="61"/>
      <c r="Y32" s="61"/>
      <c r="Z32" s="61"/>
    </row>
    <row r="33" ht="16.5" customHeight="1">
      <c r="A33" s="63" t="s">
        <v>151</v>
      </c>
      <c r="B33" s="64" t="s">
        <v>736</v>
      </c>
      <c r="C33" s="65" t="s">
        <v>746</v>
      </c>
      <c r="D33" s="64" t="s">
        <v>680</v>
      </c>
      <c r="E33" s="65" t="s">
        <v>748</v>
      </c>
      <c r="F33" s="69"/>
      <c r="G33" s="69"/>
      <c r="H33" s="61"/>
      <c r="I33" s="61"/>
      <c r="J33" s="61"/>
      <c r="K33" s="61"/>
      <c r="L33" s="61"/>
      <c r="M33" s="61"/>
      <c r="N33" s="61"/>
      <c r="O33" s="61"/>
      <c r="P33" s="61"/>
      <c r="Q33" s="61"/>
      <c r="R33" s="61"/>
      <c r="S33" s="61"/>
      <c r="T33" s="61"/>
      <c r="U33" s="61"/>
      <c r="V33" s="61"/>
      <c r="W33" s="61"/>
      <c r="X33" s="61"/>
      <c r="Y33" s="61"/>
      <c r="Z33" s="61"/>
    </row>
    <row r="34" ht="16.5" customHeight="1">
      <c r="A34" s="63" t="s">
        <v>186</v>
      </c>
      <c r="B34" s="64" t="s">
        <v>680</v>
      </c>
      <c r="C34" s="65" t="s">
        <v>752</v>
      </c>
      <c r="D34" s="64" t="s">
        <v>680</v>
      </c>
      <c r="E34" s="65" t="s">
        <v>754</v>
      </c>
      <c r="F34" s="69"/>
      <c r="G34" s="69"/>
      <c r="H34" s="61"/>
      <c r="I34" s="61"/>
      <c r="J34" s="61"/>
      <c r="K34" s="61"/>
      <c r="L34" s="61"/>
      <c r="M34" s="61"/>
      <c r="N34" s="61"/>
      <c r="O34" s="61"/>
      <c r="P34" s="61"/>
      <c r="Q34" s="61"/>
      <c r="R34" s="61"/>
      <c r="S34" s="61"/>
      <c r="T34" s="61"/>
      <c r="U34" s="61"/>
      <c r="V34" s="61"/>
      <c r="W34" s="61"/>
      <c r="X34" s="61"/>
      <c r="Y34" s="61"/>
      <c r="Z34" s="61"/>
    </row>
    <row r="35" ht="16.5" customHeight="1">
      <c r="A35" s="63" t="s">
        <v>221</v>
      </c>
      <c r="B35" s="64" t="s">
        <v>673</v>
      </c>
      <c r="C35" s="65" t="s">
        <v>760</v>
      </c>
      <c r="D35" s="64" t="s">
        <v>678</v>
      </c>
      <c r="E35" s="65" t="s">
        <v>762</v>
      </c>
      <c r="F35" s="69"/>
      <c r="G35" s="69"/>
      <c r="H35" s="61"/>
      <c r="I35" s="61"/>
      <c r="J35" s="61"/>
      <c r="K35" s="61"/>
      <c r="L35" s="61"/>
      <c r="M35" s="61"/>
      <c r="N35" s="61"/>
      <c r="O35" s="61"/>
      <c r="P35" s="61"/>
      <c r="Q35" s="61"/>
      <c r="R35" s="61"/>
      <c r="S35" s="61"/>
      <c r="T35" s="61"/>
      <c r="U35" s="61"/>
      <c r="V35" s="61"/>
      <c r="W35" s="61"/>
      <c r="X35" s="61"/>
      <c r="Y35" s="61"/>
      <c r="Z35" s="61"/>
    </row>
    <row r="36" ht="16.5" customHeight="1">
      <c r="A36" s="63" t="s">
        <v>261</v>
      </c>
      <c r="B36" s="64" t="s">
        <v>673</v>
      </c>
      <c r="C36" s="65" t="s">
        <v>767</v>
      </c>
      <c r="D36" s="64" t="s">
        <v>678</v>
      </c>
      <c r="E36" s="65" t="s">
        <v>769</v>
      </c>
      <c r="F36" s="69"/>
      <c r="G36" s="69"/>
      <c r="H36" s="61"/>
      <c r="I36" s="61"/>
      <c r="J36" s="61"/>
      <c r="K36" s="61"/>
      <c r="L36" s="61"/>
      <c r="M36" s="61"/>
      <c r="N36" s="61"/>
      <c r="O36" s="61"/>
      <c r="P36" s="61"/>
      <c r="Q36" s="61"/>
      <c r="R36" s="61"/>
      <c r="S36" s="61"/>
      <c r="T36" s="61"/>
      <c r="U36" s="61"/>
      <c r="V36" s="61"/>
      <c r="W36" s="61"/>
      <c r="X36" s="61"/>
      <c r="Y36" s="61"/>
      <c r="Z36" s="61"/>
    </row>
    <row r="37" ht="16.5" customHeight="1">
      <c r="A37" s="63" t="s">
        <v>310</v>
      </c>
      <c r="B37" s="64" t="s">
        <v>673</v>
      </c>
      <c r="C37" s="65" t="s">
        <v>773</v>
      </c>
      <c r="D37" s="64" t="s">
        <v>680</v>
      </c>
      <c r="E37" s="65" t="s">
        <v>776</v>
      </c>
      <c r="F37" s="69"/>
      <c r="G37" s="69"/>
      <c r="H37" s="61"/>
      <c r="I37" s="61"/>
      <c r="J37" s="61"/>
      <c r="K37" s="61"/>
      <c r="L37" s="61"/>
      <c r="M37" s="61"/>
      <c r="N37" s="61"/>
      <c r="O37" s="61"/>
      <c r="P37" s="61"/>
      <c r="Q37" s="61"/>
      <c r="R37" s="61"/>
      <c r="S37" s="61"/>
      <c r="T37" s="61"/>
      <c r="U37" s="61"/>
      <c r="V37" s="61"/>
      <c r="W37" s="61"/>
      <c r="X37" s="61"/>
      <c r="Y37" s="61"/>
      <c r="Z37" s="61"/>
    </row>
    <row r="38" ht="16.5" customHeight="1">
      <c r="A38" s="63" t="s">
        <v>346</v>
      </c>
      <c r="B38" s="64" t="s">
        <v>673</v>
      </c>
      <c r="C38" s="65" t="s">
        <v>781</v>
      </c>
      <c r="D38" s="64" t="s">
        <v>678</v>
      </c>
      <c r="E38" s="65" t="s">
        <v>783</v>
      </c>
      <c r="F38" s="69"/>
      <c r="G38" s="69"/>
      <c r="H38" s="61"/>
      <c r="I38" s="61"/>
      <c r="J38" s="61"/>
      <c r="K38" s="61"/>
      <c r="L38" s="61"/>
      <c r="M38" s="61"/>
      <c r="N38" s="61"/>
      <c r="O38" s="61"/>
      <c r="P38" s="61"/>
      <c r="Q38" s="61"/>
      <c r="R38" s="61"/>
      <c r="S38" s="61"/>
      <c r="T38" s="61"/>
      <c r="U38" s="61"/>
      <c r="V38" s="61"/>
      <c r="W38" s="61"/>
      <c r="X38" s="61"/>
      <c r="Y38" s="61"/>
      <c r="Z38" s="61"/>
    </row>
    <row r="39" ht="16.5" customHeight="1">
      <c r="A39" s="69"/>
      <c r="B39" s="70"/>
      <c r="C39" s="70"/>
      <c r="D39" s="70"/>
      <c r="E39" s="70"/>
      <c r="F39" s="69"/>
      <c r="G39" s="69"/>
      <c r="H39" s="61"/>
      <c r="I39" s="61"/>
      <c r="J39" s="61"/>
      <c r="K39" s="61"/>
      <c r="L39" s="61"/>
      <c r="M39" s="61"/>
      <c r="N39" s="61"/>
      <c r="O39" s="61"/>
      <c r="P39" s="61"/>
      <c r="Q39" s="61"/>
      <c r="R39" s="61"/>
      <c r="S39" s="61"/>
      <c r="T39" s="61"/>
      <c r="U39" s="61"/>
      <c r="V39" s="61"/>
      <c r="W39" s="61"/>
      <c r="X39" s="61"/>
      <c r="Y39" s="61"/>
      <c r="Z39" s="61"/>
    </row>
    <row r="40" ht="16.5" customHeight="1">
      <c r="A40" s="71" t="s">
        <v>7</v>
      </c>
      <c r="B40" s="60" t="s">
        <v>10</v>
      </c>
      <c r="C40" s="30"/>
      <c r="D40" s="60" t="s">
        <v>13</v>
      </c>
      <c r="E40" s="30"/>
      <c r="F40" s="69"/>
      <c r="G40" s="69"/>
      <c r="H40" s="69"/>
      <c r="I40" s="61"/>
      <c r="J40" s="61"/>
      <c r="K40" s="61"/>
      <c r="L40" s="61"/>
      <c r="M40" s="61"/>
      <c r="N40" s="61"/>
      <c r="O40" s="61"/>
      <c r="P40" s="61"/>
      <c r="Q40" s="61"/>
      <c r="R40" s="61"/>
      <c r="S40" s="61"/>
      <c r="T40" s="61"/>
      <c r="U40" s="61"/>
      <c r="V40" s="61"/>
      <c r="W40" s="61"/>
      <c r="X40" s="61"/>
      <c r="Y40" s="61"/>
      <c r="Z40" s="61"/>
    </row>
    <row r="41" ht="16.5" customHeight="1">
      <c r="A41" s="78"/>
      <c r="B41" s="62" t="s">
        <v>11</v>
      </c>
      <c r="C41" s="62" t="s">
        <v>12</v>
      </c>
      <c r="D41" s="62" t="s">
        <v>11</v>
      </c>
      <c r="E41" s="62" t="s">
        <v>12</v>
      </c>
      <c r="F41" s="69"/>
      <c r="G41" s="69"/>
      <c r="H41" s="69"/>
      <c r="I41" s="87"/>
      <c r="J41" s="61"/>
      <c r="K41" s="61"/>
      <c r="L41" s="61"/>
      <c r="M41" s="61"/>
      <c r="N41" s="61"/>
      <c r="O41" s="61"/>
      <c r="P41" s="61"/>
      <c r="Q41" s="61"/>
      <c r="R41" s="61"/>
      <c r="S41" s="61"/>
      <c r="T41" s="61"/>
      <c r="U41" s="61"/>
      <c r="V41" s="61"/>
      <c r="W41" s="61"/>
      <c r="X41" s="61"/>
      <c r="Y41" s="61"/>
      <c r="Z41" s="61"/>
    </row>
    <row r="42" ht="16.5" customHeight="1">
      <c r="A42" s="63" t="s">
        <v>14</v>
      </c>
      <c r="B42" s="88"/>
      <c r="C42" s="89" t="str">
        <f t="shared" ref="C42:C51" si="1">"1조" &amp; " - " &amp; B$40 &amp; " - " &amp; $A42</f>
        <v>1조 - MVC - Availability</v>
      </c>
      <c r="D42" s="88"/>
      <c r="E42" s="89" t="str">
        <f t="shared" ref="E42:E51" si="2">"1조" &amp; " - " &amp; D$40 &amp; " - " &amp; $A42</f>
        <v>1조 - PAC - Availability</v>
      </c>
      <c r="F42" s="69"/>
      <c r="G42" s="69"/>
      <c r="H42" s="69"/>
      <c r="I42" s="61"/>
      <c r="J42" s="61"/>
      <c r="K42" s="61"/>
      <c r="L42" s="61"/>
      <c r="M42" s="61"/>
      <c r="N42" s="61"/>
      <c r="O42" s="61"/>
      <c r="P42" s="61"/>
      <c r="Q42" s="61"/>
      <c r="R42" s="61"/>
      <c r="S42" s="61"/>
      <c r="T42" s="61"/>
      <c r="U42" s="61"/>
      <c r="V42" s="61"/>
      <c r="W42" s="61"/>
      <c r="X42" s="61"/>
      <c r="Y42" s="61"/>
      <c r="Z42" s="61"/>
    </row>
    <row r="43" ht="16.5" customHeight="1">
      <c r="A43" s="63" t="s">
        <v>47</v>
      </c>
      <c r="B43" s="88"/>
      <c r="C43" s="89" t="str">
        <f t="shared" si="1"/>
        <v>1조 - MVC - Deployability</v>
      </c>
      <c r="D43" s="88"/>
      <c r="E43" s="89" t="str">
        <f t="shared" si="2"/>
        <v>1조 - PAC - Deployability</v>
      </c>
      <c r="F43" s="69"/>
      <c r="G43" s="69"/>
      <c r="H43" s="69"/>
      <c r="I43" s="61"/>
      <c r="J43" s="61"/>
      <c r="K43" s="61"/>
      <c r="L43" s="61"/>
      <c r="M43" s="61"/>
      <c r="N43" s="61"/>
      <c r="O43" s="61"/>
      <c r="P43" s="61"/>
      <c r="Q43" s="61"/>
      <c r="R43" s="61"/>
      <c r="S43" s="61"/>
      <c r="T43" s="61"/>
      <c r="U43" s="61"/>
      <c r="V43" s="61"/>
      <c r="W43" s="61"/>
      <c r="X43" s="61"/>
      <c r="Y43" s="61"/>
      <c r="Z43" s="61"/>
    </row>
    <row r="44" ht="16.5" customHeight="1">
      <c r="A44" s="63" t="s">
        <v>80</v>
      </c>
      <c r="B44" s="88"/>
      <c r="C44" s="89" t="str">
        <f t="shared" si="1"/>
        <v>1조 - MVC - Integrability</v>
      </c>
      <c r="D44" s="88"/>
      <c r="E44" s="89" t="str">
        <f t="shared" si="2"/>
        <v>1조 - PAC - Integrability</v>
      </c>
      <c r="F44" s="69"/>
      <c r="G44" s="69"/>
      <c r="H44" s="69"/>
      <c r="I44" s="61"/>
      <c r="J44" s="61"/>
      <c r="K44" s="61"/>
      <c r="L44" s="61"/>
      <c r="M44" s="61"/>
      <c r="N44" s="61"/>
      <c r="O44" s="61"/>
      <c r="P44" s="61"/>
      <c r="Q44" s="61"/>
      <c r="R44" s="61"/>
      <c r="S44" s="61"/>
      <c r="T44" s="61"/>
      <c r="U44" s="61"/>
      <c r="V44" s="61"/>
      <c r="W44" s="61"/>
      <c r="X44" s="61"/>
      <c r="Y44" s="61"/>
      <c r="Z44" s="61"/>
    </row>
    <row r="45" ht="16.5" customHeight="1">
      <c r="A45" s="63" t="s">
        <v>117</v>
      </c>
      <c r="B45" s="88"/>
      <c r="C45" s="89" t="str">
        <f t="shared" si="1"/>
        <v>1조 - MVC - Energy Efficiency</v>
      </c>
      <c r="D45" s="88"/>
      <c r="E45" s="89" t="str">
        <f t="shared" si="2"/>
        <v>1조 - PAC - Energy Efficiency</v>
      </c>
      <c r="F45" s="69"/>
      <c r="G45" s="69"/>
      <c r="H45" s="69"/>
      <c r="I45" s="61"/>
      <c r="J45" s="61"/>
      <c r="K45" s="61"/>
      <c r="L45" s="61"/>
      <c r="M45" s="61"/>
      <c r="N45" s="61"/>
      <c r="O45" s="61"/>
      <c r="P45" s="61"/>
      <c r="Q45" s="61"/>
      <c r="R45" s="61"/>
      <c r="S45" s="61"/>
      <c r="T45" s="61"/>
      <c r="U45" s="61"/>
      <c r="V45" s="61"/>
      <c r="W45" s="61"/>
      <c r="X45" s="61"/>
      <c r="Y45" s="61"/>
      <c r="Z45" s="61"/>
    </row>
    <row r="46" ht="16.5" customHeight="1">
      <c r="A46" s="63" t="s">
        <v>151</v>
      </c>
      <c r="B46" s="88"/>
      <c r="C46" s="89" t="str">
        <f t="shared" si="1"/>
        <v>1조 - MVC - Modifiability</v>
      </c>
      <c r="D46" s="88"/>
      <c r="E46" s="89" t="str">
        <f t="shared" si="2"/>
        <v>1조 - PAC - Modifiability</v>
      </c>
      <c r="F46" s="69"/>
      <c r="G46" s="69"/>
      <c r="H46" s="69"/>
      <c r="I46" s="61"/>
      <c r="J46" s="61"/>
      <c r="K46" s="61"/>
      <c r="L46" s="61"/>
      <c r="M46" s="61"/>
      <c r="N46" s="61"/>
      <c r="O46" s="61"/>
      <c r="P46" s="61"/>
      <c r="Q46" s="61"/>
      <c r="R46" s="61"/>
      <c r="S46" s="61"/>
      <c r="T46" s="61"/>
      <c r="U46" s="61"/>
      <c r="V46" s="61"/>
      <c r="W46" s="61"/>
      <c r="X46" s="61"/>
      <c r="Y46" s="61"/>
      <c r="Z46" s="61"/>
    </row>
    <row r="47" ht="16.5" customHeight="1">
      <c r="A47" s="63" t="s">
        <v>186</v>
      </c>
      <c r="B47" s="88"/>
      <c r="C47" s="89" t="str">
        <f t="shared" si="1"/>
        <v>1조 - MVC - Performance</v>
      </c>
      <c r="D47" s="88"/>
      <c r="E47" s="89" t="str">
        <f t="shared" si="2"/>
        <v>1조 - PAC - Performance</v>
      </c>
      <c r="F47" s="69"/>
      <c r="G47" s="69"/>
      <c r="H47" s="69"/>
      <c r="I47" s="61"/>
      <c r="J47" s="61"/>
      <c r="K47" s="61"/>
      <c r="L47" s="61"/>
      <c r="M47" s="61"/>
      <c r="N47" s="61"/>
      <c r="O47" s="61"/>
      <c r="P47" s="61"/>
      <c r="Q47" s="61"/>
      <c r="R47" s="61"/>
      <c r="S47" s="61"/>
      <c r="T47" s="61"/>
      <c r="U47" s="61"/>
      <c r="V47" s="61"/>
      <c r="W47" s="61"/>
      <c r="X47" s="61"/>
      <c r="Y47" s="61"/>
      <c r="Z47" s="61"/>
    </row>
    <row r="48" ht="16.5" customHeight="1">
      <c r="A48" s="63" t="s">
        <v>221</v>
      </c>
      <c r="B48" s="88"/>
      <c r="C48" s="89" t="str">
        <f t="shared" si="1"/>
        <v>1조 - MVC - Safety</v>
      </c>
      <c r="D48" s="88"/>
      <c r="E48" s="89" t="str">
        <f t="shared" si="2"/>
        <v>1조 - PAC - Safety</v>
      </c>
      <c r="F48" s="69"/>
      <c r="G48" s="69"/>
      <c r="H48" s="69"/>
      <c r="I48" s="61"/>
      <c r="J48" s="61"/>
      <c r="K48" s="61"/>
      <c r="L48" s="61"/>
      <c r="M48" s="61"/>
      <c r="N48" s="61"/>
      <c r="O48" s="61"/>
      <c r="P48" s="61"/>
      <c r="Q48" s="61"/>
      <c r="R48" s="61"/>
      <c r="S48" s="61"/>
      <c r="T48" s="61"/>
      <c r="U48" s="61"/>
      <c r="V48" s="61"/>
      <c r="W48" s="61"/>
      <c r="X48" s="61"/>
      <c r="Y48" s="61"/>
      <c r="Z48" s="61"/>
    </row>
    <row r="49" ht="16.5" customHeight="1">
      <c r="A49" s="63" t="s">
        <v>261</v>
      </c>
      <c r="B49" s="88"/>
      <c r="C49" s="89" t="str">
        <f t="shared" si="1"/>
        <v>1조 - MVC - Security</v>
      </c>
      <c r="D49" s="88"/>
      <c r="E49" s="89" t="str">
        <f t="shared" si="2"/>
        <v>1조 - PAC - Security</v>
      </c>
      <c r="F49" s="69"/>
      <c r="G49" s="69"/>
      <c r="H49" s="69"/>
      <c r="I49" s="61"/>
      <c r="J49" s="61"/>
      <c r="K49" s="61"/>
      <c r="L49" s="61"/>
      <c r="M49" s="61"/>
      <c r="N49" s="61"/>
      <c r="O49" s="61"/>
      <c r="P49" s="61"/>
      <c r="Q49" s="61"/>
      <c r="R49" s="61"/>
      <c r="S49" s="61"/>
      <c r="T49" s="61"/>
      <c r="U49" s="61"/>
      <c r="V49" s="61"/>
      <c r="W49" s="61"/>
      <c r="X49" s="61"/>
      <c r="Y49" s="61"/>
      <c r="Z49" s="61"/>
    </row>
    <row r="50" ht="16.5" customHeight="1">
      <c r="A50" s="63" t="s">
        <v>310</v>
      </c>
      <c r="B50" s="88"/>
      <c r="C50" s="89" t="str">
        <f t="shared" si="1"/>
        <v>1조 - MVC - Testability</v>
      </c>
      <c r="D50" s="88"/>
      <c r="E50" s="89" t="str">
        <f t="shared" si="2"/>
        <v>1조 - PAC - Testability</v>
      </c>
      <c r="F50" s="69"/>
      <c r="G50" s="70"/>
      <c r="H50" s="69"/>
      <c r="I50" s="90"/>
      <c r="J50" s="61"/>
      <c r="K50" s="61"/>
      <c r="L50" s="61"/>
      <c r="M50" s="61"/>
      <c r="N50" s="61"/>
      <c r="O50" s="61"/>
      <c r="P50" s="61"/>
      <c r="Q50" s="61"/>
      <c r="R50" s="61"/>
      <c r="S50" s="61"/>
      <c r="T50" s="61"/>
      <c r="U50" s="61"/>
      <c r="V50" s="61"/>
      <c r="W50" s="61"/>
      <c r="X50" s="61"/>
      <c r="Y50" s="61"/>
      <c r="Z50" s="61"/>
    </row>
    <row r="51" ht="16.5" customHeight="1">
      <c r="A51" s="63" t="s">
        <v>346</v>
      </c>
      <c r="B51" s="88"/>
      <c r="C51" s="89" t="str">
        <f t="shared" si="1"/>
        <v>1조 - MVC - Usability</v>
      </c>
      <c r="D51" s="88"/>
      <c r="E51" s="89" t="str">
        <f t="shared" si="2"/>
        <v>1조 - PAC - Usability</v>
      </c>
      <c r="F51" s="69"/>
      <c r="G51" s="70"/>
      <c r="H51" s="69"/>
      <c r="I51" s="87"/>
      <c r="J51" s="61"/>
      <c r="K51" s="61"/>
      <c r="L51" s="61"/>
      <c r="M51" s="61"/>
      <c r="N51" s="61"/>
      <c r="O51" s="61"/>
      <c r="P51" s="61"/>
      <c r="Q51" s="61"/>
      <c r="R51" s="61"/>
      <c r="S51" s="61"/>
      <c r="T51" s="61"/>
      <c r="U51" s="61"/>
      <c r="V51" s="61"/>
      <c r="W51" s="61"/>
      <c r="X51" s="61"/>
      <c r="Y51" s="61"/>
      <c r="Z51" s="61"/>
    </row>
    <row r="52" ht="16.5" customHeight="1">
      <c r="A52" s="69"/>
      <c r="B52" s="70"/>
      <c r="C52" s="69"/>
      <c r="D52" s="70"/>
      <c r="E52" s="69"/>
      <c r="F52" s="69"/>
      <c r="G52" s="69"/>
      <c r="H52" s="61"/>
      <c r="I52" s="61"/>
      <c r="J52" s="61"/>
      <c r="K52" s="61"/>
      <c r="L52" s="61"/>
      <c r="M52" s="61"/>
      <c r="N52" s="61"/>
      <c r="O52" s="61"/>
      <c r="P52" s="61"/>
      <c r="Q52" s="61"/>
      <c r="R52" s="61"/>
      <c r="S52" s="61"/>
      <c r="T52" s="61"/>
      <c r="U52" s="61"/>
      <c r="V52" s="61"/>
      <c r="W52" s="61"/>
      <c r="X52" s="61"/>
      <c r="Y52" s="61"/>
      <c r="Z52" s="61"/>
    </row>
    <row r="53" ht="16.5" customHeight="1">
      <c r="A53" s="71" t="s">
        <v>413</v>
      </c>
      <c r="B53" s="72" t="s">
        <v>414</v>
      </c>
      <c r="C53" s="30"/>
      <c r="D53" s="72" t="s">
        <v>415</v>
      </c>
      <c r="E53" s="30"/>
      <c r="F53" s="69"/>
      <c r="G53" s="70"/>
      <c r="H53" s="69"/>
      <c r="I53" s="61"/>
      <c r="J53" s="61"/>
      <c r="K53" s="61"/>
      <c r="L53" s="61"/>
      <c r="M53" s="61"/>
      <c r="N53" s="61"/>
      <c r="O53" s="61"/>
      <c r="P53" s="61"/>
      <c r="Q53" s="61"/>
      <c r="R53" s="61"/>
      <c r="S53" s="61"/>
      <c r="T53" s="61"/>
      <c r="U53" s="61"/>
      <c r="V53" s="61"/>
      <c r="W53" s="61"/>
      <c r="X53" s="61"/>
      <c r="Y53" s="61"/>
      <c r="Z53" s="61"/>
    </row>
    <row r="54" ht="16.5" customHeight="1">
      <c r="A54" s="78"/>
      <c r="B54" s="62" t="s">
        <v>11</v>
      </c>
      <c r="C54" s="79" t="s">
        <v>12</v>
      </c>
      <c r="D54" s="62" t="s">
        <v>11</v>
      </c>
      <c r="E54" s="79" t="s">
        <v>12</v>
      </c>
      <c r="F54" s="69"/>
      <c r="G54" s="70"/>
      <c r="H54" s="69"/>
      <c r="I54" s="61"/>
      <c r="J54" s="61"/>
      <c r="K54" s="61"/>
      <c r="L54" s="61"/>
      <c r="M54" s="61"/>
      <c r="N54" s="61"/>
      <c r="O54" s="61"/>
      <c r="P54" s="61"/>
      <c r="Q54" s="61"/>
      <c r="R54" s="61"/>
      <c r="S54" s="61"/>
      <c r="T54" s="61"/>
      <c r="U54" s="61"/>
      <c r="V54" s="61"/>
      <c r="W54" s="61"/>
      <c r="X54" s="61"/>
      <c r="Y54" s="61"/>
      <c r="Z54" s="61"/>
    </row>
    <row r="55" ht="16.5" customHeight="1">
      <c r="A55" s="63" t="s">
        <v>14</v>
      </c>
      <c r="B55" s="92" t="s">
        <v>693</v>
      </c>
      <c r="C55" s="94" t="s">
        <v>827</v>
      </c>
      <c r="D55" s="92" t="s">
        <v>680</v>
      </c>
      <c r="E55" s="94" t="s">
        <v>828</v>
      </c>
      <c r="F55" s="69"/>
      <c r="G55" s="70"/>
      <c r="H55" s="69"/>
      <c r="I55" s="61"/>
      <c r="J55" s="61"/>
      <c r="K55" s="61"/>
      <c r="L55" s="61"/>
      <c r="M55" s="61"/>
      <c r="N55" s="61"/>
      <c r="O55" s="61"/>
      <c r="P55" s="61"/>
      <c r="Q55" s="61"/>
      <c r="R55" s="61"/>
      <c r="S55" s="61"/>
      <c r="T55" s="61"/>
      <c r="U55" s="61"/>
      <c r="V55" s="61"/>
      <c r="W55" s="61"/>
      <c r="X55" s="61"/>
      <c r="Y55" s="61"/>
      <c r="Z55" s="61"/>
    </row>
    <row r="56" ht="16.5" customHeight="1">
      <c r="A56" s="63" t="s">
        <v>47</v>
      </c>
      <c r="B56" s="92" t="s">
        <v>673</v>
      </c>
      <c r="C56" s="95" t="s">
        <v>829</v>
      </c>
      <c r="D56" s="92" t="s">
        <v>673</v>
      </c>
      <c r="E56" s="94" t="s">
        <v>830</v>
      </c>
      <c r="F56" s="69"/>
      <c r="G56" s="70"/>
      <c r="H56" s="69"/>
      <c r="I56" s="61"/>
      <c r="J56" s="61"/>
      <c r="K56" s="61"/>
      <c r="L56" s="61"/>
      <c r="M56" s="61"/>
      <c r="N56" s="61"/>
      <c r="O56" s="61"/>
      <c r="P56" s="61"/>
      <c r="Q56" s="61"/>
      <c r="R56" s="61"/>
      <c r="S56" s="61"/>
      <c r="T56" s="61"/>
      <c r="U56" s="61"/>
      <c r="V56" s="61"/>
      <c r="W56" s="61"/>
      <c r="X56" s="61"/>
      <c r="Y56" s="61"/>
      <c r="Z56" s="61"/>
    </row>
    <row r="57" ht="16.5" customHeight="1">
      <c r="A57" s="63" t="s">
        <v>80</v>
      </c>
      <c r="B57" s="92" t="s">
        <v>673</v>
      </c>
      <c r="C57" s="94" t="s">
        <v>831</v>
      </c>
      <c r="D57" s="92" t="s">
        <v>680</v>
      </c>
      <c r="E57" s="94" t="s">
        <v>832</v>
      </c>
      <c r="F57" s="69"/>
      <c r="G57" s="70"/>
      <c r="H57" s="69"/>
      <c r="I57" s="61"/>
      <c r="J57" s="61"/>
      <c r="K57" s="61"/>
      <c r="L57" s="61"/>
      <c r="M57" s="61"/>
      <c r="N57" s="61"/>
      <c r="O57" s="61"/>
      <c r="P57" s="61"/>
      <c r="Q57" s="61"/>
      <c r="R57" s="61"/>
      <c r="S57" s="61"/>
      <c r="T57" s="61"/>
      <c r="U57" s="61"/>
      <c r="V57" s="61"/>
      <c r="W57" s="61"/>
      <c r="X57" s="61"/>
      <c r="Y57" s="61"/>
      <c r="Z57" s="61"/>
    </row>
    <row r="58" ht="16.5" customHeight="1">
      <c r="A58" s="63" t="s">
        <v>117</v>
      </c>
      <c r="B58" s="92" t="s">
        <v>678</v>
      </c>
      <c r="C58" s="94" t="s">
        <v>833</v>
      </c>
      <c r="D58" s="92" t="s">
        <v>673</v>
      </c>
      <c r="E58" s="94" t="s">
        <v>834</v>
      </c>
      <c r="F58" s="69"/>
      <c r="G58" s="70"/>
      <c r="H58" s="69"/>
      <c r="I58" s="61"/>
      <c r="J58" s="61"/>
      <c r="K58" s="61"/>
      <c r="L58" s="61"/>
      <c r="M58" s="61"/>
      <c r="N58" s="61"/>
      <c r="O58" s="61"/>
      <c r="P58" s="61"/>
      <c r="Q58" s="61"/>
      <c r="R58" s="61"/>
      <c r="S58" s="61"/>
      <c r="T58" s="61"/>
      <c r="U58" s="61"/>
      <c r="V58" s="61"/>
      <c r="W58" s="61"/>
      <c r="X58" s="61"/>
      <c r="Y58" s="61"/>
      <c r="Z58" s="61"/>
    </row>
    <row r="59" ht="16.5" customHeight="1">
      <c r="A59" s="63" t="s">
        <v>151</v>
      </c>
      <c r="B59" s="92" t="s">
        <v>680</v>
      </c>
      <c r="C59" s="94" t="s">
        <v>835</v>
      </c>
      <c r="D59" s="92" t="s">
        <v>673</v>
      </c>
      <c r="E59" s="94" t="s">
        <v>836</v>
      </c>
      <c r="F59" s="69"/>
      <c r="G59" s="70"/>
      <c r="H59" s="69"/>
      <c r="I59" s="61"/>
      <c r="J59" s="61"/>
      <c r="K59" s="61"/>
      <c r="L59" s="61"/>
      <c r="M59" s="61"/>
      <c r="N59" s="61"/>
      <c r="O59" s="61"/>
      <c r="P59" s="61"/>
      <c r="Q59" s="61"/>
      <c r="R59" s="61"/>
      <c r="S59" s="61"/>
      <c r="T59" s="61"/>
      <c r="U59" s="61"/>
      <c r="V59" s="61"/>
      <c r="W59" s="61"/>
      <c r="X59" s="61"/>
      <c r="Y59" s="61"/>
      <c r="Z59" s="61"/>
    </row>
    <row r="60" ht="16.5" customHeight="1">
      <c r="A60" s="63" t="s">
        <v>186</v>
      </c>
      <c r="B60" s="92" t="s">
        <v>680</v>
      </c>
      <c r="C60" s="96" t="s">
        <v>837</v>
      </c>
      <c r="D60" s="92" t="s">
        <v>673</v>
      </c>
      <c r="E60" s="94" t="s">
        <v>838</v>
      </c>
      <c r="F60" s="69"/>
      <c r="G60" s="70"/>
      <c r="H60" s="69"/>
      <c r="I60" s="90"/>
      <c r="J60" s="61"/>
      <c r="K60" s="61"/>
      <c r="L60" s="61"/>
      <c r="M60" s="61"/>
      <c r="N60" s="61"/>
      <c r="O60" s="61"/>
      <c r="P60" s="61"/>
      <c r="Q60" s="61"/>
      <c r="R60" s="61"/>
      <c r="S60" s="61"/>
      <c r="T60" s="61"/>
      <c r="U60" s="61"/>
      <c r="V60" s="61"/>
      <c r="W60" s="61"/>
      <c r="X60" s="61"/>
      <c r="Y60" s="61"/>
      <c r="Z60" s="61"/>
    </row>
    <row r="61" ht="16.5" customHeight="1">
      <c r="A61" s="63" t="s">
        <v>221</v>
      </c>
      <c r="B61" s="92" t="s">
        <v>673</v>
      </c>
      <c r="C61" s="94" t="s">
        <v>839</v>
      </c>
      <c r="D61" s="92" t="s">
        <v>680</v>
      </c>
      <c r="E61" s="94" t="s">
        <v>840</v>
      </c>
      <c r="F61" s="69"/>
      <c r="G61" s="70"/>
      <c r="H61" s="69"/>
      <c r="I61" s="87"/>
      <c r="J61" s="61"/>
      <c r="K61" s="61"/>
      <c r="L61" s="61"/>
      <c r="M61" s="61"/>
      <c r="N61" s="61"/>
      <c r="O61" s="61"/>
      <c r="P61" s="61"/>
      <c r="Q61" s="61"/>
      <c r="R61" s="61"/>
      <c r="S61" s="61"/>
      <c r="T61" s="61"/>
      <c r="U61" s="61"/>
      <c r="V61" s="61"/>
      <c r="W61" s="61"/>
      <c r="X61" s="61"/>
      <c r="Y61" s="61"/>
      <c r="Z61" s="61"/>
    </row>
    <row r="62" ht="16.5" customHeight="1">
      <c r="A62" s="63" t="s">
        <v>261</v>
      </c>
      <c r="B62" s="92" t="s">
        <v>680</v>
      </c>
      <c r="C62" s="94" t="s">
        <v>841</v>
      </c>
      <c r="D62" s="92" t="s">
        <v>673</v>
      </c>
      <c r="E62" s="94" t="s">
        <v>842</v>
      </c>
      <c r="F62" s="69"/>
      <c r="G62" s="70"/>
      <c r="H62" s="69"/>
      <c r="I62" s="61"/>
      <c r="J62" s="61"/>
      <c r="K62" s="61"/>
      <c r="L62" s="61"/>
      <c r="M62" s="61"/>
      <c r="N62" s="61"/>
      <c r="O62" s="61"/>
      <c r="P62" s="61"/>
      <c r="Q62" s="61"/>
      <c r="R62" s="61"/>
      <c r="S62" s="61"/>
      <c r="T62" s="61"/>
      <c r="U62" s="61"/>
      <c r="V62" s="61"/>
      <c r="W62" s="61"/>
      <c r="X62" s="61"/>
      <c r="Y62" s="61"/>
      <c r="Z62" s="61"/>
    </row>
    <row r="63" ht="16.5" customHeight="1">
      <c r="A63" s="63" t="s">
        <v>310</v>
      </c>
      <c r="B63" s="92" t="s">
        <v>680</v>
      </c>
      <c r="C63" s="94" t="s">
        <v>843</v>
      </c>
      <c r="D63" s="92" t="s">
        <v>673</v>
      </c>
      <c r="E63" s="94" t="s">
        <v>845</v>
      </c>
      <c r="F63" s="69"/>
      <c r="G63" s="70"/>
      <c r="H63" s="69"/>
      <c r="I63" s="61"/>
      <c r="J63" s="61"/>
      <c r="K63" s="61"/>
      <c r="L63" s="61"/>
      <c r="M63" s="61"/>
      <c r="N63" s="61"/>
      <c r="O63" s="61"/>
      <c r="P63" s="61"/>
      <c r="Q63" s="61"/>
      <c r="R63" s="61"/>
      <c r="S63" s="61"/>
      <c r="T63" s="61"/>
      <c r="U63" s="61"/>
      <c r="V63" s="61"/>
      <c r="W63" s="61"/>
      <c r="X63" s="61"/>
      <c r="Y63" s="61"/>
      <c r="Z63" s="61"/>
    </row>
    <row r="64" ht="16.5" customHeight="1">
      <c r="A64" s="63" t="s">
        <v>346</v>
      </c>
      <c r="B64" s="92" t="s">
        <v>678</v>
      </c>
      <c r="C64" s="94" t="s">
        <v>848</v>
      </c>
      <c r="D64" s="92" t="s">
        <v>678</v>
      </c>
      <c r="E64" s="94" t="s">
        <v>850</v>
      </c>
      <c r="F64" s="69"/>
      <c r="G64" s="70"/>
      <c r="H64" s="69"/>
      <c r="I64" s="61"/>
      <c r="J64" s="61"/>
      <c r="K64" s="61"/>
      <c r="L64" s="61"/>
      <c r="M64" s="61"/>
      <c r="N64" s="61"/>
      <c r="O64" s="61"/>
      <c r="P64" s="61"/>
      <c r="Q64" s="61"/>
      <c r="R64" s="61"/>
      <c r="S64" s="61"/>
      <c r="T64" s="61"/>
      <c r="U64" s="61"/>
      <c r="V64" s="61"/>
      <c r="W64" s="61"/>
      <c r="X64" s="61"/>
      <c r="Y64" s="61"/>
      <c r="Z64" s="61"/>
    </row>
    <row r="65" ht="16.5" customHeight="1">
      <c r="A65" s="69"/>
      <c r="B65" s="70"/>
      <c r="C65" s="70"/>
      <c r="D65" s="70"/>
      <c r="E65" s="70"/>
      <c r="F65" s="69"/>
      <c r="G65" s="70"/>
      <c r="H65" s="69"/>
      <c r="I65" s="61"/>
      <c r="J65" s="61"/>
      <c r="K65" s="61"/>
      <c r="L65" s="61"/>
      <c r="M65" s="61"/>
      <c r="N65" s="61"/>
      <c r="O65" s="61"/>
      <c r="P65" s="61"/>
      <c r="Q65" s="61"/>
      <c r="R65" s="61"/>
      <c r="S65" s="61"/>
      <c r="T65" s="61"/>
      <c r="U65" s="61"/>
      <c r="V65" s="61"/>
      <c r="W65" s="61"/>
      <c r="X65" s="61"/>
      <c r="Y65" s="61"/>
      <c r="Z65" s="61"/>
    </row>
    <row r="66" ht="16.5" customHeight="1">
      <c r="A66" s="71" t="s">
        <v>413</v>
      </c>
      <c r="B66" s="72" t="s">
        <v>420</v>
      </c>
      <c r="C66" s="30"/>
      <c r="D66" s="72" t="s">
        <v>421</v>
      </c>
      <c r="E66" s="30"/>
      <c r="F66" s="72" t="s">
        <v>422</v>
      </c>
      <c r="G66" s="30"/>
      <c r="H66" s="69"/>
      <c r="I66" s="61"/>
      <c r="J66" s="61"/>
      <c r="K66" s="61"/>
      <c r="L66" s="61"/>
      <c r="M66" s="61"/>
      <c r="N66" s="61"/>
      <c r="O66" s="61"/>
      <c r="P66" s="61"/>
      <c r="Q66" s="61"/>
      <c r="R66" s="61"/>
      <c r="S66" s="61"/>
      <c r="T66" s="61"/>
      <c r="U66" s="61"/>
      <c r="V66" s="61"/>
      <c r="W66" s="61"/>
      <c r="X66" s="61"/>
      <c r="Y66" s="61"/>
      <c r="Z66" s="61"/>
    </row>
    <row r="67" ht="16.5" customHeight="1">
      <c r="A67" s="78"/>
      <c r="B67" s="62" t="s">
        <v>11</v>
      </c>
      <c r="C67" s="79" t="s">
        <v>12</v>
      </c>
      <c r="D67" s="62" t="s">
        <v>11</v>
      </c>
      <c r="E67" s="79" t="s">
        <v>12</v>
      </c>
      <c r="F67" s="62" t="s">
        <v>11</v>
      </c>
      <c r="G67" s="79" t="s">
        <v>12</v>
      </c>
      <c r="H67" s="69"/>
      <c r="I67" s="61"/>
      <c r="J67" s="61"/>
      <c r="K67" s="61"/>
      <c r="L67" s="61"/>
      <c r="M67" s="61"/>
      <c r="N67" s="61"/>
      <c r="O67" s="61"/>
      <c r="P67" s="61"/>
      <c r="Q67" s="61"/>
      <c r="R67" s="61"/>
      <c r="S67" s="61"/>
      <c r="T67" s="61"/>
      <c r="U67" s="61"/>
      <c r="V67" s="61"/>
      <c r="W67" s="61"/>
      <c r="X67" s="61"/>
      <c r="Y67" s="61"/>
      <c r="Z67" s="61"/>
    </row>
    <row r="68" ht="16.5" customHeight="1">
      <c r="A68" s="63" t="s">
        <v>14</v>
      </c>
      <c r="B68" s="92" t="s">
        <v>678</v>
      </c>
      <c r="C68" s="102" t="s">
        <v>863</v>
      </c>
      <c r="D68" s="88"/>
      <c r="E68" s="89" t="str">
        <f t="shared" ref="E68:E77" si="3">"1조" &amp; " - " &amp; D$66 &amp; " - " &amp; $A68</f>
        <v>1조 - Virtual Machine - Availability</v>
      </c>
      <c r="F68" s="88"/>
      <c r="G68" s="89" t="str">
        <f t="shared" ref="G68:G77" si="4">"1조" &amp; " - " &amp; F$66 &amp; " - " &amp; $A68</f>
        <v>1조 - Microkernel - Availability</v>
      </c>
      <c r="H68" s="69"/>
      <c r="I68" s="61"/>
      <c r="J68" s="61"/>
      <c r="K68" s="61"/>
      <c r="L68" s="61"/>
      <c r="M68" s="61"/>
      <c r="N68" s="61"/>
      <c r="O68" s="61"/>
      <c r="P68" s="61"/>
      <c r="Q68" s="61"/>
      <c r="R68" s="61"/>
      <c r="S68" s="61"/>
      <c r="T68" s="61"/>
      <c r="U68" s="61"/>
      <c r="V68" s="61"/>
      <c r="W68" s="61"/>
      <c r="X68" s="61"/>
      <c r="Y68" s="61"/>
      <c r="Z68" s="61"/>
    </row>
    <row r="69" ht="16.5" customHeight="1">
      <c r="A69" s="63" t="s">
        <v>47</v>
      </c>
      <c r="B69" s="92" t="s">
        <v>680</v>
      </c>
      <c r="C69" s="94" t="s">
        <v>867</v>
      </c>
      <c r="D69" s="88"/>
      <c r="E69" s="103" t="str">
        <f t="shared" si="3"/>
        <v>1조 - Virtual Machine - Deployability</v>
      </c>
      <c r="F69" s="88"/>
      <c r="G69" s="89" t="str">
        <f t="shared" si="4"/>
        <v>1조 - Microkernel - Deployability</v>
      </c>
      <c r="H69" s="69"/>
      <c r="I69" s="61"/>
      <c r="J69" s="61"/>
      <c r="K69" s="61"/>
      <c r="L69" s="61"/>
      <c r="M69" s="61"/>
      <c r="N69" s="61"/>
      <c r="O69" s="61"/>
      <c r="P69" s="61"/>
      <c r="Q69" s="61"/>
      <c r="R69" s="61"/>
      <c r="S69" s="61"/>
      <c r="T69" s="61"/>
      <c r="U69" s="61"/>
      <c r="V69" s="61"/>
      <c r="W69" s="61"/>
      <c r="X69" s="61"/>
      <c r="Y69" s="61"/>
      <c r="Z69" s="61"/>
    </row>
    <row r="70" ht="16.5" customHeight="1">
      <c r="A70" s="63" t="s">
        <v>80</v>
      </c>
      <c r="B70" s="92" t="s">
        <v>680</v>
      </c>
      <c r="C70" s="102" t="s">
        <v>868</v>
      </c>
      <c r="D70" s="88"/>
      <c r="E70" s="89" t="str">
        <f t="shared" si="3"/>
        <v>1조 - Virtual Machine - Integrability</v>
      </c>
      <c r="F70" s="88"/>
      <c r="G70" s="89" t="str">
        <f t="shared" si="4"/>
        <v>1조 - Microkernel - Integrability</v>
      </c>
      <c r="H70" s="69"/>
      <c r="I70" s="61"/>
      <c r="J70" s="61"/>
      <c r="K70" s="61"/>
      <c r="L70" s="61"/>
      <c r="M70" s="61"/>
      <c r="N70" s="61"/>
      <c r="O70" s="61"/>
      <c r="P70" s="61"/>
      <c r="Q70" s="61"/>
      <c r="R70" s="61"/>
      <c r="S70" s="61"/>
      <c r="T70" s="61"/>
      <c r="U70" s="61"/>
      <c r="V70" s="61"/>
      <c r="W70" s="61"/>
      <c r="X70" s="61"/>
      <c r="Y70" s="61"/>
      <c r="Z70" s="61"/>
    </row>
    <row r="71" ht="16.5" customHeight="1">
      <c r="A71" s="63" t="s">
        <v>117</v>
      </c>
      <c r="B71" s="92" t="s">
        <v>673</v>
      </c>
      <c r="C71" s="94" t="s">
        <v>833</v>
      </c>
      <c r="D71" s="88"/>
      <c r="E71" s="89" t="str">
        <f t="shared" si="3"/>
        <v>1조 - Virtual Machine - Energy Efficiency</v>
      </c>
      <c r="F71" s="88"/>
      <c r="G71" s="89" t="str">
        <f t="shared" si="4"/>
        <v>1조 - Microkernel - Energy Efficiency</v>
      </c>
      <c r="H71" s="69"/>
      <c r="I71" s="61"/>
      <c r="J71" s="61"/>
      <c r="K71" s="61"/>
      <c r="L71" s="61"/>
      <c r="M71" s="61"/>
      <c r="N71" s="61"/>
      <c r="O71" s="61"/>
      <c r="P71" s="61"/>
      <c r="Q71" s="61"/>
      <c r="R71" s="61"/>
      <c r="S71" s="61"/>
      <c r="T71" s="61"/>
      <c r="U71" s="61"/>
      <c r="V71" s="61"/>
      <c r="W71" s="61"/>
      <c r="X71" s="61"/>
      <c r="Y71" s="61"/>
      <c r="Z71" s="61"/>
    </row>
    <row r="72" ht="16.5" customHeight="1">
      <c r="A72" s="63" t="s">
        <v>151</v>
      </c>
      <c r="B72" s="92" t="s">
        <v>736</v>
      </c>
      <c r="C72" s="94" t="s">
        <v>871</v>
      </c>
      <c r="D72" s="88"/>
      <c r="E72" s="89" t="str">
        <f t="shared" si="3"/>
        <v>1조 - Virtual Machine - Modifiability</v>
      </c>
      <c r="F72" s="88"/>
      <c r="G72" s="89" t="str">
        <f t="shared" si="4"/>
        <v>1조 - Microkernel - Modifiability</v>
      </c>
      <c r="H72" s="69"/>
      <c r="I72" s="61"/>
      <c r="J72" s="61"/>
      <c r="K72" s="61"/>
      <c r="L72" s="61"/>
      <c r="M72" s="61"/>
      <c r="N72" s="61"/>
      <c r="O72" s="61"/>
      <c r="P72" s="61"/>
      <c r="Q72" s="61"/>
      <c r="R72" s="61"/>
      <c r="S72" s="61"/>
      <c r="T72" s="61"/>
      <c r="U72" s="61"/>
      <c r="V72" s="61"/>
      <c r="W72" s="61"/>
      <c r="X72" s="61"/>
      <c r="Y72" s="61"/>
      <c r="Z72" s="61"/>
    </row>
    <row r="73" ht="16.5" customHeight="1">
      <c r="A73" s="63" t="s">
        <v>186</v>
      </c>
      <c r="B73" s="92" t="s">
        <v>673</v>
      </c>
      <c r="C73" s="94" t="s">
        <v>873</v>
      </c>
      <c r="D73" s="88"/>
      <c r="E73" s="89" t="str">
        <f t="shared" si="3"/>
        <v>1조 - Virtual Machine - Performance</v>
      </c>
      <c r="F73" s="88"/>
      <c r="G73" s="89" t="str">
        <f t="shared" si="4"/>
        <v>1조 - Microkernel - Performance</v>
      </c>
      <c r="H73" s="69"/>
      <c r="I73" s="61"/>
      <c r="J73" s="61"/>
      <c r="K73" s="61"/>
      <c r="L73" s="61"/>
      <c r="M73" s="61"/>
      <c r="N73" s="61"/>
      <c r="O73" s="61"/>
      <c r="P73" s="61"/>
      <c r="Q73" s="61"/>
      <c r="R73" s="61"/>
      <c r="S73" s="61"/>
      <c r="T73" s="61"/>
      <c r="U73" s="61"/>
      <c r="V73" s="61"/>
      <c r="W73" s="61"/>
      <c r="X73" s="61"/>
      <c r="Y73" s="61"/>
      <c r="Z73" s="61"/>
    </row>
    <row r="74" ht="16.5" customHeight="1">
      <c r="A74" s="63" t="s">
        <v>221</v>
      </c>
      <c r="B74" s="92" t="s">
        <v>680</v>
      </c>
      <c r="C74" s="94" t="s">
        <v>875</v>
      </c>
      <c r="D74" s="88"/>
      <c r="E74" s="89" t="str">
        <f t="shared" si="3"/>
        <v>1조 - Virtual Machine - Safety</v>
      </c>
      <c r="F74" s="88"/>
      <c r="G74" s="89" t="str">
        <f t="shared" si="4"/>
        <v>1조 - Microkernel - Safety</v>
      </c>
      <c r="H74" s="61"/>
      <c r="I74" s="61"/>
      <c r="J74" s="61"/>
      <c r="K74" s="61"/>
      <c r="L74" s="61"/>
      <c r="M74" s="61"/>
      <c r="N74" s="61"/>
      <c r="O74" s="61"/>
      <c r="P74" s="61"/>
      <c r="Q74" s="61"/>
      <c r="R74" s="61"/>
      <c r="S74" s="61"/>
      <c r="T74" s="61"/>
      <c r="U74" s="61"/>
      <c r="V74" s="61"/>
      <c r="W74" s="61"/>
      <c r="X74" s="61"/>
      <c r="Y74" s="61"/>
      <c r="Z74" s="61"/>
    </row>
    <row r="75" ht="16.5" customHeight="1">
      <c r="A75" s="63" t="s">
        <v>261</v>
      </c>
      <c r="B75" s="92" t="s">
        <v>736</v>
      </c>
      <c r="C75" s="94" t="s">
        <v>878</v>
      </c>
      <c r="D75" s="88"/>
      <c r="E75" s="89" t="str">
        <f t="shared" si="3"/>
        <v>1조 - Virtual Machine - Security</v>
      </c>
      <c r="F75" s="88"/>
      <c r="G75" s="89" t="str">
        <f t="shared" si="4"/>
        <v>1조 - Microkernel - Security</v>
      </c>
      <c r="H75" s="61"/>
      <c r="I75" s="61"/>
      <c r="J75" s="61"/>
      <c r="K75" s="61"/>
      <c r="L75" s="61"/>
      <c r="M75" s="61"/>
      <c r="N75" s="61"/>
      <c r="O75" s="61"/>
      <c r="P75" s="61"/>
      <c r="Q75" s="61"/>
      <c r="R75" s="61"/>
      <c r="S75" s="61"/>
      <c r="T75" s="61"/>
      <c r="U75" s="61"/>
      <c r="V75" s="61"/>
      <c r="W75" s="61"/>
      <c r="X75" s="61"/>
      <c r="Y75" s="61"/>
      <c r="Z75" s="61"/>
    </row>
    <row r="76" ht="16.5" customHeight="1">
      <c r="A76" s="63" t="s">
        <v>310</v>
      </c>
      <c r="B76" s="92" t="s">
        <v>736</v>
      </c>
      <c r="C76" s="94" t="s">
        <v>881</v>
      </c>
      <c r="D76" s="88"/>
      <c r="E76" s="89" t="str">
        <f t="shared" si="3"/>
        <v>1조 - Virtual Machine - Testability</v>
      </c>
      <c r="F76" s="88"/>
      <c r="G76" s="89" t="str">
        <f t="shared" si="4"/>
        <v>1조 - Microkernel - Testability</v>
      </c>
      <c r="H76" s="61"/>
      <c r="I76" s="61"/>
      <c r="J76" s="61"/>
      <c r="K76" s="61"/>
      <c r="L76" s="61"/>
      <c r="M76" s="61"/>
      <c r="N76" s="61"/>
      <c r="O76" s="61"/>
      <c r="P76" s="61"/>
      <c r="Q76" s="61"/>
      <c r="R76" s="61"/>
      <c r="S76" s="61"/>
      <c r="T76" s="61"/>
      <c r="U76" s="61"/>
      <c r="V76" s="61"/>
      <c r="W76" s="61"/>
      <c r="X76" s="61"/>
      <c r="Y76" s="61"/>
      <c r="Z76" s="61"/>
    </row>
    <row r="77" ht="16.5" customHeight="1">
      <c r="A77" s="63" t="s">
        <v>346</v>
      </c>
      <c r="B77" s="92" t="s">
        <v>678</v>
      </c>
      <c r="C77" s="94" t="s">
        <v>884</v>
      </c>
      <c r="D77" s="88"/>
      <c r="E77" s="89" t="str">
        <f t="shared" si="3"/>
        <v>1조 - Virtual Machine - Usability</v>
      </c>
      <c r="F77" s="88"/>
      <c r="G77" s="89" t="str">
        <f t="shared" si="4"/>
        <v>1조 - Microkernel - Usability</v>
      </c>
      <c r="H77" s="61"/>
      <c r="I77" s="61"/>
      <c r="J77" s="61"/>
      <c r="K77" s="61"/>
      <c r="L77" s="61"/>
      <c r="M77" s="61"/>
      <c r="N77" s="61"/>
      <c r="O77" s="61"/>
      <c r="P77" s="61"/>
      <c r="Q77" s="61"/>
      <c r="R77" s="61"/>
      <c r="S77" s="61"/>
      <c r="T77" s="61"/>
      <c r="U77" s="61"/>
      <c r="V77" s="61"/>
      <c r="W77" s="61"/>
      <c r="X77" s="61"/>
      <c r="Y77" s="61"/>
      <c r="Z77" s="61"/>
    </row>
    <row r="78" ht="16.5" customHeight="1">
      <c r="A78" s="69"/>
      <c r="B78" s="70"/>
      <c r="C78" s="70"/>
      <c r="D78" s="70"/>
      <c r="E78" s="70"/>
      <c r="F78" s="70"/>
      <c r="G78" s="70"/>
      <c r="H78" s="61"/>
      <c r="I78" s="61"/>
      <c r="J78" s="61"/>
      <c r="K78" s="61"/>
      <c r="L78" s="61"/>
      <c r="M78" s="61"/>
      <c r="N78" s="61"/>
      <c r="O78" s="61"/>
      <c r="P78" s="61"/>
      <c r="Q78" s="61"/>
      <c r="R78" s="61"/>
      <c r="S78" s="61"/>
      <c r="T78" s="61"/>
      <c r="U78" s="61"/>
      <c r="V78" s="61"/>
      <c r="W78" s="61"/>
      <c r="X78" s="61"/>
      <c r="Y78" s="61"/>
      <c r="Z78" s="61"/>
    </row>
    <row r="79" ht="16.5" customHeight="1">
      <c r="A79" s="59" t="s">
        <v>493</v>
      </c>
      <c r="B79" s="72" t="s">
        <v>672</v>
      </c>
      <c r="C79" s="30"/>
      <c r="D79" s="72" t="s">
        <v>495</v>
      </c>
      <c r="E79" s="30"/>
      <c r="F79" s="61"/>
      <c r="G79" s="61"/>
      <c r="H79" s="61"/>
      <c r="I79" s="61"/>
      <c r="J79" s="61"/>
      <c r="K79" s="61"/>
      <c r="L79" s="61"/>
      <c r="M79" s="61"/>
      <c r="N79" s="61"/>
      <c r="O79" s="61"/>
      <c r="P79" s="61"/>
      <c r="Q79" s="61"/>
      <c r="R79" s="61"/>
      <c r="S79" s="61"/>
      <c r="T79" s="61"/>
      <c r="U79" s="61"/>
      <c r="V79" s="61"/>
      <c r="W79" s="61"/>
      <c r="X79" s="61"/>
      <c r="Y79" s="61"/>
      <c r="Z79" s="61"/>
    </row>
    <row r="80" ht="16.5" customHeight="1">
      <c r="A80" s="31"/>
      <c r="B80" s="62" t="s">
        <v>11</v>
      </c>
      <c r="C80" s="62" t="s">
        <v>12</v>
      </c>
      <c r="D80" s="62" t="s">
        <v>11</v>
      </c>
      <c r="E80" s="62" t="s">
        <v>12</v>
      </c>
      <c r="F80" s="61"/>
      <c r="G80" s="61"/>
      <c r="H80" s="61"/>
      <c r="I80" s="61"/>
      <c r="J80" s="61"/>
      <c r="K80" s="61"/>
      <c r="L80" s="61"/>
      <c r="M80" s="61"/>
      <c r="N80" s="61"/>
      <c r="O80" s="61"/>
      <c r="P80" s="61"/>
      <c r="Q80" s="61"/>
      <c r="R80" s="61"/>
      <c r="S80" s="61"/>
      <c r="T80" s="61"/>
      <c r="U80" s="61"/>
      <c r="V80" s="61"/>
      <c r="W80" s="61"/>
      <c r="X80" s="61"/>
      <c r="Y80" s="61"/>
      <c r="Z80" s="61"/>
    </row>
    <row r="81" ht="16.5" customHeight="1">
      <c r="A81" s="63" t="s">
        <v>14</v>
      </c>
      <c r="B81" s="92" t="s">
        <v>673</v>
      </c>
      <c r="C81" s="94" t="s">
        <v>890</v>
      </c>
      <c r="D81" s="92" t="s">
        <v>673</v>
      </c>
      <c r="E81" s="94" t="s">
        <v>892</v>
      </c>
      <c r="F81" s="61"/>
      <c r="G81" s="61"/>
      <c r="H81" s="61"/>
      <c r="I81" s="61"/>
      <c r="J81" s="61"/>
      <c r="K81" s="61"/>
      <c r="L81" s="61"/>
      <c r="M81" s="61"/>
      <c r="N81" s="61"/>
      <c r="O81" s="61"/>
      <c r="P81" s="61"/>
      <c r="Q81" s="61"/>
      <c r="R81" s="61"/>
      <c r="S81" s="61"/>
      <c r="T81" s="61"/>
      <c r="U81" s="61"/>
      <c r="V81" s="61"/>
      <c r="W81" s="61"/>
      <c r="X81" s="61"/>
      <c r="Y81" s="61"/>
      <c r="Z81" s="61"/>
    </row>
    <row r="82" ht="16.5" customHeight="1">
      <c r="A82" s="63" t="s">
        <v>47</v>
      </c>
      <c r="B82" s="92" t="s">
        <v>680</v>
      </c>
      <c r="C82" s="94" t="s">
        <v>896</v>
      </c>
      <c r="D82" s="92" t="s">
        <v>680</v>
      </c>
      <c r="E82" s="94" t="s">
        <v>897</v>
      </c>
      <c r="F82" s="61"/>
      <c r="G82" s="61"/>
      <c r="H82" s="61"/>
      <c r="I82" s="61"/>
      <c r="J82" s="61"/>
      <c r="K82" s="61"/>
      <c r="L82" s="61"/>
      <c r="M82" s="61"/>
      <c r="N82" s="61"/>
      <c r="O82" s="61"/>
      <c r="P82" s="61"/>
      <c r="Q82" s="61"/>
      <c r="R82" s="61"/>
      <c r="S82" s="61"/>
      <c r="T82" s="61"/>
      <c r="U82" s="61"/>
      <c r="V82" s="61"/>
      <c r="W82" s="61"/>
      <c r="X82" s="61"/>
      <c r="Y82" s="61"/>
      <c r="Z82" s="61"/>
    </row>
    <row r="83" ht="16.5" customHeight="1">
      <c r="A83" s="63" t="s">
        <v>80</v>
      </c>
      <c r="B83" s="92" t="s">
        <v>680</v>
      </c>
      <c r="C83" s="94" t="s">
        <v>901</v>
      </c>
      <c r="D83" s="92" t="s">
        <v>680</v>
      </c>
      <c r="E83" s="94" t="s">
        <v>903</v>
      </c>
      <c r="F83" s="61"/>
      <c r="G83" s="61"/>
      <c r="H83" s="61"/>
      <c r="I83" s="61"/>
      <c r="J83" s="61"/>
      <c r="K83" s="61"/>
      <c r="L83" s="61"/>
      <c r="M83" s="61"/>
      <c r="N83" s="61"/>
      <c r="O83" s="61"/>
      <c r="P83" s="61"/>
      <c r="Q83" s="61"/>
      <c r="R83" s="61"/>
      <c r="S83" s="61"/>
      <c r="T83" s="61"/>
      <c r="U83" s="61"/>
      <c r="V83" s="61"/>
      <c r="W83" s="61"/>
      <c r="X83" s="61"/>
      <c r="Y83" s="61"/>
      <c r="Z83" s="61"/>
    </row>
    <row r="84" ht="16.5" customHeight="1">
      <c r="A84" s="63" t="s">
        <v>117</v>
      </c>
      <c r="B84" s="92" t="s">
        <v>673</v>
      </c>
      <c r="C84" s="94" t="s">
        <v>910</v>
      </c>
      <c r="D84" s="92" t="s">
        <v>678</v>
      </c>
      <c r="E84" s="94" t="s">
        <v>912</v>
      </c>
      <c r="F84" s="61"/>
      <c r="G84" s="61"/>
      <c r="H84" s="61"/>
      <c r="I84" s="61"/>
      <c r="J84" s="61"/>
      <c r="K84" s="61"/>
      <c r="L84" s="61"/>
      <c r="M84" s="61"/>
      <c r="N84" s="61"/>
      <c r="O84" s="61"/>
      <c r="P84" s="61"/>
      <c r="Q84" s="61"/>
      <c r="R84" s="61"/>
      <c r="S84" s="61"/>
      <c r="T84" s="61"/>
      <c r="U84" s="61"/>
      <c r="V84" s="61"/>
      <c r="W84" s="61"/>
      <c r="X84" s="61"/>
      <c r="Y84" s="61"/>
      <c r="Z84" s="61"/>
    </row>
    <row r="85" ht="16.5" customHeight="1">
      <c r="A85" s="63" t="s">
        <v>151</v>
      </c>
      <c r="B85" s="92" t="s">
        <v>680</v>
      </c>
      <c r="C85" s="94" t="s">
        <v>914</v>
      </c>
      <c r="D85" s="92" t="s">
        <v>678</v>
      </c>
      <c r="E85" s="102" t="s">
        <v>916</v>
      </c>
      <c r="F85" s="61"/>
      <c r="G85" s="61"/>
      <c r="H85" s="61"/>
      <c r="I85" s="61"/>
      <c r="J85" s="61"/>
      <c r="K85" s="61"/>
      <c r="L85" s="61"/>
      <c r="M85" s="61"/>
      <c r="N85" s="61"/>
      <c r="O85" s="61"/>
      <c r="P85" s="61"/>
      <c r="Q85" s="61"/>
      <c r="R85" s="61"/>
      <c r="S85" s="61"/>
      <c r="T85" s="61"/>
      <c r="U85" s="61"/>
      <c r="V85" s="61"/>
      <c r="W85" s="61"/>
      <c r="X85" s="61"/>
      <c r="Y85" s="61"/>
      <c r="Z85" s="61"/>
    </row>
    <row r="86" ht="16.5" customHeight="1">
      <c r="A86" s="63" t="s">
        <v>186</v>
      </c>
      <c r="B86" s="92" t="s">
        <v>673</v>
      </c>
      <c r="C86" s="102" t="s">
        <v>920</v>
      </c>
      <c r="D86" s="92" t="s">
        <v>678</v>
      </c>
      <c r="E86" s="102" t="s">
        <v>921</v>
      </c>
      <c r="F86" s="61"/>
      <c r="G86" s="61"/>
      <c r="H86" s="61"/>
      <c r="I86" s="61"/>
      <c r="J86" s="61"/>
      <c r="K86" s="61"/>
      <c r="L86" s="61"/>
      <c r="M86" s="61"/>
      <c r="N86" s="61"/>
      <c r="O86" s="61"/>
      <c r="P86" s="61"/>
      <c r="Q86" s="61"/>
      <c r="R86" s="61"/>
      <c r="S86" s="61"/>
      <c r="T86" s="61"/>
      <c r="U86" s="61"/>
      <c r="V86" s="61"/>
      <c r="W86" s="61"/>
      <c r="X86" s="61"/>
      <c r="Y86" s="61"/>
      <c r="Z86" s="61"/>
    </row>
    <row r="87" ht="16.5" customHeight="1">
      <c r="A87" s="63" t="s">
        <v>221</v>
      </c>
      <c r="B87" s="92" t="s">
        <v>678</v>
      </c>
      <c r="C87" s="102" t="s">
        <v>926</v>
      </c>
      <c r="D87" s="92" t="s">
        <v>678</v>
      </c>
      <c r="E87" s="102" t="s">
        <v>928</v>
      </c>
      <c r="F87" s="61"/>
      <c r="G87" s="61"/>
      <c r="H87" s="61"/>
      <c r="I87" s="61"/>
      <c r="J87" s="61"/>
      <c r="K87" s="61"/>
      <c r="L87" s="61"/>
      <c r="M87" s="61"/>
      <c r="N87" s="61"/>
      <c r="O87" s="61"/>
      <c r="P87" s="61"/>
      <c r="Q87" s="61"/>
      <c r="R87" s="61"/>
      <c r="S87" s="61"/>
      <c r="T87" s="61"/>
      <c r="U87" s="61"/>
      <c r="V87" s="61"/>
      <c r="W87" s="61"/>
      <c r="X87" s="61"/>
      <c r="Y87" s="61"/>
      <c r="Z87" s="61"/>
    </row>
    <row r="88" ht="16.5" customHeight="1">
      <c r="A88" s="63" t="s">
        <v>261</v>
      </c>
      <c r="B88" s="92" t="s">
        <v>680</v>
      </c>
      <c r="C88" s="102" t="s">
        <v>934</v>
      </c>
      <c r="D88" s="92" t="s">
        <v>673</v>
      </c>
      <c r="E88" s="102" t="s">
        <v>936</v>
      </c>
      <c r="F88" s="61"/>
      <c r="G88" s="61"/>
      <c r="H88" s="61"/>
      <c r="I88" s="61"/>
      <c r="J88" s="61"/>
      <c r="K88" s="61"/>
      <c r="L88" s="61"/>
      <c r="M88" s="61"/>
      <c r="N88" s="61"/>
      <c r="O88" s="61"/>
      <c r="P88" s="61"/>
      <c r="Q88" s="61"/>
      <c r="R88" s="61"/>
      <c r="S88" s="61"/>
      <c r="T88" s="61"/>
      <c r="U88" s="61"/>
      <c r="V88" s="61"/>
      <c r="W88" s="61"/>
      <c r="X88" s="61"/>
      <c r="Y88" s="61"/>
      <c r="Z88" s="61"/>
    </row>
    <row r="89" ht="16.5" customHeight="1">
      <c r="A89" s="63" t="s">
        <v>310</v>
      </c>
      <c r="B89" s="92" t="s">
        <v>673</v>
      </c>
      <c r="C89" s="94" t="s">
        <v>939</v>
      </c>
      <c r="D89" s="92" t="s">
        <v>678</v>
      </c>
      <c r="E89" s="102" t="s">
        <v>941</v>
      </c>
      <c r="F89" s="61"/>
      <c r="G89" s="61"/>
      <c r="H89" s="61"/>
      <c r="I89" s="61"/>
      <c r="J89" s="61"/>
      <c r="K89" s="61"/>
      <c r="L89" s="61"/>
      <c r="M89" s="61"/>
      <c r="N89" s="61"/>
      <c r="O89" s="61"/>
      <c r="P89" s="61"/>
      <c r="Q89" s="61"/>
      <c r="R89" s="61"/>
      <c r="S89" s="61"/>
      <c r="T89" s="61"/>
      <c r="U89" s="61"/>
      <c r="V89" s="61"/>
      <c r="W89" s="61"/>
      <c r="X89" s="61"/>
      <c r="Y89" s="61"/>
      <c r="Z89" s="61"/>
    </row>
    <row r="90" ht="16.5" customHeight="1">
      <c r="A90" s="63" t="s">
        <v>346</v>
      </c>
      <c r="B90" s="92" t="s">
        <v>678</v>
      </c>
      <c r="C90" s="107" t="s">
        <v>945</v>
      </c>
      <c r="D90" s="92" t="s">
        <v>678</v>
      </c>
      <c r="E90" s="107" t="s">
        <v>946</v>
      </c>
      <c r="F90" s="61"/>
      <c r="G90" s="61"/>
      <c r="H90" s="61"/>
      <c r="I90" s="61"/>
      <c r="J90" s="61"/>
      <c r="K90" s="61"/>
      <c r="L90" s="61"/>
      <c r="M90" s="61"/>
      <c r="N90" s="61"/>
      <c r="O90" s="61"/>
      <c r="P90" s="61"/>
      <c r="Q90" s="61"/>
      <c r="R90" s="61"/>
      <c r="S90" s="61"/>
      <c r="T90" s="61"/>
      <c r="U90" s="61"/>
      <c r="V90" s="61"/>
      <c r="W90" s="61"/>
      <c r="X90" s="61"/>
      <c r="Y90" s="61"/>
      <c r="Z90" s="61"/>
    </row>
    <row r="91" ht="16.5" customHeight="1">
      <c r="A91" s="69"/>
      <c r="B91" s="70"/>
      <c r="C91" s="69"/>
      <c r="D91" s="70"/>
      <c r="E91" s="69"/>
      <c r="F91" s="70"/>
      <c r="G91" s="69"/>
      <c r="H91" s="61"/>
      <c r="I91" s="61"/>
      <c r="J91" s="61"/>
      <c r="K91" s="61"/>
      <c r="L91" s="61"/>
      <c r="M91" s="61"/>
      <c r="N91" s="61"/>
      <c r="O91" s="61"/>
      <c r="P91" s="61"/>
      <c r="Q91" s="61"/>
      <c r="R91" s="61"/>
      <c r="S91" s="61"/>
      <c r="T91" s="61"/>
      <c r="U91" s="61"/>
      <c r="V91" s="61"/>
      <c r="W91" s="61"/>
      <c r="X91" s="61"/>
      <c r="Y91" s="61"/>
      <c r="Z91" s="61"/>
    </row>
    <row r="92" ht="16.5" customHeight="1">
      <c r="A92" s="59" t="s">
        <v>493</v>
      </c>
      <c r="B92" s="72" t="s">
        <v>550</v>
      </c>
      <c r="C92" s="30"/>
      <c r="D92" s="60" t="s">
        <v>551</v>
      </c>
      <c r="E92" s="30"/>
      <c r="F92" s="61"/>
      <c r="G92" s="61"/>
      <c r="H92" s="61"/>
      <c r="I92" s="61"/>
      <c r="J92" s="61"/>
      <c r="K92" s="61"/>
      <c r="L92" s="61"/>
      <c r="M92" s="61"/>
      <c r="N92" s="61"/>
      <c r="O92" s="61"/>
      <c r="P92" s="61"/>
      <c r="Q92" s="61"/>
      <c r="R92" s="61"/>
      <c r="S92" s="61"/>
      <c r="T92" s="61"/>
      <c r="U92" s="61"/>
      <c r="V92" s="61"/>
      <c r="W92" s="61"/>
      <c r="X92" s="61"/>
      <c r="Y92" s="61"/>
      <c r="Z92" s="61"/>
    </row>
    <row r="93" ht="16.5" customHeight="1">
      <c r="A93" s="31"/>
      <c r="B93" s="62" t="s">
        <v>11</v>
      </c>
      <c r="C93" s="62" t="s">
        <v>12</v>
      </c>
      <c r="D93" s="62" t="s">
        <v>11</v>
      </c>
      <c r="E93" s="62" t="s">
        <v>12</v>
      </c>
      <c r="F93" s="61"/>
      <c r="G93" s="61"/>
      <c r="H93" s="61"/>
      <c r="I93" s="61"/>
      <c r="J93" s="61"/>
      <c r="K93" s="61"/>
      <c r="L93" s="61"/>
      <c r="M93" s="61"/>
      <c r="N93" s="61"/>
      <c r="O93" s="61"/>
      <c r="P93" s="61"/>
      <c r="Q93" s="61"/>
      <c r="R93" s="61"/>
      <c r="S93" s="61"/>
      <c r="T93" s="61"/>
      <c r="U93" s="61"/>
      <c r="V93" s="61"/>
      <c r="W93" s="61"/>
      <c r="X93" s="61"/>
      <c r="Y93" s="61"/>
      <c r="Z93" s="61"/>
    </row>
    <row r="94" ht="16.5" customHeight="1">
      <c r="A94" s="63" t="s">
        <v>14</v>
      </c>
      <c r="B94" s="92" t="s">
        <v>673</v>
      </c>
      <c r="C94" s="102" t="s">
        <v>957</v>
      </c>
      <c r="D94" s="92" t="s">
        <v>680</v>
      </c>
      <c r="E94" s="94" t="s">
        <v>959</v>
      </c>
      <c r="F94" s="61"/>
      <c r="G94" s="61"/>
      <c r="H94" s="61"/>
      <c r="I94" s="61"/>
      <c r="J94" s="61"/>
      <c r="K94" s="61"/>
      <c r="L94" s="61"/>
      <c r="M94" s="61"/>
      <c r="N94" s="61"/>
      <c r="O94" s="61"/>
      <c r="P94" s="61"/>
      <c r="Q94" s="61"/>
      <c r="R94" s="61"/>
      <c r="S94" s="61"/>
      <c r="T94" s="61"/>
      <c r="U94" s="61"/>
      <c r="V94" s="61"/>
      <c r="W94" s="61"/>
      <c r="X94" s="61"/>
      <c r="Y94" s="61"/>
      <c r="Z94" s="61"/>
    </row>
    <row r="95" ht="16.5" customHeight="1">
      <c r="A95" s="63" t="s">
        <v>47</v>
      </c>
      <c r="B95" s="92" t="s">
        <v>680</v>
      </c>
      <c r="C95" s="94" t="s">
        <v>963</v>
      </c>
      <c r="D95" s="92" t="s">
        <v>680</v>
      </c>
      <c r="E95" s="96" t="s">
        <v>965</v>
      </c>
      <c r="F95" s="61"/>
      <c r="G95" s="61"/>
      <c r="H95" s="61"/>
      <c r="I95" s="61"/>
      <c r="J95" s="61"/>
      <c r="K95" s="61"/>
      <c r="L95" s="61"/>
      <c r="M95" s="61"/>
      <c r="N95" s="61"/>
      <c r="O95" s="61"/>
      <c r="P95" s="61"/>
      <c r="Q95" s="61"/>
      <c r="R95" s="61"/>
      <c r="S95" s="61"/>
      <c r="T95" s="61"/>
      <c r="U95" s="61"/>
      <c r="V95" s="61"/>
      <c r="W95" s="61"/>
      <c r="X95" s="61"/>
      <c r="Y95" s="61"/>
      <c r="Z95" s="61"/>
    </row>
    <row r="96" ht="16.5" customHeight="1">
      <c r="A96" s="63" t="s">
        <v>80</v>
      </c>
      <c r="B96" s="92" t="s">
        <v>736</v>
      </c>
      <c r="C96" s="94" t="s">
        <v>968</v>
      </c>
      <c r="D96" s="92" t="s">
        <v>680</v>
      </c>
      <c r="E96" s="102" t="s">
        <v>970</v>
      </c>
      <c r="F96" s="61"/>
      <c r="G96" s="61"/>
      <c r="H96" s="61"/>
      <c r="I96" s="61"/>
      <c r="J96" s="61"/>
      <c r="K96" s="61"/>
      <c r="L96" s="61"/>
      <c r="M96" s="61"/>
      <c r="N96" s="61"/>
      <c r="O96" s="61"/>
      <c r="P96" s="61"/>
      <c r="Q96" s="61"/>
      <c r="R96" s="61"/>
      <c r="S96" s="61"/>
      <c r="T96" s="61"/>
      <c r="U96" s="61"/>
      <c r="V96" s="61"/>
      <c r="W96" s="61"/>
      <c r="X96" s="61"/>
      <c r="Y96" s="61"/>
      <c r="Z96" s="61"/>
    </row>
    <row r="97" ht="16.5" customHeight="1">
      <c r="A97" s="63" t="s">
        <v>117</v>
      </c>
      <c r="B97" s="92" t="s">
        <v>673</v>
      </c>
      <c r="C97" s="94" t="s">
        <v>974</v>
      </c>
      <c r="D97" s="92" t="s">
        <v>678</v>
      </c>
      <c r="E97" s="102" t="s">
        <v>975</v>
      </c>
      <c r="F97" s="61"/>
      <c r="G97" s="61"/>
      <c r="H97" s="61"/>
      <c r="I97" s="61"/>
      <c r="J97" s="61"/>
      <c r="K97" s="61"/>
      <c r="L97" s="61"/>
      <c r="M97" s="61"/>
      <c r="N97" s="61"/>
      <c r="O97" s="61"/>
      <c r="P97" s="61"/>
      <c r="Q97" s="61"/>
      <c r="R97" s="61"/>
      <c r="S97" s="61"/>
      <c r="T97" s="61"/>
      <c r="U97" s="61"/>
      <c r="V97" s="61"/>
      <c r="W97" s="61"/>
      <c r="X97" s="61"/>
      <c r="Y97" s="61"/>
      <c r="Z97" s="61"/>
    </row>
    <row r="98" ht="16.5" customHeight="1">
      <c r="A98" s="63" t="s">
        <v>151</v>
      </c>
      <c r="B98" s="92" t="s">
        <v>736</v>
      </c>
      <c r="C98" s="94" t="s">
        <v>976</v>
      </c>
      <c r="D98" s="92" t="s">
        <v>680</v>
      </c>
      <c r="E98" s="102" t="s">
        <v>977</v>
      </c>
      <c r="F98" s="61"/>
      <c r="G98" s="61"/>
      <c r="H98" s="61"/>
      <c r="I98" s="61"/>
      <c r="J98" s="61"/>
      <c r="K98" s="61"/>
      <c r="L98" s="61"/>
      <c r="M98" s="61"/>
      <c r="N98" s="61"/>
      <c r="O98" s="61"/>
      <c r="P98" s="61"/>
      <c r="Q98" s="61"/>
      <c r="R98" s="61"/>
      <c r="S98" s="61"/>
      <c r="T98" s="61"/>
      <c r="U98" s="61"/>
      <c r="V98" s="61"/>
      <c r="W98" s="61"/>
      <c r="X98" s="61"/>
      <c r="Y98" s="61"/>
      <c r="Z98" s="61"/>
    </row>
    <row r="99" ht="16.5" customHeight="1">
      <c r="A99" s="63" t="s">
        <v>186</v>
      </c>
      <c r="B99" s="92" t="s">
        <v>673</v>
      </c>
      <c r="C99" s="94" t="s">
        <v>978</v>
      </c>
      <c r="D99" s="92" t="s">
        <v>736</v>
      </c>
      <c r="E99" s="102" t="s">
        <v>979</v>
      </c>
      <c r="F99" s="61"/>
      <c r="G99" s="61"/>
      <c r="H99" s="61"/>
      <c r="I99" s="61"/>
      <c r="J99" s="61"/>
      <c r="K99" s="61"/>
      <c r="L99" s="61"/>
      <c r="M99" s="61"/>
      <c r="N99" s="61"/>
      <c r="O99" s="61"/>
      <c r="P99" s="61"/>
      <c r="Q99" s="61"/>
      <c r="R99" s="61"/>
      <c r="S99" s="61"/>
      <c r="T99" s="61"/>
      <c r="U99" s="61"/>
      <c r="V99" s="61"/>
      <c r="W99" s="61"/>
      <c r="X99" s="61"/>
      <c r="Y99" s="61"/>
      <c r="Z99" s="61"/>
    </row>
    <row r="100" ht="16.5" customHeight="1">
      <c r="A100" s="63" t="s">
        <v>221</v>
      </c>
      <c r="B100" s="92" t="s">
        <v>678</v>
      </c>
      <c r="C100" s="102" t="s">
        <v>980</v>
      </c>
      <c r="D100" s="92" t="s">
        <v>678</v>
      </c>
      <c r="E100" s="102" t="s">
        <v>981</v>
      </c>
      <c r="F100" s="61"/>
      <c r="G100" s="61"/>
      <c r="H100" s="61"/>
      <c r="I100" s="61"/>
      <c r="J100" s="61"/>
      <c r="K100" s="61"/>
      <c r="L100" s="61"/>
      <c r="M100" s="61"/>
      <c r="N100" s="61"/>
      <c r="O100" s="61"/>
      <c r="P100" s="61"/>
      <c r="Q100" s="61"/>
      <c r="R100" s="61"/>
      <c r="S100" s="61"/>
      <c r="T100" s="61"/>
      <c r="U100" s="61"/>
      <c r="V100" s="61"/>
      <c r="W100" s="61"/>
      <c r="X100" s="61"/>
      <c r="Y100" s="61"/>
      <c r="Z100" s="61"/>
    </row>
    <row r="101" ht="16.5" customHeight="1">
      <c r="A101" s="63" t="s">
        <v>261</v>
      </c>
      <c r="B101" s="92" t="s">
        <v>673</v>
      </c>
      <c r="C101" s="94" t="s">
        <v>983</v>
      </c>
      <c r="D101" s="92" t="s">
        <v>673</v>
      </c>
      <c r="E101" s="94" t="s">
        <v>984</v>
      </c>
      <c r="F101" s="61"/>
      <c r="G101" s="61"/>
      <c r="H101" s="61"/>
      <c r="I101" s="61"/>
      <c r="J101" s="61"/>
      <c r="K101" s="61"/>
      <c r="L101" s="61"/>
      <c r="M101" s="61"/>
      <c r="N101" s="61"/>
      <c r="O101" s="61"/>
      <c r="P101" s="61"/>
      <c r="Q101" s="61"/>
      <c r="R101" s="61"/>
      <c r="S101" s="61"/>
      <c r="T101" s="61"/>
      <c r="U101" s="61"/>
      <c r="V101" s="61"/>
      <c r="W101" s="61"/>
      <c r="X101" s="61"/>
      <c r="Y101" s="61"/>
      <c r="Z101" s="61"/>
    </row>
    <row r="102" ht="16.5" customHeight="1">
      <c r="A102" s="63" t="s">
        <v>310</v>
      </c>
      <c r="B102" s="92" t="s">
        <v>693</v>
      </c>
      <c r="C102" s="96" t="s">
        <v>986</v>
      </c>
      <c r="D102" s="92" t="s">
        <v>693</v>
      </c>
      <c r="E102" s="94" t="s">
        <v>988</v>
      </c>
      <c r="F102" s="61"/>
      <c r="G102" s="61"/>
      <c r="H102" s="61"/>
      <c r="I102" s="61"/>
      <c r="J102" s="61"/>
      <c r="K102" s="61"/>
      <c r="L102" s="61"/>
      <c r="M102" s="61"/>
      <c r="N102" s="61"/>
      <c r="O102" s="61"/>
      <c r="P102" s="61"/>
      <c r="Q102" s="61"/>
      <c r="R102" s="61"/>
      <c r="S102" s="61"/>
      <c r="T102" s="61"/>
      <c r="U102" s="61"/>
      <c r="V102" s="61"/>
      <c r="W102" s="61"/>
      <c r="X102" s="61"/>
      <c r="Y102" s="61"/>
      <c r="Z102" s="61"/>
    </row>
    <row r="103" ht="16.5" customHeight="1">
      <c r="A103" s="63" t="s">
        <v>346</v>
      </c>
      <c r="B103" s="92" t="s">
        <v>678</v>
      </c>
      <c r="C103" s="94" t="s">
        <v>990</v>
      </c>
      <c r="D103" s="92" t="s">
        <v>678</v>
      </c>
      <c r="E103" s="108" t="s">
        <v>991</v>
      </c>
      <c r="F103" s="61"/>
      <c r="G103" s="61"/>
      <c r="H103" s="61"/>
      <c r="I103" s="61"/>
      <c r="J103" s="61"/>
      <c r="K103" s="61"/>
      <c r="L103" s="61"/>
      <c r="M103" s="61"/>
      <c r="N103" s="61"/>
      <c r="O103" s="61"/>
      <c r="P103" s="61"/>
      <c r="Q103" s="61"/>
      <c r="R103" s="61"/>
      <c r="S103" s="61"/>
      <c r="T103" s="61"/>
      <c r="U103" s="61"/>
      <c r="V103" s="61"/>
      <c r="W103" s="61"/>
      <c r="X103" s="61"/>
      <c r="Y103" s="61"/>
      <c r="Z103" s="61"/>
    </row>
    <row r="104" ht="16.5" customHeight="1">
      <c r="A104" s="69"/>
      <c r="B104" s="70"/>
      <c r="C104" s="69"/>
      <c r="D104" s="70"/>
      <c r="E104" s="69"/>
      <c r="F104" s="69"/>
      <c r="G104" s="69"/>
      <c r="H104" s="61"/>
      <c r="I104" s="61"/>
      <c r="J104" s="61"/>
      <c r="K104" s="61"/>
      <c r="L104" s="61"/>
      <c r="M104" s="61"/>
      <c r="N104" s="61"/>
      <c r="O104" s="61"/>
      <c r="P104" s="61"/>
      <c r="Q104" s="61"/>
      <c r="R104" s="61"/>
      <c r="S104" s="61"/>
      <c r="T104" s="61"/>
      <c r="U104" s="61"/>
      <c r="V104" s="61"/>
      <c r="W104" s="61"/>
      <c r="X104" s="61"/>
      <c r="Y104" s="61"/>
      <c r="Z104" s="61"/>
    </row>
    <row r="105" ht="16.5" customHeight="1">
      <c r="A105" s="59" t="s">
        <v>493</v>
      </c>
      <c r="B105" s="72" t="s">
        <v>653</v>
      </c>
      <c r="C105" s="30"/>
      <c r="D105" s="60" t="s">
        <v>947</v>
      </c>
      <c r="E105" s="30"/>
      <c r="F105" s="61"/>
      <c r="G105" s="61"/>
      <c r="H105" s="61"/>
      <c r="I105" s="61"/>
      <c r="J105" s="61"/>
      <c r="K105" s="61"/>
      <c r="L105" s="61"/>
      <c r="M105" s="61"/>
      <c r="N105" s="61"/>
      <c r="O105" s="61"/>
      <c r="P105" s="61"/>
      <c r="Q105" s="61"/>
      <c r="R105" s="61"/>
      <c r="S105" s="61"/>
      <c r="T105" s="61"/>
      <c r="U105" s="61"/>
      <c r="V105" s="61"/>
      <c r="W105" s="61"/>
      <c r="X105" s="61"/>
      <c r="Y105" s="61"/>
      <c r="Z105" s="61"/>
    </row>
    <row r="106" ht="16.5" customHeight="1">
      <c r="A106" s="31"/>
      <c r="B106" s="62" t="s">
        <v>11</v>
      </c>
      <c r="C106" s="62" t="s">
        <v>12</v>
      </c>
      <c r="D106" s="62" t="s">
        <v>11</v>
      </c>
      <c r="E106" s="62" t="s">
        <v>12</v>
      </c>
      <c r="F106" s="61"/>
      <c r="G106" s="61"/>
      <c r="H106" s="61"/>
      <c r="I106" s="61"/>
      <c r="J106" s="61"/>
      <c r="K106" s="61"/>
      <c r="L106" s="61"/>
      <c r="M106" s="61"/>
      <c r="N106" s="61"/>
      <c r="O106" s="61"/>
      <c r="P106" s="61"/>
      <c r="Q106" s="61"/>
      <c r="R106" s="61"/>
      <c r="S106" s="61"/>
      <c r="T106" s="61"/>
      <c r="U106" s="61"/>
      <c r="V106" s="61"/>
      <c r="W106" s="61"/>
      <c r="X106" s="61"/>
      <c r="Y106" s="61"/>
      <c r="Z106" s="61"/>
    </row>
    <row r="107" ht="16.5" customHeight="1">
      <c r="A107" s="63" t="s">
        <v>14</v>
      </c>
      <c r="B107" s="92" t="s">
        <v>678</v>
      </c>
      <c r="C107" s="109" t="s">
        <v>997</v>
      </c>
      <c r="D107" s="92" t="s">
        <v>736</v>
      </c>
      <c r="E107" s="108" t="s">
        <v>998</v>
      </c>
      <c r="F107" s="61"/>
      <c r="G107" s="61"/>
      <c r="H107" s="61"/>
      <c r="I107" s="61"/>
      <c r="J107" s="61"/>
      <c r="K107" s="61"/>
      <c r="L107" s="61"/>
      <c r="M107" s="61"/>
      <c r="N107" s="61"/>
      <c r="O107" s="61"/>
      <c r="P107" s="61"/>
      <c r="Q107" s="61"/>
      <c r="R107" s="61"/>
      <c r="S107" s="61"/>
      <c r="T107" s="61"/>
      <c r="U107" s="61"/>
      <c r="V107" s="61"/>
      <c r="W107" s="61"/>
      <c r="X107" s="61"/>
      <c r="Y107" s="61"/>
      <c r="Z107" s="61"/>
    </row>
    <row r="108" ht="16.5" customHeight="1">
      <c r="A108" s="63" t="s">
        <v>47</v>
      </c>
      <c r="B108" s="92" t="s">
        <v>680</v>
      </c>
      <c r="C108" s="110" t="s">
        <v>1000</v>
      </c>
      <c r="D108" s="92" t="s">
        <v>736</v>
      </c>
      <c r="E108" s="110" t="s">
        <v>1001</v>
      </c>
      <c r="F108" s="61"/>
      <c r="G108" s="61"/>
      <c r="H108" s="61"/>
      <c r="I108" s="61"/>
      <c r="J108" s="61"/>
      <c r="K108" s="61"/>
      <c r="L108" s="61"/>
      <c r="M108" s="61"/>
      <c r="N108" s="61"/>
      <c r="O108" s="61"/>
      <c r="P108" s="61"/>
      <c r="Q108" s="61"/>
      <c r="R108" s="61"/>
      <c r="S108" s="61"/>
      <c r="T108" s="61"/>
      <c r="U108" s="61"/>
      <c r="V108" s="61"/>
      <c r="W108" s="61"/>
      <c r="X108" s="61"/>
      <c r="Y108" s="61"/>
      <c r="Z108" s="61"/>
    </row>
    <row r="109" ht="16.5" customHeight="1">
      <c r="A109" s="63" t="s">
        <v>80</v>
      </c>
      <c r="B109" s="92" t="s">
        <v>736</v>
      </c>
      <c r="C109" s="94" t="s">
        <v>1002</v>
      </c>
      <c r="D109" s="92" t="s">
        <v>680</v>
      </c>
      <c r="E109" s="110" t="s">
        <v>1003</v>
      </c>
      <c r="F109" s="61"/>
      <c r="G109" s="61"/>
      <c r="H109" s="61"/>
      <c r="I109" s="61"/>
      <c r="J109" s="61"/>
      <c r="K109" s="61"/>
      <c r="L109" s="61"/>
      <c r="M109" s="61"/>
      <c r="N109" s="61"/>
      <c r="O109" s="61"/>
      <c r="P109" s="61"/>
      <c r="Q109" s="61"/>
      <c r="R109" s="61"/>
      <c r="S109" s="61"/>
      <c r="T109" s="61"/>
      <c r="U109" s="61"/>
      <c r="V109" s="61"/>
      <c r="W109" s="61"/>
      <c r="X109" s="61"/>
      <c r="Y109" s="61"/>
      <c r="Z109" s="61"/>
    </row>
    <row r="110" ht="16.5" customHeight="1">
      <c r="A110" s="63" t="s">
        <v>117</v>
      </c>
      <c r="B110" s="92" t="s">
        <v>673</v>
      </c>
      <c r="C110" s="110" t="s">
        <v>1004</v>
      </c>
      <c r="D110" s="92" t="s">
        <v>673</v>
      </c>
      <c r="E110" s="94" t="s">
        <v>1005</v>
      </c>
      <c r="F110" s="61"/>
      <c r="G110" s="61"/>
      <c r="H110" s="61"/>
      <c r="I110" s="61"/>
      <c r="J110" s="61"/>
      <c r="K110" s="61"/>
      <c r="L110" s="61"/>
      <c r="M110" s="61"/>
      <c r="N110" s="61"/>
      <c r="O110" s="61"/>
      <c r="P110" s="61"/>
      <c r="Q110" s="61"/>
      <c r="R110" s="61"/>
      <c r="S110" s="61"/>
      <c r="T110" s="61"/>
      <c r="U110" s="61"/>
      <c r="V110" s="61"/>
      <c r="W110" s="61"/>
      <c r="X110" s="61"/>
      <c r="Y110" s="61"/>
      <c r="Z110" s="61"/>
    </row>
    <row r="111" ht="16.5" customHeight="1">
      <c r="A111" s="63" t="s">
        <v>151</v>
      </c>
      <c r="B111" s="92" t="s">
        <v>680</v>
      </c>
      <c r="C111" s="94" t="s">
        <v>1006</v>
      </c>
      <c r="D111" s="92" t="s">
        <v>736</v>
      </c>
      <c r="E111" s="94" t="s">
        <v>1007</v>
      </c>
      <c r="F111" s="61"/>
      <c r="G111" s="61"/>
      <c r="H111" s="61"/>
      <c r="I111" s="61"/>
      <c r="J111" s="61"/>
      <c r="K111" s="61"/>
      <c r="L111" s="61"/>
      <c r="M111" s="61"/>
      <c r="N111" s="61"/>
      <c r="O111" s="61"/>
      <c r="P111" s="61"/>
      <c r="Q111" s="61"/>
      <c r="R111" s="61"/>
      <c r="S111" s="61"/>
      <c r="T111" s="61"/>
      <c r="U111" s="61"/>
      <c r="V111" s="61"/>
      <c r="W111" s="61"/>
      <c r="X111" s="61"/>
      <c r="Y111" s="61"/>
      <c r="Z111" s="61"/>
    </row>
    <row r="112" ht="16.5" customHeight="1">
      <c r="A112" s="63" t="s">
        <v>186</v>
      </c>
      <c r="B112" s="92" t="s">
        <v>673</v>
      </c>
      <c r="C112" s="94" t="s">
        <v>1008</v>
      </c>
      <c r="D112" s="92" t="s">
        <v>673</v>
      </c>
      <c r="E112" s="94" t="s">
        <v>1009</v>
      </c>
      <c r="F112" s="61"/>
      <c r="G112" s="61"/>
      <c r="H112" s="61"/>
      <c r="I112" s="61"/>
      <c r="J112" s="61"/>
      <c r="K112" s="61"/>
      <c r="L112" s="61"/>
      <c r="M112" s="61"/>
      <c r="N112" s="61"/>
      <c r="O112" s="61"/>
      <c r="P112" s="61"/>
      <c r="Q112" s="61"/>
      <c r="R112" s="61"/>
      <c r="S112" s="61"/>
      <c r="T112" s="61"/>
      <c r="U112" s="61"/>
      <c r="V112" s="61"/>
      <c r="W112" s="61"/>
      <c r="X112" s="61"/>
      <c r="Y112" s="61"/>
      <c r="Z112" s="61"/>
    </row>
    <row r="113" ht="16.5" customHeight="1">
      <c r="A113" s="63" t="s">
        <v>221</v>
      </c>
      <c r="B113" s="92" t="s">
        <v>678</v>
      </c>
      <c r="C113" s="94" t="s">
        <v>1010</v>
      </c>
      <c r="D113" s="92" t="s">
        <v>678</v>
      </c>
      <c r="E113" s="94" t="s">
        <v>1011</v>
      </c>
      <c r="F113" s="61"/>
      <c r="G113" s="61"/>
      <c r="H113" s="61"/>
      <c r="I113" s="61"/>
      <c r="J113" s="61"/>
      <c r="K113" s="61"/>
      <c r="L113" s="61"/>
      <c r="M113" s="61"/>
      <c r="N113" s="61"/>
      <c r="O113" s="61"/>
      <c r="P113" s="61"/>
      <c r="Q113" s="61"/>
      <c r="R113" s="61"/>
      <c r="S113" s="61"/>
      <c r="T113" s="61"/>
      <c r="U113" s="61"/>
      <c r="V113" s="61"/>
      <c r="W113" s="61"/>
      <c r="X113" s="61"/>
      <c r="Y113" s="61"/>
      <c r="Z113" s="61"/>
    </row>
    <row r="114" ht="16.5" customHeight="1">
      <c r="A114" s="63" t="s">
        <v>261</v>
      </c>
      <c r="B114" s="92" t="s">
        <v>678</v>
      </c>
      <c r="C114" s="94" t="s">
        <v>1012</v>
      </c>
      <c r="D114" s="92" t="s">
        <v>678</v>
      </c>
      <c r="E114" s="94" t="s">
        <v>1013</v>
      </c>
      <c r="F114" s="61"/>
      <c r="G114" s="61"/>
      <c r="H114" s="61"/>
      <c r="I114" s="61"/>
      <c r="J114" s="61"/>
      <c r="K114" s="61"/>
      <c r="L114" s="61"/>
      <c r="M114" s="61"/>
      <c r="N114" s="61"/>
      <c r="O114" s="61"/>
      <c r="P114" s="61"/>
      <c r="Q114" s="61"/>
      <c r="R114" s="61"/>
      <c r="S114" s="61"/>
      <c r="T114" s="61"/>
      <c r="U114" s="61"/>
      <c r="V114" s="61"/>
      <c r="W114" s="61"/>
      <c r="X114" s="61"/>
      <c r="Y114" s="61"/>
      <c r="Z114" s="61"/>
    </row>
    <row r="115" ht="16.5" customHeight="1">
      <c r="A115" s="63" t="s">
        <v>310</v>
      </c>
      <c r="B115" s="92" t="s">
        <v>673</v>
      </c>
      <c r="C115" s="94" t="s">
        <v>1014</v>
      </c>
      <c r="D115" s="92" t="s">
        <v>673</v>
      </c>
      <c r="E115" s="94" t="s">
        <v>1015</v>
      </c>
      <c r="F115" s="61"/>
      <c r="G115" s="61"/>
      <c r="H115" s="61"/>
      <c r="I115" s="61"/>
      <c r="J115" s="61"/>
      <c r="K115" s="61"/>
      <c r="L115" s="61"/>
      <c r="M115" s="61"/>
      <c r="N115" s="61"/>
      <c r="O115" s="61"/>
      <c r="P115" s="61"/>
      <c r="Q115" s="61"/>
      <c r="R115" s="61"/>
      <c r="S115" s="61"/>
      <c r="T115" s="61"/>
      <c r="U115" s="61"/>
      <c r="V115" s="61"/>
      <c r="W115" s="61"/>
      <c r="X115" s="61"/>
      <c r="Y115" s="61"/>
      <c r="Z115" s="61"/>
    </row>
    <row r="116" ht="16.5" customHeight="1">
      <c r="A116" s="63" t="s">
        <v>346</v>
      </c>
      <c r="B116" s="92" t="s">
        <v>678</v>
      </c>
      <c r="C116" s="109" t="s">
        <v>1016</v>
      </c>
      <c r="D116" s="92" t="s">
        <v>678</v>
      </c>
      <c r="E116" s="109" t="s">
        <v>1017</v>
      </c>
      <c r="F116" s="61"/>
      <c r="G116" s="61"/>
      <c r="H116" s="61"/>
      <c r="I116" s="61"/>
      <c r="J116" s="61"/>
      <c r="K116" s="61"/>
      <c r="L116" s="61"/>
      <c r="M116" s="61"/>
      <c r="N116" s="61"/>
      <c r="O116" s="61"/>
      <c r="P116" s="61"/>
      <c r="Q116" s="61"/>
      <c r="R116" s="61"/>
      <c r="S116" s="61"/>
      <c r="T116" s="61"/>
      <c r="U116" s="61"/>
      <c r="V116" s="61"/>
      <c r="W116" s="61"/>
      <c r="X116" s="61"/>
      <c r="Y116" s="61"/>
      <c r="Z116" s="61"/>
    </row>
    <row r="117" ht="16.5" customHeight="1">
      <c r="A117" s="69"/>
      <c r="B117" s="70"/>
      <c r="C117" s="69"/>
      <c r="D117" s="70"/>
      <c r="E117" s="69"/>
      <c r="F117" s="69"/>
      <c r="G117" s="69"/>
      <c r="H117" s="61"/>
      <c r="I117" s="61"/>
      <c r="J117" s="61"/>
      <c r="K117" s="61"/>
      <c r="L117" s="61"/>
      <c r="M117" s="61"/>
      <c r="N117" s="61"/>
      <c r="O117" s="61"/>
      <c r="P117" s="61"/>
      <c r="Q117" s="61"/>
      <c r="R117" s="61"/>
      <c r="S117" s="61"/>
      <c r="T117" s="61"/>
      <c r="U117" s="61"/>
      <c r="V117" s="61"/>
      <c r="W117" s="61"/>
      <c r="X117" s="61"/>
      <c r="Y117" s="61"/>
      <c r="Z117" s="61"/>
    </row>
    <row r="118" ht="16.5" customHeight="1">
      <c r="A118" s="59" t="s">
        <v>656</v>
      </c>
      <c r="B118" s="60" t="s">
        <v>657</v>
      </c>
      <c r="C118" s="30"/>
      <c r="D118" s="60" t="s">
        <v>658</v>
      </c>
      <c r="E118" s="30"/>
      <c r="F118" s="60" t="s">
        <v>659</v>
      </c>
      <c r="G118" s="30"/>
      <c r="H118" s="61"/>
      <c r="I118" s="61"/>
      <c r="J118" s="61"/>
      <c r="K118" s="61"/>
      <c r="L118" s="61"/>
      <c r="M118" s="61"/>
      <c r="N118" s="61"/>
      <c r="O118" s="61"/>
      <c r="P118" s="61"/>
      <c r="Q118" s="61"/>
      <c r="R118" s="61"/>
      <c r="S118" s="61"/>
      <c r="T118" s="61"/>
      <c r="U118" s="61"/>
      <c r="V118" s="61"/>
      <c r="W118" s="61"/>
      <c r="X118" s="61"/>
      <c r="Y118" s="61"/>
      <c r="Z118" s="61"/>
    </row>
    <row r="119" ht="16.5" customHeight="1">
      <c r="A119" s="31"/>
      <c r="B119" s="62" t="s">
        <v>11</v>
      </c>
      <c r="C119" s="62" t="s">
        <v>12</v>
      </c>
      <c r="D119" s="62" t="s">
        <v>11</v>
      </c>
      <c r="E119" s="62" t="s">
        <v>12</v>
      </c>
      <c r="F119" s="62" t="s">
        <v>11</v>
      </c>
      <c r="G119" s="62" t="s">
        <v>12</v>
      </c>
      <c r="H119" s="61"/>
      <c r="I119" s="61"/>
      <c r="J119" s="61"/>
      <c r="K119" s="61"/>
      <c r="L119" s="61"/>
      <c r="M119" s="61"/>
      <c r="N119" s="61"/>
      <c r="O119" s="61"/>
      <c r="P119" s="61"/>
      <c r="Q119" s="61"/>
      <c r="R119" s="61"/>
      <c r="S119" s="61"/>
      <c r="T119" s="61"/>
      <c r="U119" s="61"/>
      <c r="V119" s="61"/>
      <c r="W119" s="61"/>
      <c r="X119" s="61"/>
      <c r="Y119" s="61"/>
      <c r="Z119" s="61"/>
    </row>
    <row r="120" ht="16.5" customHeight="1">
      <c r="A120" s="63" t="s">
        <v>14</v>
      </c>
      <c r="B120" s="88"/>
      <c r="C120" s="89" t="str">
        <f t="shared" ref="C120:C129" si="5">"1조" &amp; " - " &amp; B$118 &amp; " - " &amp; $A120</f>
        <v>1조 - Container-based - Availability</v>
      </c>
      <c r="D120" s="88"/>
      <c r="E120" s="89" t="str">
        <f t="shared" ref="E120:E129" si="6">"1조" &amp; " - " &amp; D$118 &amp; " - " &amp; $A120</f>
        <v>1조 - Cloud-based - Availability</v>
      </c>
      <c r="F120" s="92" t="s">
        <v>680</v>
      </c>
      <c r="G120" s="94" t="s">
        <v>1018</v>
      </c>
      <c r="H120" s="61"/>
      <c r="I120" s="61"/>
      <c r="J120" s="61"/>
      <c r="K120" s="61"/>
      <c r="L120" s="61"/>
      <c r="M120" s="61"/>
      <c r="N120" s="61"/>
      <c r="O120" s="61"/>
      <c r="P120" s="61"/>
      <c r="Q120" s="61"/>
      <c r="R120" s="61"/>
      <c r="S120" s="61"/>
      <c r="T120" s="61"/>
      <c r="U120" s="61"/>
      <c r="V120" s="61"/>
      <c r="W120" s="61"/>
      <c r="X120" s="61"/>
      <c r="Y120" s="61"/>
      <c r="Z120" s="61"/>
    </row>
    <row r="121" ht="16.5" customHeight="1">
      <c r="A121" s="63" t="s">
        <v>47</v>
      </c>
      <c r="B121" s="88"/>
      <c r="C121" s="89" t="str">
        <f t="shared" si="5"/>
        <v>1조 - Container-based - Deployability</v>
      </c>
      <c r="D121" s="88"/>
      <c r="E121" s="89" t="str">
        <f t="shared" si="6"/>
        <v>1조 - Cloud-based - Deployability</v>
      </c>
      <c r="F121" s="92" t="s">
        <v>673</v>
      </c>
      <c r="G121" s="94" t="s">
        <v>1019</v>
      </c>
      <c r="H121" s="61"/>
      <c r="I121" s="61"/>
      <c r="J121" s="61"/>
      <c r="K121" s="61"/>
      <c r="L121" s="61"/>
      <c r="M121" s="61"/>
      <c r="N121" s="61"/>
      <c r="O121" s="61"/>
      <c r="P121" s="61"/>
      <c r="Q121" s="61"/>
      <c r="R121" s="61"/>
      <c r="S121" s="61"/>
      <c r="T121" s="61"/>
      <c r="U121" s="61"/>
      <c r="V121" s="61"/>
      <c r="W121" s="61"/>
      <c r="X121" s="61"/>
      <c r="Y121" s="61"/>
      <c r="Z121" s="61"/>
    </row>
    <row r="122" ht="16.5" customHeight="1">
      <c r="A122" s="63" t="s">
        <v>80</v>
      </c>
      <c r="B122" s="88"/>
      <c r="C122" s="89" t="str">
        <f t="shared" si="5"/>
        <v>1조 - Container-based - Integrability</v>
      </c>
      <c r="D122" s="88"/>
      <c r="E122" s="89" t="str">
        <f t="shared" si="6"/>
        <v>1조 - Cloud-based - Integrability</v>
      </c>
      <c r="F122" s="92" t="s">
        <v>673</v>
      </c>
      <c r="G122" s="94" t="s">
        <v>1020</v>
      </c>
      <c r="H122" s="61"/>
      <c r="I122" s="61"/>
      <c r="J122" s="61"/>
      <c r="K122" s="61"/>
      <c r="L122" s="61"/>
      <c r="M122" s="61"/>
      <c r="N122" s="61"/>
      <c r="O122" s="61"/>
      <c r="P122" s="61"/>
      <c r="Q122" s="61"/>
      <c r="R122" s="61"/>
      <c r="S122" s="61"/>
      <c r="T122" s="61"/>
      <c r="U122" s="61"/>
      <c r="V122" s="61"/>
      <c r="W122" s="61"/>
      <c r="X122" s="61"/>
      <c r="Y122" s="61"/>
      <c r="Z122" s="61"/>
    </row>
    <row r="123" ht="16.5" customHeight="1">
      <c r="A123" s="63" t="s">
        <v>117</v>
      </c>
      <c r="B123" s="88"/>
      <c r="C123" s="89" t="str">
        <f t="shared" si="5"/>
        <v>1조 - Container-based - Energy Efficiency</v>
      </c>
      <c r="D123" s="88"/>
      <c r="E123" s="89" t="str">
        <f t="shared" si="6"/>
        <v>1조 - Cloud-based - Energy Efficiency</v>
      </c>
      <c r="F123" s="92" t="s">
        <v>678</v>
      </c>
      <c r="G123" s="94" t="s">
        <v>1022</v>
      </c>
      <c r="H123" s="61"/>
      <c r="I123" s="61"/>
      <c r="J123" s="61"/>
      <c r="K123" s="61"/>
      <c r="L123" s="61"/>
      <c r="M123" s="61"/>
      <c r="N123" s="61"/>
      <c r="O123" s="61"/>
      <c r="P123" s="61"/>
      <c r="Q123" s="61"/>
      <c r="R123" s="61"/>
      <c r="S123" s="61"/>
      <c r="T123" s="61"/>
      <c r="U123" s="61"/>
      <c r="V123" s="61"/>
      <c r="W123" s="61"/>
      <c r="X123" s="61"/>
      <c r="Y123" s="61"/>
      <c r="Z123" s="61"/>
    </row>
    <row r="124" ht="16.5" customHeight="1">
      <c r="A124" s="63" t="s">
        <v>151</v>
      </c>
      <c r="B124" s="88"/>
      <c r="C124" s="89" t="str">
        <f t="shared" si="5"/>
        <v>1조 - Container-based - Modifiability</v>
      </c>
      <c r="D124" s="88"/>
      <c r="E124" s="89" t="str">
        <f t="shared" si="6"/>
        <v>1조 - Cloud-based - Modifiability</v>
      </c>
      <c r="F124" s="92" t="s">
        <v>678</v>
      </c>
      <c r="G124" s="94" t="s">
        <v>1026</v>
      </c>
      <c r="H124" s="61"/>
      <c r="I124" s="61"/>
      <c r="J124" s="61"/>
      <c r="K124" s="61"/>
      <c r="L124" s="61"/>
      <c r="M124" s="61"/>
      <c r="N124" s="61"/>
      <c r="O124" s="61"/>
      <c r="P124" s="61"/>
      <c r="Q124" s="61"/>
      <c r="R124" s="61"/>
      <c r="S124" s="61"/>
      <c r="T124" s="61"/>
      <c r="U124" s="61"/>
      <c r="V124" s="61"/>
      <c r="W124" s="61"/>
      <c r="X124" s="61"/>
      <c r="Y124" s="61"/>
      <c r="Z124" s="61"/>
    </row>
    <row r="125" ht="16.5" customHeight="1">
      <c r="A125" s="63" t="s">
        <v>186</v>
      </c>
      <c r="B125" s="88"/>
      <c r="C125" s="89" t="str">
        <f t="shared" si="5"/>
        <v>1조 - Container-based - Performance</v>
      </c>
      <c r="D125" s="88"/>
      <c r="E125" s="89" t="str">
        <f t="shared" si="6"/>
        <v>1조 - Cloud-based - Performance</v>
      </c>
      <c r="F125" s="92" t="s">
        <v>680</v>
      </c>
      <c r="G125" s="94" t="s">
        <v>1030</v>
      </c>
      <c r="H125" s="61"/>
      <c r="I125" s="61"/>
      <c r="J125" s="61"/>
      <c r="K125" s="61"/>
      <c r="L125" s="61"/>
      <c r="M125" s="61"/>
      <c r="N125" s="61"/>
      <c r="O125" s="61"/>
      <c r="P125" s="61"/>
      <c r="Q125" s="61"/>
      <c r="R125" s="61"/>
      <c r="S125" s="61"/>
      <c r="T125" s="61"/>
      <c r="U125" s="61"/>
      <c r="V125" s="61"/>
      <c r="W125" s="61"/>
      <c r="X125" s="61"/>
      <c r="Y125" s="61"/>
      <c r="Z125" s="61"/>
    </row>
    <row r="126" ht="16.5" customHeight="1">
      <c r="A126" s="63" t="s">
        <v>221</v>
      </c>
      <c r="B126" s="88"/>
      <c r="C126" s="89" t="str">
        <f t="shared" si="5"/>
        <v>1조 - Container-based - Safety</v>
      </c>
      <c r="D126" s="88"/>
      <c r="E126" s="89" t="str">
        <f t="shared" si="6"/>
        <v>1조 - Cloud-based - Safety</v>
      </c>
      <c r="F126" s="92" t="s">
        <v>678</v>
      </c>
      <c r="G126" s="94" t="s">
        <v>1036</v>
      </c>
      <c r="H126" s="61"/>
      <c r="I126" s="61"/>
      <c r="J126" s="61"/>
      <c r="K126" s="61"/>
      <c r="L126" s="61"/>
      <c r="M126" s="61"/>
      <c r="N126" s="61"/>
      <c r="O126" s="61"/>
      <c r="P126" s="61"/>
      <c r="Q126" s="61"/>
      <c r="R126" s="61"/>
      <c r="S126" s="61"/>
      <c r="T126" s="61"/>
      <c r="U126" s="61"/>
      <c r="V126" s="61"/>
      <c r="W126" s="61"/>
      <c r="X126" s="61"/>
      <c r="Y126" s="61"/>
      <c r="Z126" s="61"/>
    </row>
    <row r="127" ht="16.5" customHeight="1">
      <c r="A127" s="63" t="s">
        <v>261</v>
      </c>
      <c r="B127" s="88"/>
      <c r="C127" s="89" t="str">
        <f t="shared" si="5"/>
        <v>1조 - Container-based - Security</v>
      </c>
      <c r="D127" s="88"/>
      <c r="E127" s="89" t="str">
        <f t="shared" si="6"/>
        <v>1조 - Cloud-based - Security</v>
      </c>
      <c r="F127" s="92" t="s">
        <v>673</v>
      </c>
      <c r="G127" s="94" t="s">
        <v>1041</v>
      </c>
      <c r="H127" s="61"/>
      <c r="I127" s="61"/>
      <c r="J127" s="61"/>
      <c r="K127" s="61"/>
      <c r="L127" s="61"/>
      <c r="M127" s="61"/>
      <c r="N127" s="61"/>
      <c r="O127" s="61"/>
      <c r="P127" s="61"/>
      <c r="Q127" s="61"/>
      <c r="R127" s="61"/>
      <c r="S127" s="61"/>
      <c r="T127" s="61"/>
      <c r="U127" s="61"/>
      <c r="V127" s="61"/>
      <c r="W127" s="61"/>
      <c r="X127" s="61"/>
      <c r="Y127" s="61"/>
      <c r="Z127" s="61"/>
    </row>
    <row r="128" ht="16.5" customHeight="1">
      <c r="A128" s="63" t="s">
        <v>310</v>
      </c>
      <c r="B128" s="88"/>
      <c r="C128" s="89" t="str">
        <f t="shared" si="5"/>
        <v>1조 - Container-based - Testability</v>
      </c>
      <c r="D128" s="88"/>
      <c r="E128" s="89" t="str">
        <f t="shared" si="6"/>
        <v>1조 - Cloud-based - Testability</v>
      </c>
      <c r="F128" s="92" t="s">
        <v>693</v>
      </c>
      <c r="G128" s="94" t="s">
        <v>1047</v>
      </c>
      <c r="H128" s="61"/>
      <c r="I128" s="61"/>
      <c r="J128" s="61"/>
      <c r="K128" s="61"/>
      <c r="L128" s="61"/>
      <c r="M128" s="61"/>
      <c r="N128" s="61"/>
      <c r="O128" s="61"/>
      <c r="P128" s="61"/>
      <c r="Q128" s="61"/>
      <c r="R128" s="61"/>
      <c r="S128" s="61"/>
      <c r="T128" s="61"/>
      <c r="U128" s="61"/>
      <c r="V128" s="61"/>
      <c r="W128" s="61"/>
      <c r="X128" s="61"/>
      <c r="Y128" s="61"/>
      <c r="Z128" s="61"/>
    </row>
    <row r="129" ht="16.5" customHeight="1">
      <c r="A129" s="63" t="s">
        <v>346</v>
      </c>
      <c r="B129" s="88"/>
      <c r="C129" s="89" t="str">
        <f t="shared" si="5"/>
        <v>1조 - Container-based - Usability</v>
      </c>
      <c r="D129" s="88"/>
      <c r="E129" s="89" t="str">
        <f t="shared" si="6"/>
        <v>1조 - Cloud-based - Usability</v>
      </c>
      <c r="F129" s="92" t="s">
        <v>680</v>
      </c>
      <c r="G129" s="94" t="s">
        <v>1052</v>
      </c>
      <c r="H129" s="61"/>
      <c r="I129" s="61"/>
      <c r="J129" s="61"/>
      <c r="K129" s="61"/>
      <c r="L129" s="61"/>
      <c r="M129" s="61"/>
      <c r="N129" s="61"/>
      <c r="O129" s="61"/>
      <c r="P129" s="61"/>
      <c r="Q129" s="61"/>
      <c r="R129" s="61"/>
      <c r="S129" s="61"/>
      <c r="T129" s="61"/>
      <c r="U129" s="61"/>
      <c r="V129" s="61"/>
      <c r="W129" s="61"/>
      <c r="X129" s="61"/>
      <c r="Y129" s="61"/>
      <c r="Z129" s="61"/>
    </row>
    <row r="130" ht="16.5" customHeight="1">
      <c r="A130" s="61"/>
      <c r="B130" s="70"/>
      <c r="C130" s="61"/>
      <c r="D130" s="70"/>
      <c r="E130" s="61"/>
      <c r="F130" s="70"/>
      <c r="G130" s="61"/>
      <c r="H130" s="61"/>
      <c r="I130" s="61"/>
      <c r="J130" s="61"/>
      <c r="K130" s="61"/>
      <c r="L130" s="61"/>
      <c r="M130" s="61"/>
      <c r="N130" s="61"/>
      <c r="O130" s="61"/>
      <c r="P130" s="61"/>
      <c r="Q130" s="61"/>
      <c r="R130" s="61"/>
      <c r="S130" s="61"/>
      <c r="T130" s="61"/>
      <c r="U130" s="61"/>
      <c r="V130" s="61"/>
      <c r="W130" s="61"/>
      <c r="X130" s="61"/>
      <c r="Y130" s="61"/>
      <c r="Z130" s="61"/>
    </row>
    <row r="131" ht="16.5" customHeight="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ht="16.5" customHeight="1">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ht="16.5" customHeight="1">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ht="16.5" customHeight="1">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ht="16.5" customHeight="1">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ht="16.5" customHeight="1">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ht="16.5" customHeight="1">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ht="16.5" customHeight="1">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ht="16.5" customHeight="1">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ht="16.5" customHeight="1">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ht="16.5" customHeight="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ht="16.5" customHeight="1">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ht="16.5" customHeight="1">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ht="16.5" customHeight="1">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ht="16.5" customHeight="1">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ht="16.5" customHeight="1">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ht="16.5" customHeight="1">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ht="16.5" customHeight="1">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ht="16.5" customHeight="1">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ht="16.5" customHeight="1">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ht="16.5" customHeight="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ht="16.5" customHeight="1">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ht="16.5" customHeight="1">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ht="16.5" customHeight="1">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ht="16.5" customHeight="1">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ht="16.5" customHeight="1">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ht="16.5" customHeight="1">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ht="16.5" customHeight="1">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ht="16.5" customHeight="1">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ht="16.5" customHeight="1">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ht="16.5" customHeight="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ht="16.5" customHeight="1">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ht="16.5" customHeight="1">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ht="16.5" customHeight="1">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ht="16.5" customHeight="1">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ht="16.5" customHeight="1">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ht="16.5" customHeight="1">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ht="16.5" customHeight="1">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ht="16.5" customHeight="1">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ht="16.5" customHeight="1">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ht="16.5" customHeight="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ht="16.5" customHeight="1">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ht="16.5" customHeight="1">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ht="16.5" customHeight="1">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ht="16.5" customHeight="1">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ht="16.5" customHeight="1">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ht="16.5" customHeight="1">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ht="16.5" customHeight="1">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ht="16.5" customHeight="1">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ht="16.5" customHeight="1">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ht="16.5" customHeight="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ht="16.5" customHeight="1">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ht="16.5" customHeight="1">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ht="16.5" customHeight="1">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ht="16.5" customHeight="1">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ht="16.5" customHeight="1">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ht="16.5" customHeight="1">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ht="16.5" customHeight="1">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ht="16.5" customHeight="1">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ht="16.5" customHeight="1">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ht="16.5" customHeight="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ht="16.5" customHeight="1">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ht="16.5" customHeight="1">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ht="16.5" customHeight="1">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ht="16.5" customHeight="1">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ht="16.5" customHeight="1">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ht="16.5" customHeight="1">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ht="16.5" customHeight="1">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ht="16.5" customHeight="1">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ht="16.5" customHeight="1">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ht="16.5" customHeight="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ht="16.5" customHeight="1">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ht="16.5" customHeight="1">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ht="16.5" customHeight="1">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ht="16.5" customHeight="1">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ht="16.5" customHeight="1">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ht="16.5" customHeight="1">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ht="16.5" customHeight="1">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ht="16.5" customHeight="1">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ht="16.5" customHeight="1">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ht="16.5" customHeight="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ht="16.5" customHeight="1">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ht="16.5" customHeight="1">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ht="16.5" customHeight="1">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ht="16.5" customHeight="1">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ht="16.5" customHeight="1">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ht="16.5" customHeight="1">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ht="16.5" customHeight="1">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ht="16.5" customHeight="1">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ht="16.5" customHeight="1">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ht="16.5" customHeight="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ht="16.5" customHeight="1">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ht="16.5" customHeight="1">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ht="16.5" customHeight="1">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ht="16.5" customHeight="1">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ht="16.5" customHeight="1">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ht="16.5" customHeight="1">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ht="16.5" customHeight="1">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ht="16.5" customHeight="1">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ht="16.5" customHeight="1">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ht="16.5" customHeight="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ht="16.5" customHeight="1">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ht="16.5" customHeight="1">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ht="16.5" customHeight="1">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ht="16.5" customHeight="1">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ht="16.5" customHeight="1">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ht="16.5" customHeight="1">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ht="16.5" customHeight="1">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ht="16.5" customHeight="1">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ht="16.5" customHeight="1">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ht="16.5" customHeight="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ht="16.5" customHeight="1">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ht="16.5" customHeight="1">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ht="16.5" customHeight="1">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ht="16.5" customHeight="1">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ht="16.5" customHeight="1">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ht="16.5" customHeight="1">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ht="16.5" customHeight="1">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ht="16.5" customHeight="1">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ht="16.5" customHeight="1">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ht="16.5" customHeight="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ht="16.5" customHeight="1">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ht="16.5" customHeight="1">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ht="16.5" customHeight="1">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ht="16.5" customHeight="1">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ht="16.5" customHeight="1">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ht="16.5" customHeight="1">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ht="16.5" customHeight="1">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ht="16.5" customHeight="1">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ht="16.5" customHeight="1">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ht="16.5" customHeight="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ht="16.5" customHeight="1">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ht="16.5" customHeight="1">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ht="16.5" customHeight="1">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ht="16.5" customHeight="1">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ht="16.5" customHeight="1">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ht="16.5" customHeight="1">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ht="16.5" customHeight="1">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ht="16.5" customHeight="1">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ht="16.5" customHeight="1">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ht="16.5" customHeight="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ht="16.5" customHeight="1">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ht="16.5" customHeight="1">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ht="16.5" customHeight="1">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ht="16.5" customHeight="1">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ht="16.5" customHeight="1">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ht="16.5" customHeight="1">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ht="16.5" customHeight="1">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ht="16.5" customHeight="1">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ht="16.5" customHeight="1">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ht="16.5" customHeight="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ht="16.5" customHeight="1">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ht="16.5" customHeight="1">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ht="16.5" customHeight="1">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ht="16.5" customHeight="1">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ht="16.5" customHeight="1">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ht="16.5" customHeight="1">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ht="16.5" customHeight="1">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ht="16.5" customHeight="1">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ht="16.5" customHeight="1">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ht="16.5" customHeight="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ht="16.5" customHeight="1">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ht="16.5" customHeight="1">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ht="16.5" customHeight="1">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ht="16.5" customHeight="1">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ht="16.5" customHeight="1">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ht="16.5" customHeight="1">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ht="16.5" customHeight="1">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ht="16.5" customHeight="1">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ht="16.5" customHeight="1">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ht="16.5" customHeight="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ht="16.5" customHeight="1">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ht="16.5" customHeight="1">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ht="16.5" customHeight="1">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ht="16.5" customHeight="1">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ht="16.5" customHeight="1">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ht="16.5" customHeight="1">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ht="16.5" customHeight="1">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ht="16.5" customHeight="1">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ht="16.5" customHeight="1">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ht="16.5" customHeight="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ht="16.5" customHeight="1">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ht="16.5" customHeight="1">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ht="16.5" customHeight="1">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ht="16.5" customHeight="1">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ht="16.5" customHeight="1">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ht="16.5" customHeight="1">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ht="16.5" customHeight="1">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ht="16.5" customHeight="1">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ht="16.5" customHeight="1">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ht="16.5" customHeight="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ht="16.5" customHeight="1">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ht="16.5" customHeight="1">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ht="16.5" customHeight="1">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ht="16.5" customHeight="1">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ht="16.5" customHeight="1">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ht="16.5" customHeight="1">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ht="16.5" customHeight="1">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ht="16.5" customHeight="1">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ht="15.75" customHeight="1">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ht="15.75" customHeight="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ht="15.75" customHeight="1">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ht="15.75" customHeight="1">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ht="15.75" customHeight="1">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ht="15.75" customHeight="1">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ht="15.75" customHeight="1">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ht="15.75" customHeight="1">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ht="15.75" customHeight="1">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ht="15.75" customHeight="1">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ht="15.75" customHeight="1">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ht="15.75" customHeight="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ht="15.75" customHeight="1">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ht="15.75" customHeight="1">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ht="15.75" customHeight="1">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ht="15.75" customHeight="1">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ht="15.75" customHeight="1">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ht="15.75" customHeight="1">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ht="15.75" customHeight="1">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ht="15.75" customHeight="1">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ht="15.75" customHeight="1">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ht="15.75" customHeight="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ht="15.75" customHeight="1">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ht="15.75" customHeight="1">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ht="15.75" customHeight="1">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ht="15.75" customHeight="1">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ht="15.75" customHeight="1">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ht="15.75" customHeight="1">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ht="15.75" customHeight="1">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ht="15.75" customHeight="1">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ht="15.75" customHeight="1">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ht="15.75" customHeight="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ht="15.75" customHeight="1">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ht="15.75" customHeight="1">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ht="15.75" customHeight="1">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ht="15.75" customHeight="1">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ht="15.75" customHeight="1">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ht="15.75" customHeight="1">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ht="15.75" customHeight="1">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ht="15.75" customHeight="1">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ht="15.75" customHeight="1">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ht="15.75" customHeight="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ht="15.75" customHeight="1">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ht="15.75" customHeight="1">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ht="15.75" customHeight="1">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ht="15.75" customHeight="1">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ht="15.75" customHeight="1">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ht="15.75" customHeight="1">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ht="15.75" customHeight="1">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ht="15.75" customHeight="1">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ht="15.75" customHeight="1">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ht="15.75" customHeight="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ht="15.75" customHeight="1">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ht="15.75" customHeight="1">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ht="15.75" customHeight="1">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ht="15.75" customHeight="1">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ht="15.75" customHeight="1">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ht="15.75" customHeight="1">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ht="15.75" customHeight="1">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ht="15.75" customHeight="1">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ht="15.75" customHeight="1">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ht="15.75" customHeight="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ht="15.75" customHeight="1">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ht="15.75" customHeight="1">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ht="15.75" customHeight="1">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ht="15.75" customHeight="1">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ht="15.75" customHeight="1">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ht="15.75" customHeight="1">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ht="15.75" customHeight="1">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ht="15.75" customHeight="1">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ht="15.75" customHeight="1">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ht="15.75" customHeight="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ht="15.75" customHeight="1">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ht="15.75" customHeight="1">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ht="15.75" customHeight="1">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ht="15.75" customHeight="1">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ht="15.75" customHeight="1">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ht="15.75" customHeight="1">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ht="15.75" customHeight="1">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ht="15.75" customHeight="1">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ht="15.75" customHeight="1">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ht="15.75" customHeight="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ht="15.75" customHeight="1">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ht="15.75" customHeight="1">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ht="15.75" customHeight="1">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ht="15.75" customHeight="1">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ht="15.75" customHeight="1">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ht="15.75" customHeight="1">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ht="15.75" customHeight="1">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ht="15.75" customHeight="1">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ht="15.75" customHeight="1">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ht="15.75" customHeight="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ht="15.75" customHeight="1">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ht="15.75" customHeight="1">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ht="15.75" customHeight="1">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ht="15.75" customHeight="1">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ht="15.75" customHeight="1">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ht="15.75" customHeight="1">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ht="15.75" customHeight="1">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ht="15.75" customHeight="1">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ht="15.75" customHeight="1">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ht="15.75" customHeight="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ht="15.75" customHeight="1">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ht="15.75" customHeight="1">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ht="15.75" customHeight="1">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ht="15.75" customHeight="1">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ht="15.75" customHeight="1">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ht="15.75" customHeight="1">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ht="15.75" customHeight="1">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ht="15.75" customHeight="1">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ht="15.75" customHeight="1">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ht="15.75" customHeight="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ht="15.75" customHeight="1">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ht="15.75" customHeight="1">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ht="15.75" customHeight="1">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ht="15.75" customHeight="1">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ht="15.75" customHeight="1">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ht="15.75" customHeight="1">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ht="15.75" customHeight="1">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ht="15.75" customHeight="1">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ht="15.75" customHeight="1">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ht="15.75" customHeight="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ht="15.75" customHeight="1">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ht="15.75" customHeight="1">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ht="15.75" customHeight="1">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ht="15.75" customHeight="1">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ht="15.75" customHeight="1">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ht="15.75" customHeight="1">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ht="15.75" customHeight="1">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ht="15.75" customHeight="1">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ht="15.75" customHeight="1">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ht="15.75" customHeight="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ht="15.75" customHeight="1">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ht="15.75" customHeight="1">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ht="15.75" customHeight="1">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ht="15.75" customHeight="1">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ht="15.75" customHeight="1">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ht="15.75" customHeight="1">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ht="15.75" customHeight="1">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ht="15.75" customHeight="1">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ht="15.75" customHeight="1">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ht="15.75" customHeight="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ht="15.75" customHeight="1">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ht="15.75" customHeight="1">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ht="15.75" customHeight="1">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ht="15.75" customHeight="1">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ht="15.75" customHeight="1">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ht="15.75" customHeight="1">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ht="15.75" customHeight="1">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ht="15.75" customHeight="1">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ht="15.75" customHeight="1">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ht="15.75" customHeight="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ht="15.75" customHeight="1">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ht="15.75" customHeight="1">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ht="15.75" customHeight="1">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ht="15.75" customHeight="1">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ht="15.75" customHeight="1">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ht="15.75" customHeight="1">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ht="15.75" customHeight="1">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ht="15.75" customHeight="1">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ht="15.75" customHeight="1">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ht="15.75" customHeight="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ht="15.75" customHeight="1">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ht="15.75" customHeight="1">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ht="15.75" customHeight="1">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ht="15.75" customHeight="1">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ht="15.75" customHeight="1">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ht="15.75" customHeight="1">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ht="15.75" customHeight="1">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ht="15.75" customHeight="1">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ht="15.75" customHeight="1">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ht="15.75" customHeight="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ht="15.75" customHeight="1">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ht="15.75" customHeight="1">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ht="15.75" customHeight="1">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ht="15.75" customHeight="1">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ht="15.75" customHeight="1">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ht="15.75" customHeight="1">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ht="15.75" customHeight="1">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ht="15.75" customHeight="1">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ht="15.75" customHeight="1">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ht="15.75" customHeight="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ht="15.75" customHeight="1">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ht="15.75" customHeight="1">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ht="15.75" customHeight="1">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ht="15.75" customHeight="1">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ht="15.75" customHeight="1">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ht="15.75" customHeight="1">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ht="15.75" customHeight="1">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ht="15.75" customHeight="1">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ht="15.75" customHeight="1">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ht="15.75" customHeight="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ht="15.75" customHeight="1">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ht="15.75" customHeight="1">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ht="15.75" customHeight="1">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ht="15.75" customHeight="1">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ht="15.75" customHeight="1">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ht="15.75" customHeight="1">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ht="15.75" customHeight="1">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ht="15.75" customHeight="1">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ht="15.75" customHeight="1">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ht="15.75" customHeight="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ht="15.75" customHeight="1">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ht="15.75" customHeight="1">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ht="15.75" customHeight="1">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ht="15.75" customHeight="1">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ht="15.75" customHeight="1">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ht="15.75" customHeight="1">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ht="15.75" customHeight="1">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ht="15.75" customHeight="1">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ht="15.75" customHeight="1">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ht="15.75" customHeight="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ht="15.75" customHeight="1">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ht="15.75" customHeight="1">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ht="15.75" customHeight="1">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ht="15.75" customHeight="1">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ht="15.75" customHeight="1">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ht="15.75" customHeight="1">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ht="15.75" customHeight="1">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ht="15.75" customHeight="1">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ht="15.75" customHeight="1">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ht="15.75" customHeight="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ht="15.75" customHeight="1">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ht="15.75" customHeight="1">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ht="15.75" customHeight="1">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ht="15.75" customHeight="1">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ht="15.75" customHeight="1">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ht="15.75" customHeight="1">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ht="15.75" customHeight="1">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ht="15.75" customHeight="1">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ht="15.75" customHeight="1">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ht="15.75" customHeight="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ht="15.75" customHeight="1">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ht="15.75" customHeight="1">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ht="15.75" customHeight="1">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ht="15.75" customHeight="1">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ht="15.75" customHeight="1">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ht="15.75" customHeight="1">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ht="15.75" customHeight="1">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ht="15.75" customHeight="1">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ht="15.75" customHeight="1">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ht="15.75" customHeight="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ht="15.75" customHeight="1">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ht="15.75" customHeight="1">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ht="15.75" customHeight="1">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ht="15.75" customHeight="1">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ht="15.75" customHeight="1">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ht="15.75" customHeight="1">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ht="15.75" customHeight="1">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ht="15.75" customHeight="1">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ht="15.75" customHeight="1">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ht="15.75" customHeight="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ht="15.75" customHeight="1">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ht="15.75" customHeight="1">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ht="15.75" customHeight="1">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ht="15.75" customHeight="1">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ht="15.75" customHeight="1">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ht="15.75" customHeight="1">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ht="15.75" customHeight="1">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ht="15.75" customHeight="1">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ht="15.75" customHeight="1">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ht="15.75" customHeight="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ht="15.75" customHeight="1">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ht="15.75" customHeight="1">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ht="15.75" customHeight="1">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ht="15.75" customHeight="1">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ht="15.75" customHeight="1">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ht="15.75" customHeight="1">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ht="15.75" customHeight="1">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ht="15.75" customHeight="1">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ht="15.75" customHeight="1">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ht="15.75" customHeight="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ht="15.75" customHeight="1">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ht="15.75" customHeight="1">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ht="15.75" customHeight="1">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ht="15.75" customHeight="1">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ht="15.75" customHeight="1">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ht="15.75" customHeight="1">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ht="15.75" customHeight="1">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ht="15.75" customHeight="1">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ht="15.75" customHeight="1">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ht="15.75" customHeight="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ht="15.75" customHeight="1">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ht="15.75" customHeight="1">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ht="15.75" customHeight="1">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ht="15.75" customHeight="1">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ht="15.75" customHeight="1">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ht="15.75" customHeight="1">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ht="15.75" customHeight="1">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ht="15.75" customHeight="1">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ht="15.75" customHeight="1">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ht="15.75" customHeight="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ht="15.75" customHeight="1">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ht="15.75" customHeight="1">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ht="15.75" customHeight="1">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ht="15.75" customHeight="1">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ht="15.75" customHeight="1">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ht="15.75" customHeight="1">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ht="15.75" customHeight="1">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ht="15.75" customHeight="1">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ht="15.75" customHeight="1">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ht="15.75" customHeight="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ht="15.75" customHeight="1">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ht="15.75" customHeight="1">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ht="15.75" customHeight="1">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ht="15.75" customHeight="1">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ht="15.75" customHeight="1">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ht="15.75" customHeight="1">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ht="15.75" customHeight="1">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ht="15.75" customHeight="1">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ht="15.75" customHeight="1">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ht="15.75" customHeight="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ht="15.75" customHeight="1">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ht="15.75" customHeight="1">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ht="15.75" customHeight="1">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ht="15.75" customHeight="1">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ht="15.75" customHeight="1">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ht="15.75" customHeight="1">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ht="15.75" customHeight="1">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ht="15.75" customHeight="1">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ht="15.75" customHeight="1">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ht="15.75" customHeight="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ht="15.75" customHeight="1">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ht="15.75" customHeight="1">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ht="15.75" customHeight="1">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ht="15.75" customHeight="1">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ht="15.75" customHeight="1">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ht="15.75" customHeight="1">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ht="15.75" customHeight="1">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ht="15.75" customHeight="1">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ht="15.75" customHeight="1">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ht="15.75" customHeight="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ht="15.75" customHeight="1">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ht="15.75" customHeight="1">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ht="15.75" customHeight="1">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ht="15.75" customHeight="1">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ht="15.75" customHeight="1">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ht="15.75" customHeight="1">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ht="15.75" customHeight="1">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ht="15.75" customHeight="1">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ht="15.75" customHeight="1">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ht="15.75" customHeight="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ht="15.75" customHeight="1">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ht="15.75" customHeight="1">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ht="15.75" customHeight="1">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ht="15.75" customHeight="1">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ht="15.75" customHeight="1">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ht="15.75" customHeight="1">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ht="15.75" customHeight="1">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ht="15.75" customHeight="1">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ht="15.75" customHeight="1">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ht="15.75" customHeight="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ht="15.75" customHeight="1">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ht="15.75" customHeight="1">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ht="15.75" customHeight="1">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ht="15.75" customHeight="1">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ht="15.75" customHeight="1">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ht="15.75" customHeight="1">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ht="15.75" customHeight="1">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ht="15.75" customHeight="1">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ht="15.75" customHeight="1">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ht="15.75" customHeight="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ht="15.75" customHeight="1">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ht="15.75" customHeight="1">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ht="15.75" customHeight="1">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ht="15.75" customHeight="1">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ht="15.75" customHeight="1">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ht="15.75" customHeight="1">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ht="15.75" customHeight="1">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ht="15.75" customHeight="1">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ht="15.75" customHeight="1">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ht="15.75" customHeight="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ht="15.75" customHeight="1">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ht="15.75" customHeight="1">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ht="15.75" customHeight="1">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ht="15.75" customHeight="1">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ht="15.75" customHeight="1">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ht="15.75" customHeight="1">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ht="15.75" customHeight="1">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ht="15.75" customHeight="1">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ht="15.75" customHeight="1">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ht="15.75" customHeight="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ht="15.75" customHeight="1">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ht="15.75" customHeight="1">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ht="15.75" customHeight="1">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ht="15.75" customHeight="1">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ht="15.75" customHeight="1">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ht="15.75" customHeight="1">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ht="15.75" customHeight="1">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ht="15.75" customHeight="1">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ht="15.75" customHeight="1">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ht="15.75" customHeight="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ht="15.75" customHeight="1">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ht="15.75" customHeight="1">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ht="15.75" customHeight="1">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ht="15.75" customHeight="1">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ht="15.75" customHeight="1">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ht="15.75" customHeight="1">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ht="15.75" customHeight="1">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ht="15.75" customHeight="1">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ht="15.75" customHeight="1">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ht="15.75" customHeight="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ht="15.75" customHeight="1">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ht="15.75" customHeight="1">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ht="15.75" customHeight="1">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ht="15.75" customHeight="1">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ht="15.75" customHeight="1">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ht="15.75" customHeight="1">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ht="15.75" customHeight="1">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ht="15.75" customHeight="1">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ht="15.75" customHeight="1">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ht="15.75" customHeight="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ht="15.75" customHeight="1">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ht="15.75" customHeight="1">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ht="15.75" customHeight="1">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ht="15.75" customHeight="1">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ht="15.75" customHeight="1">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ht="15.75" customHeight="1">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ht="15.75" customHeight="1">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ht="15.75" customHeight="1">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ht="15.75" customHeight="1">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ht="15.75" customHeight="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ht="15.75" customHeight="1">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ht="15.75" customHeight="1">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ht="15.75" customHeight="1">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ht="15.75" customHeight="1">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ht="15.75" customHeight="1">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ht="15.75" customHeight="1">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ht="15.75" customHeight="1">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ht="15.75" customHeight="1">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ht="15.75" customHeight="1">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ht="15.75" customHeight="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ht="15.75" customHeight="1">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ht="15.75" customHeight="1">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ht="15.75" customHeight="1">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ht="15.75" customHeight="1">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ht="15.75" customHeight="1">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ht="15.75" customHeight="1">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ht="15.75" customHeight="1">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ht="15.75" customHeight="1">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ht="15.75" customHeight="1">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ht="15.75" customHeight="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ht="15.75" customHeight="1">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ht="15.75" customHeight="1">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ht="15.75" customHeight="1">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ht="15.75" customHeight="1">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ht="15.75" customHeight="1">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ht="15.75" customHeight="1">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ht="15.75" customHeight="1">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ht="15.75" customHeight="1">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ht="15.75" customHeight="1">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ht="15.75" customHeight="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ht="15.75" customHeight="1">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ht="15.75" customHeight="1">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ht="15.75" customHeight="1">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ht="15.75" customHeight="1">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ht="15.75" customHeight="1">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ht="15.75" customHeight="1">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ht="15.75" customHeight="1">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ht="15.75" customHeight="1">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ht="15.75" customHeight="1">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ht="15.75" customHeight="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ht="15.75" customHeight="1">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ht="15.75" customHeight="1">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ht="15.75" customHeight="1">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ht="15.75" customHeight="1">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ht="15.75" customHeight="1">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ht="15.75" customHeight="1">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ht="15.75" customHeight="1">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ht="15.75" customHeight="1">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ht="15.75" customHeight="1">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ht="15.75" customHeight="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ht="15.75" customHeight="1">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ht="15.75" customHeight="1">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ht="15.75" customHeight="1">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ht="15.75" customHeight="1">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ht="15.75" customHeight="1">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ht="15.75" customHeight="1">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ht="15.75" customHeight="1">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ht="15.75" customHeight="1">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ht="15.75" customHeight="1">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ht="15.75" customHeight="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ht="15.75" customHeight="1">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ht="15.75" customHeight="1">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ht="15.75" customHeight="1">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ht="15.75" customHeight="1">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ht="15.75" customHeight="1">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ht="15.75" customHeight="1">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ht="15.75" customHeight="1">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ht="15.75" customHeight="1">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ht="15.75" customHeight="1">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ht="15.75" customHeight="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ht="15.75" customHeight="1">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ht="15.75" customHeight="1">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ht="15.75" customHeight="1">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ht="15.75" customHeight="1">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ht="15.75" customHeight="1">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ht="15.75" customHeight="1">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ht="15.75" customHeight="1">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ht="15.75" customHeight="1">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ht="15.75" customHeight="1">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ht="15.75" customHeight="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ht="15.75" customHeight="1">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ht="15.75" customHeight="1">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ht="15.75" customHeight="1">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ht="15.75" customHeight="1">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ht="15.75" customHeight="1">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ht="15.75" customHeight="1">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ht="15.75" customHeight="1">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ht="15.75" customHeight="1">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ht="15.75" customHeight="1">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ht="15.75" customHeight="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ht="15.75" customHeight="1">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ht="15.75" customHeight="1">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ht="15.75" customHeight="1">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ht="15.75" customHeight="1">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ht="15.75" customHeight="1">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ht="15.75" customHeight="1">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ht="15.75" customHeight="1">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ht="15.75" customHeight="1">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ht="15.75" customHeight="1">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ht="15.75" customHeight="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ht="15.75" customHeight="1">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ht="15.75" customHeight="1">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ht="15.75" customHeight="1">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ht="15.75" customHeight="1">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ht="15.75" customHeight="1">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ht="15.75" customHeight="1">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ht="15.75" customHeight="1">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ht="15.75" customHeight="1">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ht="15.75" customHeight="1">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ht="15.75" customHeight="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ht="15.75" customHeight="1">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ht="15.75" customHeight="1">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ht="15.75" customHeight="1">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ht="15.75" customHeight="1">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ht="15.75" customHeight="1">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ht="15.75" customHeight="1">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ht="15.75" customHeight="1">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ht="15.75" customHeight="1">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ht="15.75" customHeight="1">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ht="15.75" customHeight="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ht="15.75" customHeight="1">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ht="15.75" customHeight="1">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ht="15.75" customHeight="1">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ht="15.75" customHeight="1">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ht="15.75" customHeight="1">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ht="15.75" customHeight="1">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ht="15.75" customHeight="1">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ht="15.75" customHeight="1">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ht="15.75" customHeight="1">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ht="15.75" customHeight="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ht="15.75" customHeight="1">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ht="15.75" customHeight="1">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ht="15.75" customHeight="1">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ht="15.75" customHeight="1">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ht="15.75" customHeight="1">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ht="15.75" customHeight="1">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ht="15.75" customHeight="1">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ht="15.75" customHeight="1">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ht="15.75" customHeight="1">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ht="15.75" customHeight="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ht="15.75" customHeight="1">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ht="15.75" customHeight="1">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ht="15.75" customHeight="1">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ht="15.75" customHeight="1">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ht="15.75" customHeight="1">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ht="15.75" customHeight="1">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ht="15.75" customHeight="1">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ht="15.75" customHeight="1">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ht="15.75" customHeight="1">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ht="15.75" customHeight="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ht="15.75" customHeight="1">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ht="15.75" customHeight="1">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ht="15.75" customHeight="1">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ht="15.75" customHeight="1">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ht="15.75" customHeight="1">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ht="15.75" customHeight="1">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ht="15.75" customHeight="1">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ht="15.75" customHeight="1">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ht="15.75" customHeight="1">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ht="15.75" customHeight="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ht="15.75" customHeight="1">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ht="15.75" customHeight="1">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ht="15.75" customHeight="1">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ht="15.75" customHeight="1">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ht="15.75" customHeight="1">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ht="15.75" customHeight="1">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ht="15.75" customHeight="1">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ht="15.75" customHeight="1">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ht="15.75" customHeight="1">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ht="15.75" customHeight="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ht="15.75" customHeight="1">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ht="15.75" customHeight="1">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ht="15.75" customHeight="1">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ht="15.75" customHeight="1">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ht="15.75" customHeight="1">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ht="15.75" customHeight="1">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ht="15.75" customHeight="1">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ht="15.75" customHeight="1">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ht="15.75" customHeight="1">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ht="15.75" customHeight="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ht="15.75" customHeight="1">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ht="15.75" customHeight="1">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ht="15.75" customHeight="1">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ht="15.75" customHeight="1">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ht="15.75" customHeight="1">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ht="15.75" customHeight="1">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ht="15.75" customHeight="1">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ht="15.75" customHeight="1">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ht="15.75" customHeight="1">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ht="15.75" customHeight="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ht="15.75" customHeight="1">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ht="15.75" customHeight="1">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ht="15.75" customHeight="1">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ht="15.75" customHeight="1">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ht="15.75" customHeight="1">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ht="15.75" customHeight="1">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ht="15.75" customHeight="1">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ht="15.75" customHeight="1">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ht="15.75" customHeight="1">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ht="15.75" customHeight="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ht="15.75" customHeight="1">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ht="15.75" customHeight="1">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ht="15.75" customHeight="1">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ht="15.75" customHeight="1">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ht="15.75" customHeight="1">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ht="15.75" customHeight="1">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ht="15.75" customHeight="1">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ht="15.75" customHeight="1">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ht="15.75" customHeight="1">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ht="15.75" customHeight="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ht="15.75" customHeight="1">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ht="15.75" customHeight="1">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ht="15.75" customHeight="1">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ht="15.75" customHeight="1">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ht="15.75" customHeight="1">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ht="15.75" customHeight="1">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ht="15.75" customHeight="1">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ht="15.75" customHeight="1">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ht="15.75" customHeight="1">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ht="15.75" customHeight="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ht="15.75" customHeight="1">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ht="15.75" customHeight="1">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ht="15.75" customHeight="1">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ht="15.75" customHeight="1">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ht="15.75" customHeight="1">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ht="15.75" customHeight="1">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ht="15.75" customHeight="1">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ht="15.75" customHeight="1">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ht="15.75" customHeight="1">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ht="15.75" customHeight="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ht="15.75" customHeight="1">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ht="15.75" customHeight="1">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ht="15.75" customHeight="1">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ht="15.75" customHeight="1">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ht="15.75" customHeight="1">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ht="15.75" customHeight="1">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ht="15.75" customHeight="1">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ht="15.75" customHeight="1">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ht="15.75" customHeight="1">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ht="15.75" customHeight="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ht="15.75" customHeight="1">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ht="15.75" customHeight="1">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ht="15.75" customHeight="1">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ht="15.75" customHeight="1">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ht="15.75" customHeight="1">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ht="15.75" customHeight="1">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ht="15.75" customHeight="1">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ht="15.75" customHeight="1">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ht="15.75" customHeight="1">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39" t="s">
        <v>666</v>
      </c>
      <c r="B1" s="80" t="s">
        <v>0</v>
      </c>
      <c r="C1" s="30"/>
      <c r="D1" s="80" t="s">
        <v>1</v>
      </c>
      <c r="E1" s="30"/>
      <c r="F1" s="80" t="s">
        <v>2</v>
      </c>
      <c r="G1" s="30"/>
    </row>
    <row r="2" ht="16.5" customHeight="1">
      <c r="A2" s="31"/>
      <c r="B2" s="41" t="s">
        <v>11</v>
      </c>
      <c r="C2" s="41" t="s">
        <v>12</v>
      </c>
      <c r="D2" s="41" t="s">
        <v>11</v>
      </c>
      <c r="E2" s="41" t="s">
        <v>12</v>
      </c>
      <c r="F2" s="41" t="s">
        <v>11</v>
      </c>
      <c r="G2" s="41" t="s">
        <v>12</v>
      </c>
    </row>
    <row r="3" ht="16.5" customHeight="1">
      <c r="A3" s="42" t="s">
        <v>14</v>
      </c>
      <c r="B3" s="81" t="s">
        <v>693</v>
      </c>
      <c r="C3" s="82" t="s">
        <v>739</v>
      </c>
      <c r="D3" s="81" t="s">
        <v>673</v>
      </c>
      <c r="E3" s="82" t="s">
        <v>741</v>
      </c>
      <c r="F3" s="81" t="s">
        <v>673</v>
      </c>
      <c r="G3" s="82" t="s">
        <v>743</v>
      </c>
    </row>
    <row r="4" ht="16.5" customHeight="1">
      <c r="A4" s="42" t="s">
        <v>47</v>
      </c>
      <c r="B4" s="81" t="s">
        <v>678</v>
      </c>
      <c r="C4" s="82" t="s">
        <v>744</v>
      </c>
      <c r="D4" s="83" t="s">
        <v>680</v>
      </c>
      <c r="E4" s="82" t="s">
        <v>745</v>
      </c>
      <c r="F4" s="81" t="s">
        <v>673</v>
      </c>
      <c r="G4" s="82" t="s">
        <v>747</v>
      </c>
    </row>
    <row r="5" ht="16.5" customHeight="1">
      <c r="A5" s="42" t="s">
        <v>80</v>
      </c>
      <c r="B5" s="83" t="s">
        <v>680</v>
      </c>
      <c r="C5" s="82" t="s">
        <v>749</v>
      </c>
      <c r="D5" s="83" t="s">
        <v>736</v>
      </c>
      <c r="E5" s="84" t="s">
        <v>750</v>
      </c>
      <c r="F5" s="81" t="s">
        <v>673</v>
      </c>
      <c r="G5" s="82" t="s">
        <v>751</v>
      </c>
    </row>
    <row r="6" ht="16.5" customHeight="1">
      <c r="A6" s="42" t="s">
        <v>117</v>
      </c>
      <c r="B6" s="83" t="s">
        <v>680</v>
      </c>
      <c r="C6" s="82" t="s">
        <v>753</v>
      </c>
      <c r="D6" s="81" t="s">
        <v>673</v>
      </c>
      <c r="E6" s="82" t="s">
        <v>755</v>
      </c>
      <c r="F6" s="83" t="s">
        <v>680</v>
      </c>
      <c r="G6" s="82" t="s">
        <v>757</v>
      </c>
    </row>
    <row r="7" ht="16.5" customHeight="1">
      <c r="A7" s="42" t="s">
        <v>151</v>
      </c>
      <c r="B7" s="83" t="s">
        <v>680</v>
      </c>
      <c r="C7" s="82" t="s">
        <v>758</v>
      </c>
      <c r="D7" s="83" t="s">
        <v>736</v>
      </c>
      <c r="E7" s="82" t="s">
        <v>759</v>
      </c>
      <c r="F7" s="81" t="s">
        <v>673</v>
      </c>
      <c r="G7" s="82" t="s">
        <v>761</v>
      </c>
    </row>
    <row r="8" ht="16.5" customHeight="1">
      <c r="A8" s="42" t="s">
        <v>186</v>
      </c>
      <c r="B8" s="81" t="s">
        <v>693</v>
      </c>
      <c r="C8" s="82" t="s">
        <v>763</v>
      </c>
      <c r="D8" s="83" t="s">
        <v>680</v>
      </c>
      <c r="E8" s="82" t="s">
        <v>764</v>
      </c>
      <c r="F8" s="83" t="s">
        <v>680</v>
      </c>
      <c r="G8" s="82" t="s">
        <v>765</v>
      </c>
    </row>
    <row r="9" ht="16.5" customHeight="1">
      <c r="A9" s="42" t="s">
        <v>221</v>
      </c>
      <c r="B9" s="83" t="s">
        <v>680</v>
      </c>
      <c r="C9" s="82" t="s">
        <v>768</v>
      </c>
      <c r="D9" s="81" t="s">
        <v>673</v>
      </c>
      <c r="E9" s="82" t="s">
        <v>770</v>
      </c>
      <c r="F9" s="83" t="s">
        <v>736</v>
      </c>
      <c r="G9" s="82" t="s">
        <v>771</v>
      </c>
    </row>
    <row r="10" ht="16.5" customHeight="1">
      <c r="A10" s="42" t="s">
        <v>261</v>
      </c>
      <c r="B10" s="83" t="s">
        <v>680</v>
      </c>
      <c r="C10" s="82" t="s">
        <v>772</v>
      </c>
      <c r="D10" s="81" t="s">
        <v>678</v>
      </c>
      <c r="E10" s="82" t="s">
        <v>774</v>
      </c>
      <c r="F10" s="81" t="s">
        <v>693</v>
      </c>
      <c r="G10" s="82" t="s">
        <v>775</v>
      </c>
    </row>
    <row r="11" ht="16.5" customHeight="1">
      <c r="A11" s="42" t="s">
        <v>310</v>
      </c>
      <c r="B11" s="83" t="s">
        <v>736</v>
      </c>
      <c r="C11" s="82" t="s">
        <v>777</v>
      </c>
      <c r="D11" s="83" t="s">
        <v>680</v>
      </c>
      <c r="E11" s="82" t="s">
        <v>778</v>
      </c>
      <c r="F11" s="81" t="s">
        <v>693</v>
      </c>
      <c r="G11" s="82" t="s">
        <v>779</v>
      </c>
    </row>
    <row r="12" ht="16.5" customHeight="1">
      <c r="A12" s="42" t="s">
        <v>346</v>
      </c>
      <c r="B12" s="81" t="s">
        <v>693</v>
      </c>
      <c r="C12" s="82" t="s">
        <v>780</v>
      </c>
      <c r="D12" s="81" t="s">
        <v>673</v>
      </c>
      <c r="E12" s="82" t="s">
        <v>782</v>
      </c>
      <c r="F12" s="81" t="s">
        <v>678</v>
      </c>
      <c r="G12" s="82" t="s">
        <v>784</v>
      </c>
    </row>
    <row r="13" ht="16.5" customHeight="1">
      <c r="A13" s="49"/>
      <c r="B13" s="56" t="s">
        <v>785</v>
      </c>
      <c r="C13" s="56" t="s">
        <v>785</v>
      </c>
      <c r="D13" s="56" t="s">
        <v>785</v>
      </c>
      <c r="E13" s="56" t="s">
        <v>785</v>
      </c>
      <c r="F13" s="56" t="s">
        <v>785</v>
      </c>
      <c r="G13" s="49"/>
    </row>
    <row r="14" ht="16.5" customHeight="1">
      <c r="A14" s="50" t="s">
        <v>3</v>
      </c>
      <c r="B14" s="85" t="s">
        <v>668</v>
      </c>
      <c r="C14" s="30"/>
      <c r="D14" s="85" t="s">
        <v>8</v>
      </c>
      <c r="E14" s="30"/>
      <c r="F14" s="49"/>
      <c r="G14" s="49"/>
    </row>
    <row r="15" ht="16.5" customHeight="1">
      <c r="A15" s="51"/>
      <c r="B15" s="52" t="s">
        <v>11</v>
      </c>
      <c r="C15" s="86" t="s">
        <v>12</v>
      </c>
      <c r="D15" s="52" t="s">
        <v>11</v>
      </c>
      <c r="E15" s="86" t="s">
        <v>12</v>
      </c>
      <c r="F15" s="49"/>
      <c r="G15" s="49"/>
    </row>
    <row r="16" ht="16.5" customHeight="1">
      <c r="A16" s="42" t="s">
        <v>14</v>
      </c>
      <c r="B16" s="81" t="s">
        <v>693</v>
      </c>
      <c r="C16" s="82" t="s">
        <v>786</v>
      </c>
      <c r="D16" s="81" t="s">
        <v>693</v>
      </c>
      <c r="E16" s="82" t="s">
        <v>787</v>
      </c>
      <c r="F16" s="49"/>
      <c r="G16" s="49"/>
    </row>
    <row r="17" ht="16.5" customHeight="1">
      <c r="A17" s="42" t="s">
        <v>47</v>
      </c>
      <c r="B17" s="81" t="s">
        <v>673</v>
      </c>
      <c r="C17" s="82" t="s">
        <v>788</v>
      </c>
      <c r="D17" s="83" t="s">
        <v>680</v>
      </c>
      <c r="E17" s="82" t="s">
        <v>789</v>
      </c>
      <c r="F17" s="49"/>
      <c r="G17" s="49"/>
    </row>
    <row r="18" ht="16.5" customHeight="1">
      <c r="A18" s="42" t="s">
        <v>80</v>
      </c>
      <c r="B18" s="83" t="s">
        <v>736</v>
      </c>
      <c r="C18" s="82" t="s">
        <v>790</v>
      </c>
      <c r="D18" s="83" t="s">
        <v>680</v>
      </c>
      <c r="E18" s="82" t="s">
        <v>791</v>
      </c>
      <c r="F18" s="49"/>
      <c r="G18" s="49"/>
    </row>
    <row r="19" ht="16.5" customHeight="1">
      <c r="A19" s="42" t="s">
        <v>117</v>
      </c>
      <c r="B19" s="83" t="s">
        <v>680</v>
      </c>
      <c r="C19" s="82" t="s">
        <v>792</v>
      </c>
      <c r="D19" s="81" t="s">
        <v>673</v>
      </c>
      <c r="E19" s="82" t="s">
        <v>793</v>
      </c>
      <c r="F19" s="49"/>
      <c r="G19" s="49"/>
    </row>
    <row r="20" ht="16.5" customHeight="1">
      <c r="A20" s="42" t="s">
        <v>151</v>
      </c>
      <c r="B20" s="81" t="s">
        <v>678</v>
      </c>
      <c r="C20" s="82" t="s">
        <v>794</v>
      </c>
      <c r="D20" s="83" t="s">
        <v>680</v>
      </c>
      <c r="E20" s="82" t="s">
        <v>795</v>
      </c>
      <c r="F20" s="49"/>
      <c r="G20" s="49"/>
    </row>
    <row r="21" ht="16.5" customHeight="1">
      <c r="A21" s="42" t="s">
        <v>186</v>
      </c>
      <c r="B21" s="81" t="s">
        <v>678</v>
      </c>
      <c r="C21" s="82" t="s">
        <v>796</v>
      </c>
      <c r="D21" s="81" t="s">
        <v>678</v>
      </c>
      <c r="E21" s="82" t="s">
        <v>797</v>
      </c>
      <c r="F21" s="49"/>
      <c r="G21" s="49"/>
    </row>
    <row r="22" ht="16.5" customHeight="1">
      <c r="A22" s="42" t="s">
        <v>221</v>
      </c>
      <c r="B22" s="81" t="s">
        <v>673</v>
      </c>
      <c r="C22" s="82" t="s">
        <v>798</v>
      </c>
      <c r="D22" s="81" t="s">
        <v>673</v>
      </c>
      <c r="E22" s="82" t="s">
        <v>799</v>
      </c>
      <c r="F22" s="49"/>
      <c r="G22" s="49"/>
    </row>
    <row r="23" ht="16.5" customHeight="1">
      <c r="A23" s="42" t="s">
        <v>261</v>
      </c>
      <c r="B23" s="81" t="s">
        <v>673</v>
      </c>
      <c r="C23" s="82" t="s">
        <v>800</v>
      </c>
      <c r="D23" s="81" t="s">
        <v>693</v>
      </c>
      <c r="E23" s="82" t="s">
        <v>801</v>
      </c>
      <c r="F23" s="49"/>
      <c r="G23" s="49"/>
    </row>
    <row r="24" ht="16.5" customHeight="1">
      <c r="A24" s="42" t="s">
        <v>310</v>
      </c>
      <c r="B24" s="81" t="s">
        <v>673</v>
      </c>
      <c r="C24" s="82" t="s">
        <v>802</v>
      </c>
      <c r="D24" s="81" t="s">
        <v>693</v>
      </c>
      <c r="E24" s="82" t="s">
        <v>803</v>
      </c>
      <c r="F24" s="49"/>
      <c r="G24" s="49"/>
    </row>
    <row r="25" ht="16.5" customHeight="1">
      <c r="A25" s="42" t="s">
        <v>346</v>
      </c>
      <c r="B25" s="81" t="s">
        <v>678</v>
      </c>
      <c r="C25" s="82" t="s">
        <v>804</v>
      </c>
      <c r="D25" s="81" t="s">
        <v>678</v>
      </c>
      <c r="E25" s="82" t="s">
        <v>805</v>
      </c>
      <c r="F25" s="49"/>
      <c r="G25" s="49"/>
    </row>
    <row r="26" ht="16.5" customHeight="1">
      <c r="A26" s="49"/>
      <c r="B26" s="56" t="s">
        <v>785</v>
      </c>
      <c r="C26" s="56" t="s">
        <v>785</v>
      </c>
      <c r="D26" s="56" t="s">
        <v>785</v>
      </c>
      <c r="E26" s="56" t="s">
        <v>785</v>
      </c>
      <c r="F26" s="49"/>
      <c r="G26" s="49"/>
    </row>
    <row r="27" ht="16.5" customHeight="1">
      <c r="A27" s="50" t="s">
        <v>4</v>
      </c>
      <c r="B27" s="85" t="s">
        <v>6</v>
      </c>
      <c r="C27" s="30"/>
      <c r="D27" s="85" t="s">
        <v>9</v>
      </c>
      <c r="E27" s="30"/>
      <c r="F27" s="49"/>
      <c r="G27" s="49"/>
    </row>
    <row r="28" ht="16.5" customHeight="1">
      <c r="A28" s="53"/>
      <c r="B28" s="41" t="s">
        <v>11</v>
      </c>
      <c r="C28" s="58" t="s">
        <v>12</v>
      </c>
      <c r="D28" s="41" t="s">
        <v>11</v>
      </c>
      <c r="E28" s="58" t="s">
        <v>12</v>
      </c>
      <c r="F28" s="49"/>
      <c r="G28" s="49"/>
    </row>
    <row r="29" ht="16.5" customHeight="1">
      <c r="A29" s="42" t="s">
        <v>14</v>
      </c>
      <c r="B29" s="81" t="s">
        <v>673</v>
      </c>
      <c r="C29" s="82" t="s">
        <v>806</v>
      </c>
      <c r="D29" s="83" t="s">
        <v>736</v>
      </c>
      <c r="E29" s="82" t="s">
        <v>807</v>
      </c>
      <c r="F29" s="49"/>
      <c r="G29" s="49"/>
    </row>
    <row r="30" ht="16.5" customHeight="1">
      <c r="A30" s="42" t="s">
        <v>47</v>
      </c>
      <c r="B30" s="81" t="s">
        <v>678</v>
      </c>
      <c r="C30" s="82" t="s">
        <v>808</v>
      </c>
      <c r="D30" s="83" t="s">
        <v>736</v>
      </c>
      <c r="E30" s="82" t="s">
        <v>809</v>
      </c>
      <c r="F30" s="49"/>
      <c r="G30" s="49"/>
    </row>
    <row r="31" ht="16.5" customHeight="1">
      <c r="A31" s="42" t="s">
        <v>80</v>
      </c>
      <c r="B31" s="83" t="s">
        <v>680</v>
      </c>
      <c r="C31" s="82" t="s">
        <v>810</v>
      </c>
      <c r="D31" s="83" t="s">
        <v>736</v>
      </c>
      <c r="E31" s="82" t="s">
        <v>811</v>
      </c>
      <c r="F31" s="49"/>
      <c r="G31" s="49"/>
    </row>
    <row r="32" ht="16.5" customHeight="1">
      <c r="A32" s="42" t="s">
        <v>117</v>
      </c>
      <c r="B32" s="83" t="s">
        <v>736</v>
      </c>
      <c r="C32" s="82" t="s">
        <v>812</v>
      </c>
      <c r="D32" s="81" t="s">
        <v>673</v>
      </c>
      <c r="E32" s="82" t="s">
        <v>813</v>
      </c>
      <c r="F32" s="49"/>
      <c r="G32" s="49"/>
    </row>
    <row r="33" ht="16.5" customHeight="1">
      <c r="A33" s="42" t="s">
        <v>151</v>
      </c>
      <c r="B33" s="83" t="s">
        <v>736</v>
      </c>
      <c r="C33" s="82" t="s">
        <v>814</v>
      </c>
      <c r="D33" s="83" t="s">
        <v>736</v>
      </c>
      <c r="E33" s="82" t="s">
        <v>815</v>
      </c>
      <c r="F33" s="49"/>
      <c r="G33" s="49"/>
    </row>
    <row r="34" ht="16.5" customHeight="1">
      <c r="A34" s="42" t="s">
        <v>186</v>
      </c>
      <c r="B34" s="81" t="s">
        <v>678</v>
      </c>
      <c r="C34" s="82" t="s">
        <v>816</v>
      </c>
      <c r="D34" s="81" t="s">
        <v>673</v>
      </c>
      <c r="E34" s="82" t="s">
        <v>817</v>
      </c>
      <c r="F34" s="49"/>
      <c r="G34" s="49"/>
    </row>
    <row r="35" ht="16.5" customHeight="1">
      <c r="A35" s="42" t="s">
        <v>221</v>
      </c>
      <c r="B35" s="81" t="s">
        <v>673</v>
      </c>
      <c r="C35" s="82" t="s">
        <v>818</v>
      </c>
      <c r="D35" s="81" t="s">
        <v>673</v>
      </c>
      <c r="E35" s="82" t="s">
        <v>819</v>
      </c>
      <c r="F35" s="49"/>
      <c r="G35" s="49"/>
    </row>
    <row r="36" ht="16.5" customHeight="1">
      <c r="A36" s="42" t="s">
        <v>261</v>
      </c>
      <c r="B36" s="81" t="s">
        <v>678</v>
      </c>
      <c r="C36" s="82" t="s">
        <v>820</v>
      </c>
      <c r="D36" s="83" t="s">
        <v>680</v>
      </c>
      <c r="E36" s="82" t="s">
        <v>821</v>
      </c>
      <c r="F36" s="49"/>
      <c r="G36" s="49"/>
    </row>
    <row r="37" ht="16.5" customHeight="1">
      <c r="A37" s="42" t="s">
        <v>310</v>
      </c>
      <c r="B37" s="81" t="s">
        <v>693</v>
      </c>
      <c r="C37" s="82" t="s">
        <v>822</v>
      </c>
      <c r="D37" s="81" t="s">
        <v>673</v>
      </c>
      <c r="E37" s="82" t="s">
        <v>823</v>
      </c>
      <c r="F37" s="49"/>
      <c r="G37" s="49"/>
    </row>
    <row r="38" ht="16.5" customHeight="1">
      <c r="A38" s="42" t="s">
        <v>346</v>
      </c>
      <c r="B38" s="83" t="s">
        <v>736</v>
      </c>
      <c r="C38" s="82" t="s">
        <v>824</v>
      </c>
      <c r="D38" s="81" t="s">
        <v>673</v>
      </c>
      <c r="E38" s="82" t="s">
        <v>825</v>
      </c>
      <c r="F38" s="49"/>
      <c r="G38" s="49"/>
    </row>
    <row r="39" ht="16.5" customHeight="1">
      <c r="A39" s="49"/>
      <c r="B39" s="56" t="s">
        <v>785</v>
      </c>
      <c r="C39" s="56" t="s">
        <v>785</v>
      </c>
      <c r="D39" s="56" t="s">
        <v>785</v>
      </c>
      <c r="E39" s="56" t="s">
        <v>785</v>
      </c>
      <c r="F39" s="49"/>
      <c r="G39" s="49"/>
    </row>
    <row r="40" ht="16.5" customHeight="1">
      <c r="A40" s="50" t="s">
        <v>7</v>
      </c>
      <c r="B40" s="80" t="s">
        <v>10</v>
      </c>
      <c r="C40" s="30"/>
      <c r="D40" s="80" t="s">
        <v>13</v>
      </c>
      <c r="E40" s="30"/>
      <c r="F40" s="49"/>
      <c r="G40" s="49"/>
      <c r="H40" s="49"/>
    </row>
    <row r="41" ht="15.75" customHeight="1">
      <c r="A41" s="53"/>
      <c r="B41" s="41" t="s">
        <v>11</v>
      </c>
      <c r="C41" s="41" t="s">
        <v>12</v>
      </c>
      <c r="D41" s="41" t="s">
        <v>11</v>
      </c>
      <c r="E41" s="41" t="s">
        <v>12</v>
      </c>
      <c r="F41" s="49"/>
      <c r="G41" s="49"/>
      <c r="H41" s="49"/>
      <c r="I41" s="54"/>
    </row>
    <row r="42" ht="16.5" customHeight="1">
      <c r="A42" s="42" t="s">
        <v>14</v>
      </c>
      <c r="B42" s="91" t="s">
        <v>785</v>
      </c>
      <c r="C42" s="93" t="str">
        <f t="shared" ref="C42:C51" si="1">"2조" &amp; " - " &amp; B$40 &amp; " - " &amp; $A42</f>
        <v>2조 - MVC - Availability</v>
      </c>
      <c r="D42" s="91" t="s">
        <v>785</v>
      </c>
      <c r="E42" s="93" t="str">
        <f t="shared" ref="E42:E51" si="2">"2조" &amp; " - " &amp; D$40 &amp; " - " &amp; $A42</f>
        <v>2조 - PAC - Availability</v>
      </c>
      <c r="F42" s="49"/>
      <c r="G42" s="49"/>
      <c r="H42" s="49"/>
    </row>
    <row r="43" ht="16.5" customHeight="1">
      <c r="A43" s="42" t="s">
        <v>47</v>
      </c>
      <c r="B43" s="91" t="s">
        <v>785</v>
      </c>
      <c r="C43" s="93" t="str">
        <f t="shared" si="1"/>
        <v>2조 - MVC - Deployability</v>
      </c>
      <c r="D43" s="91" t="s">
        <v>785</v>
      </c>
      <c r="E43" s="93" t="str">
        <f t="shared" si="2"/>
        <v>2조 - PAC - Deployability</v>
      </c>
      <c r="F43" s="49"/>
      <c r="G43" s="49"/>
      <c r="H43" s="49"/>
    </row>
    <row r="44" ht="16.5" customHeight="1">
      <c r="A44" s="42" t="s">
        <v>80</v>
      </c>
      <c r="B44" s="91" t="s">
        <v>785</v>
      </c>
      <c r="C44" s="93" t="str">
        <f t="shared" si="1"/>
        <v>2조 - MVC - Integrability</v>
      </c>
      <c r="D44" s="91" t="s">
        <v>785</v>
      </c>
      <c r="E44" s="93" t="str">
        <f t="shared" si="2"/>
        <v>2조 - PAC - Integrability</v>
      </c>
      <c r="F44" s="49"/>
      <c r="G44" s="49"/>
      <c r="H44" s="49"/>
    </row>
    <row r="45" ht="16.5" customHeight="1">
      <c r="A45" s="42" t="s">
        <v>117</v>
      </c>
      <c r="B45" s="91" t="s">
        <v>785</v>
      </c>
      <c r="C45" s="93" t="str">
        <f t="shared" si="1"/>
        <v>2조 - MVC - Energy Efficiency</v>
      </c>
      <c r="D45" s="91" t="s">
        <v>785</v>
      </c>
      <c r="E45" s="93" t="str">
        <f t="shared" si="2"/>
        <v>2조 - PAC - Energy Efficiency</v>
      </c>
      <c r="F45" s="49"/>
      <c r="G45" s="49"/>
      <c r="H45" s="49"/>
    </row>
    <row r="46" ht="16.5" customHeight="1">
      <c r="A46" s="42" t="s">
        <v>151</v>
      </c>
      <c r="B46" s="91" t="s">
        <v>785</v>
      </c>
      <c r="C46" s="93" t="str">
        <f t="shared" si="1"/>
        <v>2조 - MVC - Modifiability</v>
      </c>
      <c r="D46" s="91" t="s">
        <v>785</v>
      </c>
      <c r="E46" s="93" t="str">
        <f t="shared" si="2"/>
        <v>2조 - PAC - Modifiability</v>
      </c>
      <c r="F46" s="49"/>
      <c r="G46" s="49"/>
      <c r="H46" s="49"/>
    </row>
    <row r="47" ht="16.5" customHeight="1">
      <c r="A47" s="42" t="s">
        <v>186</v>
      </c>
      <c r="B47" s="91" t="s">
        <v>785</v>
      </c>
      <c r="C47" s="93" t="str">
        <f t="shared" si="1"/>
        <v>2조 - MVC - Performance</v>
      </c>
      <c r="D47" s="91" t="s">
        <v>785</v>
      </c>
      <c r="E47" s="93" t="str">
        <f t="shared" si="2"/>
        <v>2조 - PAC - Performance</v>
      </c>
      <c r="F47" s="49"/>
      <c r="G47" s="49"/>
      <c r="H47" s="49"/>
    </row>
    <row r="48" ht="16.5" customHeight="1">
      <c r="A48" s="42" t="s">
        <v>221</v>
      </c>
      <c r="B48" s="91" t="s">
        <v>785</v>
      </c>
      <c r="C48" s="93" t="str">
        <f t="shared" si="1"/>
        <v>2조 - MVC - Safety</v>
      </c>
      <c r="D48" s="91" t="s">
        <v>785</v>
      </c>
      <c r="E48" s="93" t="str">
        <f t="shared" si="2"/>
        <v>2조 - PAC - Safety</v>
      </c>
      <c r="F48" s="49"/>
      <c r="G48" s="49"/>
      <c r="H48" s="49"/>
    </row>
    <row r="49" ht="16.5" customHeight="1">
      <c r="A49" s="42" t="s">
        <v>261</v>
      </c>
      <c r="B49" s="91" t="s">
        <v>785</v>
      </c>
      <c r="C49" s="93" t="str">
        <f t="shared" si="1"/>
        <v>2조 - MVC - Security</v>
      </c>
      <c r="D49" s="91" t="s">
        <v>785</v>
      </c>
      <c r="E49" s="93" t="str">
        <f t="shared" si="2"/>
        <v>2조 - PAC - Security</v>
      </c>
      <c r="F49" s="49"/>
      <c r="G49" s="49"/>
      <c r="H49" s="49"/>
    </row>
    <row r="50" ht="15.75" customHeight="1">
      <c r="A50" s="42" t="s">
        <v>310</v>
      </c>
      <c r="B50" s="91" t="s">
        <v>785</v>
      </c>
      <c r="C50" s="93" t="str">
        <f t="shared" si="1"/>
        <v>2조 - MVC - Testability</v>
      </c>
      <c r="D50" s="91" t="s">
        <v>785</v>
      </c>
      <c r="E50" s="93" t="str">
        <f t="shared" si="2"/>
        <v>2조 - PAC - Testability</v>
      </c>
      <c r="F50" s="49"/>
      <c r="G50" s="56" t="s">
        <v>785</v>
      </c>
      <c r="H50" s="49"/>
      <c r="I50" s="55"/>
    </row>
    <row r="51" ht="15.75" customHeight="1">
      <c r="A51" s="42" t="s">
        <v>346</v>
      </c>
      <c r="B51" s="91" t="s">
        <v>785</v>
      </c>
      <c r="C51" s="93" t="str">
        <f t="shared" si="1"/>
        <v>2조 - MVC - Usability</v>
      </c>
      <c r="D51" s="91" t="s">
        <v>785</v>
      </c>
      <c r="E51" s="93" t="str">
        <f t="shared" si="2"/>
        <v>2조 - PAC - Usability</v>
      </c>
      <c r="F51" s="49"/>
      <c r="G51" s="56" t="s">
        <v>785</v>
      </c>
      <c r="H51" s="49"/>
      <c r="I51" s="54"/>
    </row>
    <row r="52" ht="16.5" customHeight="1">
      <c r="A52" s="49"/>
      <c r="B52" s="56" t="s">
        <v>785</v>
      </c>
      <c r="C52" s="49"/>
      <c r="D52" s="56" t="s">
        <v>785</v>
      </c>
      <c r="E52" s="49"/>
      <c r="F52" s="49"/>
      <c r="G52" s="49"/>
    </row>
    <row r="53" ht="16.5" customHeight="1">
      <c r="A53" s="50" t="s">
        <v>413</v>
      </c>
      <c r="B53" s="85" t="s">
        <v>414</v>
      </c>
      <c r="C53" s="30"/>
      <c r="D53" s="85" t="s">
        <v>415</v>
      </c>
      <c r="E53" s="30"/>
      <c r="F53" s="49"/>
      <c r="G53" s="56" t="s">
        <v>785</v>
      </c>
      <c r="H53" s="49"/>
    </row>
    <row r="54" ht="16.5" customHeight="1">
      <c r="A54" s="53"/>
      <c r="B54" s="41" t="s">
        <v>11</v>
      </c>
      <c r="C54" s="58" t="s">
        <v>12</v>
      </c>
      <c r="D54" s="41" t="s">
        <v>11</v>
      </c>
      <c r="E54" s="58" t="s">
        <v>12</v>
      </c>
      <c r="F54" s="49"/>
      <c r="G54" s="56" t="s">
        <v>785</v>
      </c>
      <c r="H54" s="49"/>
    </row>
    <row r="55" ht="16.5" customHeight="1">
      <c r="A55" s="42" t="s">
        <v>14</v>
      </c>
      <c r="B55" s="97" t="s">
        <v>673</v>
      </c>
      <c r="C55" s="98" t="s">
        <v>844</v>
      </c>
      <c r="D55" s="97" t="s">
        <v>680</v>
      </c>
      <c r="E55" s="98" t="s">
        <v>846</v>
      </c>
      <c r="F55" s="49"/>
      <c r="G55" s="56" t="s">
        <v>785</v>
      </c>
      <c r="H55" s="49"/>
    </row>
    <row r="56" ht="16.5" customHeight="1">
      <c r="A56" s="42" t="s">
        <v>47</v>
      </c>
      <c r="B56" s="97" t="s">
        <v>673</v>
      </c>
      <c r="C56" s="99" t="s">
        <v>847</v>
      </c>
      <c r="D56" s="97" t="s">
        <v>680</v>
      </c>
      <c r="E56" s="98" t="s">
        <v>849</v>
      </c>
      <c r="F56" s="49"/>
      <c r="G56" s="56" t="s">
        <v>785</v>
      </c>
      <c r="H56" s="49"/>
    </row>
    <row r="57" ht="16.5" customHeight="1">
      <c r="A57" s="42" t="s">
        <v>80</v>
      </c>
      <c r="B57" s="97" t="s">
        <v>673</v>
      </c>
      <c r="C57" s="98" t="s">
        <v>851</v>
      </c>
      <c r="D57" s="97" t="s">
        <v>680</v>
      </c>
      <c r="E57" s="98" t="s">
        <v>852</v>
      </c>
      <c r="F57" s="49"/>
      <c r="G57" s="56" t="s">
        <v>785</v>
      </c>
      <c r="H57" s="49"/>
    </row>
    <row r="58" ht="16.5" customHeight="1">
      <c r="A58" s="42" t="s">
        <v>117</v>
      </c>
      <c r="B58" s="97" t="s">
        <v>736</v>
      </c>
      <c r="C58" s="98" t="s">
        <v>853</v>
      </c>
      <c r="D58" s="97" t="s">
        <v>673</v>
      </c>
      <c r="E58" s="98" t="s">
        <v>854</v>
      </c>
      <c r="F58" s="49"/>
      <c r="G58" s="56" t="s">
        <v>785</v>
      </c>
      <c r="H58" s="49"/>
    </row>
    <row r="59" ht="16.5" customHeight="1">
      <c r="A59" s="42" t="s">
        <v>151</v>
      </c>
      <c r="B59" s="97" t="s">
        <v>693</v>
      </c>
      <c r="C59" s="98" t="s">
        <v>855</v>
      </c>
      <c r="D59" s="97" t="s">
        <v>678</v>
      </c>
      <c r="E59" s="98" t="s">
        <v>856</v>
      </c>
      <c r="F59" s="49"/>
      <c r="G59" s="56" t="s">
        <v>785</v>
      </c>
      <c r="H59" s="49"/>
    </row>
    <row r="60" ht="15.75" customHeight="1">
      <c r="A60" s="42" t="s">
        <v>186</v>
      </c>
      <c r="B60" s="97" t="s">
        <v>736</v>
      </c>
      <c r="C60" s="98" t="s">
        <v>857</v>
      </c>
      <c r="D60" s="97" t="s">
        <v>680</v>
      </c>
      <c r="E60" s="98" t="s">
        <v>858</v>
      </c>
      <c r="F60" s="49"/>
      <c r="G60" s="56" t="s">
        <v>785</v>
      </c>
      <c r="H60" s="49"/>
      <c r="I60" s="55"/>
    </row>
    <row r="61" ht="15.75" customHeight="1">
      <c r="A61" s="42" t="s">
        <v>221</v>
      </c>
      <c r="B61" s="100" t="s">
        <v>678</v>
      </c>
      <c r="C61" s="101" t="s">
        <v>859</v>
      </c>
      <c r="D61" s="97" t="s">
        <v>736</v>
      </c>
      <c r="E61" s="98" t="s">
        <v>860</v>
      </c>
      <c r="F61" s="49"/>
      <c r="G61" s="56" t="s">
        <v>785</v>
      </c>
      <c r="H61" s="49"/>
      <c r="I61" s="54"/>
    </row>
    <row r="62" ht="16.5" customHeight="1">
      <c r="A62" s="42" t="s">
        <v>261</v>
      </c>
      <c r="B62" s="97" t="s">
        <v>673</v>
      </c>
      <c r="C62" s="98" t="s">
        <v>861</v>
      </c>
      <c r="D62" s="97" t="s">
        <v>673</v>
      </c>
      <c r="E62" s="98" t="s">
        <v>862</v>
      </c>
      <c r="F62" s="49"/>
      <c r="G62" s="56" t="s">
        <v>785</v>
      </c>
      <c r="H62" s="49"/>
    </row>
    <row r="63" ht="16.5" customHeight="1">
      <c r="A63" s="42" t="s">
        <v>310</v>
      </c>
      <c r="B63" s="97" t="s">
        <v>736</v>
      </c>
      <c r="C63" s="98" t="s">
        <v>864</v>
      </c>
      <c r="D63" s="97" t="s">
        <v>680</v>
      </c>
      <c r="E63" s="98" t="s">
        <v>865</v>
      </c>
      <c r="F63" s="49"/>
      <c r="G63" s="56" t="s">
        <v>785</v>
      </c>
      <c r="H63" s="49"/>
    </row>
    <row r="64" ht="16.5" customHeight="1">
      <c r="A64" s="42" t="s">
        <v>346</v>
      </c>
      <c r="B64" s="97" t="s">
        <v>678</v>
      </c>
      <c r="C64" s="98" t="s">
        <v>866</v>
      </c>
      <c r="D64" s="97" t="s">
        <v>678</v>
      </c>
      <c r="E64" s="98" t="s">
        <v>866</v>
      </c>
      <c r="F64" s="49"/>
      <c r="G64" s="56" t="s">
        <v>785</v>
      </c>
      <c r="H64" s="49"/>
    </row>
    <row r="65" ht="16.5" customHeight="1">
      <c r="A65" s="49"/>
      <c r="B65" s="56" t="s">
        <v>785</v>
      </c>
      <c r="C65" s="56" t="s">
        <v>785</v>
      </c>
      <c r="D65" s="56" t="s">
        <v>785</v>
      </c>
      <c r="E65" s="56" t="s">
        <v>785</v>
      </c>
      <c r="F65" s="49"/>
      <c r="G65" s="56" t="s">
        <v>785</v>
      </c>
      <c r="H65" s="49"/>
    </row>
    <row r="66" ht="16.5" customHeight="1">
      <c r="A66" s="50" t="s">
        <v>413</v>
      </c>
      <c r="B66" s="85" t="s">
        <v>420</v>
      </c>
      <c r="C66" s="30"/>
      <c r="D66" s="85" t="s">
        <v>421</v>
      </c>
      <c r="E66" s="30"/>
      <c r="F66" s="85" t="s">
        <v>422</v>
      </c>
      <c r="G66" s="30"/>
      <c r="H66" s="49"/>
    </row>
    <row r="67" ht="16.5" customHeight="1">
      <c r="A67" s="53"/>
      <c r="B67" s="41" t="s">
        <v>11</v>
      </c>
      <c r="C67" s="58" t="s">
        <v>12</v>
      </c>
      <c r="D67" s="41" t="s">
        <v>11</v>
      </c>
      <c r="E67" s="58" t="s">
        <v>12</v>
      </c>
      <c r="F67" s="41" t="s">
        <v>11</v>
      </c>
      <c r="G67" s="58" t="s">
        <v>12</v>
      </c>
      <c r="H67" s="49"/>
    </row>
    <row r="68" ht="16.5" customHeight="1">
      <c r="A68" s="42" t="s">
        <v>14</v>
      </c>
      <c r="B68" s="97" t="s">
        <v>678</v>
      </c>
      <c r="C68" s="98" t="s">
        <v>869</v>
      </c>
      <c r="D68" s="91" t="s">
        <v>785</v>
      </c>
      <c r="E68" s="93" t="str">
        <f t="shared" ref="E68:E77" si="3">"2조" &amp; " - " &amp; D$66 &amp; " - " &amp; $A68</f>
        <v>2조 - Virtual Machine - Availability</v>
      </c>
      <c r="F68" s="91" t="s">
        <v>785</v>
      </c>
      <c r="G68" s="93" t="str">
        <f t="shared" ref="G68:G77" si="4">"2조" &amp; " - " &amp; F$66 &amp; " - " &amp; $A68</f>
        <v>2조 - Microkernel - Availability</v>
      </c>
      <c r="H68" s="49"/>
    </row>
    <row r="69" ht="16.5" customHeight="1">
      <c r="A69" s="42" t="s">
        <v>47</v>
      </c>
      <c r="B69" s="97" t="s">
        <v>680</v>
      </c>
      <c r="C69" s="98" t="s">
        <v>870</v>
      </c>
      <c r="D69" s="91" t="s">
        <v>785</v>
      </c>
      <c r="E69" s="104" t="str">
        <f t="shared" si="3"/>
        <v>2조 - Virtual Machine - Deployability</v>
      </c>
      <c r="F69" s="91" t="s">
        <v>785</v>
      </c>
      <c r="G69" s="93" t="str">
        <f t="shared" si="4"/>
        <v>2조 - Microkernel - Deployability</v>
      </c>
      <c r="H69" s="49"/>
    </row>
    <row r="70" ht="16.5" customHeight="1">
      <c r="A70" s="42" t="s">
        <v>80</v>
      </c>
      <c r="B70" s="97" t="s">
        <v>680</v>
      </c>
      <c r="C70" s="98" t="s">
        <v>874</v>
      </c>
      <c r="D70" s="91" t="s">
        <v>785</v>
      </c>
      <c r="E70" s="93" t="str">
        <f t="shared" si="3"/>
        <v>2조 - Virtual Machine - Integrability</v>
      </c>
      <c r="F70" s="91" t="s">
        <v>785</v>
      </c>
      <c r="G70" s="93" t="str">
        <f t="shared" si="4"/>
        <v>2조 - Microkernel - Integrability</v>
      </c>
      <c r="H70" s="49"/>
    </row>
    <row r="71" ht="16.5" customHeight="1">
      <c r="A71" s="42" t="s">
        <v>117</v>
      </c>
      <c r="B71" s="97" t="s">
        <v>673</v>
      </c>
      <c r="C71" s="98" t="s">
        <v>876</v>
      </c>
      <c r="D71" s="91" t="s">
        <v>785</v>
      </c>
      <c r="E71" s="93" t="str">
        <f t="shared" si="3"/>
        <v>2조 - Virtual Machine - Energy Efficiency</v>
      </c>
      <c r="F71" s="91" t="s">
        <v>785</v>
      </c>
      <c r="G71" s="93" t="str">
        <f t="shared" si="4"/>
        <v>2조 - Microkernel - Energy Efficiency</v>
      </c>
      <c r="H71" s="49"/>
    </row>
    <row r="72" ht="16.5" customHeight="1">
      <c r="A72" s="42" t="s">
        <v>151</v>
      </c>
      <c r="B72" s="97" t="s">
        <v>736</v>
      </c>
      <c r="C72" s="98" t="s">
        <v>877</v>
      </c>
      <c r="D72" s="91" t="s">
        <v>785</v>
      </c>
      <c r="E72" s="93" t="str">
        <f t="shared" si="3"/>
        <v>2조 - Virtual Machine - Modifiability</v>
      </c>
      <c r="F72" s="91" t="s">
        <v>785</v>
      </c>
      <c r="G72" s="93" t="str">
        <f t="shared" si="4"/>
        <v>2조 - Microkernel - Modifiability</v>
      </c>
      <c r="H72" s="49"/>
    </row>
    <row r="73" ht="16.5" customHeight="1">
      <c r="A73" s="42" t="s">
        <v>186</v>
      </c>
      <c r="B73" s="105" t="s">
        <v>673</v>
      </c>
      <c r="C73" s="98" t="s">
        <v>879</v>
      </c>
      <c r="D73" s="91" t="s">
        <v>785</v>
      </c>
      <c r="E73" s="93" t="str">
        <f t="shared" si="3"/>
        <v>2조 - Virtual Machine - Performance</v>
      </c>
      <c r="F73" s="91" t="s">
        <v>785</v>
      </c>
      <c r="G73" s="93" t="str">
        <f t="shared" si="4"/>
        <v>2조 - Microkernel - Performance</v>
      </c>
      <c r="H73" s="49"/>
    </row>
    <row r="74" ht="16.5" customHeight="1">
      <c r="A74" s="42" t="s">
        <v>221</v>
      </c>
      <c r="B74" s="97" t="s">
        <v>680</v>
      </c>
      <c r="C74" s="98" t="s">
        <v>880</v>
      </c>
      <c r="D74" s="91" t="s">
        <v>785</v>
      </c>
      <c r="E74" s="93" t="str">
        <f t="shared" si="3"/>
        <v>2조 - Virtual Machine - Safety</v>
      </c>
      <c r="F74" s="91" t="s">
        <v>785</v>
      </c>
      <c r="G74" s="93" t="str">
        <f t="shared" si="4"/>
        <v>2조 - Microkernel - Safety</v>
      </c>
    </row>
    <row r="75" ht="16.5" customHeight="1">
      <c r="A75" s="42" t="s">
        <v>261</v>
      </c>
      <c r="B75" s="97" t="s">
        <v>736</v>
      </c>
      <c r="C75" s="98" t="s">
        <v>882</v>
      </c>
      <c r="D75" s="91" t="s">
        <v>785</v>
      </c>
      <c r="E75" s="93" t="str">
        <f t="shared" si="3"/>
        <v>2조 - Virtual Machine - Security</v>
      </c>
      <c r="F75" s="91" t="s">
        <v>785</v>
      </c>
      <c r="G75" s="93" t="str">
        <f t="shared" si="4"/>
        <v>2조 - Microkernel - Security</v>
      </c>
    </row>
    <row r="76" ht="16.5" customHeight="1">
      <c r="A76" s="42" t="s">
        <v>310</v>
      </c>
      <c r="B76" s="97" t="s">
        <v>680</v>
      </c>
      <c r="C76" s="98" t="s">
        <v>883</v>
      </c>
      <c r="D76" s="91" t="s">
        <v>785</v>
      </c>
      <c r="E76" s="93" t="str">
        <f t="shared" si="3"/>
        <v>2조 - Virtual Machine - Testability</v>
      </c>
      <c r="F76" s="91" t="s">
        <v>785</v>
      </c>
      <c r="G76" s="93" t="str">
        <f t="shared" si="4"/>
        <v>2조 - Microkernel - Testability</v>
      </c>
    </row>
    <row r="77" ht="16.5" customHeight="1">
      <c r="A77" s="42" t="s">
        <v>346</v>
      </c>
      <c r="B77" s="105" t="s">
        <v>678</v>
      </c>
      <c r="C77" s="98" t="s">
        <v>885</v>
      </c>
      <c r="D77" s="91" t="s">
        <v>785</v>
      </c>
      <c r="E77" s="93" t="str">
        <f t="shared" si="3"/>
        <v>2조 - Virtual Machine - Usability</v>
      </c>
      <c r="F77" s="91" t="s">
        <v>785</v>
      </c>
      <c r="G77" s="93" t="str">
        <f t="shared" si="4"/>
        <v>2조 - Microkernel - Usability</v>
      </c>
    </row>
    <row r="78" ht="16.5" customHeight="1">
      <c r="A78" s="49"/>
      <c r="B78" s="56" t="s">
        <v>785</v>
      </c>
      <c r="C78" s="56" t="s">
        <v>785</v>
      </c>
      <c r="D78" s="56" t="s">
        <v>785</v>
      </c>
      <c r="E78" s="56" t="s">
        <v>785</v>
      </c>
      <c r="F78" s="56" t="s">
        <v>785</v>
      </c>
      <c r="G78" s="56" t="s">
        <v>785</v>
      </c>
    </row>
    <row r="79" ht="16.5" customHeight="1">
      <c r="A79" s="39" t="s">
        <v>493</v>
      </c>
      <c r="B79" s="85" t="s">
        <v>672</v>
      </c>
      <c r="C79" s="30"/>
      <c r="D79" s="85" t="s">
        <v>495</v>
      </c>
      <c r="E79" s="30"/>
    </row>
    <row r="80" ht="16.5" customHeight="1">
      <c r="A80" s="31"/>
      <c r="B80" s="41" t="s">
        <v>11</v>
      </c>
      <c r="C80" s="41" t="s">
        <v>12</v>
      </c>
      <c r="D80" s="41" t="s">
        <v>11</v>
      </c>
      <c r="E80" s="41" t="s">
        <v>12</v>
      </c>
    </row>
    <row r="81" ht="16.5" customHeight="1">
      <c r="A81" s="42" t="s">
        <v>14</v>
      </c>
      <c r="B81" s="105" t="s">
        <v>673</v>
      </c>
      <c r="C81" s="106" t="s">
        <v>886</v>
      </c>
      <c r="D81" s="97" t="s">
        <v>673</v>
      </c>
      <c r="E81" s="98" t="s">
        <v>887</v>
      </c>
    </row>
    <row r="82" ht="16.5" customHeight="1">
      <c r="A82" s="42" t="s">
        <v>47</v>
      </c>
      <c r="B82" s="97" t="s">
        <v>680</v>
      </c>
      <c r="C82" s="106" t="s">
        <v>888</v>
      </c>
      <c r="D82" s="97" t="s">
        <v>680</v>
      </c>
      <c r="E82" s="98" t="s">
        <v>889</v>
      </c>
    </row>
    <row r="83" ht="16.5" customHeight="1">
      <c r="A83" s="42" t="s">
        <v>80</v>
      </c>
      <c r="B83" s="97" t="s">
        <v>680</v>
      </c>
      <c r="C83" s="106" t="s">
        <v>891</v>
      </c>
      <c r="D83" s="97" t="s">
        <v>680</v>
      </c>
      <c r="E83" s="98" t="s">
        <v>893</v>
      </c>
    </row>
    <row r="84" ht="16.5" customHeight="1">
      <c r="A84" s="42" t="s">
        <v>117</v>
      </c>
      <c r="B84" s="105" t="s">
        <v>673</v>
      </c>
      <c r="C84" s="106" t="s">
        <v>894</v>
      </c>
      <c r="D84" s="97" t="s">
        <v>680</v>
      </c>
      <c r="E84" s="98" t="s">
        <v>895</v>
      </c>
    </row>
    <row r="85" ht="16.5" customHeight="1">
      <c r="A85" s="42" t="s">
        <v>151</v>
      </c>
      <c r="B85" s="97" t="s">
        <v>736</v>
      </c>
      <c r="C85" s="106" t="s">
        <v>898</v>
      </c>
      <c r="D85" s="97" t="s">
        <v>680</v>
      </c>
      <c r="E85" s="98" t="s">
        <v>899</v>
      </c>
    </row>
    <row r="86" ht="16.5" customHeight="1">
      <c r="A86" s="42" t="s">
        <v>186</v>
      </c>
      <c r="B86" s="97" t="s">
        <v>678</v>
      </c>
      <c r="C86" s="106" t="s">
        <v>900</v>
      </c>
      <c r="D86" s="105" t="s">
        <v>678</v>
      </c>
      <c r="E86" s="98" t="s">
        <v>902</v>
      </c>
    </row>
    <row r="87" ht="16.5" customHeight="1">
      <c r="A87" s="42" t="s">
        <v>221</v>
      </c>
      <c r="B87" s="105" t="s">
        <v>678</v>
      </c>
      <c r="C87" s="106" t="s">
        <v>904</v>
      </c>
      <c r="D87" s="105" t="s">
        <v>678</v>
      </c>
      <c r="E87" s="98" t="s">
        <v>905</v>
      </c>
    </row>
    <row r="88" ht="16.5" customHeight="1">
      <c r="A88" s="42" t="s">
        <v>261</v>
      </c>
      <c r="B88" s="97" t="s">
        <v>680</v>
      </c>
      <c r="C88" s="106" t="s">
        <v>906</v>
      </c>
      <c r="D88" s="97" t="s">
        <v>673</v>
      </c>
      <c r="E88" s="98" t="s">
        <v>907</v>
      </c>
    </row>
    <row r="89" ht="16.5" customHeight="1">
      <c r="A89" s="42" t="s">
        <v>310</v>
      </c>
      <c r="B89" s="105" t="s">
        <v>673</v>
      </c>
      <c r="C89" s="106" t="s">
        <v>908</v>
      </c>
      <c r="D89" s="105" t="s">
        <v>673</v>
      </c>
      <c r="E89" s="98" t="s">
        <v>909</v>
      </c>
    </row>
    <row r="90" ht="16.5" customHeight="1">
      <c r="A90" s="42" t="s">
        <v>346</v>
      </c>
      <c r="B90" s="105" t="s">
        <v>678</v>
      </c>
      <c r="C90" s="106" t="s">
        <v>911</v>
      </c>
      <c r="D90" s="105" t="s">
        <v>678</v>
      </c>
      <c r="E90" s="98" t="s">
        <v>913</v>
      </c>
    </row>
    <row r="91" ht="16.5" customHeight="1">
      <c r="A91" s="49"/>
      <c r="B91" s="56" t="s">
        <v>785</v>
      </c>
      <c r="C91" s="49"/>
      <c r="D91" s="56" t="s">
        <v>785</v>
      </c>
      <c r="E91" s="49"/>
      <c r="F91" s="56" t="s">
        <v>785</v>
      </c>
      <c r="G91" s="49"/>
    </row>
    <row r="92" ht="16.5" customHeight="1">
      <c r="A92" s="39" t="s">
        <v>493</v>
      </c>
      <c r="B92" s="85" t="s">
        <v>550</v>
      </c>
      <c r="C92" s="30"/>
      <c r="D92" s="80" t="s">
        <v>551</v>
      </c>
      <c r="E92" s="30"/>
    </row>
    <row r="93" ht="16.5" customHeight="1">
      <c r="A93" s="31"/>
      <c r="B93" s="41" t="s">
        <v>11</v>
      </c>
      <c r="C93" s="41" t="s">
        <v>12</v>
      </c>
      <c r="D93" s="41" t="s">
        <v>11</v>
      </c>
      <c r="E93" s="41" t="s">
        <v>12</v>
      </c>
    </row>
    <row r="94" ht="16.5" customHeight="1">
      <c r="A94" s="42" t="s">
        <v>14</v>
      </c>
      <c r="B94" s="105" t="s">
        <v>693</v>
      </c>
      <c r="C94" s="106" t="s">
        <v>915</v>
      </c>
      <c r="D94" s="97" t="s">
        <v>736</v>
      </c>
      <c r="E94" s="98" t="s">
        <v>917</v>
      </c>
    </row>
    <row r="95" ht="16.5" customHeight="1">
      <c r="A95" s="42" t="s">
        <v>47</v>
      </c>
      <c r="B95" s="97" t="s">
        <v>736</v>
      </c>
      <c r="C95" s="106" t="s">
        <v>918</v>
      </c>
      <c r="D95" s="97" t="s">
        <v>736</v>
      </c>
      <c r="E95" s="98" t="s">
        <v>919</v>
      </c>
    </row>
    <row r="96" ht="16.5" customHeight="1">
      <c r="A96" s="42" t="s">
        <v>80</v>
      </c>
      <c r="B96" s="97" t="s">
        <v>736</v>
      </c>
      <c r="C96" s="106" t="s">
        <v>922</v>
      </c>
      <c r="D96" s="97" t="s">
        <v>680</v>
      </c>
      <c r="E96" s="98" t="s">
        <v>923</v>
      </c>
    </row>
    <row r="97" ht="16.5" customHeight="1">
      <c r="A97" s="42" t="s">
        <v>117</v>
      </c>
      <c r="B97" s="105" t="s">
        <v>693</v>
      </c>
      <c r="C97" s="106" t="s">
        <v>924</v>
      </c>
      <c r="D97" s="97" t="s">
        <v>680</v>
      </c>
      <c r="E97" s="98" t="s">
        <v>925</v>
      </c>
    </row>
    <row r="98" ht="16.5" customHeight="1">
      <c r="A98" s="42" t="s">
        <v>151</v>
      </c>
      <c r="B98" s="97" t="s">
        <v>736</v>
      </c>
      <c r="C98" s="106" t="s">
        <v>927</v>
      </c>
      <c r="D98" s="97" t="s">
        <v>680</v>
      </c>
      <c r="E98" s="98" t="s">
        <v>929</v>
      </c>
    </row>
    <row r="99" ht="16.5" customHeight="1">
      <c r="A99" s="42" t="s">
        <v>186</v>
      </c>
      <c r="B99" s="105" t="s">
        <v>693</v>
      </c>
      <c r="C99" s="106" t="s">
        <v>931</v>
      </c>
      <c r="D99" s="97" t="s">
        <v>680</v>
      </c>
      <c r="E99" s="98" t="s">
        <v>932</v>
      </c>
    </row>
    <row r="100" ht="16.5" customHeight="1">
      <c r="A100" s="42" t="s">
        <v>221</v>
      </c>
      <c r="B100" s="105" t="s">
        <v>673</v>
      </c>
      <c r="C100" s="106" t="s">
        <v>933</v>
      </c>
      <c r="D100" s="97" t="s">
        <v>680</v>
      </c>
      <c r="E100" s="98" t="s">
        <v>935</v>
      </c>
    </row>
    <row r="101" ht="16.5" customHeight="1">
      <c r="A101" s="42" t="s">
        <v>261</v>
      </c>
      <c r="B101" s="105" t="s">
        <v>678</v>
      </c>
      <c r="C101" s="106" t="s">
        <v>937</v>
      </c>
      <c r="D101" s="97" t="s">
        <v>678</v>
      </c>
      <c r="E101" s="98" t="s">
        <v>938</v>
      </c>
    </row>
    <row r="102" ht="16.5" customHeight="1">
      <c r="A102" s="42" t="s">
        <v>310</v>
      </c>
      <c r="B102" s="105" t="s">
        <v>693</v>
      </c>
      <c r="C102" s="106" t="s">
        <v>940</v>
      </c>
      <c r="D102" s="105" t="s">
        <v>673</v>
      </c>
      <c r="E102" s="98" t="s">
        <v>942</v>
      </c>
    </row>
    <row r="103" ht="16.5" customHeight="1">
      <c r="A103" s="42" t="s">
        <v>346</v>
      </c>
      <c r="B103" s="105" t="s">
        <v>678</v>
      </c>
      <c r="C103" s="106" t="s">
        <v>943</v>
      </c>
      <c r="D103" s="105" t="s">
        <v>678</v>
      </c>
      <c r="E103" s="98" t="s">
        <v>944</v>
      </c>
    </row>
    <row r="104" ht="16.5" customHeight="1">
      <c r="A104" s="49"/>
      <c r="B104" s="56" t="s">
        <v>785</v>
      </c>
      <c r="C104" s="49"/>
      <c r="D104" s="56" t="s">
        <v>785</v>
      </c>
      <c r="E104" s="49"/>
      <c r="F104" s="49"/>
      <c r="G104" s="49"/>
    </row>
    <row r="105" ht="16.5" customHeight="1">
      <c r="A105" s="39" t="s">
        <v>493</v>
      </c>
      <c r="B105" s="85" t="s">
        <v>653</v>
      </c>
      <c r="C105" s="30"/>
      <c r="D105" s="80" t="s">
        <v>947</v>
      </c>
      <c r="E105" s="30"/>
    </row>
    <row r="106" ht="16.5" customHeight="1">
      <c r="A106" s="31"/>
      <c r="B106" s="41" t="s">
        <v>11</v>
      </c>
      <c r="C106" s="41" t="s">
        <v>12</v>
      </c>
      <c r="D106" s="41" t="s">
        <v>11</v>
      </c>
      <c r="E106" s="41" t="s">
        <v>12</v>
      </c>
    </row>
    <row r="107" ht="16.5" customHeight="1">
      <c r="A107" s="42" t="s">
        <v>14</v>
      </c>
      <c r="B107" s="105" t="s">
        <v>678</v>
      </c>
      <c r="C107" s="106" t="s">
        <v>948</v>
      </c>
      <c r="D107" s="97" t="s">
        <v>736</v>
      </c>
      <c r="E107" s="98" t="s">
        <v>949</v>
      </c>
    </row>
    <row r="108" ht="16.5" customHeight="1">
      <c r="A108" s="42" t="s">
        <v>47</v>
      </c>
      <c r="B108" s="97" t="s">
        <v>680</v>
      </c>
      <c r="C108" s="106" t="s">
        <v>950</v>
      </c>
      <c r="D108" s="97" t="s">
        <v>736</v>
      </c>
      <c r="E108" s="98" t="s">
        <v>951</v>
      </c>
    </row>
    <row r="109" ht="16.5" customHeight="1">
      <c r="A109" s="42" t="s">
        <v>80</v>
      </c>
      <c r="B109" s="97" t="s">
        <v>736</v>
      </c>
      <c r="C109" s="106" t="s">
        <v>952</v>
      </c>
      <c r="D109" s="97" t="s">
        <v>680</v>
      </c>
      <c r="E109" s="98" t="s">
        <v>953</v>
      </c>
    </row>
    <row r="110" ht="16.5" customHeight="1">
      <c r="A110" s="42" t="s">
        <v>117</v>
      </c>
      <c r="B110" s="105" t="s">
        <v>673</v>
      </c>
      <c r="C110" s="106" t="s">
        <v>954</v>
      </c>
      <c r="D110" s="105" t="s">
        <v>693</v>
      </c>
      <c r="E110" s="98" t="s">
        <v>955</v>
      </c>
    </row>
    <row r="111" ht="16.5" customHeight="1">
      <c r="A111" s="42" t="s">
        <v>151</v>
      </c>
      <c r="B111" s="97" t="s">
        <v>736</v>
      </c>
      <c r="C111" s="106" t="s">
        <v>956</v>
      </c>
      <c r="D111" s="97" t="s">
        <v>736</v>
      </c>
      <c r="E111" s="98" t="s">
        <v>958</v>
      </c>
    </row>
    <row r="112" ht="16.5" customHeight="1">
      <c r="A112" s="42" t="s">
        <v>186</v>
      </c>
      <c r="B112" s="105" t="s">
        <v>673</v>
      </c>
      <c r="C112" s="106" t="s">
        <v>960</v>
      </c>
      <c r="D112" s="105" t="s">
        <v>678</v>
      </c>
      <c r="E112" s="98" t="s">
        <v>961</v>
      </c>
    </row>
    <row r="113" ht="16.5" customHeight="1">
      <c r="A113" s="42" t="s">
        <v>221</v>
      </c>
      <c r="B113" s="105" t="s">
        <v>673</v>
      </c>
      <c r="C113" s="106" t="s">
        <v>962</v>
      </c>
      <c r="D113" s="105" t="s">
        <v>673</v>
      </c>
      <c r="E113" s="98" t="s">
        <v>964</v>
      </c>
    </row>
    <row r="114" ht="16.5" customHeight="1">
      <c r="A114" s="42" t="s">
        <v>261</v>
      </c>
      <c r="B114" s="105" t="s">
        <v>678</v>
      </c>
      <c r="C114" s="106" t="s">
        <v>966</v>
      </c>
      <c r="D114" s="105" t="s">
        <v>678</v>
      </c>
      <c r="E114" s="98" t="s">
        <v>967</v>
      </c>
    </row>
    <row r="115" ht="16.5" customHeight="1">
      <c r="A115" s="42" t="s">
        <v>310</v>
      </c>
      <c r="B115" s="105" t="s">
        <v>673</v>
      </c>
      <c r="C115" s="106" t="s">
        <v>969</v>
      </c>
      <c r="D115" s="105" t="s">
        <v>693</v>
      </c>
      <c r="E115" s="98" t="s">
        <v>971</v>
      </c>
    </row>
    <row r="116" ht="16.5" customHeight="1">
      <c r="A116" s="42" t="s">
        <v>346</v>
      </c>
      <c r="B116" s="105" t="s">
        <v>678</v>
      </c>
      <c r="C116" s="106" t="s">
        <v>972</v>
      </c>
      <c r="D116" s="105" t="s">
        <v>678</v>
      </c>
      <c r="E116" s="98" t="s">
        <v>973</v>
      </c>
    </row>
    <row r="117" ht="16.5" customHeight="1">
      <c r="A117" s="49"/>
      <c r="B117" s="56" t="s">
        <v>785</v>
      </c>
      <c r="C117" s="49"/>
      <c r="D117" s="56" t="s">
        <v>785</v>
      </c>
      <c r="E117" s="49"/>
      <c r="F117" s="49"/>
      <c r="G117" s="49"/>
    </row>
    <row r="118" ht="16.5" customHeight="1">
      <c r="A118" s="39" t="s">
        <v>656</v>
      </c>
      <c r="B118" s="80" t="s">
        <v>657</v>
      </c>
      <c r="C118" s="30"/>
      <c r="D118" s="80" t="s">
        <v>658</v>
      </c>
      <c r="E118" s="30"/>
      <c r="F118" s="80" t="s">
        <v>659</v>
      </c>
      <c r="G118" s="30"/>
    </row>
    <row r="119" ht="16.5" customHeight="1">
      <c r="A119" s="31"/>
      <c r="B119" s="41" t="s">
        <v>11</v>
      </c>
      <c r="C119" s="41" t="s">
        <v>12</v>
      </c>
      <c r="D119" s="41" t="s">
        <v>11</v>
      </c>
      <c r="E119" s="41" t="s">
        <v>12</v>
      </c>
      <c r="F119" s="41" t="s">
        <v>11</v>
      </c>
      <c r="G119" s="41" t="s">
        <v>12</v>
      </c>
    </row>
    <row r="120" ht="16.5" customHeight="1">
      <c r="A120" s="42" t="s">
        <v>14</v>
      </c>
      <c r="B120" s="91" t="s">
        <v>785</v>
      </c>
      <c r="C120" s="93" t="str">
        <f t="shared" ref="C120:C129" si="5">"2조" &amp; " - " &amp; B$118 &amp; " - " &amp; $A120</f>
        <v>2조 - Container-based - Availability</v>
      </c>
      <c r="D120" s="91" t="s">
        <v>785</v>
      </c>
      <c r="E120" s="93" t="str">
        <f t="shared" ref="E120:E129" si="6">"2조" &amp; " - " &amp; D$118 &amp; " - " &amp; $A120</f>
        <v>2조 - Cloud-based - Availability</v>
      </c>
      <c r="F120" s="97" t="s">
        <v>736</v>
      </c>
      <c r="G120" s="98" t="s">
        <v>982</v>
      </c>
    </row>
    <row r="121" ht="16.5" customHeight="1">
      <c r="A121" s="42" t="s">
        <v>47</v>
      </c>
      <c r="B121" s="91" t="s">
        <v>785</v>
      </c>
      <c r="C121" s="93" t="str">
        <f t="shared" si="5"/>
        <v>2조 - Container-based - Deployability</v>
      </c>
      <c r="D121" s="91" t="s">
        <v>785</v>
      </c>
      <c r="E121" s="93" t="str">
        <f t="shared" si="6"/>
        <v>2조 - Cloud-based - Deployability</v>
      </c>
      <c r="F121" s="105" t="s">
        <v>693</v>
      </c>
      <c r="G121" s="98" t="s">
        <v>985</v>
      </c>
    </row>
    <row r="122" ht="16.5" customHeight="1">
      <c r="A122" s="42" t="s">
        <v>80</v>
      </c>
      <c r="B122" s="91" t="s">
        <v>785</v>
      </c>
      <c r="C122" s="93" t="str">
        <f t="shared" si="5"/>
        <v>2조 - Container-based - Integrability</v>
      </c>
      <c r="D122" s="91" t="s">
        <v>785</v>
      </c>
      <c r="E122" s="93" t="str">
        <f t="shared" si="6"/>
        <v>2조 - Cloud-based - Integrability</v>
      </c>
      <c r="F122" s="105" t="s">
        <v>678</v>
      </c>
      <c r="G122" s="98" t="s">
        <v>987</v>
      </c>
    </row>
    <row r="123" ht="16.5" customHeight="1">
      <c r="A123" s="42" t="s">
        <v>117</v>
      </c>
      <c r="B123" s="91" t="s">
        <v>785</v>
      </c>
      <c r="C123" s="93" t="str">
        <f t="shared" si="5"/>
        <v>2조 - Container-based - Energy Efficiency</v>
      </c>
      <c r="D123" s="91" t="s">
        <v>785</v>
      </c>
      <c r="E123" s="93" t="str">
        <f t="shared" si="6"/>
        <v>2조 - Cloud-based - Energy Efficiency</v>
      </c>
      <c r="F123" s="97" t="s">
        <v>680</v>
      </c>
      <c r="G123" s="98" t="s">
        <v>989</v>
      </c>
    </row>
    <row r="124" ht="16.5" customHeight="1">
      <c r="A124" s="42" t="s">
        <v>151</v>
      </c>
      <c r="B124" s="91" t="s">
        <v>785</v>
      </c>
      <c r="C124" s="93" t="str">
        <f t="shared" si="5"/>
        <v>2조 - Container-based - Modifiability</v>
      </c>
      <c r="D124" s="91" t="s">
        <v>785</v>
      </c>
      <c r="E124" s="93" t="str">
        <f t="shared" si="6"/>
        <v>2조 - Cloud-based - Modifiability</v>
      </c>
      <c r="F124" s="105" t="s">
        <v>673</v>
      </c>
      <c r="G124" s="98" t="s">
        <v>992</v>
      </c>
    </row>
    <row r="125" ht="16.5" customHeight="1">
      <c r="A125" s="42" t="s">
        <v>186</v>
      </c>
      <c r="B125" s="91" t="s">
        <v>785</v>
      </c>
      <c r="C125" s="93" t="str">
        <f t="shared" si="5"/>
        <v>2조 - Container-based - Performance</v>
      </c>
      <c r="D125" s="91" t="s">
        <v>785</v>
      </c>
      <c r="E125" s="93" t="str">
        <f t="shared" si="6"/>
        <v>2조 - Cloud-based - Performance</v>
      </c>
      <c r="F125" s="97" t="s">
        <v>736</v>
      </c>
      <c r="G125" s="98" t="s">
        <v>993</v>
      </c>
    </row>
    <row r="126" ht="16.5" customHeight="1">
      <c r="A126" s="42" t="s">
        <v>221</v>
      </c>
      <c r="B126" s="91" t="s">
        <v>785</v>
      </c>
      <c r="C126" s="93" t="str">
        <f t="shared" si="5"/>
        <v>2조 - Container-based - Safety</v>
      </c>
      <c r="D126" s="91" t="s">
        <v>785</v>
      </c>
      <c r="E126" s="93" t="str">
        <f t="shared" si="6"/>
        <v>2조 - Cloud-based - Safety</v>
      </c>
      <c r="F126" s="97" t="s">
        <v>680</v>
      </c>
      <c r="G126" s="98" t="s">
        <v>994</v>
      </c>
    </row>
    <row r="127" ht="16.5" customHeight="1">
      <c r="A127" s="42" t="s">
        <v>261</v>
      </c>
      <c r="B127" s="91" t="s">
        <v>785</v>
      </c>
      <c r="C127" s="93" t="str">
        <f t="shared" si="5"/>
        <v>2조 - Container-based - Security</v>
      </c>
      <c r="D127" s="91" t="s">
        <v>785</v>
      </c>
      <c r="E127" s="93" t="str">
        <f t="shared" si="6"/>
        <v>2조 - Cloud-based - Security</v>
      </c>
      <c r="F127" s="105" t="s">
        <v>693</v>
      </c>
      <c r="G127" s="98" t="s">
        <v>995</v>
      </c>
    </row>
    <row r="128" ht="16.5" customHeight="1">
      <c r="A128" s="42" t="s">
        <v>310</v>
      </c>
      <c r="B128" s="91" t="s">
        <v>785</v>
      </c>
      <c r="C128" s="93" t="str">
        <f t="shared" si="5"/>
        <v>2조 - Container-based - Testability</v>
      </c>
      <c r="D128" s="91" t="s">
        <v>785</v>
      </c>
      <c r="E128" s="93" t="str">
        <f t="shared" si="6"/>
        <v>2조 - Cloud-based - Testability</v>
      </c>
      <c r="F128" s="105" t="s">
        <v>673</v>
      </c>
      <c r="G128" s="98" t="s">
        <v>996</v>
      </c>
    </row>
    <row r="129" ht="16.5" customHeight="1">
      <c r="A129" s="42" t="s">
        <v>346</v>
      </c>
      <c r="B129" s="91" t="s">
        <v>785</v>
      </c>
      <c r="C129" s="93" t="str">
        <f t="shared" si="5"/>
        <v>2조 - Container-based - Usability</v>
      </c>
      <c r="D129" s="91" t="s">
        <v>785</v>
      </c>
      <c r="E129" s="93" t="str">
        <f t="shared" si="6"/>
        <v>2조 - Cloud-based - Usability</v>
      </c>
      <c r="F129" s="97" t="s">
        <v>680</v>
      </c>
      <c r="G129" s="98" t="s">
        <v>999</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111" t="s">
        <v>666</v>
      </c>
      <c r="B1" s="112" t="s">
        <v>0</v>
      </c>
      <c r="C1" s="30"/>
      <c r="D1" s="112" t="s">
        <v>1</v>
      </c>
      <c r="E1" s="30"/>
      <c r="F1" s="112" t="s">
        <v>2</v>
      </c>
      <c r="G1" s="30"/>
    </row>
    <row r="2" ht="16.5" customHeight="1">
      <c r="A2" s="113"/>
      <c r="B2" s="114" t="s">
        <v>11</v>
      </c>
      <c r="C2" s="114" t="s">
        <v>12</v>
      </c>
      <c r="D2" s="114" t="s">
        <v>11</v>
      </c>
      <c r="E2" s="114" t="s">
        <v>12</v>
      </c>
      <c r="F2" s="114" t="s">
        <v>11</v>
      </c>
      <c r="G2" s="114" t="s">
        <v>12</v>
      </c>
    </row>
    <row r="3" ht="16.5" customHeight="1">
      <c r="A3" s="42" t="s">
        <v>14</v>
      </c>
      <c r="B3" s="115" t="s">
        <v>693</v>
      </c>
      <c r="C3" s="116" t="s">
        <v>1021</v>
      </c>
      <c r="D3" s="117" t="s">
        <v>673</v>
      </c>
      <c r="E3" s="118" t="s">
        <v>1023</v>
      </c>
      <c r="F3" s="119" t="s">
        <v>680</v>
      </c>
      <c r="G3" s="118" t="s">
        <v>1024</v>
      </c>
    </row>
    <row r="4" ht="16.5" customHeight="1">
      <c r="A4" s="42" t="s">
        <v>47</v>
      </c>
      <c r="B4" s="115" t="s">
        <v>673</v>
      </c>
      <c r="C4" s="116" t="s">
        <v>1025</v>
      </c>
      <c r="D4" s="119" t="s">
        <v>680</v>
      </c>
      <c r="E4" s="118" t="s">
        <v>1027</v>
      </c>
      <c r="F4" s="117" t="s">
        <v>673</v>
      </c>
      <c r="G4" s="118" t="s">
        <v>1028</v>
      </c>
    </row>
    <row r="5" ht="16.5" customHeight="1">
      <c r="A5" s="42" t="s">
        <v>80</v>
      </c>
      <c r="B5" s="115" t="s">
        <v>680</v>
      </c>
      <c r="C5" s="116" t="s">
        <v>1029</v>
      </c>
      <c r="D5" s="115" t="s">
        <v>736</v>
      </c>
      <c r="E5" s="116" t="s">
        <v>1031</v>
      </c>
      <c r="F5" s="117" t="s">
        <v>673</v>
      </c>
      <c r="G5" s="118" t="s">
        <v>1032</v>
      </c>
    </row>
    <row r="6" ht="16.5" customHeight="1">
      <c r="A6" s="42" t="s">
        <v>117</v>
      </c>
      <c r="B6" s="115" t="s">
        <v>678</v>
      </c>
      <c r="C6" s="118" t="s">
        <v>1033</v>
      </c>
      <c r="D6" s="117" t="s">
        <v>673</v>
      </c>
      <c r="E6" s="118" t="s">
        <v>1034</v>
      </c>
      <c r="F6" s="117" t="s">
        <v>678</v>
      </c>
      <c r="G6" s="118" t="s">
        <v>1035</v>
      </c>
    </row>
    <row r="7" ht="16.5" customHeight="1">
      <c r="A7" s="42" t="s">
        <v>151</v>
      </c>
      <c r="B7" s="115" t="s">
        <v>680</v>
      </c>
      <c r="C7" s="118" t="s">
        <v>1037</v>
      </c>
      <c r="D7" s="115" t="s">
        <v>736</v>
      </c>
      <c r="E7" s="116" t="s">
        <v>1038</v>
      </c>
      <c r="F7" s="117" t="s">
        <v>673</v>
      </c>
      <c r="G7" s="118" t="s">
        <v>1039</v>
      </c>
    </row>
    <row r="8" ht="16.5" customHeight="1">
      <c r="A8" s="42" t="s">
        <v>186</v>
      </c>
      <c r="B8" s="115" t="s">
        <v>693</v>
      </c>
      <c r="C8" s="118" t="s">
        <v>1040</v>
      </c>
      <c r="D8" s="119" t="s">
        <v>680</v>
      </c>
      <c r="E8" s="118" t="s">
        <v>1042</v>
      </c>
      <c r="F8" s="119" t="s">
        <v>680</v>
      </c>
      <c r="G8" s="118" t="s">
        <v>1043</v>
      </c>
    </row>
    <row r="9" ht="16.5" customHeight="1">
      <c r="A9" s="42" t="s">
        <v>221</v>
      </c>
      <c r="B9" s="115" t="s">
        <v>678</v>
      </c>
      <c r="C9" s="118" t="s">
        <v>1044</v>
      </c>
      <c r="D9" s="97" t="s">
        <v>673</v>
      </c>
      <c r="E9" s="120" t="s">
        <v>1045</v>
      </c>
      <c r="F9" s="119" t="s">
        <v>736</v>
      </c>
      <c r="G9" s="118" t="s">
        <v>1046</v>
      </c>
    </row>
    <row r="10" ht="16.5" customHeight="1">
      <c r="A10" s="42" t="s">
        <v>261</v>
      </c>
      <c r="B10" s="115" t="s">
        <v>678</v>
      </c>
      <c r="C10" s="118" t="s">
        <v>1048</v>
      </c>
      <c r="D10" s="115" t="s">
        <v>673</v>
      </c>
      <c r="E10" s="116" t="s">
        <v>1049</v>
      </c>
      <c r="F10" s="117" t="s">
        <v>693</v>
      </c>
      <c r="G10" s="118" t="s">
        <v>1050</v>
      </c>
    </row>
    <row r="11" ht="16.5" customHeight="1">
      <c r="A11" s="42" t="s">
        <v>310</v>
      </c>
      <c r="B11" s="115" t="s">
        <v>680</v>
      </c>
      <c r="C11" s="118" t="s">
        <v>1051</v>
      </c>
      <c r="D11" s="119" t="s">
        <v>680</v>
      </c>
      <c r="E11" s="118" t="s">
        <v>1053</v>
      </c>
      <c r="F11" s="117" t="s">
        <v>673</v>
      </c>
      <c r="G11" s="118" t="s">
        <v>1054</v>
      </c>
    </row>
    <row r="12" ht="16.5" customHeight="1">
      <c r="A12" s="42" t="s">
        <v>346</v>
      </c>
      <c r="B12" s="115" t="s">
        <v>693</v>
      </c>
      <c r="C12" s="116" t="s">
        <v>1055</v>
      </c>
      <c r="D12" s="117" t="s">
        <v>673</v>
      </c>
      <c r="E12" s="118" t="s">
        <v>1056</v>
      </c>
      <c r="F12" s="117" t="s">
        <v>678</v>
      </c>
      <c r="G12" s="118" t="s">
        <v>1057</v>
      </c>
    </row>
    <row r="13" ht="16.5" customHeight="1">
      <c r="A13" s="49"/>
      <c r="B13" s="121" t="s">
        <v>785</v>
      </c>
      <c r="C13" s="121" t="s">
        <v>785</v>
      </c>
      <c r="D13" s="121" t="s">
        <v>785</v>
      </c>
      <c r="E13" s="121" t="s">
        <v>785</v>
      </c>
      <c r="F13" s="121" t="s">
        <v>785</v>
      </c>
      <c r="G13" s="96"/>
    </row>
    <row r="14" ht="16.5" customHeight="1">
      <c r="A14" s="122" t="s">
        <v>3</v>
      </c>
      <c r="B14" s="123" t="s">
        <v>668</v>
      </c>
      <c r="C14" s="30"/>
      <c r="D14" s="123" t="s">
        <v>8</v>
      </c>
      <c r="E14" s="30"/>
      <c r="F14" s="96"/>
      <c r="G14" s="96"/>
    </row>
    <row r="15" ht="16.5" customHeight="1">
      <c r="A15" s="51"/>
      <c r="B15" s="124" t="s">
        <v>11</v>
      </c>
      <c r="C15" s="125" t="s">
        <v>12</v>
      </c>
      <c r="D15" s="124" t="s">
        <v>11</v>
      </c>
      <c r="E15" s="125" t="s">
        <v>12</v>
      </c>
      <c r="F15" s="96"/>
      <c r="G15" s="96"/>
    </row>
    <row r="16" ht="16.5" customHeight="1">
      <c r="A16" s="42" t="s">
        <v>14</v>
      </c>
      <c r="B16" s="115" t="s">
        <v>693</v>
      </c>
      <c r="C16" s="126" t="s">
        <v>1058</v>
      </c>
      <c r="D16" s="127" t="s">
        <v>693</v>
      </c>
      <c r="E16" s="127" t="s">
        <v>1059</v>
      </c>
      <c r="F16" s="96"/>
      <c r="G16" s="96"/>
    </row>
    <row r="17" ht="16.5" customHeight="1">
      <c r="A17" s="42" t="s">
        <v>47</v>
      </c>
      <c r="B17" s="115" t="s">
        <v>673</v>
      </c>
      <c r="C17" s="126" t="s">
        <v>1060</v>
      </c>
      <c r="D17" s="128" t="s">
        <v>680</v>
      </c>
      <c r="E17" s="127" t="s">
        <v>1061</v>
      </c>
      <c r="F17" s="96"/>
      <c r="G17" s="96"/>
    </row>
    <row r="18" ht="16.5" customHeight="1">
      <c r="A18" s="42" t="s">
        <v>80</v>
      </c>
      <c r="B18" s="115" t="s">
        <v>680</v>
      </c>
      <c r="C18" s="126" t="s">
        <v>1062</v>
      </c>
      <c r="D18" s="128" t="s">
        <v>680</v>
      </c>
      <c r="E18" s="127" t="s">
        <v>1063</v>
      </c>
      <c r="F18" s="96"/>
      <c r="G18" s="96"/>
    </row>
    <row r="19" ht="16.5" customHeight="1">
      <c r="A19" s="42" t="s">
        <v>117</v>
      </c>
      <c r="B19" s="115" t="s">
        <v>680</v>
      </c>
      <c r="C19" s="126" t="s">
        <v>1064</v>
      </c>
      <c r="D19" s="127" t="s">
        <v>673</v>
      </c>
      <c r="E19" s="129" t="s">
        <v>1065</v>
      </c>
      <c r="F19" s="96"/>
      <c r="G19" s="96"/>
    </row>
    <row r="20" ht="16.5" customHeight="1">
      <c r="A20" s="42" t="s">
        <v>151</v>
      </c>
      <c r="B20" s="115" t="s">
        <v>678</v>
      </c>
      <c r="C20" s="126" t="s">
        <v>1066</v>
      </c>
      <c r="D20" s="128" t="s">
        <v>680</v>
      </c>
      <c r="E20" s="127" t="s">
        <v>1067</v>
      </c>
      <c r="F20" s="96"/>
      <c r="G20" s="96"/>
    </row>
    <row r="21" ht="16.5" customHeight="1">
      <c r="A21" s="42" t="s">
        <v>186</v>
      </c>
      <c r="B21" s="115" t="s">
        <v>680</v>
      </c>
      <c r="C21" s="126" t="s">
        <v>1068</v>
      </c>
      <c r="D21" s="128" t="s">
        <v>680</v>
      </c>
      <c r="E21" s="127" t="s">
        <v>1069</v>
      </c>
      <c r="F21" s="96"/>
      <c r="G21" s="96"/>
    </row>
    <row r="22" ht="16.5" customHeight="1">
      <c r="A22" s="42" t="s">
        <v>221</v>
      </c>
      <c r="B22" s="115" t="s">
        <v>678</v>
      </c>
      <c r="C22" s="126" t="s">
        <v>1070</v>
      </c>
      <c r="D22" s="127" t="s">
        <v>678</v>
      </c>
      <c r="E22" s="129" t="s">
        <v>1071</v>
      </c>
      <c r="F22" s="96"/>
      <c r="G22" s="96"/>
    </row>
    <row r="23" ht="16.5" customHeight="1">
      <c r="A23" s="42" t="s">
        <v>261</v>
      </c>
      <c r="B23" s="115" t="s">
        <v>673</v>
      </c>
      <c r="C23" s="126" t="s">
        <v>1072</v>
      </c>
      <c r="D23" s="127" t="s">
        <v>693</v>
      </c>
      <c r="E23" s="127" t="s">
        <v>1073</v>
      </c>
      <c r="F23" s="96"/>
      <c r="G23" s="96"/>
    </row>
    <row r="24" ht="16.5" customHeight="1">
      <c r="A24" s="42" t="s">
        <v>310</v>
      </c>
      <c r="B24" s="115" t="s">
        <v>680</v>
      </c>
      <c r="C24" s="126" t="s">
        <v>1074</v>
      </c>
      <c r="D24" s="127" t="s">
        <v>693</v>
      </c>
      <c r="E24" s="127" t="s">
        <v>1075</v>
      </c>
      <c r="F24" s="96"/>
      <c r="G24" s="96"/>
    </row>
    <row r="25" ht="16.5" customHeight="1">
      <c r="A25" s="42" t="s">
        <v>346</v>
      </c>
      <c r="B25" s="115" t="s">
        <v>680</v>
      </c>
      <c r="C25" s="126" t="s">
        <v>1076</v>
      </c>
      <c r="D25" s="127" t="s">
        <v>678</v>
      </c>
      <c r="E25" s="127" t="s">
        <v>1077</v>
      </c>
      <c r="F25" s="96"/>
      <c r="G25" s="96"/>
    </row>
    <row r="26" ht="16.5" customHeight="1">
      <c r="A26" s="49"/>
      <c r="B26" s="121" t="s">
        <v>785</v>
      </c>
      <c r="C26" s="121" t="s">
        <v>785</v>
      </c>
      <c r="D26" s="121" t="s">
        <v>785</v>
      </c>
      <c r="E26" s="121" t="s">
        <v>785</v>
      </c>
      <c r="F26" s="96"/>
      <c r="G26" s="96"/>
    </row>
    <row r="27" ht="16.5" customHeight="1">
      <c r="A27" s="122" t="s">
        <v>4</v>
      </c>
      <c r="B27" s="123" t="s">
        <v>6</v>
      </c>
      <c r="C27" s="30"/>
      <c r="D27" s="123" t="s">
        <v>9</v>
      </c>
      <c r="E27" s="30"/>
      <c r="F27" s="96"/>
      <c r="G27" s="96"/>
    </row>
    <row r="28" ht="16.5" customHeight="1">
      <c r="A28" s="53"/>
      <c r="B28" s="114" t="s">
        <v>11</v>
      </c>
      <c r="C28" s="130" t="s">
        <v>12</v>
      </c>
      <c r="D28" s="114" t="s">
        <v>11</v>
      </c>
      <c r="E28" s="130" t="s">
        <v>12</v>
      </c>
      <c r="F28" s="96"/>
      <c r="G28" s="96"/>
    </row>
    <row r="29" ht="16.5" customHeight="1">
      <c r="A29" s="42" t="s">
        <v>14</v>
      </c>
      <c r="B29" s="115" t="s">
        <v>673</v>
      </c>
      <c r="C29" s="131" t="s">
        <v>1078</v>
      </c>
      <c r="D29" s="132" t="s">
        <v>736</v>
      </c>
      <c r="E29" s="133" t="s">
        <v>1079</v>
      </c>
      <c r="F29" s="96"/>
      <c r="G29" s="96"/>
    </row>
    <row r="30" ht="16.5" customHeight="1">
      <c r="A30" s="42" t="s">
        <v>47</v>
      </c>
      <c r="B30" s="115" t="s">
        <v>678</v>
      </c>
      <c r="C30" s="101" t="s">
        <v>1080</v>
      </c>
      <c r="D30" s="132" t="s">
        <v>736</v>
      </c>
      <c r="E30" s="133" t="s">
        <v>1081</v>
      </c>
      <c r="F30" s="96"/>
      <c r="G30" s="96"/>
    </row>
    <row r="31" ht="16.5" customHeight="1">
      <c r="A31" s="42" t="s">
        <v>80</v>
      </c>
      <c r="B31" s="115" t="s">
        <v>680</v>
      </c>
      <c r="C31" s="116" t="s">
        <v>1082</v>
      </c>
      <c r="D31" s="132" t="s">
        <v>736</v>
      </c>
      <c r="E31" s="133" t="s">
        <v>1083</v>
      </c>
      <c r="F31" s="96"/>
      <c r="G31" s="96"/>
    </row>
    <row r="32" ht="16.5" customHeight="1">
      <c r="A32" s="42" t="s">
        <v>117</v>
      </c>
      <c r="B32" s="115" t="s">
        <v>678</v>
      </c>
      <c r="C32" s="126" t="s">
        <v>1084</v>
      </c>
      <c r="D32" s="134" t="s">
        <v>673</v>
      </c>
      <c r="E32" s="133" t="s">
        <v>1085</v>
      </c>
      <c r="F32" s="96"/>
      <c r="G32" s="96"/>
    </row>
    <row r="33" ht="16.5" customHeight="1">
      <c r="A33" s="42" t="s">
        <v>151</v>
      </c>
      <c r="B33" s="115" t="s">
        <v>736</v>
      </c>
      <c r="C33" s="126" t="s">
        <v>1086</v>
      </c>
      <c r="D33" s="132" t="s">
        <v>736</v>
      </c>
      <c r="E33" s="133" t="s">
        <v>1087</v>
      </c>
      <c r="F33" s="96"/>
      <c r="G33" s="96"/>
    </row>
    <row r="34" ht="16.5" customHeight="1">
      <c r="A34" s="42" t="s">
        <v>186</v>
      </c>
      <c r="B34" s="115" t="s">
        <v>678</v>
      </c>
      <c r="C34" s="126" t="s">
        <v>1088</v>
      </c>
      <c r="D34" s="132" t="s">
        <v>680</v>
      </c>
      <c r="E34" s="133" t="s">
        <v>1089</v>
      </c>
      <c r="F34" s="96"/>
      <c r="G34" s="96"/>
    </row>
    <row r="35" ht="16.5" customHeight="1">
      <c r="A35" s="42" t="s">
        <v>221</v>
      </c>
      <c r="B35" s="115" t="s">
        <v>673</v>
      </c>
      <c r="C35" s="126" t="s">
        <v>1090</v>
      </c>
      <c r="D35" s="132" t="s">
        <v>680</v>
      </c>
      <c r="E35" s="133" t="s">
        <v>1091</v>
      </c>
      <c r="F35" s="96"/>
      <c r="G35" s="96"/>
    </row>
    <row r="36" ht="16.5" customHeight="1">
      <c r="A36" s="42" t="s">
        <v>261</v>
      </c>
      <c r="B36" s="115" t="s">
        <v>678</v>
      </c>
      <c r="C36" s="126" t="s">
        <v>1092</v>
      </c>
      <c r="D36" s="134" t="s">
        <v>678</v>
      </c>
      <c r="E36" s="133" t="s">
        <v>1093</v>
      </c>
      <c r="F36" s="96"/>
      <c r="G36" s="96"/>
    </row>
    <row r="37" ht="16.5" customHeight="1">
      <c r="A37" s="42" t="s">
        <v>310</v>
      </c>
      <c r="B37" s="115" t="s">
        <v>693</v>
      </c>
      <c r="C37" s="126" t="s">
        <v>1094</v>
      </c>
      <c r="D37" s="134" t="s">
        <v>693</v>
      </c>
      <c r="E37" s="133" t="s">
        <v>1095</v>
      </c>
      <c r="F37" s="96"/>
      <c r="G37" s="96"/>
    </row>
    <row r="38" ht="16.5" customHeight="1">
      <c r="A38" s="42" t="s">
        <v>346</v>
      </c>
      <c r="B38" s="115" t="s">
        <v>680</v>
      </c>
      <c r="C38" s="126" t="s">
        <v>1096</v>
      </c>
      <c r="D38" s="132" t="s">
        <v>680</v>
      </c>
      <c r="E38" s="133" t="s">
        <v>1097</v>
      </c>
      <c r="F38" s="96"/>
      <c r="G38" s="96"/>
    </row>
    <row r="39" ht="16.5" customHeight="1">
      <c r="A39" s="49"/>
      <c r="B39" s="56" t="s">
        <v>785</v>
      </c>
      <c r="C39" s="56" t="s">
        <v>785</v>
      </c>
      <c r="D39" s="56" t="s">
        <v>785</v>
      </c>
      <c r="E39" s="56" t="s">
        <v>785</v>
      </c>
      <c r="F39" s="49"/>
      <c r="G39" s="49"/>
    </row>
    <row r="40" ht="16.5" customHeight="1">
      <c r="A40" s="50" t="s">
        <v>7</v>
      </c>
      <c r="B40" s="80" t="s">
        <v>10</v>
      </c>
      <c r="C40" s="30"/>
      <c r="D40" s="80" t="s">
        <v>13</v>
      </c>
      <c r="E40" s="30"/>
      <c r="F40" s="49"/>
      <c r="G40" s="49"/>
      <c r="H40" s="49"/>
    </row>
    <row r="41" ht="15.75" customHeight="1">
      <c r="A41" s="53"/>
      <c r="B41" s="41" t="s">
        <v>11</v>
      </c>
      <c r="C41" s="41" t="s">
        <v>12</v>
      </c>
      <c r="D41" s="41" t="s">
        <v>11</v>
      </c>
      <c r="E41" s="41" t="s">
        <v>12</v>
      </c>
      <c r="F41" s="49"/>
      <c r="G41" s="49"/>
      <c r="H41" s="49"/>
      <c r="I41" s="54"/>
    </row>
    <row r="42" ht="16.5" customHeight="1">
      <c r="A42" s="42" t="s">
        <v>14</v>
      </c>
      <c r="B42" s="91" t="s">
        <v>785</v>
      </c>
      <c r="C42" s="93" t="str">
        <f t="shared" ref="C42:C51" si="1">"3조" &amp; " - " &amp; B$40 &amp; " - " &amp; $A42</f>
        <v>3조 - MVC - Availability</v>
      </c>
      <c r="D42" s="91" t="s">
        <v>785</v>
      </c>
      <c r="E42" s="93" t="str">
        <f t="shared" ref="E42:E51" si="2">"3조" &amp; " - " &amp; D$40 &amp; " - " &amp; $A42</f>
        <v>3조 - PAC - Availability</v>
      </c>
      <c r="F42" s="49"/>
      <c r="G42" s="49"/>
      <c r="H42" s="49"/>
    </row>
    <row r="43" ht="16.5" customHeight="1">
      <c r="A43" s="42" t="s">
        <v>47</v>
      </c>
      <c r="B43" s="91" t="s">
        <v>785</v>
      </c>
      <c r="C43" s="93" t="str">
        <f t="shared" si="1"/>
        <v>3조 - MVC - Deployability</v>
      </c>
      <c r="D43" s="91" t="s">
        <v>785</v>
      </c>
      <c r="E43" s="93" t="str">
        <f t="shared" si="2"/>
        <v>3조 - PAC - Deployability</v>
      </c>
      <c r="F43" s="49"/>
      <c r="G43" s="49"/>
      <c r="H43" s="49"/>
    </row>
    <row r="44" ht="16.5" customHeight="1">
      <c r="A44" s="42" t="s">
        <v>80</v>
      </c>
      <c r="B44" s="91" t="s">
        <v>785</v>
      </c>
      <c r="C44" s="93" t="str">
        <f t="shared" si="1"/>
        <v>3조 - MVC - Integrability</v>
      </c>
      <c r="D44" s="91" t="s">
        <v>785</v>
      </c>
      <c r="E44" s="93" t="str">
        <f t="shared" si="2"/>
        <v>3조 - PAC - Integrability</v>
      </c>
      <c r="F44" s="49"/>
      <c r="G44" s="49"/>
      <c r="H44" s="49"/>
    </row>
    <row r="45" ht="16.5" customHeight="1">
      <c r="A45" s="42" t="s">
        <v>117</v>
      </c>
      <c r="B45" s="91" t="s">
        <v>785</v>
      </c>
      <c r="C45" s="93" t="str">
        <f t="shared" si="1"/>
        <v>3조 - MVC - Energy Efficiency</v>
      </c>
      <c r="D45" s="91" t="s">
        <v>785</v>
      </c>
      <c r="E45" s="93" t="str">
        <f t="shared" si="2"/>
        <v>3조 - PAC - Energy Efficiency</v>
      </c>
      <c r="F45" s="49"/>
      <c r="G45" s="49"/>
      <c r="H45" s="49"/>
    </row>
    <row r="46" ht="16.5" customHeight="1">
      <c r="A46" s="42" t="s">
        <v>151</v>
      </c>
      <c r="B46" s="91" t="s">
        <v>785</v>
      </c>
      <c r="C46" s="93" t="str">
        <f t="shared" si="1"/>
        <v>3조 - MVC - Modifiability</v>
      </c>
      <c r="D46" s="91" t="s">
        <v>785</v>
      </c>
      <c r="E46" s="93" t="str">
        <f t="shared" si="2"/>
        <v>3조 - PAC - Modifiability</v>
      </c>
      <c r="F46" s="49"/>
      <c r="G46" s="49"/>
      <c r="H46" s="49"/>
    </row>
    <row r="47" ht="16.5" customHeight="1">
      <c r="A47" s="42" t="s">
        <v>186</v>
      </c>
      <c r="B47" s="91" t="s">
        <v>785</v>
      </c>
      <c r="C47" s="93" t="str">
        <f t="shared" si="1"/>
        <v>3조 - MVC - Performance</v>
      </c>
      <c r="D47" s="91" t="s">
        <v>785</v>
      </c>
      <c r="E47" s="93" t="str">
        <f t="shared" si="2"/>
        <v>3조 - PAC - Performance</v>
      </c>
      <c r="F47" s="49"/>
      <c r="G47" s="49"/>
      <c r="H47" s="49"/>
    </row>
    <row r="48" ht="16.5" customHeight="1">
      <c r="A48" s="42" t="s">
        <v>221</v>
      </c>
      <c r="B48" s="91" t="s">
        <v>785</v>
      </c>
      <c r="C48" s="93" t="str">
        <f t="shared" si="1"/>
        <v>3조 - MVC - Safety</v>
      </c>
      <c r="D48" s="91" t="s">
        <v>785</v>
      </c>
      <c r="E48" s="93" t="str">
        <f t="shared" si="2"/>
        <v>3조 - PAC - Safety</v>
      </c>
      <c r="F48" s="49"/>
      <c r="G48" s="49"/>
      <c r="H48" s="49"/>
    </row>
    <row r="49" ht="16.5" customHeight="1">
      <c r="A49" s="42" t="s">
        <v>261</v>
      </c>
      <c r="B49" s="91" t="s">
        <v>785</v>
      </c>
      <c r="C49" s="93" t="str">
        <f t="shared" si="1"/>
        <v>3조 - MVC - Security</v>
      </c>
      <c r="D49" s="91" t="s">
        <v>785</v>
      </c>
      <c r="E49" s="93" t="str">
        <f t="shared" si="2"/>
        <v>3조 - PAC - Security</v>
      </c>
      <c r="F49" s="49"/>
      <c r="G49" s="49"/>
      <c r="H49" s="49"/>
    </row>
    <row r="50" ht="15.75" customHeight="1">
      <c r="A50" s="42" t="s">
        <v>310</v>
      </c>
      <c r="B50" s="91" t="s">
        <v>785</v>
      </c>
      <c r="C50" s="93" t="str">
        <f t="shared" si="1"/>
        <v>3조 - MVC - Testability</v>
      </c>
      <c r="D50" s="91" t="s">
        <v>785</v>
      </c>
      <c r="E50" s="93" t="str">
        <f t="shared" si="2"/>
        <v>3조 - PAC - Testability</v>
      </c>
      <c r="F50" s="49"/>
      <c r="G50" s="56" t="s">
        <v>785</v>
      </c>
      <c r="H50" s="49"/>
      <c r="I50" s="55"/>
    </row>
    <row r="51" ht="15.75" customHeight="1">
      <c r="A51" s="42" t="s">
        <v>346</v>
      </c>
      <c r="B51" s="91" t="s">
        <v>785</v>
      </c>
      <c r="C51" s="93" t="str">
        <f t="shared" si="1"/>
        <v>3조 - MVC - Usability</v>
      </c>
      <c r="D51" s="91" t="s">
        <v>785</v>
      </c>
      <c r="E51" s="93" t="str">
        <f t="shared" si="2"/>
        <v>3조 - PAC - Usability</v>
      </c>
      <c r="F51" s="49"/>
      <c r="G51" s="56" t="s">
        <v>785</v>
      </c>
      <c r="H51" s="49"/>
      <c r="I51" s="54"/>
    </row>
    <row r="52" ht="16.5" customHeight="1">
      <c r="A52" s="49"/>
      <c r="B52" s="56" t="s">
        <v>785</v>
      </c>
      <c r="C52" s="49"/>
      <c r="D52" s="56" t="s">
        <v>785</v>
      </c>
      <c r="E52" s="49"/>
      <c r="F52" s="49"/>
      <c r="G52" s="49"/>
    </row>
    <row r="53" ht="16.5" customHeight="1">
      <c r="A53" s="50" t="s">
        <v>413</v>
      </c>
      <c r="B53" s="85" t="s">
        <v>414</v>
      </c>
      <c r="C53" s="30"/>
      <c r="D53" s="85" t="s">
        <v>415</v>
      </c>
      <c r="E53" s="30"/>
      <c r="F53" s="49"/>
      <c r="G53" s="56" t="s">
        <v>785</v>
      </c>
      <c r="H53" s="49"/>
    </row>
    <row r="54" ht="16.5" customHeight="1">
      <c r="A54" s="53"/>
      <c r="B54" s="114" t="s">
        <v>11</v>
      </c>
      <c r="C54" s="130" t="s">
        <v>12</v>
      </c>
      <c r="D54" s="114" t="s">
        <v>11</v>
      </c>
      <c r="E54" s="130" t="s">
        <v>12</v>
      </c>
      <c r="F54" s="49"/>
      <c r="G54" s="56" t="s">
        <v>785</v>
      </c>
      <c r="H54" s="49"/>
    </row>
    <row r="55" ht="16.5" customHeight="1">
      <c r="A55" s="42" t="s">
        <v>14</v>
      </c>
      <c r="B55" s="115" t="s">
        <v>693</v>
      </c>
      <c r="C55" s="135" t="s">
        <v>1098</v>
      </c>
      <c r="D55" s="115" t="s">
        <v>680</v>
      </c>
      <c r="E55" s="135" t="s">
        <v>1099</v>
      </c>
      <c r="F55" s="49"/>
      <c r="G55" s="56" t="s">
        <v>785</v>
      </c>
      <c r="H55" s="49"/>
    </row>
    <row r="56" ht="16.5" customHeight="1">
      <c r="A56" s="42" t="s">
        <v>47</v>
      </c>
      <c r="B56" s="115" t="s">
        <v>693</v>
      </c>
      <c r="C56" s="135" t="s">
        <v>1100</v>
      </c>
      <c r="D56" s="115" t="s">
        <v>680</v>
      </c>
      <c r="E56" s="135" t="s">
        <v>1101</v>
      </c>
      <c r="F56" s="49"/>
      <c r="G56" s="56" t="s">
        <v>785</v>
      </c>
      <c r="H56" s="49"/>
    </row>
    <row r="57" ht="16.5" customHeight="1">
      <c r="A57" s="42" t="s">
        <v>80</v>
      </c>
      <c r="B57" s="115" t="s">
        <v>673</v>
      </c>
      <c r="C57" s="101" t="s">
        <v>1102</v>
      </c>
      <c r="D57" s="115" t="s">
        <v>678</v>
      </c>
      <c r="E57" s="101" t="s">
        <v>1103</v>
      </c>
      <c r="F57" s="49"/>
      <c r="G57" s="56" t="s">
        <v>785</v>
      </c>
      <c r="H57" s="49"/>
    </row>
    <row r="58" ht="16.5" customHeight="1">
      <c r="A58" s="42" t="s">
        <v>117</v>
      </c>
      <c r="B58" s="115" t="s">
        <v>680</v>
      </c>
      <c r="C58" s="126" t="s">
        <v>1104</v>
      </c>
      <c r="D58" s="115" t="s">
        <v>673</v>
      </c>
      <c r="E58" s="101" t="s">
        <v>1105</v>
      </c>
      <c r="F58" s="49"/>
      <c r="G58" s="56" t="s">
        <v>785</v>
      </c>
      <c r="H58" s="49"/>
    </row>
    <row r="59" ht="16.5" customHeight="1">
      <c r="A59" s="42" t="s">
        <v>151</v>
      </c>
      <c r="B59" s="115" t="s">
        <v>673</v>
      </c>
      <c r="C59" s="126" t="s">
        <v>1106</v>
      </c>
      <c r="D59" s="115" t="s">
        <v>680</v>
      </c>
      <c r="E59" s="126" t="s">
        <v>1107</v>
      </c>
      <c r="F59" s="49"/>
      <c r="G59" s="56" t="s">
        <v>785</v>
      </c>
      <c r="H59" s="49"/>
    </row>
    <row r="60" ht="15.75" customHeight="1">
      <c r="A60" s="42" t="s">
        <v>186</v>
      </c>
      <c r="B60" s="115" t="s">
        <v>680</v>
      </c>
      <c r="C60" s="126" t="s">
        <v>1108</v>
      </c>
      <c r="D60" s="115" t="s">
        <v>678</v>
      </c>
      <c r="E60" s="126" t="s">
        <v>1109</v>
      </c>
      <c r="F60" s="49"/>
      <c r="G60" s="56" t="s">
        <v>785</v>
      </c>
      <c r="H60" s="49"/>
      <c r="I60" s="55"/>
    </row>
    <row r="61" ht="15.75" customHeight="1">
      <c r="A61" s="42" t="s">
        <v>221</v>
      </c>
      <c r="B61" s="115" t="s">
        <v>678</v>
      </c>
      <c r="C61" s="126" t="s">
        <v>1110</v>
      </c>
      <c r="D61" s="115" t="s">
        <v>680</v>
      </c>
      <c r="E61" s="126" t="s">
        <v>1111</v>
      </c>
      <c r="F61" s="49"/>
      <c r="G61" s="56" t="s">
        <v>785</v>
      </c>
      <c r="H61" s="49"/>
      <c r="I61" s="54"/>
    </row>
    <row r="62" ht="16.5" customHeight="1">
      <c r="A62" s="42" t="s">
        <v>261</v>
      </c>
      <c r="B62" s="115" t="s">
        <v>673</v>
      </c>
      <c r="C62" s="126" t="s">
        <v>1112</v>
      </c>
      <c r="D62" s="115" t="s">
        <v>678</v>
      </c>
      <c r="E62" s="126" t="s">
        <v>1113</v>
      </c>
      <c r="F62" s="49"/>
      <c r="G62" s="56" t="s">
        <v>785</v>
      </c>
      <c r="H62" s="49"/>
    </row>
    <row r="63" ht="16.5" customHeight="1">
      <c r="A63" s="42" t="s">
        <v>310</v>
      </c>
      <c r="B63" s="115" t="s">
        <v>680</v>
      </c>
      <c r="C63" s="126" t="s">
        <v>1114</v>
      </c>
      <c r="D63" s="115" t="s">
        <v>673</v>
      </c>
      <c r="E63" s="126" t="s">
        <v>1115</v>
      </c>
      <c r="F63" s="49"/>
      <c r="G63" s="56" t="s">
        <v>785</v>
      </c>
      <c r="H63" s="49"/>
    </row>
    <row r="64" ht="16.5" customHeight="1">
      <c r="A64" s="42" t="s">
        <v>346</v>
      </c>
      <c r="B64" s="115" t="s">
        <v>673</v>
      </c>
      <c r="C64" s="126" t="s">
        <v>1116</v>
      </c>
      <c r="D64" s="115" t="s">
        <v>678</v>
      </c>
      <c r="E64" s="126" t="s">
        <v>1117</v>
      </c>
      <c r="F64" s="49"/>
      <c r="G64" s="56" t="s">
        <v>785</v>
      </c>
      <c r="H64" s="49"/>
    </row>
    <row r="65" ht="16.5" customHeight="1">
      <c r="A65" s="49"/>
      <c r="B65" s="56" t="s">
        <v>785</v>
      </c>
      <c r="C65" s="56" t="s">
        <v>785</v>
      </c>
      <c r="D65" s="56" t="s">
        <v>785</v>
      </c>
      <c r="E65" s="56" t="s">
        <v>785</v>
      </c>
      <c r="F65" s="49"/>
      <c r="G65" s="56" t="s">
        <v>785</v>
      </c>
      <c r="H65" s="49"/>
    </row>
    <row r="66" ht="16.5" customHeight="1">
      <c r="A66" s="50" t="s">
        <v>413</v>
      </c>
      <c r="B66" s="85" t="s">
        <v>420</v>
      </c>
      <c r="C66" s="30"/>
      <c r="D66" s="85" t="s">
        <v>421</v>
      </c>
      <c r="E66" s="30"/>
      <c r="F66" s="85" t="s">
        <v>422</v>
      </c>
      <c r="G66" s="30"/>
      <c r="H66" s="49"/>
    </row>
    <row r="67" ht="16.5" customHeight="1">
      <c r="A67" s="53"/>
      <c r="B67" s="136" t="s">
        <v>11</v>
      </c>
      <c r="C67" s="137" t="s">
        <v>12</v>
      </c>
      <c r="D67" s="41" t="s">
        <v>11</v>
      </c>
      <c r="E67" s="58" t="s">
        <v>12</v>
      </c>
      <c r="F67" s="41" t="s">
        <v>11</v>
      </c>
      <c r="G67" s="58" t="s">
        <v>12</v>
      </c>
      <c r="H67" s="49"/>
    </row>
    <row r="68" ht="16.5" customHeight="1">
      <c r="A68" s="42" t="s">
        <v>14</v>
      </c>
      <c r="B68" s="81" t="s">
        <v>678</v>
      </c>
      <c r="C68" s="82" t="s">
        <v>1118</v>
      </c>
      <c r="D68" s="91" t="s">
        <v>785</v>
      </c>
      <c r="E68" s="93" t="str">
        <f t="shared" ref="E68:E77" si="3">"3조" &amp; " - " &amp; D$66 &amp; " - " &amp; $A68</f>
        <v>3조 - Virtual Machine - Availability</v>
      </c>
      <c r="F68" s="91" t="s">
        <v>785</v>
      </c>
      <c r="G68" s="93" t="str">
        <f t="shared" ref="G68:G77" si="4">"3조" &amp; " - " &amp; F$66 &amp; " - " &amp; $A68</f>
        <v>3조 - Microkernel - Availability</v>
      </c>
      <c r="H68" s="49"/>
    </row>
    <row r="69" ht="16.5" customHeight="1">
      <c r="A69" s="42" t="s">
        <v>47</v>
      </c>
      <c r="B69" s="83" t="s">
        <v>680</v>
      </c>
      <c r="C69" s="82" t="s">
        <v>1119</v>
      </c>
      <c r="D69" s="91" t="s">
        <v>785</v>
      </c>
      <c r="E69" s="104" t="str">
        <f t="shared" si="3"/>
        <v>3조 - Virtual Machine - Deployability</v>
      </c>
      <c r="F69" s="91" t="s">
        <v>785</v>
      </c>
      <c r="G69" s="93" t="str">
        <f t="shared" si="4"/>
        <v>3조 - Microkernel - Deployability</v>
      </c>
      <c r="H69" s="49"/>
    </row>
    <row r="70" ht="16.5" customHeight="1">
      <c r="A70" s="42" t="s">
        <v>80</v>
      </c>
      <c r="B70" s="83" t="s">
        <v>680</v>
      </c>
      <c r="C70" s="82" t="s">
        <v>1120</v>
      </c>
      <c r="D70" s="91" t="s">
        <v>785</v>
      </c>
      <c r="E70" s="93" t="str">
        <f t="shared" si="3"/>
        <v>3조 - Virtual Machine - Integrability</v>
      </c>
      <c r="F70" s="91" t="s">
        <v>785</v>
      </c>
      <c r="G70" s="93" t="str">
        <f t="shared" si="4"/>
        <v>3조 - Microkernel - Integrability</v>
      </c>
      <c r="H70" s="49"/>
    </row>
    <row r="71" ht="16.5" customHeight="1">
      <c r="A71" s="42" t="s">
        <v>117</v>
      </c>
      <c r="B71" s="81" t="s">
        <v>673</v>
      </c>
      <c r="C71" s="82" t="s">
        <v>1121</v>
      </c>
      <c r="D71" s="91" t="s">
        <v>785</v>
      </c>
      <c r="E71" s="93" t="str">
        <f t="shared" si="3"/>
        <v>3조 - Virtual Machine - Energy Efficiency</v>
      </c>
      <c r="F71" s="91" t="s">
        <v>785</v>
      </c>
      <c r="G71" s="93" t="str">
        <f t="shared" si="4"/>
        <v>3조 - Microkernel - Energy Efficiency</v>
      </c>
      <c r="H71" s="49"/>
    </row>
    <row r="72" ht="16.5" customHeight="1">
      <c r="A72" s="42" t="s">
        <v>151</v>
      </c>
      <c r="B72" s="83" t="s">
        <v>736</v>
      </c>
      <c r="C72" s="82" t="s">
        <v>1122</v>
      </c>
      <c r="D72" s="91" t="s">
        <v>785</v>
      </c>
      <c r="E72" s="93" t="str">
        <f t="shared" si="3"/>
        <v>3조 - Virtual Machine - Modifiability</v>
      </c>
      <c r="F72" s="91" t="s">
        <v>785</v>
      </c>
      <c r="G72" s="93" t="str">
        <f t="shared" si="4"/>
        <v>3조 - Microkernel - Modifiability</v>
      </c>
      <c r="H72" s="49"/>
    </row>
    <row r="73" ht="16.5" customHeight="1">
      <c r="A73" s="42" t="s">
        <v>186</v>
      </c>
      <c r="B73" s="81" t="s">
        <v>673</v>
      </c>
      <c r="C73" s="82" t="s">
        <v>1123</v>
      </c>
      <c r="D73" s="91" t="s">
        <v>785</v>
      </c>
      <c r="E73" s="93" t="str">
        <f t="shared" si="3"/>
        <v>3조 - Virtual Machine - Performance</v>
      </c>
      <c r="F73" s="91" t="s">
        <v>785</v>
      </c>
      <c r="G73" s="93" t="str">
        <f t="shared" si="4"/>
        <v>3조 - Microkernel - Performance</v>
      </c>
      <c r="H73" s="49"/>
    </row>
    <row r="74" ht="16.5" customHeight="1">
      <c r="A74" s="42" t="s">
        <v>221</v>
      </c>
      <c r="B74" s="83" t="s">
        <v>680</v>
      </c>
      <c r="C74" s="82" t="s">
        <v>1124</v>
      </c>
      <c r="D74" s="91" t="s">
        <v>785</v>
      </c>
      <c r="E74" s="93" t="str">
        <f t="shared" si="3"/>
        <v>3조 - Virtual Machine - Safety</v>
      </c>
      <c r="F74" s="91" t="s">
        <v>785</v>
      </c>
      <c r="G74" s="93" t="str">
        <f t="shared" si="4"/>
        <v>3조 - Microkernel - Safety</v>
      </c>
    </row>
    <row r="75" ht="16.5" customHeight="1">
      <c r="A75" s="42" t="s">
        <v>261</v>
      </c>
      <c r="B75" s="83" t="s">
        <v>680</v>
      </c>
      <c r="C75" s="82" t="s">
        <v>1125</v>
      </c>
      <c r="D75" s="91" t="s">
        <v>785</v>
      </c>
      <c r="E75" s="93" t="str">
        <f t="shared" si="3"/>
        <v>3조 - Virtual Machine - Security</v>
      </c>
      <c r="F75" s="91" t="s">
        <v>785</v>
      </c>
      <c r="G75" s="93" t="str">
        <f t="shared" si="4"/>
        <v>3조 - Microkernel - Security</v>
      </c>
    </row>
    <row r="76" ht="16.5" customHeight="1">
      <c r="A76" s="42" t="s">
        <v>310</v>
      </c>
      <c r="B76" s="83" t="s">
        <v>680</v>
      </c>
      <c r="C76" s="82" t="s">
        <v>1126</v>
      </c>
      <c r="D76" s="91" t="s">
        <v>785</v>
      </c>
      <c r="E76" s="93" t="str">
        <f t="shared" si="3"/>
        <v>3조 - Virtual Machine - Testability</v>
      </c>
      <c r="F76" s="91" t="s">
        <v>785</v>
      </c>
      <c r="G76" s="93" t="str">
        <f t="shared" si="4"/>
        <v>3조 - Microkernel - Testability</v>
      </c>
    </row>
    <row r="77" ht="16.5" customHeight="1">
      <c r="A77" s="42" t="s">
        <v>346</v>
      </c>
      <c r="B77" s="81" t="s">
        <v>678</v>
      </c>
      <c r="C77" s="82" t="s">
        <v>1127</v>
      </c>
      <c r="D77" s="91" t="s">
        <v>785</v>
      </c>
      <c r="E77" s="93" t="str">
        <f t="shared" si="3"/>
        <v>3조 - Virtual Machine - Usability</v>
      </c>
      <c r="F77" s="91" t="s">
        <v>785</v>
      </c>
      <c r="G77" s="93" t="str">
        <f t="shared" si="4"/>
        <v>3조 - Microkernel - Usability</v>
      </c>
    </row>
    <row r="78" ht="16.5" customHeight="1">
      <c r="A78" s="49"/>
      <c r="B78" s="56" t="s">
        <v>785</v>
      </c>
      <c r="C78" s="56" t="s">
        <v>785</v>
      </c>
      <c r="D78" s="56" t="s">
        <v>785</v>
      </c>
      <c r="E78" s="56" t="s">
        <v>785</v>
      </c>
      <c r="F78" s="56" t="s">
        <v>785</v>
      </c>
      <c r="G78" s="56" t="s">
        <v>785</v>
      </c>
    </row>
    <row r="79" ht="16.5" customHeight="1">
      <c r="A79" s="138" t="s">
        <v>493</v>
      </c>
      <c r="B79" s="139" t="s">
        <v>672</v>
      </c>
      <c r="C79" s="140"/>
      <c r="D79" s="139" t="s">
        <v>495</v>
      </c>
      <c r="E79" s="140"/>
    </row>
    <row r="80" ht="16.5" customHeight="1">
      <c r="A80" s="141"/>
      <c r="B80" s="136" t="s">
        <v>11</v>
      </c>
      <c r="C80" s="136" t="s">
        <v>12</v>
      </c>
      <c r="D80" s="136" t="s">
        <v>11</v>
      </c>
      <c r="E80" s="136" t="s">
        <v>12</v>
      </c>
    </row>
    <row r="81" ht="16.5" customHeight="1">
      <c r="A81" s="142" t="s">
        <v>14</v>
      </c>
      <c r="B81" s="83" t="s">
        <v>680</v>
      </c>
      <c r="C81" s="82" t="s">
        <v>1128</v>
      </c>
      <c r="D81" s="81" t="s">
        <v>673</v>
      </c>
      <c r="E81" s="82" t="s">
        <v>1129</v>
      </c>
    </row>
    <row r="82" ht="16.5" customHeight="1">
      <c r="A82" s="142" t="s">
        <v>47</v>
      </c>
      <c r="B82" s="83" t="s">
        <v>680</v>
      </c>
      <c r="C82" s="82" t="s">
        <v>1130</v>
      </c>
      <c r="D82" s="81" t="s">
        <v>678</v>
      </c>
      <c r="E82" s="82" t="s">
        <v>1131</v>
      </c>
    </row>
    <row r="83" ht="16.5" customHeight="1">
      <c r="A83" s="142" t="s">
        <v>80</v>
      </c>
      <c r="B83" s="83" t="s">
        <v>680</v>
      </c>
      <c r="C83" s="82" t="s">
        <v>1132</v>
      </c>
      <c r="D83" s="83" t="s">
        <v>680</v>
      </c>
      <c r="E83" s="82" t="s">
        <v>1133</v>
      </c>
    </row>
    <row r="84" ht="16.5" customHeight="1">
      <c r="A84" s="142" t="s">
        <v>117</v>
      </c>
      <c r="B84" s="81" t="s">
        <v>673</v>
      </c>
      <c r="C84" s="82" t="s">
        <v>1134</v>
      </c>
      <c r="D84" s="83" t="s">
        <v>680</v>
      </c>
      <c r="E84" s="82" t="s">
        <v>1135</v>
      </c>
    </row>
    <row r="85" ht="16.5" customHeight="1">
      <c r="A85" s="142" t="s">
        <v>151</v>
      </c>
      <c r="B85" s="83" t="s">
        <v>736</v>
      </c>
      <c r="C85" s="82" t="s">
        <v>1136</v>
      </c>
      <c r="D85" s="81" t="s">
        <v>678</v>
      </c>
      <c r="E85" s="82" t="s">
        <v>1137</v>
      </c>
    </row>
    <row r="86" ht="16.5" customHeight="1">
      <c r="A86" s="142" t="s">
        <v>186</v>
      </c>
      <c r="B86" s="81" t="s">
        <v>678</v>
      </c>
      <c r="C86" s="82" t="s">
        <v>1138</v>
      </c>
      <c r="D86" s="81" t="s">
        <v>673</v>
      </c>
      <c r="E86" s="82" t="s">
        <v>1139</v>
      </c>
    </row>
    <row r="87" ht="16.5" customHeight="1">
      <c r="A87" s="142" t="s">
        <v>221</v>
      </c>
      <c r="B87" s="81" t="s">
        <v>678</v>
      </c>
      <c r="C87" s="82" t="s">
        <v>1140</v>
      </c>
      <c r="D87" s="81" t="s">
        <v>678</v>
      </c>
      <c r="E87" s="82" t="s">
        <v>1141</v>
      </c>
    </row>
    <row r="88" ht="16.5" customHeight="1">
      <c r="A88" s="142" t="s">
        <v>261</v>
      </c>
      <c r="B88" s="83" t="s">
        <v>680</v>
      </c>
      <c r="C88" s="82" t="s">
        <v>1142</v>
      </c>
      <c r="D88" s="81" t="s">
        <v>673</v>
      </c>
      <c r="E88" s="82" t="s">
        <v>1143</v>
      </c>
    </row>
    <row r="89" ht="16.5" customHeight="1">
      <c r="A89" s="142" t="s">
        <v>310</v>
      </c>
      <c r="B89" s="83" t="s">
        <v>680</v>
      </c>
      <c r="C89" s="82" t="s">
        <v>1144</v>
      </c>
      <c r="D89" s="83" t="s">
        <v>680</v>
      </c>
      <c r="E89" s="82" t="s">
        <v>1145</v>
      </c>
    </row>
    <row r="90" ht="16.5" customHeight="1">
      <c r="A90" s="142" t="s">
        <v>346</v>
      </c>
      <c r="B90" s="81" t="s">
        <v>678</v>
      </c>
      <c r="C90" s="82" t="s">
        <v>1146</v>
      </c>
      <c r="D90" s="81" t="s">
        <v>678</v>
      </c>
      <c r="E90" s="82" t="s">
        <v>1146</v>
      </c>
    </row>
    <row r="91" ht="16.5" customHeight="1">
      <c r="A91" s="49"/>
      <c r="B91" s="56"/>
      <c r="C91" s="49"/>
      <c r="D91" s="56"/>
      <c r="E91" s="49"/>
      <c r="F91" s="56" t="s">
        <v>785</v>
      </c>
      <c r="G91" s="49"/>
    </row>
    <row r="92" ht="16.5" customHeight="1">
      <c r="A92" s="138" t="s">
        <v>493</v>
      </c>
      <c r="B92" s="139" t="s">
        <v>550</v>
      </c>
      <c r="C92" s="140"/>
      <c r="D92" s="143" t="s">
        <v>551</v>
      </c>
      <c r="E92" s="144"/>
    </row>
    <row r="93" ht="16.5" customHeight="1">
      <c r="A93" s="141"/>
      <c r="B93" s="136" t="s">
        <v>11</v>
      </c>
      <c r="C93" s="136" t="s">
        <v>12</v>
      </c>
      <c r="D93" s="136" t="s">
        <v>11</v>
      </c>
      <c r="E93" s="136" t="s">
        <v>12</v>
      </c>
    </row>
    <row r="94" ht="16.5" customHeight="1">
      <c r="A94" s="142" t="s">
        <v>14</v>
      </c>
      <c r="B94" s="81" t="s">
        <v>673</v>
      </c>
      <c r="C94" s="82" t="s">
        <v>1147</v>
      </c>
      <c r="D94" s="83" t="s">
        <v>680</v>
      </c>
      <c r="E94" s="82" t="s">
        <v>1148</v>
      </c>
    </row>
    <row r="95" ht="16.5" customHeight="1">
      <c r="A95" s="142" t="s">
        <v>47</v>
      </c>
      <c r="B95" s="83" t="s">
        <v>736</v>
      </c>
      <c r="C95" s="82" t="s">
        <v>1149</v>
      </c>
      <c r="D95" s="83" t="s">
        <v>680</v>
      </c>
      <c r="E95" s="82" t="s">
        <v>1150</v>
      </c>
    </row>
    <row r="96" ht="16.5" customHeight="1">
      <c r="A96" s="142" t="s">
        <v>80</v>
      </c>
      <c r="B96" s="83" t="s">
        <v>736</v>
      </c>
      <c r="C96" s="82" t="s">
        <v>1151</v>
      </c>
      <c r="D96" s="83" t="s">
        <v>680</v>
      </c>
      <c r="E96" s="82" t="s">
        <v>1152</v>
      </c>
    </row>
    <row r="97" ht="16.5" customHeight="1">
      <c r="A97" s="142" t="s">
        <v>117</v>
      </c>
      <c r="B97" s="81" t="s">
        <v>673</v>
      </c>
      <c r="C97" s="82" t="s">
        <v>1153</v>
      </c>
      <c r="D97" s="81" t="s">
        <v>673</v>
      </c>
      <c r="E97" s="82" t="s">
        <v>1154</v>
      </c>
    </row>
    <row r="98" ht="16.5" customHeight="1">
      <c r="A98" s="142" t="s">
        <v>151</v>
      </c>
      <c r="B98" s="83" t="s">
        <v>736</v>
      </c>
      <c r="C98" s="82" t="s">
        <v>1155</v>
      </c>
      <c r="D98" s="81" t="s">
        <v>678</v>
      </c>
      <c r="E98" s="82" t="s">
        <v>1156</v>
      </c>
    </row>
    <row r="99" ht="16.5" customHeight="1">
      <c r="A99" s="142" t="s">
        <v>186</v>
      </c>
      <c r="B99" s="81" t="s">
        <v>693</v>
      </c>
      <c r="C99" s="82" t="s">
        <v>1157</v>
      </c>
      <c r="D99" s="81" t="s">
        <v>678</v>
      </c>
      <c r="E99" s="82" t="s">
        <v>1158</v>
      </c>
    </row>
    <row r="100" ht="16.5" customHeight="1">
      <c r="A100" s="142" t="s">
        <v>221</v>
      </c>
      <c r="B100" s="81" t="s">
        <v>678</v>
      </c>
      <c r="C100" s="82" t="s">
        <v>1159</v>
      </c>
      <c r="D100" s="81" t="s">
        <v>678</v>
      </c>
      <c r="E100" s="82" t="s">
        <v>1160</v>
      </c>
    </row>
    <row r="101" ht="16.5" customHeight="1">
      <c r="A101" s="142" t="s">
        <v>261</v>
      </c>
      <c r="B101" s="81" t="s">
        <v>678</v>
      </c>
      <c r="C101" s="82" t="s">
        <v>1161</v>
      </c>
      <c r="D101" s="81" t="s">
        <v>678</v>
      </c>
      <c r="E101" s="82" t="s">
        <v>1162</v>
      </c>
    </row>
    <row r="102" ht="16.5" customHeight="1">
      <c r="A102" s="142" t="s">
        <v>310</v>
      </c>
      <c r="B102" s="81" t="s">
        <v>673</v>
      </c>
      <c r="C102" s="82" t="s">
        <v>1163</v>
      </c>
      <c r="D102" s="81" t="s">
        <v>673</v>
      </c>
      <c r="E102" s="82" t="s">
        <v>1164</v>
      </c>
    </row>
    <row r="103" ht="16.5" customHeight="1">
      <c r="A103" s="142" t="s">
        <v>346</v>
      </c>
      <c r="B103" s="81" t="s">
        <v>678</v>
      </c>
      <c r="C103" s="82" t="s">
        <v>1146</v>
      </c>
      <c r="D103" s="81" t="s">
        <v>678</v>
      </c>
      <c r="E103" s="82" t="s">
        <v>1146</v>
      </c>
    </row>
    <row r="104" ht="16.5" customHeight="1">
      <c r="A104" s="49"/>
      <c r="B104" s="56"/>
      <c r="C104" s="49"/>
      <c r="D104" s="56"/>
      <c r="E104" s="49"/>
      <c r="F104" s="49"/>
      <c r="G104" s="49"/>
    </row>
    <row r="105" ht="16.5" customHeight="1">
      <c r="A105" s="138" t="s">
        <v>493</v>
      </c>
      <c r="B105" s="139" t="s">
        <v>653</v>
      </c>
      <c r="C105" s="140"/>
      <c r="D105" s="143" t="s">
        <v>947</v>
      </c>
      <c r="E105" s="144"/>
    </row>
    <row r="106" ht="16.5" customHeight="1">
      <c r="A106" s="141"/>
      <c r="B106" s="136" t="s">
        <v>11</v>
      </c>
      <c r="C106" s="136" t="s">
        <v>12</v>
      </c>
      <c r="D106" s="136" t="s">
        <v>11</v>
      </c>
      <c r="E106" s="136" t="s">
        <v>12</v>
      </c>
    </row>
    <row r="107" ht="16.5" customHeight="1">
      <c r="A107" s="142" t="s">
        <v>14</v>
      </c>
      <c r="B107" s="81" t="s">
        <v>678</v>
      </c>
      <c r="C107" s="82" t="s">
        <v>1165</v>
      </c>
      <c r="D107" s="83" t="s">
        <v>680</v>
      </c>
      <c r="E107" s="82" t="s">
        <v>1166</v>
      </c>
    </row>
    <row r="108" ht="16.5" customHeight="1">
      <c r="A108" s="142" t="s">
        <v>47</v>
      </c>
      <c r="B108" s="83" t="s">
        <v>680</v>
      </c>
      <c r="C108" s="82" t="s">
        <v>1167</v>
      </c>
      <c r="D108" s="83" t="s">
        <v>736</v>
      </c>
      <c r="E108" s="82" t="s">
        <v>1168</v>
      </c>
    </row>
    <row r="109" ht="16.5" customHeight="1">
      <c r="A109" s="142" t="s">
        <v>80</v>
      </c>
      <c r="B109" s="83" t="s">
        <v>736</v>
      </c>
      <c r="C109" s="82" t="s">
        <v>1169</v>
      </c>
      <c r="D109" s="83" t="s">
        <v>680</v>
      </c>
      <c r="E109" s="82" t="s">
        <v>1170</v>
      </c>
    </row>
    <row r="110" ht="16.5" customHeight="1">
      <c r="A110" s="142" t="s">
        <v>117</v>
      </c>
      <c r="B110" s="81" t="s">
        <v>673</v>
      </c>
      <c r="C110" s="82" t="s">
        <v>1171</v>
      </c>
      <c r="D110" s="81" t="s">
        <v>693</v>
      </c>
      <c r="E110" s="82" t="s">
        <v>1172</v>
      </c>
    </row>
    <row r="111" ht="16.5" customHeight="1">
      <c r="A111" s="142" t="s">
        <v>151</v>
      </c>
      <c r="B111" s="83" t="s">
        <v>680</v>
      </c>
      <c r="C111" s="82" t="s">
        <v>1173</v>
      </c>
      <c r="D111" s="83" t="s">
        <v>736</v>
      </c>
      <c r="E111" s="82" t="s">
        <v>1174</v>
      </c>
    </row>
    <row r="112" ht="16.5" customHeight="1">
      <c r="A112" s="142" t="s">
        <v>186</v>
      </c>
      <c r="B112" s="81" t="s">
        <v>673</v>
      </c>
      <c r="C112" s="82" t="s">
        <v>1175</v>
      </c>
      <c r="D112" s="81" t="s">
        <v>673</v>
      </c>
      <c r="E112" s="82" t="s">
        <v>1176</v>
      </c>
    </row>
    <row r="113" ht="16.5" customHeight="1">
      <c r="A113" s="142" t="s">
        <v>221</v>
      </c>
      <c r="B113" s="81" t="s">
        <v>678</v>
      </c>
      <c r="C113" s="82" t="s">
        <v>1177</v>
      </c>
      <c r="D113" s="81" t="s">
        <v>678</v>
      </c>
      <c r="E113" s="82" t="s">
        <v>1178</v>
      </c>
    </row>
    <row r="114" ht="16.5" customHeight="1">
      <c r="A114" s="142" t="s">
        <v>261</v>
      </c>
      <c r="B114" s="81" t="s">
        <v>678</v>
      </c>
      <c r="C114" s="82" t="s">
        <v>1179</v>
      </c>
      <c r="D114" s="81" t="s">
        <v>673</v>
      </c>
      <c r="E114" s="82" t="s">
        <v>1180</v>
      </c>
    </row>
    <row r="115" ht="16.5" customHeight="1">
      <c r="A115" s="142" t="s">
        <v>310</v>
      </c>
      <c r="B115" s="81" t="s">
        <v>673</v>
      </c>
      <c r="C115" s="82" t="s">
        <v>1181</v>
      </c>
      <c r="D115" s="81" t="s">
        <v>673</v>
      </c>
      <c r="E115" s="82" t="s">
        <v>1182</v>
      </c>
    </row>
    <row r="116" ht="16.5" customHeight="1">
      <c r="A116" s="142" t="s">
        <v>346</v>
      </c>
      <c r="B116" s="81" t="s">
        <v>678</v>
      </c>
      <c r="C116" s="82" t="s">
        <v>1146</v>
      </c>
      <c r="D116" s="83" t="s">
        <v>680</v>
      </c>
      <c r="E116" s="82" t="s">
        <v>1183</v>
      </c>
    </row>
    <row r="117" ht="16.5" customHeight="1">
      <c r="A117" s="49"/>
      <c r="B117" s="56" t="s">
        <v>785</v>
      </c>
      <c r="C117" s="49"/>
      <c r="D117" s="56" t="s">
        <v>785</v>
      </c>
      <c r="E117" s="49"/>
      <c r="F117" s="49"/>
      <c r="G117" s="49"/>
    </row>
    <row r="118" ht="16.5" customHeight="1">
      <c r="A118" s="39" t="s">
        <v>656</v>
      </c>
      <c r="B118" s="80" t="s">
        <v>657</v>
      </c>
      <c r="C118" s="30"/>
      <c r="D118" s="80" t="s">
        <v>658</v>
      </c>
      <c r="E118" s="30"/>
      <c r="F118" s="80" t="s">
        <v>659</v>
      </c>
      <c r="G118" s="30"/>
    </row>
    <row r="119" ht="16.5" customHeight="1">
      <c r="A119" s="31"/>
      <c r="B119" s="41" t="s">
        <v>11</v>
      </c>
      <c r="C119" s="41" t="s">
        <v>12</v>
      </c>
      <c r="D119" s="41" t="s">
        <v>11</v>
      </c>
      <c r="E119" s="41" t="s">
        <v>12</v>
      </c>
      <c r="F119" s="41" t="s">
        <v>11</v>
      </c>
      <c r="G119" s="41" t="s">
        <v>12</v>
      </c>
    </row>
    <row r="120" ht="16.5" customHeight="1">
      <c r="A120" s="42" t="s">
        <v>14</v>
      </c>
      <c r="B120" s="91" t="s">
        <v>785</v>
      </c>
      <c r="C120" s="93" t="str">
        <f t="shared" ref="C120:C129" si="5">"3조" &amp; " - " &amp; B$118 &amp; " - " &amp; $A120</f>
        <v>3조 - Container-based - Availability</v>
      </c>
      <c r="D120" s="91" t="s">
        <v>785</v>
      </c>
      <c r="E120" s="93" t="str">
        <f t="shared" ref="E120:E129" si="6">"3조" &amp; " - " &amp; D$118 &amp; " - " &amp; $A120</f>
        <v>3조 - Cloud-based - Availability</v>
      </c>
      <c r="F120" s="83" t="s">
        <v>680</v>
      </c>
      <c r="G120" s="82" t="s">
        <v>1184</v>
      </c>
    </row>
    <row r="121" ht="16.5" customHeight="1">
      <c r="A121" s="42" t="s">
        <v>47</v>
      </c>
      <c r="B121" s="91" t="s">
        <v>785</v>
      </c>
      <c r="C121" s="93" t="str">
        <f t="shared" si="5"/>
        <v>3조 - Container-based - Deployability</v>
      </c>
      <c r="D121" s="91" t="s">
        <v>785</v>
      </c>
      <c r="E121" s="93" t="str">
        <f t="shared" si="6"/>
        <v>3조 - Cloud-based - Deployability</v>
      </c>
      <c r="F121" s="81" t="s">
        <v>673</v>
      </c>
      <c r="G121" s="82" t="s">
        <v>1185</v>
      </c>
    </row>
    <row r="122" ht="16.5" customHeight="1">
      <c r="A122" s="42" t="s">
        <v>80</v>
      </c>
      <c r="B122" s="91" t="s">
        <v>785</v>
      </c>
      <c r="C122" s="93" t="str">
        <f t="shared" si="5"/>
        <v>3조 - Container-based - Integrability</v>
      </c>
      <c r="D122" s="91" t="s">
        <v>785</v>
      </c>
      <c r="E122" s="93" t="str">
        <f t="shared" si="6"/>
        <v>3조 - Cloud-based - Integrability</v>
      </c>
      <c r="F122" s="81" t="s">
        <v>678</v>
      </c>
      <c r="G122" s="82" t="s">
        <v>1186</v>
      </c>
    </row>
    <row r="123" ht="16.5" customHeight="1">
      <c r="A123" s="42" t="s">
        <v>117</v>
      </c>
      <c r="B123" s="91" t="s">
        <v>785</v>
      </c>
      <c r="C123" s="93" t="str">
        <f t="shared" si="5"/>
        <v>3조 - Container-based - Energy Efficiency</v>
      </c>
      <c r="D123" s="91" t="s">
        <v>785</v>
      </c>
      <c r="E123" s="93" t="str">
        <f t="shared" si="6"/>
        <v>3조 - Cloud-based - Energy Efficiency</v>
      </c>
      <c r="F123" s="83" t="s">
        <v>680</v>
      </c>
      <c r="G123" s="82" t="s">
        <v>1187</v>
      </c>
    </row>
    <row r="124" ht="16.5" customHeight="1">
      <c r="A124" s="42" t="s">
        <v>151</v>
      </c>
      <c r="B124" s="91" t="s">
        <v>785</v>
      </c>
      <c r="C124" s="93" t="str">
        <f t="shared" si="5"/>
        <v>3조 - Container-based - Modifiability</v>
      </c>
      <c r="D124" s="91" t="s">
        <v>785</v>
      </c>
      <c r="E124" s="93" t="str">
        <f t="shared" si="6"/>
        <v>3조 - Cloud-based - Modifiability</v>
      </c>
      <c r="F124" s="81" t="s">
        <v>678</v>
      </c>
      <c r="G124" s="82" t="s">
        <v>1188</v>
      </c>
    </row>
    <row r="125" ht="16.5" customHeight="1">
      <c r="A125" s="42" t="s">
        <v>186</v>
      </c>
      <c r="B125" s="91" t="s">
        <v>785</v>
      </c>
      <c r="C125" s="93" t="str">
        <f t="shared" si="5"/>
        <v>3조 - Container-based - Performance</v>
      </c>
      <c r="D125" s="91" t="s">
        <v>785</v>
      </c>
      <c r="E125" s="93" t="str">
        <f t="shared" si="6"/>
        <v>3조 - Cloud-based - Performance</v>
      </c>
      <c r="F125" s="83" t="s">
        <v>736</v>
      </c>
      <c r="G125" s="82" t="s">
        <v>1189</v>
      </c>
    </row>
    <row r="126" ht="16.5" customHeight="1">
      <c r="A126" s="42" t="s">
        <v>221</v>
      </c>
      <c r="B126" s="91" t="s">
        <v>785</v>
      </c>
      <c r="C126" s="93" t="str">
        <f t="shared" si="5"/>
        <v>3조 - Container-based - Safety</v>
      </c>
      <c r="D126" s="91" t="s">
        <v>785</v>
      </c>
      <c r="E126" s="93" t="str">
        <f t="shared" si="6"/>
        <v>3조 - Cloud-based - Safety</v>
      </c>
      <c r="F126" s="83" t="s">
        <v>680</v>
      </c>
      <c r="G126" s="82" t="s">
        <v>1190</v>
      </c>
    </row>
    <row r="127" ht="16.5" customHeight="1">
      <c r="A127" s="42" t="s">
        <v>261</v>
      </c>
      <c r="B127" s="91" t="s">
        <v>785</v>
      </c>
      <c r="C127" s="93" t="str">
        <f t="shared" si="5"/>
        <v>3조 - Container-based - Security</v>
      </c>
      <c r="D127" s="91" t="s">
        <v>785</v>
      </c>
      <c r="E127" s="93" t="str">
        <f t="shared" si="6"/>
        <v>3조 - Cloud-based - Security</v>
      </c>
      <c r="F127" s="81" t="s">
        <v>673</v>
      </c>
      <c r="G127" s="82" t="s">
        <v>1191</v>
      </c>
    </row>
    <row r="128" ht="16.5" customHeight="1">
      <c r="A128" s="42" t="s">
        <v>310</v>
      </c>
      <c r="B128" s="91" t="s">
        <v>785</v>
      </c>
      <c r="C128" s="93" t="str">
        <f t="shared" si="5"/>
        <v>3조 - Container-based - Testability</v>
      </c>
      <c r="D128" s="91" t="s">
        <v>785</v>
      </c>
      <c r="E128" s="93" t="str">
        <f t="shared" si="6"/>
        <v>3조 - Cloud-based - Testability</v>
      </c>
      <c r="F128" s="81" t="s">
        <v>673</v>
      </c>
      <c r="G128" s="82" t="s">
        <v>1192</v>
      </c>
    </row>
    <row r="129" ht="16.5" customHeight="1">
      <c r="A129" s="42" t="s">
        <v>346</v>
      </c>
      <c r="B129" s="91" t="s">
        <v>785</v>
      </c>
      <c r="C129" s="93" t="str">
        <f t="shared" si="5"/>
        <v>3조 - Container-based - Usability</v>
      </c>
      <c r="D129" s="91" t="s">
        <v>785</v>
      </c>
      <c r="E129" s="93" t="str">
        <f t="shared" si="6"/>
        <v>3조 - Cloud-based - Usability</v>
      </c>
      <c r="F129" s="83" t="s">
        <v>736</v>
      </c>
      <c r="G129" s="82" t="s">
        <v>1193</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A1:A2"/>
    <mergeCell ref="B1:C1"/>
    <mergeCell ref="D1:E1"/>
    <mergeCell ref="F1:G1"/>
    <mergeCell ref="B14:C14"/>
    <mergeCell ref="D14:E14"/>
    <mergeCell ref="D27:E27"/>
    <mergeCell ref="B66:C66"/>
    <mergeCell ref="A118:A119"/>
    <mergeCell ref="B118:C118"/>
    <mergeCell ref="D118:E118"/>
    <mergeCell ref="F118:G118"/>
    <mergeCell ref="B27:C27"/>
    <mergeCell ref="B40:C40"/>
    <mergeCell ref="D40:E40"/>
    <mergeCell ref="B53:C53"/>
    <mergeCell ref="D53:E53"/>
    <mergeCell ref="D66:E66"/>
    <mergeCell ref="F66:G66"/>
  </mergeCells>
  <dataValidations>
    <dataValidation type="list" allowBlank="1" showErrorMessage="1" sqref="B3:B12 D3:D12 F3:F12 B14 D14 B16:B25 D16:D25 B27 D27 B29:B38 D29:D38 B42:B51 D42:D51 B53 D53 B55:B64 D55:D64 B66 D66 F66 B68:B77 D68:D77 F68:F78 B79:E79 B81:B90 D81:D90 B92:C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148.43"/>
    <col customWidth="1" min="4" max="4" width="16.29"/>
    <col customWidth="1" min="5" max="5" width="140.86"/>
    <col customWidth="1" min="6" max="6" width="11.43"/>
    <col customWidth="1" min="7" max="7" width="157.43"/>
    <col customWidth="1" min="8" max="8" width="8.86"/>
    <col customWidth="1" min="9" max="9" width="64.14"/>
  </cols>
  <sheetData>
    <row r="1" ht="16.5" customHeight="1">
      <c r="A1" s="145" t="s">
        <v>666</v>
      </c>
      <c r="B1" s="146" t="s">
        <v>0</v>
      </c>
      <c r="C1" s="30"/>
      <c r="D1" s="146" t="s">
        <v>1</v>
      </c>
      <c r="E1" s="30"/>
      <c r="F1" s="146" t="s">
        <v>2</v>
      </c>
      <c r="G1" s="30"/>
      <c r="H1" s="147"/>
      <c r="I1" s="147"/>
      <c r="J1" s="147"/>
      <c r="K1" s="147"/>
      <c r="L1" s="147"/>
      <c r="M1" s="147"/>
      <c r="N1" s="147"/>
      <c r="O1" s="147"/>
      <c r="P1" s="147"/>
      <c r="Q1" s="147"/>
      <c r="R1" s="147"/>
      <c r="S1" s="147"/>
      <c r="T1" s="147"/>
      <c r="U1" s="147"/>
      <c r="V1" s="147"/>
      <c r="W1" s="147"/>
      <c r="X1" s="147"/>
      <c r="Y1" s="147"/>
      <c r="Z1" s="147"/>
    </row>
    <row r="2" ht="16.5" customHeight="1">
      <c r="A2" s="31"/>
      <c r="B2" s="148" t="s">
        <v>11</v>
      </c>
      <c r="C2" s="148" t="s">
        <v>12</v>
      </c>
      <c r="D2" s="148" t="s">
        <v>11</v>
      </c>
      <c r="E2" s="148" t="s">
        <v>12</v>
      </c>
      <c r="F2" s="148" t="s">
        <v>11</v>
      </c>
      <c r="G2" s="148" t="s">
        <v>12</v>
      </c>
      <c r="H2" s="147"/>
      <c r="I2" s="147"/>
      <c r="J2" s="147"/>
      <c r="K2" s="147"/>
      <c r="L2" s="147"/>
      <c r="M2" s="147"/>
      <c r="N2" s="147"/>
      <c r="O2" s="147"/>
      <c r="P2" s="147"/>
      <c r="Q2" s="147"/>
      <c r="R2" s="147"/>
      <c r="S2" s="147"/>
      <c r="T2" s="147"/>
      <c r="U2" s="147"/>
      <c r="V2" s="147"/>
      <c r="W2" s="147"/>
      <c r="X2" s="147"/>
      <c r="Y2" s="147"/>
      <c r="Z2" s="147"/>
    </row>
    <row r="3" ht="16.5" customHeight="1">
      <c r="A3" s="120" t="s">
        <v>14</v>
      </c>
      <c r="B3" s="149" t="s">
        <v>673</v>
      </c>
      <c r="C3" s="150" t="s">
        <v>1194</v>
      </c>
      <c r="D3" s="149" t="s">
        <v>678</v>
      </c>
      <c r="E3" s="151" t="s">
        <v>1195</v>
      </c>
      <c r="F3" s="152" t="s">
        <v>680</v>
      </c>
      <c r="G3" s="151" t="s">
        <v>1196</v>
      </c>
      <c r="H3" s="147"/>
      <c r="I3" s="147"/>
      <c r="J3" s="147"/>
      <c r="K3" s="147"/>
      <c r="L3" s="147"/>
      <c r="M3" s="147"/>
      <c r="N3" s="147"/>
      <c r="O3" s="147"/>
      <c r="P3" s="147"/>
      <c r="Q3" s="147"/>
      <c r="R3" s="147"/>
      <c r="S3" s="147"/>
      <c r="T3" s="147"/>
      <c r="U3" s="147"/>
      <c r="V3" s="147"/>
      <c r="W3" s="147"/>
      <c r="X3" s="147"/>
      <c r="Y3" s="147"/>
      <c r="Z3" s="147"/>
    </row>
    <row r="4" ht="16.5" customHeight="1">
      <c r="A4" s="120" t="s">
        <v>47</v>
      </c>
      <c r="B4" s="152" t="s">
        <v>680</v>
      </c>
      <c r="C4" s="153" t="s">
        <v>1197</v>
      </c>
      <c r="D4" s="152" t="s">
        <v>680</v>
      </c>
      <c r="E4" s="151" t="s">
        <v>1198</v>
      </c>
      <c r="F4" s="149" t="s">
        <v>673</v>
      </c>
      <c r="G4" s="151" t="s">
        <v>1199</v>
      </c>
      <c r="H4" s="147"/>
      <c r="I4" s="147"/>
      <c r="J4" s="147"/>
      <c r="K4" s="147"/>
      <c r="L4" s="147"/>
      <c r="M4" s="147"/>
      <c r="N4" s="147"/>
      <c r="O4" s="147"/>
      <c r="P4" s="147"/>
      <c r="Q4" s="147"/>
      <c r="R4" s="147"/>
      <c r="S4" s="147"/>
      <c r="T4" s="147"/>
      <c r="U4" s="147"/>
      <c r="V4" s="147"/>
      <c r="W4" s="147"/>
      <c r="X4" s="147"/>
      <c r="Y4" s="147"/>
      <c r="Z4" s="147"/>
    </row>
    <row r="5" ht="16.5" customHeight="1">
      <c r="A5" s="120" t="s">
        <v>80</v>
      </c>
      <c r="B5" s="152" t="s">
        <v>680</v>
      </c>
      <c r="C5" s="150" t="s">
        <v>1200</v>
      </c>
      <c r="D5" s="152" t="s">
        <v>736</v>
      </c>
      <c r="E5" s="154" t="s">
        <v>1201</v>
      </c>
      <c r="F5" s="149" t="s">
        <v>673</v>
      </c>
      <c r="G5" s="151" t="s">
        <v>1202</v>
      </c>
      <c r="H5" s="147"/>
      <c r="I5" s="147"/>
      <c r="J5" s="147"/>
      <c r="K5" s="147"/>
      <c r="L5" s="147"/>
      <c r="M5" s="147"/>
      <c r="N5" s="147"/>
      <c r="O5" s="147"/>
      <c r="P5" s="147"/>
      <c r="Q5" s="147"/>
      <c r="R5" s="147"/>
      <c r="S5" s="147"/>
      <c r="T5" s="147"/>
      <c r="U5" s="147"/>
      <c r="V5" s="147"/>
      <c r="W5" s="147"/>
      <c r="X5" s="147"/>
      <c r="Y5" s="147"/>
      <c r="Z5" s="147"/>
    </row>
    <row r="6" ht="16.5" customHeight="1">
      <c r="A6" s="120" t="s">
        <v>117</v>
      </c>
      <c r="B6" s="152" t="s">
        <v>680</v>
      </c>
      <c r="C6" s="153" t="s">
        <v>1203</v>
      </c>
      <c r="D6" s="149" t="s">
        <v>678</v>
      </c>
      <c r="E6" s="151" t="s">
        <v>1204</v>
      </c>
      <c r="F6" s="152" t="s">
        <v>680</v>
      </c>
      <c r="G6" s="151" t="s">
        <v>1205</v>
      </c>
      <c r="H6" s="147"/>
      <c r="I6" s="147"/>
      <c r="J6" s="147"/>
      <c r="K6" s="147"/>
      <c r="L6" s="147"/>
      <c r="M6" s="147"/>
      <c r="N6" s="147"/>
      <c r="O6" s="147"/>
      <c r="P6" s="147"/>
      <c r="Q6" s="147"/>
      <c r="R6" s="147"/>
      <c r="S6" s="147"/>
      <c r="T6" s="147"/>
      <c r="U6" s="147"/>
      <c r="V6" s="147"/>
      <c r="W6" s="147"/>
      <c r="X6" s="147"/>
      <c r="Y6" s="147"/>
      <c r="Z6" s="147"/>
    </row>
    <row r="7" ht="16.5" customHeight="1">
      <c r="A7" s="120" t="s">
        <v>151</v>
      </c>
      <c r="B7" s="152" t="s">
        <v>680</v>
      </c>
      <c r="C7" s="153" t="s">
        <v>1206</v>
      </c>
      <c r="D7" s="152" t="s">
        <v>736</v>
      </c>
      <c r="E7" s="151" t="s">
        <v>1207</v>
      </c>
      <c r="F7" s="149" t="s">
        <v>673</v>
      </c>
      <c r="G7" s="151" t="s">
        <v>1208</v>
      </c>
      <c r="H7" s="147"/>
      <c r="I7" s="147"/>
      <c r="J7" s="147"/>
      <c r="K7" s="147"/>
      <c r="L7" s="147"/>
      <c r="M7" s="147"/>
      <c r="N7" s="147"/>
      <c r="O7" s="147"/>
      <c r="P7" s="147"/>
      <c r="Q7" s="147"/>
      <c r="R7" s="147"/>
      <c r="S7" s="147"/>
      <c r="T7" s="147"/>
      <c r="U7" s="147"/>
      <c r="V7" s="147"/>
      <c r="W7" s="147"/>
      <c r="X7" s="147"/>
      <c r="Y7" s="147"/>
      <c r="Z7" s="147"/>
    </row>
    <row r="8" ht="16.5" customHeight="1">
      <c r="A8" s="120" t="s">
        <v>186</v>
      </c>
      <c r="B8" s="149" t="s">
        <v>693</v>
      </c>
      <c r="C8" s="153" t="s">
        <v>1209</v>
      </c>
      <c r="D8" s="152" t="s">
        <v>680</v>
      </c>
      <c r="E8" s="151" t="s">
        <v>1210</v>
      </c>
      <c r="F8" s="152" t="s">
        <v>680</v>
      </c>
      <c r="G8" s="151" t="s">
        <v>1211</v>
      </c>
      <c r="H8" s="147"/>
      <c r="I8" s="147"/>
      <c r="J8" s="147"/>
      <c r="K8" s="147"/>
      <c r="L8" s="147"/>
      <c r="M8" s="147"/>
      <c r="N8" s="147"/>
      <c r="O8" s="147"/>
      <c r="P8" s="147"/>
      <c r="Q8" s="147"/>
      <c r="R8" s="147"/>
      <c r="S8" s="147"/>
      <c r="T8" s="147"/>
      <c r="U8" s="147"/>
      <c r="V8" s="147"/>
      <c r="W8" s="147"/>
      <c r="X8" s="147"/>
      <c r="Y8" s="147"/>
      <c r="Z8" s="147"/>
    </row>
    <row r="9" ht="16.5" customHeight="1">
      <c r="A9" s="120" t="s">
        <v>221</v>
      </c>
      <c r="B9" s="149" t="s">
        <v>678</v>
      </c>
      <c r="C9" s="150" t="s">
        <v>1212</v>
      </c>
      <c r="D9" s="152" t="s">
        <v>680</v>
      </c>
      <c r="E9" s="151" t="s">
        <v>1213</v>
      </c>
      <c r="F9" s="152" t="s">
        <v>736</v>
      </c>
      <c r="G9" s="151" t="s">
        <v>1214</v>
      </c>
      <c r="H9" s="147"/>
      <c r="I9" s="147"/>
      <c r="J9" s="147"/>
      <c r="K9" s="147"/>
      <c r="L9" s="147"/>
      <c r="M9" s="147"/>
      <c r="N9" s="147"/>
      <c r="O9" s="147"/>
      <c r="P9" s="147"/>
      <c r="Q9" s="147"/>
      <c r="R9" s="147"/>
      <c r="S9" s="147"/>
      <c r="T9" s="147"/>
      <c r="U9" s="147"/>
      <c r="V9" s="147"/>
      <c r="W9" s="147"/>
      <c r="X9" s="147"/>
      <c r="Y9" s="147"/>
      <c r="Z9" s="147"/>
    </row>
    <row r="10" ht="16.5" customHeight="1">
      <c r="A10" s="120" t="s">
        <v>261</v>
      </c>
      <c r="B10" s="152" t="s">
        <v>680</v>
      </c>
      <c r="C10" s="150" t="s">
        <v>1215</v>
      </c>
      <c r="D10" s="149" t="s">
        <v>678</v>
      </c>
      <c r="E10" s="151" t="s">
        <v>1216</v>
      </c>
      <c r="F10" s="149" t="s">
        <v>673</v>
      </c>
      <c r="G10" s="151" t="s">
        <v>1217</v>
      </c>
      <c r="H10" s="147"/>
      <c r="I10" s="147"/>
      <c r="J10" s="147"/>
      <c r="K10" s="147"/>
      <c r="L10" s="147"/>
      <c r="M10" s="147"/>
      <c r="N10" s="147"/>
      <c r="O10" s="147"/>
      <c r="P10" s="147"/>
      <c r="Q10" s="147"/>
      <c r="R10" s="147"/>
      <c r="S10" s="147"/>
      <c r="T10" s="147"/>
      <c r="U10" s="147"/>
      <c r="V10" s="147"/>
      <c r="W10" s="147"/>
      <c r="X10" s="147"/>
      <c r="Y10" s="147"/>
      <c r="Z10" s="147"/>
    </row>
    <row r="11" ht="16.5" customHeight="1">
      <c r="A11" s="120" t="s">
        <v>310</v>
      </c>
      <c r="B11" s="152" t="s">
        <v>736</v>
      </c>
      <c r="C11" s="153" t="s">
        <v>1218</v>
      </c>
      <c r="D11" s="152" t="s">
        <v>736</v>
      </c>
      <c r="E11" s="151" t="s">
        <v>1219</v>
      </c>
      <c r="F11" s="149" t="s">
        <v>673</v>
      </c>
      <c r="G11" s="151" t="s">
        <v>1220</v>
      </c>
      <c r="H11" s="147"/>
      <c r="I11" s="147"/>
      <c r="J11" s="147"/>
      <c r="K11" s="147"/>
      <c r="L11" s="147"/>
      <c r="M11" s="147"/>
      <c r="N11" s="147"/>
      <c r="O11" s="147"/>
      <c r="P11" s="147"/>
      <c r="Q11" s="147"/>
      <c r="R11" s="147"/>
      <c r="S11" s="147"/>
      <c r="T11" s="147"/>
      <c r="U11" s="147"/>
      <c r="V11" s="147"/>
      <c r="W11" s="147"/>
      <c r="X11" s="147"/>
      <c r="Y11" s="147"/>
      <c r="Z11" s="147"/>
    </row>
    <row r="12" ht="16.5" customHeight="1">
      <c r="A12" s="120" t="s">
        <v>346</v>
      </c>
      <c r="B12" s="149" t="s">
        <v>693</v>
      </c>
      <c r="C12" s="153" t="s">
        <v>1221</v>
      </c>
      <c r="D12" s="149" t="s">
        <v>673</v>
      </c>
      <c r="E12" s="151" t="s">
        <v>1222</v>
      </c>
      <c r="F12" s="149" t="s">
        <v>678</v>
      </c>
      <c r="G12" s="151" t="s">
        <v>1223</v>
      </c>
      <c r="H12" s="147"/>
      <c r="I12" s="147"/>
      <c r="J12" s="147"/>
      <c r="K12" s="147"/>
      <c r="L12" s="147"/>
      <c r="M12" s="147"/>
      <c r="N12" s="147"/>
      <c r="O12" s="147"/>
      <c r="P12" s="147"/>
      <c r="Q12" s="147"/>
      <c r="R12" s="147"/>
      <c r="S12" s="147"/>
      <c r="T12" s="147"/>
      <c r="U12" s="147"/>
      <c r="V12" s="147"/>
      <c r="W12" s="147"/>
      <c r="X12" s="147"/>
      <c r="Y12" s="147"/>
      <c r="Z12" s="147"/>
    </row>
    <row r="13" ht="16.5" customHeight="1">
      <c r="A13" s="96"/>
      <c r="B13" s="121" t="s">
        <v>785</v>
      </c>
      <c r="C13" s="121" t="s">
        <v>785</v>
      </c>
      <c r="D13" s="121" t="s">
        <v>785</v>
      </c>
      <c r="E13" s="121" t="s">
        <v>785</v>
      </c>
      <c r="F13" s="121" t="s">
        <v>785</v>
      </c>
      <c r="G13" s="96"/>
      <c r="H13" s="147"/>
      <c r="I13" s="147"/>
      <c r="J13" s="147"/>
      <c r="K13" s="147"/>
      <c r="L13" s="147"/>
      <c r="M13" s="147"/>
      <c r="N13" s="147"/>
      <c r="O13" s="147"/>
      <c r="P13" s="147"/>
      <c r="Q13" s="147"/>
      <c r="R13" s="147"/>
      <c r="S13" s="147"/>
      <c r="T13" s="147"/>
      <c r="U13" s="147"/>
      <c r="V13" s="147"/>
      <c r="W13" s="147"/>
      <c r="X13" s="147"/>
      <c r="Y13" s="147"/>
      <c r="Z13" s="147"/>
    </row>
    <row r="14" ht="16.5" customHeight="1">
      <c r="A14" s="155" t="s">
        <v>3</v>
      </c>
      <c r="B14" s="156" t="s">
        <v>668</v>
      </c>
      <c r="C14" s="30"/>
      <c r="D14" s="156" t="s">
        <v>8</v>
      </c>
      <c r="E14" s="30"/>
      <c r="F14" s="96"/>
      <c r="G14" s="96"/>
      <c r="H14" s="147"/>
      <c r="I14" s="147"/>
      <c r="J14" s="147"/>
      <c r="K14" s="147"/>
      <c r="L14" s="147"/>
      <c r="M14" s="147"/>
      <c r="N14" s="147"/>
      <c r="O14" s="147"/>
      <c r="P14" s="147"/>
      <c r="Q14" s="147"/>
      <c r="R14" s="147"/>
      <c r="S14" s="147"/>
      <c r="T14" s="147"/>
      <c r="U14" s="147"/>
      <c r="V14" s="147"/>
      <c r="W14" s="147"/>
      <c r="X14" s="147"/>
      <c r="Y14" s="147"/>
      <c r="Z14" s="147"/>
    </row>
    <row r="15" ht="16.5" customHeight="1">
      <c r="A15" s="157"/>
      <c r="B15" s="158" t="s">
        <v>11</v>
      </c>
      <c r="C15" s="159" t="s">
        <v>12</v>
      </c>
      <c r="D15" s="158" t="s">
        <v>11</v>
      </c>
      <c r="E15" s="159" t="s">
        <v>12</v>
      </c>
      <c r="F15" s="96"/>
      <c r="G15" s="96"/>
      <c r="H15" s="147"/>
      <c r="I15" s="147"/>
      <c r="J15" s="147"/>
      <c r="K15" s="147"/>
      <c r="L15" s="147"/>
      <c r="M15" s="147"/>
      <c r="N15" s="147"/>
      <c r="O15" s="147"/>
      <c r="P15" s="147"/>
      <c r="Q15" s="147"/>
      <c r="R15" s="147"/>
      <c r="S15" s="147"/>
      <c r="T15" s="147"/>
      <c r="U15" s="147"/>
      <c r="V15" s="147"/>
      <c r="W15" s="147"/>
      <c r="X15" s="147"/>
      <c r="Y15" s="147"/>
      <c r="Z15" s="147"/>
    </row>
    <row r="16" ht="16.5" customHeight="1">
      <c r="A16" s="120" t="s">
        <v>14</v>
      </c>
      <c r="B16" s="149" t="s">
        <v>673</v>
      </c>
      <c r="C16" s="101" t="s">
        <v>1224</v>
      </c>
      <c r="D16" s="149" t="s">
        <v>673</v>
      </c>
      <c r="E16" s="101" t="s">
        <v>1225</v>
      </c>
      <c r="F16" s="96"/>
      <c r="G16" s="96"/>
      <c r="H16" s="147"/>
      <c r="I16" s="147"/>
      <c r="J16" s="147"/>
      <c r="K16" s="147"/>
      <c r="L16" s="147"/>
      <c r="M16" s="147"/>
      <c r="N16" s="147"/>
      <c r="O16" s="147"/>
      <c r="P16" s="147"/>
      <c r="Q16" s="147"/>
      <c r="R16" s="147"/>
      <c r="S16" s="147"/>
      <c r="T16" s="147"/>
      <c r="U16" s="147"/>
      <c r="V16" s="147"/>
      <c r="W16" s="147"/>
      <c r="X16" s="147"/>
      <c r="Y16" s="147"/>
      <c r="Z16" s="147"/>
    </row>
    <row r="17" ht="16.5" customHeight="1">
      <c r="A17" s="120" t="s">
        <v>47</v>
      </c>
      <c r="B17" s="149" t="s">
        <v>678</v>
      </c>
      <c r="C17" s="101" t="s">
        <v>1226</v>
      </c>
      <c r="D17" s="149" t="s">
        <v>678</v>
      </c>
      <c r="E17" s="101" t="s">
        <v>1227</v>
      </c>
      <c r="F17" s="96"/>
      <c r="G17" s="96"/>
      <c r="H17" s="147"/>
      <c r="I17" s="147"/>
      <c r="J17" s="147"/>
      <c r="K17" s="147"/>
      <c r="L17" s="147"/>
      <c r="M17" s="147"/>
      <c r="N17" s="147"/>
      <c r="O17" s="147"/>
      <c r="P17" s="147"/>
      <c r="Q17" s="147"/>
      <c r="R17" s="147"/>
      <c r="S17" s="147"/>
      <c r="T17" s="147"/>
      <c r="U17" s="147"/>
      <c r="V17" s="147"/>
      <c r="W17" s="147"/>
      <c r="X17" s="147"/>
      <c r="Y17" s="147"/>
      <c r="Z17" s="147"/>
    </row>
    <row r="18" ht="16.5" customHeight="1">
      <c r="A18" s="120" t="s">
        <v>80</v>
      </c>
      <c r="B18" s="152" t="s">
        <v>736</v>
      </c>
      <c r="C18" s="101" t="s">
        <v>1228</v>
      </c>
      <c r="D18" s="152" t="s">
        <v>736</v>
      </c>
      <c r="E18" s="101" t="s">
        <v>1229</v>
      </c>
      <c r="F18" s="96"/>
      <c r="G18" s="96"/>
      <c r="H18" s="147"/>
      <c r="I18" s="147"/>
      <c r="J18" s="147"/>
      <c r="K18" s="147"/>
      <c r="L18" s="147"/>
      <c r="M18" s="147"/>
      <c r="N18" s="147"/>
      <c r="O18" s="147"/>
      <c r="P18" s="147"/>
      <c r="Q18" s="147"/>
      <c r="R18" s="147"/>
      <c r="S18" s="147"/>
      <c r="T18" s="147"/>
      <c r="U18" s="147"/>
      <c r="V18" s="147"/>
      <c r="W18" s="147"/>
      <c r="X18" s="147"/>
      <c r="Y18" s="147"/>
      <c r="Z18" s="147"/>
    </row>
    <row r="19" ht="16.5" customHeight="1">
      <c r="A19" s="120" t="s">
        <v>117</v>
      </c>
      <c r="B19" s="149" t="s">
        <v>678</v>
      </c>
      <c r="C19" s="101" t="s">
        <v>1230</v>
      </c>
      <c r="D19" s="149" t="s">
        <v>693</v>
      </c>
      <c r="E19" s="101" t="s">
        <v>1231</v>
      </c>
      <c r="F19" s="96"/>
      <c r="G19" s="96"/>
      <c r="H19" s="147"/>
      <c r="I19" s="147"/>
      <c r="J19" s="147"/>
      <c r="K19" s="147"/>
      <c r="L19" s="147"/>
      <c r="M19" s="147"/>
      <c r="N19" s="147"/>
      <c r="O19" s="147"/>
      <c r="P19" s="147"/>
      <c r="Q19" s="147"/>
      <c r="R19" s="147"/>
      <c r="S19" s="147"/>
      <c r="T19" s="147"/>
      <c r="U19" s="147"/>
      <c r="V19" s="147"/>
      <c r="W19" s="147"/>
      <c r="X19" s="147"/>
      <c r="Y19" s="147"/>
      <c r="Z19" s="147"/>
    </row>
    <row r="20" ht="16.5" customHeight="1">
      <c r="A20" s="120" t="s">
        <v>151</v>
      </c>
      <c r="B20" s="152" t="s">
        <v>678</v>
      </c>
      <c r="C20" s="101" t="s">
        <v>1232</v>
      </c>
      <c r="D20" s="152" t="s">
        <v>736</v>
      </c>
      <c r="E20" s="101" t="s">
        <v>1233</v>
      </c>
      <c r="F20" s="96"/>
      <c r="G20" s="96"/>
      <c r="H20" s="147"/>
      <c r="I20" s="147"/>
      <c r="J20" s="147"/>
      <c r="K20" s="147"/>
      <c r="L20" s="147"/>
      <c r="M20" s="147"/>
      <c r="N20" s="147"/>
      <c r="O20" s="147"/>
      <c r="P20" s="147"/>
      <c r="Q20" s="147"/>
      <c r="R20" s="147"/>
      <c r="S20" s="147"/>
      <c r="T20" s="147"/>
      <c r="U20" s="147"/>
      <c r="V20" s="147"/>
      <c r="W20" s="147"/>
      <c r="X20" s="147"/>
      <c r="Y20" s="147"/>
      <c r="Z20" s="147"/>
    </row>
    <row r="21" ht="16.5" customHeight="1">
      <c r="A21" s="120" t="s">
        <v>186</v>
      </c>
      <c r="B21" s="152" t="s">
        <v>673</v>
      </c>
      <c r="C21" s="101" t="s">
        <v>1234</v>
      </c>
      <c r="D21" s="149" t="s">
        <v>673</v>
      </c>
      <c r="E21" s="101" t="s">
        <v>1235</v>
      </c>
      <c r="F21" s="96"/>
      <c r="G21" s="96"/>
      <c r="H21" s="147"/>
      <c r="I21" s="147"/>
      <c r="J21" s="147"/>
      <c r="K21" s="147"/>
      <c r="L21" s="147"/>
      <c r="M21" s="147"/>
      <c r="N21" s="147"/>
      <c r="O21" s="147"/>
      <c r="P21" s="147"/>
      <c r="Q21" s="147"/>
      <c r="R21" s="147"/>
      <c r="S21" s="147"/>
      <c r="T21" s="147"/>
      <c r="U21" s="147"/>
      <c r="V21" s="147"/>
      <c r="W21" s="147"/>
      <c r="X21" s="147"/>
      <c r="Y21" s="147"/>
      <c r="Z21" s="147"/>
    </row>
    <row r="22" ht="16.5" customHeight="1">
      <c r="A22" s="120" t="s">
        <v>221</v>
      </c>
      <c r="B22" s="152" t="s">
        <v>680</v>
      </c>
      <c r="C22" s="101" t="s">
        <v>1236</v>
      </c>
      <c r="D22" s="152" t="s">
        <v>673</v>
      </c>
      <c r="E22" s="101" t="s">
        <v>1237</v>
      </c>
      <c r="F22" s="96"/>
      <c r="G22" s="96"/>
      <c r="H22" s="147"/>
      <c r="I22" s="147"/>
      <c r="J22" s="147"/>
      <c r="K22" s="147"/>
      <c r="L22" s="147"/>
      <c r="M22" s="147"/>
      <c r="N22" s="147"/>
      <c r="O22" s="147"/>
      <c r="P22" s="147"/>
      <c r="Q22" s="147"/>
      <c r="R22" s="147"/>
      <c r="S22" s="147"/>
      <c r="T22" s="147"/>
      <c r="U22" s="147"/>
      <c r="V22" s="147"/>
      <c r="W22" s="147"/>
      <c r="X22" s="147"/>
      <c r="Y22" s="147"/>
      <c r="Z22" s="147"/>
    </row>
    <row r="23" ht="16.5" customHeight="1">
      <c r="A23" s="120" t="s">
        <v>261</v>
      </c>
      <c r="B23" s="152" t="s">
        <v>680</v>
      </c>
      <c r="C23" s="101" t="s">
        <v>1238</v>
      </c>
      <c r="D23" s="149" t="s">
        <v>673</v>
      </c>
      <c r="E23" s="101" t="s">
        <v>1239</v>
      </c>
      <c r="F23" s="96"/>
      <c r="G23" s="96"/>
      <c r="H23" s="147"/>
      <c r="I23" s="147"/>
      <c r="J23" s="147"/>
      <c r="K23" s="147"/>
      <c r="L23" s="147"/>
      <c r="M23" s="147"/>
      <c r="N23" s="147"/>
      <c r="O23" s="147"/>
      <c r="P23" s="147"/>
      <c r="Q23" s="147"/>
      <c r="R23" s="147"/>
      <c r="S23" s="147"/>
      <c r="T23" s="147"/>
      <c r="U23" s="147"/>
      <c r="V23" s="147"/>
      <c r="W23" s="147"/>
      <c r="X23" s="147"/>
      <c r="Y23" s="147"/>
      <c r="Z23" s="147"/>
    </row>
    <row r="24" ht="16.5" customHeight="1">
      <c r="A24" s="120" t="s">
        <v>310</v>
      </c>
      <c r="B24" s="149" t="s">
        <v>678</v>
      </c>
      <c r="C24" s="101" t="s">
        <v>1240</v>
      </c>
      <c r="D24" s="149" t="s">
        <v>693</v>
      </c>
      <c r="E24" s="101" t="s">
        <v>1241</v>
      </c>
      <c r="F24" s="96"/>
      <c r="G24" s="96"/>
      <c r="H24" s="147"/>
      <c r="I24" s="147"/>
      <c r="J24" s="147"/>
      <c r="K24" s="147"/>
      <c r="L24" s="147"/>
      <c r="M24" s="147"/>
      <c r="N24" s="147"/>
      <c r="O24" s="147"/>
      <c r="P24" s="147"/>
      <c r="Q24" s="147"/>
      <c r="R24" s="147"/>
      <c r="S24" s="147"/>
      <c r="T24" s="147"/>
      <c r="U24" s="147"/>
      <c r="V24" s="147"/>
      <c r="W24" s="147"/>
      <c r="X24" s="147"/>
      <c r="Y24" s="147"/>
      <c r="Z24" s="147"/>
    </row>
    <row r="25" ht="16.5" customHeight="1">
      <c r="A25" s="120" t="s">
        <v>346</v>
      </c>
      <c r="B25" s="152" t="s">
        <v>678</v>
      </c>
      <c r="C25" s="101" t="s">
        <v>1242</v>
      </c>
      <c r="D25" s="149" t="s">
        <v>678</v>
      </c>
      <c r="E25" s="101" t="s">
        <v>1243</v>
      </c>
      <c r="F25" s="96"/>
      <c r="G25" s="96"/>
      <c r="H25" s="147"/>
      <c r="I25" s="147"/>
      <c r="J25" s="147"/>
      <c r="K25" s="147"/>
      <c r="L25" s="147"/>
      <c r="M25" s="147"/>
      <c r="N25" s="147"/>
      <c r="O25" s="147"/>
      <c r="P25" s="147"/>
      <c r="Q25" s="147"/>
      <c r="R25" s="147"/>
      <c r="S25" s="147"/>
      <c r="T25" s="147"/>
      <c r="U25" s="147"/>
      <c r="V25" s="147"/>
      <c r="W25" s="147"/>
      <c r="X25" s="147"/>
      <c r="Y25" s="147"/>
      <c r="Z25" s="147"/>
    </row>
    <row r="26" ht="16.5" customHeight="1">
      <c r="A26" s="96"/>
      <c r="B26" s="121" t="s">
        <v>785</v>
      </c>
      <c r="C26" s="121" t="s">
        <v>785</v>
      </c>
      <c r="D26" s="121" t="s">
        <v>785</v>
      </c>
      <c r="E26" s="121" t="s">
        <v>785</v>
      </c>
      <c r="F26" s="96"/>
      <c r="G26" s="96"/>
      <c r="H26" s="147"/>
      <c r="I26" s="147"/>
      <c r="J26" s="147"/>
      <c r="K26" s="147"/>
      <c r="L26" s="147"/>
      <c r="M26" s="147"/>
      <c r="N26" s="147"/>
      <c r="O26" s="147"/>
      <c r="P26" s="147"/>
      <c r="Q26" s="147"/>
      <c r="R26" s="147"/>
      <c r="S26" s="147"/>
      <c r="T26" s="147"/>
      <c r="U26" s="147"/>
      <c r="V26" s="147"/>
      <c r="W26" s="147"/>
      <c r="X26" s="147"/>
      <c r="Y26" s="147"/>
      <c r="Z26" s="147"/>
    </row>
    <row r="27" ht="16.5" customHeight="1">
      <c r="A27" s="155" t="s">
        <v>4</v>
      </c>
      <c r="B27" s="156" t="s">
        <v>6</v>
      </c>
      <c r="C27" s="30"/>
      <c r="D27" s="156" t="s">
        <v>9</v>
      </c>
      <c r="E27" s="30"/>
      <c r="F27" s="96"/>
      <c r="G27" s="96"/>
      <c r="H27" s="147"/>
      <c r="I27" s="147"/>
      <c r="J27" s="147"/>
      <c r="K27" s="147"/>
      <c r="L27" s="147"/>
      <c r="M27" s="147"/>
      <c r="N27" s="147"/>
      <c r="O27" s="147"/>
      <c r="P27" s="147"/>
      <c r="Q27" s="147"/>
      <c r="R27" s="147"/>
      <c r="S27" s="147"/>
      <c r="T27" s="147"/>
      <c r="U27" s="147"/>
      <c r="V27" s="147"/>
      <c r="W27" s="147"/>
      <c r="X27" s="147"/>
      <c r="Y27" s="147"/>
      <c r="Z27" s="147"/>
    </row>
    <row r="28" ht="16.5" customHeight="1">
      <c r="A28" s="157"/>
      <c r="B28" s="160" t="s">
        <v>11</v>
      </c>
      <c r="C28" s="161" t="s">
        <v>12</v>
      </c>
      <c r="D28" s="158" t="s">
        <v>11</v>
      </c>
      <c r="E28" s="159" t="s">
        <v>12</v>
      </c>
      <c r="F28" s="96"/>
      <c r="G28" s="96"/>
      <c r="H28" s="147"/>
      <c r="I28" s="147"/>
      <c r="J28" s="147"/>
      <c r="K28" s="147"/>
      <c r="L28" s="147"/>
      <c r="M28" s="147"/>
      <c r="N28" s="147"/>
      <c r="O28" s="147"/>
      <c r="P28" s="147"/>
      <c r="Q28" s="147"/>
      <c r="R28" s="147"/>
      <c r="S28" s="147"/>
      <c r="T28" s="147"/>
      <c r="U28" s="147"/>
      <c r="V28" s="147"/>
      <c r="W28" s="147"/>
      <c r="X28" s="147"/>
      <c r="Y28" s="147"/>
      <c r="Z28" s="147"/>
    </row>
    <row r="29" ht="16.5" customHeight="1">
      <c r="A29" s="120" t="s">
        <v>14</v>
      </c>
      <c r="B29" s="149" t="s">
        <v>673</v>
      </c>
      <c r="C29" s="101" t="s">
        <v>1244</v>
      </c>
      <c r="D29" s="162" t="s">
        <v>736</v>
      </c>
      <c r="E29" s="101" t="s">
        <v>1245</v>
      </c>
      <c r="F29" s="96"/>
      <c r="G29" s="96"/>
      <c r="H29" s="147"/>
      <c r="I29" s="147"/>
      <c r="J29" s="147"/>
      <c r="K29" s="147"/>
      <c r="L29" s="147"/>
      <c r="M29" s="147"/>
      <c r="N29" s="147"/>
      <c r="O29" s="147"/>
      <c r="P29" s="147"/>
      <c r="Q29" s="147"/>
      <c r="R29" s="147"/>
      <c r="S29" s="147"/>
      <c r="T29" s="147"/>
      <c r="U29" s="147"/>
      <c r="V29" s="147"/>
      <c r="W29" s="147"/>
      <c r="X29" s="147"/>
      <c r="Y29" s="147"/>
      <c r="Z29" s="147"/>
    </row>
    <row r="30" ht="16.5" customHeight="1">
      <c r="A30" s="120" t="s">
        <v>47</v>
      </c>
      <c r="B30" s="149">
        <v>0.0</v>
      </c>
      <c r="C30" s="101" t="s">
        <v>1246</v>
      </c>
      <c r="D30" s="162" t="s">
        <v>736</v>
      </c>
      <c r="E30" s="101" t="s">
        <v>1247</v>
      </c>
      <c r="F30" s="96"/>
      <c r="G30" s="96"/>
      <c r="H30" s="147"/>
      <c r="I30" s="147"/>
      <c r="J30" s="147"/>
      <c r="K30" s="147"/>
      <c r="L30" s="147"/>
      <c r="M30" s="147"/>
      <c r="N30" s="147"/>
      <c r="O30" s="147"/>
      <c r="P30" s="147"/>
      <c r="Q30" s="147"/>
      <c r="R30" s="147"/>
      <c r="S30" s="147"/>
      <c r="T30" s="147"/>
      <c r="U30" s="147"/>
      <c r="V30" s="147"/>
      <c r="W30" s="147"/>
      <c r="X30" s="147"/>
      <c r="Y30" s="147"/>
      <c r="Z30" s="147"/>
    </row>
    <row r="31" ht="16.5" customHeight="1">
      <c r="A31" s="120" t="s">
        <v>80</v>
      </c>
      <c r="B31" s="152" t="s">
        <v>680</v>
      </c>
      <c r="C31" s="101" t="s">
        <v>1248</v>
      </c>
      <c r="D31" s="162" t="s">
        <v>736</v>
      </c>
      <c r="E31" s="101" t="s">
        <v>1249</v>
      </c>
      <c r="F31" s="96"/>
      <c r="G31" s="96"/>
      <c r="H31" s="147"/>
      <c r="I31" s="147"/>
      <c r="J31" s="147"/>
      <c r="K31" s="147"/>
      <c r="L31" s="147"/>
      <c r="M31" s="147"/>
      <c r="N31" s="147"/>
      <c r="O31" s="147"/>
      <c r="P31" s="147"/>
      <c r="Q31" s="147"/>
      <c r="R31" s="147"/>
      <c r="S31" s="147"/>
      <c r="T31" s="147"/>
      <c r="U31" s="147"/>
      <c r="V31" s="147"/>
      <c r="W31" s="147"/>
      <c r="X31" s="147"/>
      <c r="Y31" s="147"/>
      <c r="Z31" s="147"/>
    </row>
    <row r="32" ht="16.5" customHeight="1">
      <c r="A32" s="120" t="s">
        <v>117</v>
      </c>
      <c r="B32" s="149">
        <v>0.0</v>
      </c>
      <c r="C32" s="101" t="s">
        <v>1250</v>
      </c>
      <c r="D32" s="163" t="s">
        <v>678</v>
      </c>
      <c r="E32" s="101" t="s">
        <v>1251</v>
      </c>
      <c r="F32" s="96"/>
      <c r="G32" s="96"/>
      <c r="H32" s="147"/>
      <c r="I32" s="147"/>
      <c r="J32" s="147"/>
      <c r="K32" s="147"/>
      <c r="L32" s="147"/>
      <c r="M32" s="147"/>
      <c r="N32" s="147"/>
      <c r="O32" s="147"/>
      <c r="P32" s="147"/>
      <c r="Q32" s="147"/>
      <c r="R32" s="147"/>
      <c r="S32" s="147"/>
      <c r="T32" s="147"/>
      <c r="U32" s="147"/>
      <c r="V32" s="147"/>
      <c r="W32" s="147"/>
      <c r="X32" s="147"/>
      <c r="Y32" s="147"/>
      <c r="Z32" s="147"/>
    </row>
    <row r="33" ht="16.5" customHeight="1">
      <c r="A33" s="120" t="s">
        <v>151</v>
      </c>
      <c r="B33" s="152" t="s">
        <v>736</v>
      </c>
      <c r="C33" s="101" t="s">
        <v>1252</v>
      </c>
      <c r="D33" s="162" t="s">
        <v>736</v>
      </c>
      <c r="E33" s="101" t="s">
        <v>1253</v>
      </c>
      <c r="F33" s="96"/>
      <c r="G33" s="96"/>
      <c r="H33" s="147"/>
      <c r="I33" s="147"/>
      <c r="J33" s="147"/>
      <c r="K33" s="147"/>
      <c r="L33" s="147"/>
      <c r="M33" s="147"/>
      <c r="N33" s="147"/>
      <c r="O33" s="147"/>
      <c r="P33" s="147"/>
      <c r="Q33" s="147"/>
      <c r="R33" s="147"/>
      <c r="S33" s="147"/>
      <c r="T33" s="147"/>
      <c r="U33" s="147"/>
      <c r="V33" s="147"/>
      <c r="W33" s="147"/>
      <c r="X33" s="147"/>
      <c r="Y33" s="147"/>
      <c r="Z33" s="147"/>
    </row>
    <row r="34" ht="16.5" customHeight="1">
      <c r="A34" s="120" t="s">
        <v>186</v>
      </c>
      <c r="B34" s="152" t="s">
        <v>680</v>
      </c>
      <c r="C34" s="101" t="s">
        <v>1254</v>
      </c>
      <c r="D34" s="162" t="s">
        <v>678</v>
      </c>
      <c r="E34" s="101" t="s">
        <v>1255</v>
      </c>
      <c r="F34" s="96"/>
      <c r="G34" s="96"/>
      <c r="H34" s="147"/>
      <c r="I34" s="147"/>
      <c r="J34" s="147"/>
      <c r="K34" s="147"/>
      <c r="L34" s="147"/>
      <c r="M34" s="147"/>
      <c r="N34" s="147"/>
      <c r="O34" s="147"/>
      <c r="P34" s="147"/>
      <c r="Q34" s="147"/>
      <c r="R34" s="147"/>
      <c r="S34" s="147"/>
      <c r="T34" s="147"/>
      <c r="U34" s="147"/>
      <c r="V34" s="147"/>
      <c r="W34" s="147"/>
      <c r="X34" s="147"/>
      <c r="Y34" s="147"/>
      <c r="Z34" s="147"/>
    </row>
    <row r="35" ht="16.5" customHeight="1">
      <c r="A35" s="120" t="s">
        <v>221</v>
      </c>
      <c r="B35" s="149" t="s">
        <v>673</v>
      </c>
      <c r="C35" s="101" t="s">
        <v>1256</v>
      </c>
      <c r="D35" s="162" t="s">
        <v>680</v>
      </c>
      <c r="E35" s="101" t="s">
        <v>1257</v>
      </c>
      <c r="F35" s="96"/>
      <c r="G35" s="96"/>
      <c r="H35" s="147"/>
      <c r="I35" s="147"/>
      <c r="J35" s="147"/>
      <c r="K35" s="147"/>
      <c r="L35" s="147"/>
      <c r="M35" s="147"/>
      <c r="N35" s="147"/>
      <c r="O35" s="147"/>
      <c r="P35" s="147"/>
      <c r="Q35" s="147"/>
      <c r="R35" s="147"/>
      <c r="S35" s="147"/>
      <c r="T35" s="147"/>
      <c r="U35" s="147"/>
      <c r="V35" s="147"/>
      <c r="W35" s="147"/>
      <c r="X35" s="147"/>
      <c r="Y35" s="147"/>
      <c r="Z35" s="147"/>
    </row>
    <row r="36" ht="16.5" customHeight="1">
      <c r="A36" s="120" t="s">
        <v>261</v>
      </c>
      <c r="B36" s="152" t="s">
        <v>678</v>
      </c>
      <c r="C36" s="101" t="s">
        <v>1258</v>
      </c>
      <c r="D36" s="162" t="s">
        <v>678</v>
      </c>
      <c r="E36" s="101" t="s">
        <v>1259</v>
      </c>
      <c r="F36" s="96"/>
      <c r="G36" s="96"/>
      <c r="H36" s="147"/>
      <c r="I36" s="147"/>
      <c r="J36" s="147"/>
      <c r="K36" s="147"/>
      <c r="L36" s="147"/>
      <c r="M36" s="147"/>
      <c r="N36" s="147"/>
      <c r="O36" s="147"/>
      <c r="P36" s="147"/>
      <c r="Q36" s="147"/>
      <c r="R36" s="147"/>
      <c r="S36" s="147"/>
      <c r="T36" s="147"/>
      <c r="U36" s="147"/>
      <c r="V36" s="147"/>
      <c r="W36" s="147"/>
      <c r="X36" s="147"/>
      <c r="Y36" s="147"/>
      <c r="Z36" s="147"/>
    </row>
    <row r="37" ht="16.5" customHeight="1">
      <c r="A37" s="120" t="s">
        <v>310</v>
      </c>
      <c r="B37" s="149" t="s">
        <v>673</v>
      </c>
      <c r="C37" s="101" t="s">
        <v>1260</v>
      </c>
      <c r="D37" s="162" t="s">
        <v>673</v>
      </c>
      <c r="E37" s="101" t="s">
        <v>1261</v>
      </c>
      <c r="F37" s="96"/>
      <c r="G37" s="96"/>
      <c r="H37" s="147"/>
      <c r="I37" s="147"/>
      <c r="J37" s="147"/>
      <c r="K37" s="147"/>
      <c r="L37" s="147"/>
      <c r="M37" s="147"/>
      <c r="N37" s="147"/>
      <c r="O37" s="147"/>
      <c r="P37" s="147"/>
      <c r="Q37" s="147"/>
      <c r="R37" s="147"/>
      <c r="S37" s="147"/>
      <c r="T37" s="147"/>
      <c r="U37" s="147"/>
      <c r="V37" s="147"/>
      <c r="W37" s="147"/>
      <c r="X37" s="147"/>
      <c r="Y37" s="147"/>
      <c r="Z37" s="147"/>
    </row>
    <row r="38" ht="16.5" customHeight="1">
      <c r="A38" s="120" t="s">
        <v>346</v>
      </c>
      <c r="B38" s="152" t="s">
        <v>680</v>
      </c>
      <c r="C38" s="101" t="s">
        <v>1262</v>
      </c>
      <c r="D38" s="162" t="s">
        <v>678</v>
      </c>
      <c r="E38" s="101" t="s">
        <v>1263</v>
      </c>
      <c r="F38" s="96"/>
      <c r="G38" s="96"/>
      <c r="H38" s="147"/>
      <c r="I38" s="147"/>
      <c r="J38" s="147"/>
      <c r="K38" s="147"/>
      <c r="L38" s="147"/>
      <c r="M38" s="147"/>
      <c r="N38" s="147"/>
      <c r="O38" s="147"/>
      <c r="P38" s="147"/>
      <c r="Q38" s="147"/>
      <c r="R38" s="147"/>
      <c r="S38" s="147"/>
      <c r="T38" s="147"/>
      <c r="U38" s="147"/>
      <c r="V38" s="147"/>
      <c r="W38" s="147"/>
      <c r="X38" s="147"/>
      <c r="Y38" s="147"/>
      <c r="Z38" s="147"/>
    </row>
    <row r="39" ht="16.5" customHeight="1">
      <c r="A39" s="96"/>
      <c r="B39" s="121" t="s">
        <v>785</v>
      </c>
      <c r="C39" s="121" t="s">
        <v>785</v>
      </c>
      <c r="D39" s="121" t="s">
        <v>785</v>
      </c>
      <c r="E39" s="121" t="s">
        <v>785</v>
      </c>
      <c r="F39" s="96"/>
      <c r="G39" s="96"/>
      <c r="H39" s="147"/>
      <c r="I39" s="147"/>
      <c r="J39" s="147"/>
      <c r="K39" s="147"/>
      <c r="L39" s="147"/>
      <c r="M39" s="147"/>
      <c r="N39" s="147"/>
      <c r="O39" s="147"/>
      <c r="P39" s="147"/>
      <c r="Q39" s="147"/>
      <c r="R39" s="147"/>
      <c r="S39" s="147"/>
      <c r="T39" s="147"/>
      <c r="U39" s="147"/>
      <c r="V39" s="147"/>
      <c r="W39" s="147"/>
      <c r="X39" s="147"/>
      <c r="Y39" s="147"/>
      <c r="Z39" s="147"/>
    </row>
    <row r="40" ht="16.5" customHeight="1">
      <c r="A40" s="155" t="s">
        <v>7</v>
      </c>
      <c r="B40" s="164" t="s">
        <v>10</v>
      </c>
      <c r="C40" s="30"/>
      <c r="D40" s="164" t="s">
        <v>13</v>
      </c>
      <c r="E40" s="30"/>
      <c r="F40" s="96"/>
      <c r="G40" s="96"/>
      <c r="H40" s="96"/>
      <c r="I40" s="147"/>
      <c r="J40" s="147"/>
      <c r="K40" s="147"/>
      <c r="L40" s="147"/>
      <c r="M40" s="147"/>
      <c r="N40" s="147"/>
      <c r="O40" s="147"/>
      <c r="P40" s="147"/>
      <c r="Q40" s="147"/>
      <c r="R40" s="147"/>
      <c r="S40" s="147"/>
      <c r="T40" s="147"/>
      <c r="U40" s="147"/>
      <c r="V40" s="147"/>
      <c r="W40" s="147"/>
      <c r="X40" s="147"/>
      <c r="Y40" s="147"/>
      <c r="Z40" s="147"/>
    </row>
    <row r="41" ht="15.75" customHeight="1">
      <c r="A41" s="157"/>
      <c r="B41" s="160" t="s">
        <v>11</v>
      </c>
      <c r="C41" s="160" t="s">
        <v>12</v>
      </c>
      <c r="D41" s="158" t="s">
        <v>11</v>
      </c>
      <c r="E41" s="158" t="s">
        <v>12</v>
      </c>
      <c r="F41" s="96"/>
      <c r="G41" s="96"/>
      <c r="H41" s="96"/>
      <c r="I41" s="96"/>
      <c r="J41" s="147"/>
      <c r="K41" s="147"/>
      <c r="L41" s="147"/>
      <c r="M41" s="147"/>
      <c r="N41" s="147"/>
      <c r="O41" s="147"/>
      <c r="P41" s="147"/>
      <c r="Q41" s="147"/>
      <c r="R41" s="147"/>
      <c r="S41" s="147"/>
      <c r="T41" s="147"/>
      <c r="U41" s="147"/>
      <c r="V41" s="147"/>
      <c r="W41" s="147"/>
      <c r="X41" s="147"/>
      <c r="Y41" s="147"/>
      <c r="Z41" s="147"/>
    </row>
    <row r="42" ht="16.5" customHeight="1">
      <c r="A42" s="120" t="s">
        <v>14</v>
      </c>
      <c r="B42" s="165" t="s">
        <v>785</v>
      </c>
      <c r="C42" s="101" t="str">
        <f t="shared" ref="C42:C51" si="1">"Human" &amp; " - " &amp; B$40 &amp; " - " &amp; $A42</f>
        <v>Human - MVC - Availability</v>
      </c>
      <c r="D42" s="105" t="s">
        <v>785</v>
      </c>
      <c r="E42" s="151" t="str">
        <f t="shared" ref="E42:E51" si="2">"Human" &amp; " - " &amp; D$40 &amp; " - " &amp; $A42</f>
        <v>Human - PAC - Availability</v>
      </c>
      <c r="F42" s="96"/>
      <c r="G42" s="96"/>
      <c r="H42" s="96"/>
      <c r="I42" s="147"/>
      <c r="J42" s="147"/>
      <c r="K42" s="147"/>
      <c r="L42" s="147"/>
      <c r="M42" s="147"/>
      <c r="N42" s="147"/>
      <c r="O42" s="147"/>
      <c r="P42" s="147"/>
      <c r="Q42" s="147"/>
      <c r="R42" s="147"/>
      <c r="S42" s="147"/>
      <c r="T42" s="147"/>
      <c r="U42" s="147"/>
      <c r="V42" s="147"/>
      <c r="W42" s="147"/>
      <c r="X42" s="147"/>
      <c r="Y42" s="147"/>
      <c r="Z42" s="147"/>
    </row>
    <row r="43" ht="16.5" customHeight="1">
      <c r="A43" s="120" t="s">
        <v>47</v>
      </c>
      <c r="B43" s="165" t="s">
        <v>785</v>
      </c>
      <c r="C43" s="101" t="str">
        <f t="shared" si="1"/>
        <v>Human - MVC - Deployability</v>
      </c>
      <c r="D43" s="105" t="s">
        <v>785</v>
      </c>
      <c r="E43" s="151" t="str">
        <f t="shared" si="2"/>
        <v>Human - PAC - Deployability</v>
      </c>
      <c r="F43" s="96"/>
      <c r="G43" s="96"/>
      <c r="H43" s="96"/>
      <c r="I43" s="147"/>
      <c r="J43" s="147"/>
      <c r="K43" s="147"/>
      <c r="L43" s="147"/>
      <c r="M43" s="147"/>
      <c r="N43" s="147"/>
      <c r="O43" s="147"/>
      <c r="P43" s="147"/>
      <c r="Q43" s="147"/>
      <c r="R43" s="147"/>
      <c r="S43" s="147"/>
      <c r="T43" s="147"/>
      <c r="U43" s="147"/>
      <c r="V43" s="147"/>
      <c r="W43" s="147"/>
      <c r="X43" s="147"/>
      <c r="Y43" s="147"/>
      <c r="Z43" s="147"/>
    </row>
    <row r="44" ht="16.5" customHeight="1">
      <c r="A44" s="120" t="s">
        <v>80</v>
      </c>
      <c r="B44" s="165" t="s">
        <v>785</v>
      </c>
      <c r="C44" s="101" t="str">
        <f t="shared" si="1"/>
        <v>Human - MVC - Integrability</v>
      </c>
      <c r="D44" s="105" t="s">
        <v>785</v>
      </c>
      <c r="E44" s="151" t="str">
        <f t="shared" si="2"/>
        <v>Human - PAC - Integrability</v>
      </c>
      <c r="F44" s="96"/>
      <c r="G44" s="96"/>
      <c r="H44" s="96"/>
      <c r="I44" s="147"/>
      <c r="J44" s="147"/>
      <c r="K44" s="147"/>
      <c r="L44" s="147"/>
      <c r="M44" s="147"/>
      <c r="N44" s="147"/>
      <c r="O44" s="147"/>
      <c r="P44" s="147"/>
      <c r="Q44" s="147"/>
      <c r="R44" s="147"/>
      <c r="S44" s="147"/>
      <c r="T44" s="147"/>
      <c r="U44" s="147"/>
      <c r="V44" s="147"/>
      <c r="W44" s="147"/>
      <c r="X44" s="147"/>
      <c r="Y44" s="147"/>
      <c r="Z44" s="147"/>
    </row>
    <row r="45" ht="16.5" customHeight="1">
      <c r="A45" s="120" t="s">
        <v>117</v>
      </c>
      <c r="B45" s="165" t="s">
        <v>785</v>
      </c>
      <c r="C45" s="101" t="str">
        <f t="shared" si="1"/>
        <v>Human - MVC - Energy Efficiency</v>
      </c>
      <c r="D45" s="105" t="s">
        <v>785</v>
      </c>
      <c r="E45" s="151" t="str">
        <f t="shared" si="2"/>
        <v>Human - PAC - Energy Efficiency</v>
      </c>
      <c r="F45" s="96"/>
      <c r="G45" s="96"/>
      <c r="H45" s="96"/>
      <c r="I45" s="147"/>
      <c r="J45" s="147"/>
      <c r="K45" s="147"/>
      <c r="L45" s="147"/>
      <c r="M45" s="147"/>
      <c r="N45" s="147"/>
      <c r="O45" s="147"/>
      <c r="P45" s="147"/>
      <c r="Q45" s="147"/>
      <c r="R45" s="147"/>
      <c r="S45" s="147"/>
      <c r="T45" s="147"/>
      <c r="U45" s="147"/>
      <c r="V45" s="147"/>
      <c r="W45" s="147"/>
      <c r="X45" s="147"/>
      <c r="Y45" s="147"/>
      <c r="Z45" s="147"/>
    </row>
    <row r="46" ht="16.5" customHeight="1">
      <c r="A46" s="120" t="s">
        <v>151</v>
      </c>
      <c r="B46" s="165" t="s">
        <v>785</v>
      </c>
      <c r="C46" s="101" t="str">
        <f t="shared" si="1"/>
        <v>Human - MVC - Modifiability</v>
      </c>
      <c r="D46" s="105" t="s">
        <v>785</v>
      </c>
      <c r="E46" s="151" t="str">
        <f t="shared" si="2"/>
        <v>Human - PAC - Modifiability</v>
      </c>
      <c r="F46" s="96"/>
      <c r="G46" s="96"/>
      <c r="H46" s="96"/>
      <c r="I46" s="147"/>
      <c r="J46" s="147"/>
      <c r="K46" s="147"/>
      <c r="L46" s="147"/>
      <c r="M46" s="147"/>
      <c r="N46" s="147"/>
      <c r="O46" s="147"/>
      <c r="P46" s="147"/>
      <c r="Q46" s="147"/>
      <c r="R46" s="147"/>
      <c r="S46" s="147"/>
      <c r="T46" s="147"/>
      <c r="U46" s="147"/>
      <c r="V46" s="147"/>
      <c r="W46" s="147"/>
      <c r="X46" s="147"/>
      <c r="Y46" s="147"/>
      <c r="Z46" s="147"/>
    </row>
    <row r="47" ht="16.5" customHeight="1">
      <c r="A47" s="120" t="s">
        <v>186</v>
      </c>
      <c r="B47" s="165" t="s">
        <v>785</v>
      </c>
      <c r="C47" s="101" t="str">
        <f t="shared" si="1"/>
        <v>Human - MVC - Performance</v>
      </c>
      <c r="D47" s="105" t="s">
        <v>785</v>
      </c>
      <c r="E47" s="151" t="str">
        <f t="shared" si="2"/>
        <v>Human - PAC - Performance</v>
      </c>
      <c r="F47" s="96"/>
      <c r="G47" s="96"/>
      <c r="H47" s="96"/>
      <c r="I47" s="147"/>
      <c r="J47" s="147"/>
      <c r="K47" s="147"/>
      <c r="L47" s="147"/>
      <c r="M47" s="147"/>
      <c r="N47" s="147"/>
      <c r="O47" s="147"/>
      <c r="P47" s="147"/>
      <c r="Q47" s="147"/>
      <c r="R47" s="147"/>
      <c r="S47" s="147"/>
      <c r="T47" s="147"/>
      <c r="U47" s="147"/>
      <c r="V47" s="147"/>
      <c r="W47" s="147"/>
      <c r="X47" s="147"/>
      <c r="Y47" s="147"/>
      <c r="Z47" s="147"/>
    </row>
    <row r="48" ht="16.5" customHeight="1">
      <c r="A48" s="120" t="s">
        <v>221</v>
      </c>
      <c r="B48" s="165" t="s">
        <v>785</v>
      </c>
      <c r="C48" s="101" t="str">
        <f t="shared" si="1"/>
        <v>Human - MVC - Safety</v>
      </c>
      <c r="D48" s="105" t="s">
        <v>785</v>
      </c>
      <c r="E48" s="151" t="str">
        <f t="shared" si="2"/>
        <v>Human - PAC - Safety</v>
      </c>
      <c r="F48" s="96"/>
      <c r="G48" s="96"/>
      <c r="H48" s="96"/>
      <c r="I48" s="147"/>
      <c r="J48" s="147"/>
      <c r="K48" s="147"/>
      <c r="L48" s="147"/>
      <c r="M48" s="147"/>
      <c r="N48" s="147"/>
      <c r="O48" s="147"/>
      <c r="P48" s="147"/>
      <c r="Q48" s="147"/>
      <c r="R48" s="147"/>
      <c r="S48" s="147"/>
      <c r="T48" s="147"/>
      <c r="U48" s="147"/>
      <c r="V48" s="147"/>
      <c r="W48" s="147"/>
      <c r="X48" s="147"/>
      <c r="Y48" s="147"/>
      <c r="Z48" s="147"/>
    </row>
    <row r="49" ht="16.5" customHeight="1">
      <c r="A49" s="120" t="s">
        <v>261</v>
      </c>
      <c r="B49" s="165" t="s">
        <v>785</v>
      </c>
      <c r="C49" s="101" t="str">
        <f t="shared" si="1"/>
        <v>Human - MVC - Security</v>
      </c>
      <c r="D49" s="105" t="s">
        <v>785</v>
      </c>
      <c r="E49" s="151" t="str">
        <f t="shared" si="2"/>
        <v>Human - PAC - Security</v>
      </c>
      <c r="F49" s="96"/>
      <c r="G49" s="96"/>
      <c r="H49" s="96"/>
      <c r="I49" s="147"/>
      <c r="J49" s="147"/>
      <c r="K49" s="147"/>
      <c r="L49" s="147"/>
      <c r="M49" s="147"/>
      <c r="N49" s="147"/>
      <c r="O49" s="147"/>
      <c r="P49" s="147"/>
      <c r="Q49" s="147"/>
      <c r="R49" s="147"/>
      <c r="S49" s="147"/>
      <c r="T49" s="147"/>
      <c r="U49" s="147"/>
      <c r="V49" s="147"/>
      <c r="W49" s="147"/>
      <c r="X49" s="147"/>
      <c r="Y49" s="147"/>
      <c r="Z49" s="147"/>
    </row>
    <row r="50" ht="15.75" customHeight="1">
      <c r="A50" s="120" t="s">
        <v>310</v>
      </c>
      <c r="B50" s="165" t="s">
        <v>785</v>
      </c>
      <c r="C50" s="101" t="str">
        <f t="shared" si="1"/>
        <v>Human - MVC - Testability</v>
      </c>
      <c r="D50" s="105" t="s">
        <v>785</v>
      </c>
      <c r="E50" s="151" t="str">
        <f t="shared" si="2"/>
        <v>Human - PAC - Testability</v>
      </c>
      <c r="F50" s="96"/>
      <c r="G50" s="121" t="s">
        <v>785</v>
      </c>
      <c r="H50" s="96"/>
      <c r="I50" s="121"/>
      <c r="J50" s="147"/>
      <c r="K50" s="147"/>
      <c r="L50" s="147"/>
      <c r="M50" s="147"/>
      <c r="N50" s="147"/>
      <c r="O50" s="147"/>
      <c r="P50" s="147"/>
      <c r="Q50" s="147"/>
      <c r="R50" s="147"/>
      <c r="S50" s="147"/>
      <c r="T50" s="147"/>
      <c r="U50" s="147"/>
      <c r="V50" s="147"/>
      <c r="W50" s="147"/>
      <c r="X50" s="147"/>
      <c r="Y50" s="147"/>
      <c r="Z50" s="147"/>
    </row>
    <row r="51" ht="15.75" customHeight="1">
      <c r="A51" s="120" t="s">
        <v>346</v>
      </c>
      <c r="B51" s="165" t="s">
        <v>785</v>
      </c>
      <c r="C51" s="101" t="str">
        <f t="shared" si="1"/>
        <v>Human - MVC - Usability</v>
      </c>
      <c r="D51" s="105" t="s">
        <v>785</v>
      </c>
      <c r="E51" s="151" t="str">
        <f t="shared" si="2"/>
        <v>Human - PAC - Usability</v>
      </c>
      <c r="F51" s="96"/>
      <c r="G51" s="121" t="s">
        <v>785</v>
      </c>
      <c r="H51" s="96"/>
      <c r="I51" s="96"/>
      <c r="J51" s="147"/>
      <c r="K51" s="147"/>
      <c r="L51" s="147"/>
      <c r="M51" s="147"/>
      <c r="N51" s="147"/>
      <c r="O51" s="147"/>
      <c r="P51" s="147"/>
      <c r="Q51" s="147"/>
      <c r="R51" s="147"/>
      <c r="S51" s="147"/>
      <c r="T51" s="147"/>
      <c r="U51" s="147"/>
      <c r="V51" s="147"/>
      <c r="W51" s="147"/>
      <c r="X51" s="147"/>
      <c r="Y51" s="147"/>
      <c r="Z51" s="147"/>
    </row>
    <row r="52" ht="16.5" customHeight="1">
      <c r="A52" s="96"/>
      <c r="B52" s="121" t="s">
        <v>785</v>
      </c>
      <c r="C52" s="96"/>
      <c r="D52" s="121" t="s">
        <v>785</v>
      </c>
      <c r="E52" s="96"/>
      <c r="F52" s="96"/>
      <c r="G52" s="96"/>
      <c r="H52" s="147"/>
      <c r="I52" s="147"/>
      <c r="J52" s="147"/>
      <c r="K52" s="147"/>
      <c r="L52" s="147"/>
      <c r="M52" s="147"/>
      <c r="N52" s="147"/>
      <c r="O52" s="147"/>
      <c r="P52" s="147"/>
      <c r="Q52" s="147"/>
      <c r="R52" s="147"/>
      <c r="S52" s="147"/>
      <c r="T52" s="147"/>
      <c r="U52" s="147"/>
      <c r="V52" s="147"/>
      <c r="W52" s="147"/>
      <c r="X52" s="147"/>
      <c r="Y52" s="147"/>
      <c r="Z52" s="147"/>
    </row>
    <row r="53" ht="16.5" customHeight="1">
      <c r="A53" s="155" t="s">
        <v>413</v>
      </c>
      <c r="B53" s="156" t="s">
        <v>414</v>
      </c>
      <c r="C53" s="30"/>
      <c r="D53" s="156" t="s">
        <v>415</v>
      </c>
      <c r="E53" s="30"/>
      <c r="F53" s="96"/>
      <c r="G53" s="121" t="s">
        <v>785</v>
      </c>
      <c r="H53" s="96"/>
      <c r="I53" s="147"/>
      <c r="J53" s="147"/>
      <c r="K53" s="147"/>
      <c r="L53" s="147"/>
      <c r="M53" s="147"/>
      <c r="N53" s="147"/>
      <c r="O53" s="147"/>
      <c r="P53" s="147"/>
      <c r="Q53" s="147"/>
      <c r="R53" s="147"/>
      <c r="S53" s="147"/>
      <c r="T53" s="147"/>
      <c r="U53" s="147"/>
      <c r="V53" s="147"/>
      <c r="W53" s="147"/>
      <c r="X53" s="147"/>
      <c r="Y53" s="147"/>
      <c r="Z53" s="147"/>
    </row>
    <row r="54" ht="16.5" customHeight="1">
      <c r="A54" s="166"/>
      <c r="B54" s="158" t="s">
        <v>11</v>
      </c>
      <c r="C54" s="159" t="s">
        <v>12</v>
      </c>
      <c r="D54" s="158" t="s">
        <v>11</v>
      </c>
      <c r="E54" s="159" t="s">
        <v>12</v>
      </c>
      <c r="F54" s="96"/>
      <c r="G54" s="121" t="s">
        <v>785</v>
      </c>
      <c r="H54" s="96"/>
      <c r="I54" s="147"/>
      <c r="J54" s="147"/>
      <c r="K54" s="147"/>
      <c r="L54" s="147"/>
      <c r="M54" s="147"/>
      <c r="N54" s="147"/>
      <c r="O54" s="147"/>
      <c r="P54" s="147"/>
      <c r="Q54" s="147"/>
      <c r="R54" s="147"/>
      <c r="S54" s="147"/>
      <c r="T54" s="147"/>
      <c r="U54" s="147"/>
      <c r="V54" s="147"/>
      <c r="W54" s="147"/>
      <c r="X54" s="147"/>
      <c r="Y54" s="147"/>
      <c r="Z54" s="147"/>
    </row>
    <row r="55" ht="16.5" customHeight="1">
      <c r="A55" s="120" t="s">
        <v>14</v>
      </c>
      <c r="B55" s="149" t="s">
        <v>693</v>
      </c>
      <c r="C55" s="167" t="s">
        <v>1264</v>
      </c>
      <c r="D55" s="168" t="s">
        <v>680</v>
      </c>
      <c r="E55" s="167" t="s">
        <v>1265</v>
      </c>
      <c r="F55" s="96"/>
      <c r="G55" s="121" t="s">
        <v>785</v>
      </c>
      <c r="H55" s="96"/>
      <c r="I55" s="147"/>
      <c r="J55" s="147"/>
      <c r="K55" s="147"/>
      <c r="L55" s="147"/>
      <c r="M55" s="147"/>
      <c r="N55" s="147"/>
      <c r="O55" s="147"/>
      <c r="P55" s="147"/>
      <c r="Q55" s="147"/>
      <c r="R55" s="147"/>
      <c r="S55" s="147"/>
      <c r="T55" s="147"/>
      <c r="U55" s="147"/>
      <c r="V55" s="147"/>
      <c r="W55" s="147"/>
      <c r="X55" s="147"/>
      <c r="Y55" s="147"/>
      <c r="Z55" s="147"/>
    </row>
    <row r="56" ht="16.5" customHeight="1">
      <c r="A56" s="120" t="s">
        <v>47</v>
      </c>
      <c r="B56" s="149" t="s">
        <v>673</v>
      </c>
      <c r="C56" s="101" t="s">
        <v>1266</v>
      </c>
      <c r="D56" s="149" t="s">
        <v>680</v>
      </c>
      <c r="E56" s="167" t="s">
        <v>1267</v>
      </c>
      <c r="F56" s="96"/>
      <c r="G56" s="121" t="s">
        <v>785</v>
      </c>
      <c r="H56" s="96"/>
      <c r="I56" s="147"/>
      <c r="J56" s="147"/>
      <c r="K56" s="147"/>
      <c r="L56" s="147"/>
      <c r="M56" s="147"/>
      <c r="N56" s="147"/>
      <c r="O56" s="147"/>
      <c r="P56" s="147"/>
      <c r="Q56" s="147"/>
      <c r="R56" s="147"/>
      <c r="S56" s="147"/>
      <c r="T56" s="147"/>
      <c r="U56" s="147"/>
      <c r="V56" s="147"/>
      <c r="W56" s="147"/>
      <c r="X56" s="147"/>
      <c r="Y56" s="147"/>
      <c r="Z56" s="147"/>
    </row>
    <row r="57" ht="16.5" customHeight="1">
      <c r="A57" s="120" t="s">
        <v>80</v>
      </c>
      <c r="B57" s="152" t="s">
        <v>673</v>
      </c>
      <c r="C57" s="101" t="s">
        <v>1268</v>
      </c>
      <c r="D57" s="168" t="s">
        <v>678</v>
      </c>
      <c r="E57" s="167" t="s">
        <v>1269</v>
      </c>
      <c r="F57" s="96"/>
      <c r="G57" s="121" t="s">
        <v>785</v>
      </c>
      <c r="H57" s="96"/>
      <c r="I57" s="147"/>
      <c r="J57" s="147"/>
      <c r="K57" s="147"/>
      <c r="L57" s="147"/>
      <c r="M57" s="147"/>
      <c r="N57" s="147"/>
      <c r="O57" s="147"/>
      <c r="P57" s="147"/>
      <c r="Q57" s="147"/>
      <c r="R57" s="147"/>
      <c r="S57" s="147"/>
      <c r="T57" s="147"/>
      <c r="U57" s="147"/>
      <c r="V57" s="147"/>
      <c r="W57" s="147"/>
      <c r="X57" s="147"/>
      <c r="Y57" s="147"/>
      <c r="Z57" s="147"/>
    </row>
    <row r="58" ht="16.5" customHeight="1">
      <c r="A58" s="120" t="s">
        <v>117</v>
      </c>
      <c r="B58" s="168" t="s">
        <v>736</v>
      </c>
      <c r="C58" s="167" t="s">
        <v>1270</v>
      </c>
      <c r="D58" s="168" t="s">
        <v>673</v>
      </c>
      <c r="E58" s="167" t="s">
        <v>1271</v>
      </c>
      <c r="F58" s="96"/>
      <c r="G58" s="121" t="s">
        <v>785</v>
      </c>
      <c r="H58" s="96"/>
      <c r="I58" s="147"/>
      <c r="J58" s="147"/>
      <c r="K58" s="147"/>
      <c r="L58" s="147"/>
      <c r="M58" s="147"/>
      <c r="N58" s="147"/>
      <c r="O58" s="147"/>
      <c r="P58" s="147"/>
      <c r="Q58" s="147"/>
      <c r="R58" s="147"/>
      <c r="S58" s="147"/>
      <c r="T58" s="147"/>
      <c r="U58" s="147"/>
      <c r="V58" s="147"/>
      <c r="W58" s="147"/>
      <c r="X58" s="147"/>
      <c r="Y58" s="147"/>
      <c r="Z58" s="147"/>
    </row>
    <row r="59" ht="16.5" customHeight="1">
      <c r="A59" s="120" t="s">
        <v>151</v>
      </c>
      <c r="B59" s="168" t="s">
        <v>673</v>
      </c>
      <c r="C59" s="167" t="s">
        <v>1272</v>
      </c>
      <c r="D59" s="168" t="s">
        <v>678</v>
      </c>
      <c r="E59" s="167" t="s">
        <v>1273</v>
      </c>
      <c r="F59" s="96"/>
      <c r="G59" s="121" t="s">
        <v>785</v>
      </c>
      <c r="H59" s="96"/>
      <c r="I59" s="147"/>
      <c r="J59" s="147"/>
      <c r="K59" s="147"/>
      <c r="L59" s="147"/>
      <c r="M59" s="147"/>
      <c r="N59" s="147"/>
      <c r="O59" s="147"/>
      <c r="P59" s="147"/>
      <c r="Q59" s="147"/>
      <c r="R59" s="147"/>
      <c r="S59" s="147"/>
      <c r="T59" s="147"/>
      <c r="U59" s="147"/>
      <c r="V59" s="147"/>
      <c r="W59" s="147"/>
      <c r="X59" s="147"/>
      <c r="Y59" s="147"/>
      <c r="Z59" s="147"/>
    </row>
    <row r="60" ht="15.75" customHeight="1">
      <c r="A60" s="120" t="s">
        <v>186</v>
      </c>
      <c r="B60" s="149" t="s">
        <v>678</v>
      </c>
      <c r="C60" s="101" t="s">
        <v>1274</v>
      </c>
      <c r="D60" s="152" t="s">
        <v>680</v>
      </c>
      <c r="E60" s="167" t="s">
        <v>1275</v>
      </c>
      <c r="F60" s="96"/>
      <c r="G60" s="121" t="s">
        <v>785</v>
      </c>
      <c r="H60" s="96"/>
      <c r="I60" s="121"/>
      <c r="J60" s="147"/>
      <c r="K60" s="147"/>
      <c r="L60" s="147"/>
      <c r="M60" s="147"/>
      <c r="N60" s="147"/>
      <c r="O60" s="147"/>
      <c r="P60" s="147"/>
      <c r="Q60" s="147"/>
      <c r="R60" s="147"/>
      <c r="S60" s="147"/>
      <c r="T60" s="147"/>
      <c r="U60" s="147"/>
      <c r="V60" s="147"/>
      <c r="W60" s="147"/>
      <c r="X60" s="147"/>
      <c r="Y60" s="147"/>
      <c r="Z60" s="147"/>
    </row>
    <row r="61" ht="15.75" customHeight="1">
      <c r="A61" s="120" t="s">
        <v>221</v>
      </c>
      <c r="B61" s="149" t="s">
        <v>673</v>
      </c>
      <c r="C61" s="167" t="s">
        <v>1276</v>
      </c>
      <c r="D61" s="152" t="s">
        <v>680</v>
      </c>
      <c r="E61" s="167" t="s">
        <v>1277</v>
      </c>
      <c r="F61" s="96"/>
      <c r="G61" s="121" t="s">
        <v>785</v>
      </c>
      <c r="H61" s="96"/>
      <c r="I61" s="96"/>
      <c r="J61" s="147"/>
      <c r="K61" s="147"/>
      <c r="L61" s="147"/>
      <c r="M61" s="147"/>
      <c r="N61" s="147"/>
      <c r="O61" s="147"/>
      <c r="P61" s="147"/>
      <c r="Q61" s="147"/>
      <c r="R61" s="147"/>
      <c r="S61" s="147"/>
      <c r="T61" s="147"/>
      <c r="U61" s="147"/>
      <c r="V61" s="147"/>
      <c r="W61" s="147"/>
      <c r="X61" s="147"/>
      <c r="Y61" s="147"/>
      <c r="Z61" s="147"/>
    </row>
    <row r="62" ht="16.5" customHeight="1">
      <c r="A62" s="120" t="s">
        <v>261</v>
      </c>
      <c r="B62" s="168" t="s">
        <v>678</v>
      </c>
      <c r="C62" s="167" t="s">
        <v>1278</v>
      </c>
      <c r="D62" s="168" t="s">
        <v>678</v>
      </c>
      <c r="E62" s="167" t="s">
        <v>1279</v>
      </c>
      <c r="F62" s="96"/>
      <c r="G62" s="121" t="s">
        <v>785</v>
      </c>
      <c r="H62" s="96"/>
      <c r="I62" s="147"/>
      <c r="J62" s="147"/>
      <c r="K62" s="147"/>
      <c r="L62" s="147"/>
      <c r="M62" s="147"/>
      <c r="N62" s="147"/>
      <c r="O62" s="147"/>
      <c r="P62" s="147"/>
      <c r="Q62" s="147"/>
      <c r="R62" s="147"/>
      <c r="S62" s="147"/>
      <c r="T62" s="147"/>
      <c r="U62" s="147"/>
      <c r="V62" s="147"/>
      <c r="W62" s="147"/>
      <c r="X62" s="147"/>
      <c r="Y62" s="147"/>
      <c r="Z62" s="147"/>
    </row>
    <row r="63" ht="16.5" customHeight="1">
      <c r="A63" s="120" t="s">
        <v>310</v>
      </c>
      <c r="B63" s="168" t="s">
        <v>680</v>
      </c>
      <c r="C63" s="167" t="s">
        <v>1280</v>
      </c>
      <c r="D63" s="152" t="s">
        <v>673</v>
      </c>
      <c r="E63" s="167" t="s">
        <v>1281</v>
      </c>
      <c r="F63" s="96"/>
      <c r="G63" s="121" t="s">
        <v>785</v>
      </c>
      <c r="H63" s="96"/>
      <c r="I63" s="147"/>
      <c r="J63" s="147"/>
      <c r="K63" s="147"/>
      <c r="L63" s="147"/>
      <c r="M63" s="147"/>
      <c r="N63" s="147"/>
      <c r="O63" s="147"/>
      <c r="P63" s="147"/>
      <c r="Q63" s="147"/>
      <c r="R63" s="147"/>
      <c r="S63" s="147"/>
      <c r="T63" s="147"/>
      <c r="U63" s="147"/>
      <c r="V63" s="147"/>
      <c r="W63" s="147"/>
      <c r="X63" s="147"/>
      <c r="Y63" s="147"/>
      <c r="Z63" s="147"/>
    </row>
    <row r="64" ht="16.5" customHeight="1">
      <c r="A64" s="120" t="s">
        <v>346</v>
      </c>
      <c r="B64" s="168" t="s">
        <v>678</v>
      </c>
      <c r="C64" s="167" t="s">
        <v>1282</v>
      </c>
      <c r="D64" s="168" t="s">
        <v>678</v>
      </c>
      <c r="E64" s="167" t="s">
        <v>1283</v>
      </c>
      <c r="F64" s="96"/>
      <c r="G64" s="121" t="s">
        <v>785</v>
      </c>
      <c r="H64" s="96"/>
      <c r="I64" s="147"/>
      <c r="J64" s="147"/>
      <c r="K64" s="147"/>
      <c r="L64" s="147"/>
      <c r="M64" s="147"/>
      <c r="N64" s="147"/>
      <c r="O64" s="147"/>
      <c r="P64" s="147"/>
      <c r="Q64" s="147"/>
      <c r="R64" s="147"/>
      <c r="S64" s="147"/>
      <c r="T64" s="147"/>
      <c r="U64" s="147"/>
      <c r="V64" s="147"/>
      <c r="W64" s="147"/>
      <c r="X64" s="147"/>
      <c r="Y64" s="147"/>
      <c r="Z64" s="147"/>
    </row>
    <row r="65" ht="16.5" customHeight="1">
      <c r="A65" s="96"/>
      <c r="B65" s="121" t="s">
        <v>785</v>
      </c>
      <c r="C65" s="121" t="s">
        <v>785</v>
      </c>
      <c r="D65" s="121" t="s">
        <v>785</v>
      </c>
      <c r="E65" s="121" t="s">
        <v>785</v>
      </c>
      <c r="F65" s="96"/>
      <c r="G65" s="121" t="s">
        <v>785</v>
      </c>
      <c r="H65" s="96"/>
      <c r="I65" s="147"/>
      <c r="J65" s="147"/>
      <c r="K65" s="147"/>
      <c r="L65" s="147"/>
      <c r="M65" s="147"/>
      <c r="N65" s="147"/>
      <c r="O65" s="147"/>
      <c r="P65" s="147"/>
      <c r="Q65" s="147"/>
      <c r="R65" s="147"/>
      <c r="S65" s="147"/>
      <c r="T65" s="147"/>
      <c r="U65" s="147"/>
      <c r="V65" s="147"/>
      <c r="W65" s="147"/>
      <c r="X65" s="147"/>
      <c r="Y65" s="147"/>
      <c r="Z65" s="147"/>
    </row>
    <row r="66" ht="16.5" customHeight="1">
      <c r="A66" s="155" t="s">
        <v>413</v>
      </c>
      <c r="B66" s="156" t="s">
        <v>420</v>
      </c>
      <c r="C66" s="30"/>
      <c r="D66" s="156" t="s">
        <v>421</v>
      </c>
      <c r="E66" s="30"/>
      <c r="F66" s="156" t="s">
        <v>422</v>
      </c>
      <c r="G66" s="30"/>
      <c r="H66" s="96"/>
      <c r="I66" s="147"/>
      <c r="J66" s="147"/>
      <c r="K66" s="147"/>
      <c r="L66" s="147"/>
      <c r="M66" s="147"/>
      <c r="N66" s="147"/>
      <c r="O66" s="147"/>
      <c r="P66" s="147"/>
      <c r="Q66" s="147"/>
      <c r="R66" s="147"/>
      <c r="S66" s="147"/>
      <c r="T66" s="147"/>
      <c r="U66" s="147"/>
      <c r="V66" s="147"/>
      <c r="W66" s="147"/>
      <c r="X66" s="147"/>
      <c r="Y66" s="147"/>
      <c r="Z66" s="147"/>
    </row>
    <row r="67" ht="16.5" customHeight="1">
      <c r="A67" s="166"/>
      <c r="B67" s="158" t="s">
        <v>11</v>
      </c>
      <c r="C67" s="159" t="s">
        <v>12</v>
      </c>
      <c r="D67" s="158" t="s">
        <v>11</v>
      </c>
      <c r="E67" s="159" t="s">
        <v>12</v>
      </c>
      <c r="F67" s="158" t="s">
        <v>11</v>
      </c>
      <c r="G67" s="159" t="s">
        <v>12</v>
      </c>
      <c r="H67" s="96"/>
      <c r="I67" s="147"/>
      <c r="J67" s="147"/>
      <c r="K67" s="147"/>
      <c r="L67" s="147"/>
      <c r="M67" s="147"/>
      <c r="N67" s="147"/>
      <c r="O67" s="147"/>
      <c r="P67" s="147"/>
      <c r="Q67" s="147"/>
      <c r="R67" s="147"/>
      <c r="S67" s="147"/>
      <c r="T67" s="147"/>
      <c r="U67" s="147"/>
      <c r="V67" s="147"/>
      <c r="W67" s="147"/>
      <c r="X67" s="147"/>
      <c r="Y67" s="147"/>
      <c r="Z67" s="147"/>
    </row>
    <row r="68" ht="16.5" customHeight="1">
      <c r="A68" s="120" t="s">
        <v>14</v>
      </c>
      <c r="B68" s="149" t="s">
        <v>673</v>
      </c>
      <c r="C68" s="167" t="s">
        <v>1284</v>
      </c>
      <c r="D68" s="105" t="s">
        <v>785</v>
      </c>
      <c r="E68" s="151" t="str">
        <f t="shared" ref="E68:E77" si="3">"Human" &amp; " - " &amp; D$66 &amp; " - " &amp; $A68</f>
        <v>Human - Virtual Machine - Availability</v>
      </c>
      <c r="F68" s="105" t="s">
        <v>785</v>
      </c>
      <c r="G68" s="151" t="str">
        <f t="shared" ref="G68:G77" si="4">"Human" &amp; " - " &amp; F$66 &amp; " - " &amp; $A68</f>
        <v>Human - Microkernel - Availability</v>
      </c>
      <c r="H68" s="96"/>
      <c r="I68" s="147"/>
      <c r="J68" s="147"/>
      <c r="K68" s="147"/>
      <c r="L68" s="147"/>
      <c r="M68" s="147"/>
      <c r="N68" s="147"/>
      <c r="O68" s="147"/>
      <c r="P68" s="147"/>
      <c r="Q68" s="147"/>
      <c r="R68" s="147"/>
      <c r="S68" s="147"/>
      <c r="T68" s="147"/>
      <c r="U68" s="147"/>
      <c r="V68" s="147"/>
      <c r="W68" s="147"/>
      <c r="X68" s="147"/>
      <c r="Y68" s="147"/>
      <c r="Z68" s="147"/>
    </row>
    <row r="69" ht="16.5" customHeight="1">
      <c r="A69" s="120" t="s">
        <v>47</v>
      </c>
      <c r="B69" s="149" t="s">
        <v>678</v>
      </c>
      <c r="C69" s="167" t="s">
        <v>1285</v>
      </c>
      <c r="D69" s="105" t="s">
        <v>785</v>
      </c>
      <c r="E69" s="154" t="str">
        <f t="shared" si="3"/>
        <v>Human - Virtual Machine - Deployability</v>
      </c>
      <c r="F69" s="105" t="s">
        <v>785</v>
      </c>
      <c r="G69" s="151" t="str">
        <f t="shared" si="4"/>
        <v>Human - Microkernel - Deployability</v>
      </c>
      <c r="H69" s="96"/>
      <c r="I69" s="147"/>
      <c r="J69" s="147"/>
      <c r="K69" s="147"/>
      <c r="L69" s="147"/>
      <c r="M69" s="147"/>
      <c r="N69" s="147"/>
      <c r="O69" s="147"/>
      <c r="P69" s="147"/>
      <c r="Q69" s="147"/>
      <c r="R69" s="147"/>
      <c r="S69" s="147"/>
      <c r="T69" s="147"/>
      <c r="U69" s="147"/>
      <c r="V69" s="147"/>
      <c r="W69" s="147"/>
      <c r="X69" s="147"/>
      <c r="Y69" s="147"/>
      <c r="Z69" s="147"/>
    </row>
    <row r="70" ht="16.5" customHeight="1">
      <c r="A70" s="120" t="s">
        <v>80</v>
      </c>
      <c r="B70" s="169" t="s">
        <v>680</v>
      </c>
      <c r="C70" s="167" t="s">
        <v>1286</v>
      </c>
      <c r="D70" s="105" t="s">
        <v>785</v>
      </c>
      <c r="E70" s="151" t="str">
        <f t="shared" si="3"/>
        <v>Human - Virtual Machine - Integrability</v>
      </c>
      <c r="F70" s="105" t="s">
        <v>785</v>
      </c>
      <c r="G70" s="151" t="str">
        <f t="shared" si="4"/>
        <v>Human - Microkernel - Integrability</v>
      </c>
      <c r="H70" s="96"/>
      <c r="I70" s="147"/>
      <c r="J70" s="147"/>
      <c r="K70" s="147"/>
      <c r="L70" s="147"/>
      <c r="M70" s="147"/>
      <c r="N70" s="147"/>
      <c r="O70" s="147"/>
      <c r="P70" s="147"/>
      <c r="Q70" s="147"/>
      <c r="R70" s="147"/>
      <c r="S70" s="147"/>
      <c r="T70" s="147"/>
      <c r="U70" s="147"/>
      <c r="V70" s="147"/>
      <c r="W70" s="147"/>
      <c r="X70" s="147"/>
      <c r="Y70" s="147"/>
      <c r="Z70" s="147"/>
    </row>
    <row r="71" ht="16.5" customHeight="1">
      <c r="A71" s="120" t="s">
        <v>117</v>
      </c>
      <c r="B71" s="149" t="s">
        <v>678</v>
      </c>
      <c r="C71" s="167" t="s">
        <v>1287</v>
      </c>
      <c r="D71" s="105" t="s">
        <v>785</v>
      </c>
      <c r="E71" s="151" t="str">
        <f t="shared" si="3"/>
        <v>Human - Virtual Machine - Energy Efficiency</v>
      </c>
      <c r="F71" s="105" t="s">
        <v>785</v>
      </c>
      <c r="G71" s="151" t="str">
        <f t="shared" si="4"/>
        <v>Human - Microkernel - Energy Efficiency</v>
      </c>
      <c r="H71" s="96"/>
      <c r="I71" s="147"/>
      <c r="J71" s="147"/>
      <c r="K71" s="147"/>
      <c r="L71" s="147"/>
      <c r="M71" s="147"/>
      <c r="N71" s="147"/>
      <c r="O71" s="147"/>
      <c r="P71" s="147"/>
      <c r="Q71" s="147"/>
      <c r="R71" s="147"/>
      <c r="S71" s="147"/>
      <c r="T71" s="147"/>
      <c r="U71" s="147"/>
      <c r="V71" s="147"/>
      <c r="W71" s="147"/>
      <c r="X71" s="147"/>
      <c r="Y71" s="147"/>
      <c r="Z71" s="147"/>
    </row>
    <row r="72" ht="16.5" customHeight="1">
      <c r="A72" s="120" t="s">
        <v>151</v>
      </c>
      <c r="B72" s="152" t="s">
        <v>736</v>
      </c>
      <c r="C72" s="167" t="s">
        <v>1288</v>
      </c>
      <c r="D72" s="105" t="s">
        <v>785</v>
      </c>
      <c r="E72" s="151" t="str">
        <f t="shared" si="3"/>
        <v>Human - Virtual Machine - Modifiability</v>
      </c>
      <c r="F72" s="105" t="s">
        <v>785</v>
      </c>
      <c r="G72" s="151" t="str">
        <f t="shared" si="4"/>
        <v>Human - Microkernel - Modifiability</v>
      </c>
      <c r="H72" s="96"/>
      <c r="I72" s="147"/>
      <c r="J72" s="147"/>
      <c r="K72" s="147"/>
      <c r="L72" s="147"/>
      <c r="M72" s="147"/>
      <c r="N72" s="147"/>
      <c r="O72" s="147"/>
      <c r="P72" s="147"/>
      <c r="Q72" s="147"/>
      <c r="R72" s="147"/>
      <c r="S72" s="147"/>
      <c r="T72" s="147"/>
      <c r="U72" s="147"/>
      <c r="V72" s="147"/>
      <c r="W72" s="147"/>
      <c r="X72" s="147"/>
      <c r="Y72" s="147"/>
      <c r="Z72" s="147"/>
    </row>
    <row r="73" ht="16.5" customHeight="1">
      <c r="A73" s="120" t="s">
        <v>186</v>
      </c>
      <c r="B73" s="149" t="s">
        <v>673</v>
      </c>
      <c r="C73" s="167" t="s">
        <v>1289</v>
      </c>
      <c r="D73" s="105" t="s">
        <v>785</v>
      </c>
      <c r="E73" s="151" t="str">
        <f t="shared" si="3"/>
        <v>Human - Virtual Machine - Performance</v>
      </c>
      <c r="F73" s="105" t="s">
        <v>785</v>
      </c>
      <c r="G73" s="151" t="str">
        <f t="shared" si="4"/>
        <v>Human - Microkernel - Performance</v>
      </c>
      <c r="H73" s="96"/>
      <c r="I73" s="147"/>
      <c r="J73" s="147"/>
      <c r="K73" s="147"/>
      <c r="L73" s="147"/>
      <c r="M73" s="147"/>
      <c r="N73" s="147"/>
      <c r="O73" s="147"/>
      <c r="P73" s="147"/>
      <c r="Q73" s="147"/>
      <c r="R73" s="147"/>
      <c r="S73" s="147"/>
      <c r="T73" s="147"/>
      <c r="U73" s="147"/>
      <c r="V73" s="147"/>
      <c r="W73" s="147"/>
      <c r="X73" s="147"/>
      <c r="Y73" s="147"/>
      <c r="Z73" s="147"/>
    </row>
    <row r="74" ht="16.5" customHeight="1">
      <c r="A74" s="120" t="s">
        <v>221</v>
      </c>
      <c r="B74" s="149" t="s">
        <v>678</v>
      </c>
      <c r="C74" s="167" t="s">
        <v>1290</v>
      </c>
      <c r="D74" s="105" t="s">
        <v>785</v>
      </c>
      <c r="E74" s="151" t="str">
        <f t="shared" si="3"/>
        <v>Human - Virtual Machine - Safety</v>
      </c>
      <c r="F74" s="105" t="s">
        <v>785</v>
      </c>
      <c r="G74" s="151" t="str">
        <f t="shared" si="4"/>
        <v>Human - Microkernel - Safety</v>
      </c>
      <c r="H74" s="147"/>
      <c r="I74" s="147"/>
      <c r="J74" s="147"/>
      <c r="K74" s="147"/>
      <c r="L74" s="147"/>
      <c r="M74" s="147"/>
      <c r="N74" s="147"/>
      <c r="O74" s="147"/>
      <c r="P74" s="147"/>
      <c r="Q74" s="147"/>
      <c r="R74" s="147"/>
      <c r="S74" s="147"/>
      <c r="T74" s="147"/>
      <c r="U74" s="147"/>
      <c r="V74" s="147"/>
      <c r="W74" s="147"/>
      <c r="X74" s="147"/>
      <c r="Y74" s="147"/>
      <c r="Z74" s="147"/>
    </row>
    <row r="75" ht="16.5" customHeight="1">
      <c r="A75" s="120" t="s">
        <v>261</v>
      </c>
      <c r="B75" s="152" t="s">
        <v>680</v>
      </c>
      <c r="C75" s="167" t="s">
        <v>1291</v>
      </c>
      <c r="D75" s="105" t="s">
        <v>785</v>
      </c>
      <c r="E75" s="151" t="str">
        <f t="shared" si="3"/>
        <v>Human - Virtual Machine - Security</v>
      </c>
      <c r="F75" s="105" t="s">
        <v>785</v>
      </c>
      <c r="G75" s="151" t="str">
        <f t="shared" si="4"/>
        <v>Human - Microkernel - Security</v>
      </c>
      <c r="H75" s="147"/>
      <c r="I75" s="147"/>
      <c r="J75" s="147"/>
      <c r="K75" s="147"/>
      <c r="L75" s="147"/>
      <c r="M75" s="147"/>
      <c r="N75" s="147"/>
      <c r="O75" s="147"/>
      <c r="P75" s="147"/>
      <c r="Q75" s="147"/>
      <c r="R75" s="147"/>
      <c r="S75" s="147"/>
      <c r="T75" s="147"/>
      <c r="U75" s="147"/>
      <c r="V75" s="147"/>
      <c r="W75" s="147"/>
      <c r="X75" s="147"/>
      <c r="Y75" s="147"/>
      <c r="Z75" s="147"/>
    </row>
    <row r="76" ht="16.5" customHeight="1">
      <c r="A76" s="120" t="s">
        <v>310</v>
      </c>
      <c r="B76" s="149" t="s">
        <v>678</v>
      </c>
      <c r="C76" s="167" t="s">
        <v>1292</v>
      </c>
      <c r="D76" s="105" t="s">
        <v>785</v>
      </c>
      <c r="E76" s="151" t="str">
        <f t="shared" si="3"/>
        <v>Human - Virtual Machine - Testability</v>
      </c>
      <c r="F76" s="105" t="s">
        <v>785</v>
      </c>
      <c r="G76" s="151" t="str">
        <f t="shared" si="4"/>
        <v>Human - Microkernel - Testability</v>
      </c>
      <c r="H76" s="147"/>
      <c r="I76" s="147"/>
      <c r="J76" s="147"/>
      <c r="K76" s="147"/>
      <c r="L76" s="147"/>
      <c r="M76" s="147"/>
      <c r="N76" s="147"/>
      <c r="O76" s="147"/>
      <c r="P76" s="147"/>
      <c r="Q76" s="147"/>
      <c r="R76" s="147"/>
      <c r="S76" s="147"/>
      <c r="T76" s="147"/>
      <c r="U76" s="147"/>
      <c r="V76" s="147"/>
      <c r="W76" s="147"/>
      <c r="X76" s="147"/>
      <c r="Y76" s="147"/>
      <c r="Z76" s="147"/>
    </row>
    <row r="77" ht="16.5" customHeight="1">
      <c r="A77" s="120" t="s">
        <v>346</v>
      </c>
      <c r="B77" s="149" t="s">
        <v>678</v>
      </c>
      <c r="C77" s="167" t="s">
        <v>1293</v>
      </c>
      <c r="D77" s="105" t="s">
        <v>785</v>
      </c>
      <c r="E77" s="151" t="str">
        <f t="shared" si="3"/>
        <v>Human - Virtual Machine - Usability</v>
      </c>
      <c r="F77" s="105" t="s">
        <v>785</v>
      </c>
      <c r="G77" s="151" t="str">
        <f t="shared" si="4"/>
        <v>Human - Microkernel - Usability</v>
      </c>
      <c r="H77" s="147"/>
      <c r="I77" s="147"/>
      <c r="J77" s="147"/>
      <c r="K77" s="147"/>
      <c r="L77" s="147"/>
      <c r="M77" s="147"/>
      <c r="N77" s="147"/>
      <c r="O77" s="147"/>
      <c r="P77" s="147"/>
      <c r="Q77" s="147"/>
      <c r="R77" s="147"/>
      <c r="S77" s="147"/>
      <c r="T77" s="147"/>
      <c r="U77" s="147"/>
      <c r="V77" s="147"/>
      <c r="W77" s="147"/>
      <c r="X77" s="147"/>
      <c r="Y77" s="147"/>
      <c r="Z77" s="147"/>
    </row>
    <row r="78" ht="16.5" customHeight="1">
      <c r="A78" s="96"/>
      <c r="B78" s="121" t="s">
        <v>785</v>
      </c>
      <c r="C78" s="121" t="s">
        <v>785</v>
      </c>
      <c r="D78" s="121" t="s">
        <v>785</v>
      </c>
      <c r="E78" s="121" t="s">
        <v>785</v>
      </c>
      <c r="F78" s="121" t="s">
        <v>785</v>
      </c>
      <c r="G78" s="121" t="s">
        <v>785</v>
      </c>
      <c r="H78" s="147"/>
      <c r="I78" s="147"/>
      <c r="J78" s="147"/>
      <c r="K78" s="147"/>
      <c r="L78" s="147"/>
      <c r="M78" s="147"/>
      <c r="N78" s="147"/>
      <c r="O78" s="147"/>
      <c r="P78" s="147"/>
      <c r="Q78" s="147"/>
      <c r="R78" s="147"/>
      <c r="S78" s="147"/>
      <c r="T78" s="147"/>
      <c r="U78" s="147"/>
      <c r="V78" s="147"/>
      <c r="W78" s="147"/>
      <c r="X78" s="147"/>
      <c r="Y78" s="147"/>
      <c r="Z78" s="147"/>
    </row>
    <row r="79" ht="16.5" customHeight="1">
      <c r="A79" s="155" t="s">
        <v>493</v>
      </c>
      <c r="B79" s="156" t="s">
        <v>672</v>
      </c>
      <c r="C79" s="30"/>
      <c r="D79" s="156" t="s">
        <v>495</v>
      </c>
      <c r="E79" s="30"/>
      <c r="F79" s="147"/>
      <c r="G79" s="147"/>
      <c r="H79" s="147"/>
      <c r="I79" s="147"/>
      <c r="J79" s="147"/>
      <c r="K79" s="147"/>
      <c r="L79" s="147"/>
      <c r="M79" s="147"/>
      <c r="N79" s="147"/>
      <c r="O79" s="147"/>
      <c r="P79" s="147"/>
      <c r="Q79" s="147"/>
      <c r="R79" s="147"/>
      <c r="S79" s="147"/>
      <c r="T79" s="147"/>
      <c r="U79" s="147"/>
      <c r="V79" s="147"/>
      <c r="W79" s="147"/>
      <c r="X79" s="147"/>
      <c r="Y79" s="147"/>
      <c r="Z79" s="147"/>
    </row>
    <row r="80" ht="16.5" customHeight="1">
      <c r="A80" s="31"/>
      <c r="B80" s="158" t="s">
        <v>11</v>
      </c>
      <c r="C80" s="158" t="s">
        <v>12</v>
      </c>
      <c r="D80" s="158" t="s">
        <v>11</v>
      </c>
      <c r="E80" s="158" t="s">
        <v>12</v>
      </c>
      <c r="F80" s="147"/>
      <c r="G80" s="147"/>
      <c r="H80" s="147"/>
      <c r="I80" s="147"/>
      <c r="J80" s="147"/>
      <c r="K80" s="147"/>
      <c r="L80" s="147"/>
      <c r="M80" s="147"/>
      <c r="N80" s="147"/>
      <c r="O80" s="147"/>
      <c r="P80" s="147"/>
      <c r="Q80" s="147"/>
      <c r="R80" s="147"/>
      <c r="S80" s="147"/>
      <c r="T80" s="147"/>
      <c r="U80" s="147"/>
      <c r="V80" s="147"/>
      <c r="W80" s="147"/>
      <c r="X80" s="147"/>
      <c r="Y80" s="147"/>
      <c r="Z80" s="147"/>
    </row>
    <row r="81" ht="16.5" customHeight="1">
      <c r="A81" s="120" t="s">
        <v>14</v>
      </c>
      <c r="B81" s="170" t="s">
        <v>678</v>
      </c>
      <c r="C81" s="167" t="s">
        <v>1294</v>
      </c>
      <c r="D81" s="170" t="s">
        <v>678</v>
      </c>
      <c r="E81" s="167" t="s">
        <v>1295</v>
      </c>
      <c r="F81" s="147"/>
      <c r="G81" s="147"/>
      <c r="H81" s="147"/>
      <c r="I81" s="147"/>
      <c r="J81" s="147"/>
      <c r="K81" s="147"/>
      <c r="L81" s="147"/>
      <c r="M81" s="147"/>
      <c r="N81" s="147"/>
      <c r="O81" s="147"/>
      <c r="P81" s="147"/>
      <c r="Q81" s="147"/>
      <c r="R81" s="147"/>
      <c r="S81" s="147"/>
      <c r="T81" s="147"/>
      <c r="U81" s="147"/>
      <c r="V81" s="147"/>
      <c r="W81" s="147"/>
      <c r="X81" s="147"/>
      <c r="Y81" s="147"/>
      <c r="Z81" s="147"/>
    </row>
    <row r="82" ht="16.5" customHeight="1">
      <c r="A82" s="120" t="s">
        <v>47</v>
      </c>
      <c r="B82" s="168" t="s">
        <v>736</v>
      </c>
      <c r="C82" s="167" t="s">
        <v>1296</v>
      </c>
      <c r="D82" s="168" t="s">
        <v>736</v>
      </c>
      <c r="E82" s="167" t="s">
        <v>1297</v>
      </c>
      <c r="F82" s="147"/>
      <c r="G82" s="147"/>
      <c r="H82" s="147"/>
      <c r="I82" s="147"/>
      <c r="J82" s="147"/>
      <c r="K82" s="147"/>
      <c r="L82" s="147"/>
      <c r="M82" s="147"/>
      <c r="N82" s="147"/>
      <c r="O82" s="147"/>
      <c r="P82" s="147"/>
      <c r="Q82" s="147"/>
      <c r="R82" s="147"/>
      <c r="S82" s="147"/>
      <c r="T82" s="147"/>
      <c r="U82" s="147"/>
      <c r="V82" s="147"/>
      <c r="W82" s="147"/>
      <c r="X82" s="147"/>
      <c r="Y82" s="147"/>
      <c r="Z82" s="147"/>
    </row>
    <row r="83" ht="16.5" customHeight="1">
      <c r="A83" s="120" t="s">
        <v>80</v>
      </c>
      <c r="B83" s="168" t="s">
        <v>680</v>
      </c>
      <c r="C83" s="167" t="s">
        <v>1298</v>
      </c>
      <c r="D83" s="168" t="s">
        <v>736</v>
      </c>
      <c r="E83" s="167" t="s">
        <v>1299</v>
      </c>
      <c r="F83" s="147"/>
      <c r="G83" s="147"/>
      <c r="H83" s="147"/>
      <c r="I83" s="147"/>
      <c r="J83" s="147"/>
      <c r="K83" s="147"/>
      <c r="L83" s="147"/>
      <c r="M83" s="147"/>
      <c r="N83" s="147"/>
      <c r="O83" s="147"/>
      <c r="P83" s="147"/>
      <c r="Q83" s="147"/>
      <c r="R83" s="147"/>
      <c r="S83" s="147"/>
      <c r="T83" s="147"/>
      <c r="U83" s="147"/>
      <c r="V83" s="147"/>
      <c r="W83" s="147"/>
      <c r="X83" s="147"/>
      <c r="Y83" s="147"/>
      <c r="Z83" s="147"/>
    </row>
    <row r="84" ht="16.5" customHeight="1">
      <c r="A84" s="120" t="s">
        <v>117</v>
      </c>
      <c r="B84" s="170" t="s">
        <v>673</v>
      </c>
      <c r="C84" s="167" t="s">
        <v>1300</v>
      </c>
      <c r="D84" s="168" t="s">
        <v>680</v>
      </c>
      <c r="E84" s="167" t="s">
        <v>1301</v>
      </c>
      <c r="F84" s="147"/>
      <c r="G84" s="147"/>
      <c r="H84" s="147"/>
      <c r="I84" s="147"/>
      <c r="J84" s="147"/>
      <c r="K84" s="147"/>
      <c r="L84" s="147"/>
      <c r="M84" s="147"/>
      <c r="N84" s="147"/>
      <c r="O84" s="147"/>
      <c r="P84" s="147"/>
      <c r="Q84" s="147"/>
      <c r="R84" s="147"/>
      <c r="S84" s="147"/>
      <c r="T84" s="147"/>
      <c r="U84" s="147"/>
      <c r="V84" s="147"/>
      <c r="W84" s="147"/>
      <c r="X84" s="147"/>
      <c r="Y84" s="147"/>
      <c r="Z84" s="147"/>
    </row>
    <row r="85" ht="16.5" customHeight="1">
      <c r="A85" s="120" t="s">
        <v>151</v>
      </c>
      <c r="B85" s="168" t="s">
        <v>680</v>
      </c>
      <c r="C85" s="167" t="s">
        <v>1302</v>
      </c>
      <c r="D85" s="168" t="s">
        <v>680</v>
      </c>
      <c r="E85" s="167" t="s">
        <v>1303</v>
      </c>
      <c r="F85" s="147"/>
      <c r="G85" s="147"/>
      <c r="H85" s="147"/>
      <c r="I85" s="147"/>
      <c r="J85" s="147"/>
      <c r="K85" s="147"/>
      <c r="L85" s="147"/>
      <c r="M85" s="147"/>
      <c r="N85" s="147"/>
      <c r="O85" s="147"/>
      <c r="P85" s="147"/>
      <c r="Q85" s="147"/>
      <c r="R85" s="147"/>
      <c r="S85" s="147"/>
      <c r="T85" s="147"/>
      <c r="U85" s="147"/>
      <c r="V85" s="147"/>
      <c r="W85" s="147"/>
      <c r="X85" s="147"/>
      <c r="Y85" s="147"/>
      <c r="Z85" s="147"/>
    </row>
    <row r="86" ht="16.5" customHeight="1">
      <c r="A86" s="120" t="s">
        <v>186</v>
      </c>
      <c r="B86" s="170" t="s">
        <v>678</v>
      </c>
      <c r="C86" s="167" t="s">
        <v>1304</v>
      </c>
      <c r="D86" s="170" t="s">
        <v>678</v>
      </c>
      <c r="E86" s="167" t="s">
        <v>1305</v>
      </c>
      <c r="F86" s="147"/>
      <c r="G86" s="147"/>
      <c r="H86" s="147"/>
      <c r="I86" s="147"/>
      <c r="J86" s="147"/>
      <c r="K86" s="147"/>
      <c r="L86" s="147"/>
      <c r="M86" s="147"/>
      <c r="N86" s="147"/>
      <c r="O86" s="147"/>
      <c r="P86" s="147"/>
      <c r="Q86" s="147"/>
      <c r="R86" s="147"/>
      <c r="S86" s="147"/>
      <c r="T86" s="147"/>
      <c r="U86" s="147"/>
      <c r="V86" s="147"/>
      <c r="W86" s="147"/>
      <c r="X86" s="147"/>
      <c r="Y86" s="147"/>
      <c r="Z86" s="147"/>
    </row>
    <row r="87" ht="16.5" customHeight="1">
      <c r="A87" s="120" t="s">
        <v>221</v>
      </c>
      <c r="B87" s="168" t="s">
        <v>680</v>
      </c>
      <c r="C87" s="167" t="s">
        <v>1306</v>
      </c>
      <c r="D87" s="170" t="s">
        <v>678</v>
      </c>
      <c r="E87" s="167" t="s">
        <v>1307</v>
      </c>
      <c r="F87" s="147"/>
      <c r="G87" s="147"/>
      <c r="H87" s="147"/>
      <c r="I87" s="147"/>
      <c r="J87" s="147"/>
      <c r="K87" s="147"/>
      <c r="L87" s="147"/>
      <c r="M87" s="147"/>
      <c r="N87" s="147"/>
      <c r="O87" s="147"/>
      <c r="P87" s="147"/>
      <c r="Q87" s="147"/>
      <c r="R87" s="147"/>
      <c r="S87" s="147"/>
      <c r="T87" s="147"/>
      <c r="U87" s="147"/>
      <c r="V87" s="147"/>
      <c r="W87" s="147"/>
      <c r="X87" s="147"/>
      <c r="Y87" s="147"/>
      <c r="Z87" s="147"/>
    </row>
    <row r="88" ht="16.5" customHeight="1">
      <c r="A88" s="120" t="s">
        <v>261</v>
      </c>
      <c r="B88" s="168" t="s">
        <v>736</v>
      </c>
      <c r="C88" s="167" t="s">
        <v>1308</v>
      </c>
      <c r="D88" s="170" t="s">
        <v>673</v>
      </c>
      <c r="E88" s="167" t="s">
        <v>1309</v>
      </c>
      <c r="F88" s="147"/>
      <c r="G88" s="147"/>
      <c r="H88" s="147"/>
      <c r="I88" s="147"/>
      <c r="J88" s="147"/>
      <c r="K88" s="147"/>
      <c r="L88" s="147"/>
      <c r="M88" s="147"/>
      <c r="N88" s="147"/>
      <c r="O88" s="147"/>
      <c r="P88" s="147"/>
      <c r="Q88" s="147"/>
      <c r="R88" s="147"/>
      <c r="S88" s="147"/>
      <c r="T88" s="147"/>
      <c r="U88" s="147"/>
      <c r="V88" s="147"/>
      <c r="W88" s="147"/>
      <c r="X88" s="147"/>
      <c r="Y88" s="147"/>
      <c r="Z88" s="147"/>
    </row>
    <row r="89" ht="16.5" customHeight="1">
      <c r="A89" s="120" t="s">
        <v>310</v>
      </c>
      <c r="B89" s="170" t="s">
        <v>678</v>
      </c>
      <c r="C89" s="167" t="s">
        <v>1310</v>
      </c>
      <c r="D89" s="170" t="s">
        <v>678</v>
      </c>
      <c r="E89" s="167" t="s">
        <v>1311</v>
      </c>
      <c r="F89" s="147"/>
      <c r="G89" s="147"/>
      <c r="H89" s="147"/>
      <c r="I89" s="147"/>
      <c r="J89" s="147"/>
      <c r="K89" s="147"/>
      <c r="L89" s="147"/>
      <c r="M89" s="147"/>
      <c r="N89" s="147"/>
      <c r="O89" s="147"/>
      <c r="P89" s="147"/>
      <c r="Q89" s="147"/>
      <c r="R89" s="147"/>
      <c r="S89" s="147"/>
      <c r="T89" s="147"/>
      <c r="U89" s="147"/>
      <c r="V89" s="147"/>
      <c r="W89" s="147"/>
      <c r="X89" s="147"/>
      <c r="Y89" s="147"/>
      <c r="Z89" s="147"/>
    </row>
    <row r="90" ht="16.5" customHeight="1">
      <c r="A90" s="120" t="s">
        <v>346</v>
      </c>
      <c r="B90" s="170" t="s">
        <v>678</v>
      </c>
      <c r="C90" s="167" t="s">
        <v>1312</v>
      </c>
      <c r="D90" s="168" t="s">
        <v>680</v>
      </c>
      <c r="E90" s="167" t="s">
        <v>1313</v>
      </c>
      <c r="F90" s="147"/>
      <c r="G90" s="147"/>
      <c r="H90" s="147"/>
      <c r="I90" s="147"/>
      <c r="J90" s="147"/>
      <c r="K90" s="147"/>
      <c r="L90" s="147"/>
      <c r="M90" s="147"/>
      <c r="N90" s="147"/>
      <c r="O90" s="147"/>
      <c r="P90" s="147"/>
      <c r="Q90" s="147"/>
      <c r="R90" s="147"/>
      <c r="S90" s="147"/>
      <c r="T90" s="147"/>
      <c r="U90" s="147"/>
      <c r="V90" s="147"/>
      <c r="W90" s="147"/>
      <c r="X90" s="147"/>
      <c r="Y90" s="147"/>
      <c r="Z90" s="147"/>
    </row>
    <row r="91" ht="16.5" customHeight="1">
      <c r="A91" s="96"/>
      <c r="B91" s="121" t="s">
        <v>785</v>
      </c>
      <c r="C91" s="96"/>
      <c r="D91" s="121" t="s">
        <v>785</v>
      </c>
      <c r="E91" s="96"/>
      <c r="F91" s="121" t="s">
        <v>785</v>
      </c>
      <c r="G91" s="96"/>
      <c r="H91" s="147"/>
      <c r="I91" s="147"/>
      <c r="J91" s="147"/>
      <c r="K91" s="147"/>
      <c r="L91" s="147"/>
      <c r="M91" s="147"/>
      <c r="N91" s="147"/>
      <c r="O91" s="147"/>
      <c r="P91" s="147"/>
      <c r="Q91" s="147"/>
      <c r="R91" s="147"/>
      <c r="S91" s="147"/>
      <c r="T91" s="147"/>
      <c r="U91" s="147"/>
      <c r="V91" s="147"/>
      <c r="W91" s="147"/>
      <c r="X91" s="147"/>
      <c r="Y91" s="147"/>
      <c r="Z91" s="147"/>
    </row>
    <row r="92" ht="16.5" customHeight="1">
      <c r="A92" s="155" t="s">
        <v>493</v>
      </c>
      <c r="B92" s="156" t="s">
        <v>550</v>
      </c>
      <c r="C92" s="30"/>
      <c r="D92" s="164" t="s">
        <v>551</v>
      </c>
      <c r="E92" s="30"/>
      <c r="F92" s="147"/>
      <c r="G92" s="147"/>
      <c r="H92" s="147"/>
      <c r="I92" s="147"/>
      <c r="J92" s="147"/>
      <c r="K92" s="147"/>
      <c r="L92" s="147"/>
      <c r="M92" s="147"/>
      <c r="N92" s="147"/>
      <c r="O92" s="147"/>
      <c r="P92" s="147"/>
      <c r="Q92" s="147"/>
      <c r="R92" s="147"/>
      <c r="S92" s="147"/>
      <c r="T92" s="147"/>
      <c r="U92" s="147"/>
      <c r="V92" s="147"/>
      <c r="W92" s="147"/>
      <c r="X92" s="147"/>
      <c r="Y92" s="147"/>
      <c r="Z92" s="147"/>
    </row>
    <row r="93" ht="16.5" customHeight="1">
      <c r="A93" s="31"/>
      <c r="B93" s="158" t="s">
        <v>11</v>
      </c>
      <c r="C93" s="158" t="s">
        <v>12</v>
      </c>
      <c r="D93" s="158" t="s">
        <v>11</v>
      </c>
      <c r="E93" s="158" t="s">
        <v>12</v>
      </c>
      <c r="F93" s="147"/>
      <c r="G93" s="147"/>
      <c r="H93" s="147"/>
      <c r="I93" s="147"/>
      <c r="J93" s="147"/>
      <c r="K93" s="147"/>
      <c r="L93" s="147"/>
      <c r="M93" s="147"/>
      <c r="N93" s="147"/>
      <c r="O93" s="147"/>
      <c r="P93" s="147"/>
      <c r="Q93" s="147"/>
      <c r="R93" s="147"/>
      <c r="S93" s="147"/>
      <c r="T93" s="147"/>
      <c r="U93" s="147"/>
      <c r="V93" s="147"/>
      <c r="W93" s="147"/>
      <c r="X93" s="147"/>
      <c r="Y93" s="147"/>
      <c r="Z93" s="147"/>
    </row>
    <row r="94" ht="16.5" customHeight="1">
      <c r="A94" s="120" t="s">
        <v>14</v>
      </c>
      <c r="B94" s="168" t="s">
        <v>680</v>
      </c>
      <c r="C94" s="167" t="s">
        <v>1314</v>
      </c>
      <c r="D94" s="170" t="s">
        <v>678</v>
      </c>
      <c r="E94" s="167" t="s">
        <v>1315</v>
      </c>
      <c r="F94" s="147"/>
      <c r="G94" s="147"/>
      <c r="H94" s="147"/>
      <c r="I94" s="147"/>
      <c r="J94" s="147"/>
      <c r="K94" s="147"/>
      <c r="L94" s="147"/>
      <c r="M94" s="147"/>
      <c r="N94" s="147"/>
      <c r="O94" s="147"/>
      <c r="P94" s="147"/>
      <c r="Q94" s="147"/>
      <c r="R94" s="147"/>
      <c r="S94" s="147"/>
      <c r="T94" s="147"/>
      <c r="U94" s="147"/>
      <c r="V94" s="147"/>
      <c r="W94" s="147"/>
      <c r="X94" s="147"/>
      <c r="Y94" s="147"/>
      <c r="Z94" s="147"/>
    </row>
    <row r="95" ht="16.5" customHeight="1">
      <c r="A95" s="120" t="s">
        <v>47</v>
      </c>
      <c r="B95" s="168" t="s">
        <v>736</v>
      </c>
      <c r="C95" s="167" t="s">
        <v>1316</v>
      </c>
      <c r="D95" s="170" t="s">
        <v>678</v>
      </c>
      <c r="E95" s="167" t="s">
        <v>1317</v>
      </c>
      <c r="F95" s="147"/>
      <c r="G95" s="147"/>
      <c r="H95" s="147"/>
      <c r="I95" s="147"/>
      <c r="J95" s="147"/>
      <c r="K95" s="147"/>
      <c r="L95" s="147"/>
      <c r="M95" s="147"/>
      <c r="N95" s="147"/>
      <c r="O95" s="147"/>
      <c r="P95" s="147"/>
      <c r="Q95" s="147"/>
      <c r="R95" s="147"/>
      <c r="S95" s="147"/>
      <c r="T95" s="147"/>
      <c r="U95" s="147"/>
      <c r="V95" s="147"/>
      <c r="W95" s="147"/>
      <c r="X95" s="147"/>
      <c r="Y95" s="147"/>
      <c r="Z95" s="147"/>
    </row>
    <row r="96" ht="16.5" customHeight="1">
      <c r="A96" s="120" t="s">
        <v>80</v>
      </c>
      <c r="B96" s="168" t="s">
        <v>736</v>
      </c>
      <c r="C96" s="167" t="s">
        <v>1318</v>
      </c>
      <c r="D96" s="170" t="s">
        <v>673</v>
      </c>
      <c r="E96" s="167" t="s">
        <v>1319</v>
      </c>
      <c r="F96" s="147"/>
      <c r="G96" s="147"/>
      <c r="H96" s="147"/>
      <c r="I96" s="147"/>
      <c r="J96" s="147"/>
      <c r="K96" s="147"/>
      <c r="L96" s="147"/>
      <c r="M96" s="147"/>
      <c r="N96" s="147"/>
      <c r="O96" s="147"/>
      <c r="P96" s="147"/>
      <c r="Q96" s="147"/>
      <c r="R96" s="147"/>
      <c r="S96" s="147"/>
      <c r="T96" s="147"/>
      <c r="U96" s="147"/>
      <c r="V96" s="147"/>
      <c r="W96" s="147"/>
      <c r="X96" s="147"/>
      <c r="Y96" s="147"/>
      <c r="Z96" s="147"/>
    </row>
    <row r="97" ht="16.5" customHeight="1">
      <c r="A97" s="120" t="s">
        <v>117</v>
      </c>
      <c r="B97" s="170" t="s">
        <v>693</v>
      </c>
      <c r="C97" s="167" t="s">
        <v>1320</v>
      </c>
      <c r="D97" s="170" t="s">
        <v>678</v>
      </c>
      <c r="E97" s="167" t="s">
        <v>1321</v>
      </c>
      <c r="F97" s="147"/>
      <c r="G97" s="147"/>
      <c r="H97" s="147"/>
      <c r="I97" s="147"/>
      <c r="J97" s="147"/>
      <c r="K97" s="147"/>
      <c r="L97" s="147"/>
      <c r="M97" s="147"/>
      <c r="N97" s="147"/>
      <c r="O97" s="147"/>
      <c r="P97" s="147"/>
      <c r="Q97" s="147"/>
      <c r="R97" s="147"/>
      <c r="S97" s="147"/>
      <c r="T97" s="147"/>
      <c r="U97" s="147"/>
      <c r="V97" s="147"/>
      <c r="W97" s="147"/>
      <c r="X97" s="147"/>
      <c r="Y97" s="147"/>
      <c r="Z97" s="147"/>
    </row>
    <row r="98" ht="16.5" customHeight="1">
      <c r="A98" s="120" t="s">
        <v>151</v>
      </c>
      <c r="B98" s="168" t="s">
        <v>680</v>
      </c>
      <c r="C98" s="167" t="s">
        <v>1322</v>
      </c>
      <c r="D98" s="170" t="s">
        <v>673</v>
      </c>
      <c r="E98" s="167" t="s">
        <v>1323</v>
      </c>
      <c r="F98" s="147"/>
      <c r="G98" s="147"/>
      <c r="H98" s="147"/>
      <c r="I98" s="147"/>
      <c r="J98" s="147"/>
      <c r="K98" s="147"/>
      <c r="L98" s="147"/>
      <c r="M98" s="147"/>
      <c r="N98" s="147"/>
      <c r="O98" s="147"/>
      <c r="P98" s="147"/>
      <c r="Q98" s="147"/>
      <c r="R98" s="147"/>
      <c r="S98" s="147"/>
      <c r="T98" s="147"/>
      <c r="U98" s="147"/>
      <c r="V98" s="147"/>
      <c r="W98" s="147"/>
      <c r="X98" s="147"/>
      <c r="Y98" s="147"/>
      <c r="Z98" s="147"/>
    </row>
    <row r="99" ht="16.5" customHeight="1">
      <c r="A99" s="120" t="s">
        <v>186</v>
      </c>
      <c r="B99" s="170" t="s">
        <v>673</v>
      </c>
      <c r="C99" s="167" t="s">
        <v>1324</v>
      </c>
      <c r="D99" s="168" t="s">
        <v>680</v>
      </c>
      <c r="E99" s="167" t="s">
        <v>1325</v>
      </c>
      <c r="F99" s="147"/>
      <c r="G99" s="147"/>
      <c r="H99" s="147"/>
      <c r="I99" s="147"/>
      <c r="J99" s="147"/>
      <c r="K99" s="147"/>
      <c r="L99" s="147"/>
      <c r="M99" s="147"/>
      <c r="N99" s="147"/>
      <c r="O99" s="147"/>
      <c r="P99" s="147"/>
      <c r="Q99" s="147"/>
      <c r="R99" s="147"/>
      <c r="S99" s="147"/>
      <c r="T99" s="147"/>
      <c r="U99" s="147"/>
      <c r="V99" s="147"/>
      <c r="W99" s="147"/>
      <c r="X99" s="147"/>
      <c r="Y99" s="147"/>
      <c r="Z99" s="147"/>
    </row>
    <row r="100" ht="16.5" customHeight="1">
      <c r="A100" s="120" t="s">
        <v>221</v>
      </c>
      <c r="B100" s="170" t="s">
        <v>678</v>
      </c>
      <c r="C100" s="167" t="s">
        <v>1326</v>
      </c>
      <c r="D100" s="170" t="s">
        <v>673</v>
      </c>
      <c r="E100" s="167" t="s">
        <v>1327</v>
      </c>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ht="16.5" customHeight="1">
      <c r="A101" s="120" t="s">
        <v>261</v>
      </c>
      <c r="B101" s="168" t="s">
        <v>680</v>
      </c>
      <c r="C101" s="167" t="s">
        <v>1328</v>
      </c>
      <c r="D101" s="170" t="s">
        <v>673</v>
      </c>
      <c r="E101" s="129" t="s">
        <v>1329</v>
      </c>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ht="16.5" customHeight="1">
      <c r="A102" s="120" t="s">
        <v>310</v>
      </c>
      <c r="B102" s="170" t="s">
        <v>673</v>
      </c>
      <c r="C102" s="167" t="s">
        <v>1330</v>
      </c>
      <c r="D102" s="170" t="s">
        <v>673</v>
      </c>
      <c r="E102" s="167" t="s">
        <v>1331</v>
      </c>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ht="16.5" customHeight="1">
      <c r="A103" s="120" t="s">
        <v>346</v>
      </c>
      <c r="B103" s="170" t="s">
        <v>678</v>
      </c>
      <c r="C103" s="167" t="s">
        <v>1332</v>
      </c>
      <c r="D103" s="168" t="s">
        <v>680</v>
      </c>
      <c r="E103" s="167" t="s">
        <v>1333</v>
      </c>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ht="16.5" customHeight="1">
      <c r="A104" s="96"/>
      <c r="B104" s="121" t="s">
        <v>785</v>
      </c>
      <c r="C104" s="96"/>
      <c r="D104" s="121" t="s">
        <v>785</v>
      </c>
      <c r="E104" s="96"/>
      <c r="F104" s="96"/>
      <c r="G104" s="96"/>
      <c r="H104" s="147"/>
      <c r="I104" s="147"/>
      <c r="J104" s="147"/>
      <c r="K104" s="147"/>
      <c r="L104" s="147"/>
      <c r="M104" s="147"/>
      <c r="N104" s="147"/>
      <c r="O104" s="147"/>
      <c r="P104" s="147"/>
      <c r="Q104" s="147"/>
      <c r="R104" s="147"/>
      <c r="S104" s="147"/>
      <c r="T104" s="147"/>
      <c r="U104" s="147"/>
      <c r="V104" s="147"/>
      <c r="W104" s="147"/>
      <c r="X104" s="147"/>
      <c r="Y104" s="147"/>
      <c r="Z104" s="147"/>
    </row>
    <row r="105" ht="16.5" customHeight="1">
      <c r="A105" s="155" t="s">
        <v>493</v>
      </c>
      <c r="B105" s="156" t="s">
        <v>653</v>
      </c>
      <c r="C105" s="30"/>
      <c r="D105" s="164" t="s">
        <v>947</v>
      </c>
      <c r="E105" s="30"/>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ht="16.5" customHeight="1">
      <c r="A106" s="31"/>
      <c r="B106" s="158" t="s">
        <v>11</v>
      </c>
      <c r="C106" s="158" t="s">
        <v>12</v>
      </c>
      <c r="D106" s="158" t="s">
        <v>11</v>
      </c>
      <c r="E106" s="158" t="s">
        <v>12</v>
      </c>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ht="16.5" customHeight="1">
      <c r="A107" s="120" t="s">
        <v>14</v>
      </c>
      <c r="B107" s="168" t="s">
        <v>680</v>
      </c>
      <c r="C107" s="167" t="s">
        <v>1334</v>
      </c>
      <c r="D107" s="168" t="s">
        <v>736</v>
      </c>
      <c r="E107" s="167" t="s">
        <v>1335</v>
      </c>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ht="16.5" customHeight="1">
      <c r="A108" s="120" t="s">
        <v>47</v>
      </c>
      <c r="B108" s="168" t="s">
        <v>680</v>
      </c>
      <c r="C108" s="167" t="s">
        <v>1336</v>
      </c>
      <c r="D108" s="168" t="s">
        <v>736</v>
      </c>
      <c r="E108" s="167" t="s">
        <v>1337</v>
      </c>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ht="16.5" customHeight="1">
      <c r="A109" s="120" t="s">
        <v>80</v>
      </c>
      <c r="B109" s="168" t="s">
        <v>736</v>
      </c>
      <c r="C109" s="167" t="s">
        <v>1338</v>
      </c>
      <c r="D109" s="168" t="s">
        <v>680</v>
      </c>
      <c r="E109" s="167" t="s">
        <v>1339</v>
      </c>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ht="16.5" customHeight="1">
      <c r="A110" s="120" t="s">
        <v>117</v>
      </c>
      <c r="B110" s="168" t="s">
        <v>673</v>
      </c>
      <c r="C110" s="167" t="s">
        <v>1340</v>
      </c>
      <c r="D110" s="170" t="s">
        <v>693</v>
      </c>
      <c r="E110" s="167" t="s">
        <v>1341</v>
      </c>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ht="16.5" customHeight="1">
      <c r="A111" s="120" t="s">
        <v>151</v>
      </c>
      <c r="B111" s="168" t="s">
        <v>680</v>
      </c>
      <c r="C111" s="167" t="s">
        <v>1342</v>
      </c>
      <c r="D111" s="168" t="s">
        <v>736</v>
      </c>
      <c r="E111" s="167" t="s">
        <v>1343</v>
      </c>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ht="16.5" customHeight="1">
      <c r="A112" s="120" t="s">
        <v>186</v>
      </c>
      <c r="B112" s="168" t="s">
        <v>673</v>
      </c>
      <c r="C112" s="167" t="s">
        <v>1344</v>
      </c>
      <c r="D112" s="170" t="s">
        <v>673</v>
      </c>
      <c r="E112" s="167" t="s">
        <v>1345</v>
      </c>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ht="16.5" customHeight="1">
      <c r="A113" s="120" t="s">
        <v>221</v>
      </c>
      <c r="B113" s="168" t="s">
        <v>678</v>
      </c>
      <c r="C113" s="167" t="s">
        <v>1346</v>
      </c>
      <c r="D113" s="168" t="s">
        <v>680</v>
      </c>
      <c r="E113" s="167" t="s">
        <v>1347</v>
      </c>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ht="16.5" customHeight="1">
      <c r="A114" s="120" t="s">
        <v>261</v>
      </c>
      <c r="B114" s="149" t="s">
        <v>678</v>
      </c>
      <c r="C114" s="167" t="s">
        <v>1348</v>
      </c>
      <c r="D114" s="170" t="s">
        <v>678</v>
      </c>
      <c r="E114" s="167" t="s">
        <v>1349</v>
      </c>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ht="16.5" customHeight="1">
      <c r="A115" s="120" t="s">
        <v>310</v>
      </c>
      <c r="B115" s="149" t="s">
        <v>673</v>
      </c>
      <c r="C115" s="167" t="s">
        <v>1350</v>
      </c>
      <c r="D115" s="170" t="s">
        <v>693</v>
      </c>
      <c r="E115" s="167" t="s">
        <v>1351</v>
      </c>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ht="16.5" customHeight="1">
      <c r="A116" s="120" t="s">
        <v>346</v>
      </c>
      <c r="B116" s="168" t="s">
        <v>678</v>
      </c>
      <c r="C116" s="167" t="s">
        <v>1352</v>
      </c>
      <c r="D116" s="170" t="s">
        <v>678</v>
      </c>
      <c r="E116" s="167" t="s">
        <v>1353</v>
      </c>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ht="16.5" customHeight="1">
      <c r="A117" s="96"/>
      <c r="B117" s="121" t="s">
        <v>785</v>
      </c>
      <c r="C117" s="96"/>
      <c r="D117" s="121" t="s">
        <v>785</v>
      </c>
      <c r="E117" s="96"/>
      <c r="F117" s="96"/>
      <c r="G117" s="96"/>
      <c r="H117" s="147"/>
      <c r="I117" s="147"/>
      <c r="J117" s="147"/>
      <c r="K117" s="147"/>
      <c r="L117" s="147"/>
      <c r="M117" s="147"/>
      <c r="N117" s="147"/>
      <c r="O117" s="147"/>
      <c r="P117" s="147"/>
      <c r="Q117" s="147"/>
      <c r="R117" s="147"/>
      <c r="S117" s="147"/>
      <c r="T117" s="147"/>
      <c r="U117" s="147"/>
      <c r="V117" s="147"/>
      <c r="W117" s="147"/>
      <c r="X117" s="147"/>
      <c r="Y117" s="147"/>
      <c r="Z117" s="147"/>
    </row>
    <row r="118" ht="16.5" customHeight="1">
      <c r="A118" s="155" t="s">
        <v>656</v>
      </c>
      <c r="B118" s="164" t="s">
        <v>657</v>
      </c>
      <c r="C118" s="30"/>
      <c r="D118" s="164" t="s">
        <v>658</v>
      </c>
      <c r="E118" s="30"/>
      <c r="F118" s="164" t="s">
        <v>659</v>
      </c>
      <c r="G118" s="30"/>
      <c r="H118" s="147"/>
      <c r="I118" s="147"/>
      <c r="J118" s="147"/>
      <c r="K118" s="147"/>
      <c r="L118" s="147"/>
      <c r="M118" s="147"/>
      <c r="N118" s="147"/>
      <c r="O118" s="147"/>
      <c r="P118" s="147"/>
      <c r="Q118" s="147"/>
      <c r="R118" s="147"/>
      <c r="S118" s="147"/>
      <c r="T118" s="147"/>
      <c r="U118" s="147"/>
      <c r="V118" s="147"/>
      <c r="W118" s="147"/>
      <c r="X118" s="147"/>
      <c r="Y118" s="147"/>
      <c r="Z118" s="147"/>
    </row>
    <row r="119" ht="16.5" customHeight="1">
      <c r="A119" s="31"/>
      <c r="B119" s="158" t="s">
        <v>11</v>
      </c>
      <c r="C119" s="158" t="s">
        <v>12</v>
      </c>
      <c r="D119" s="158" t="s">
        <v>11</v>
      </c>
      <c r="E119" s="158" t="s">
        <v>12</v>
      </c>
      <c r="F119" s="158" t="s">
        <v>11</v>
      </c>
      <c r="G119" s="158" t="s">
        <v>12</v>
      </c>
      <c r="H119" s="147"/>
      <c r="I119" s="147"/>
      <c r="J119" s="147"/>
      <c r="K119" s="147"/>
      <c r="L119" s="147"/>
      <c r="M119" s="147"/>
      <c r="N119" s="147"/>
      <c r="O119" s="147"/>
      <c r="P119" s="147"/>
      <c r="Q119" s="147"/>
      <c r="R119" s="147"/>
      <c r="S119" s="147"/>
      <c r="T119" s="147"/>
      <c r="U119" s="147"/>
      <c r="V119" s="147"/>
      <c r="W119" s="147"/>
      <c r="X119" s="147"/>
      <c r="Y119" s="147"/>
      <c r="Z119" s="147"/>
    </row>
    <row r="120" ht="16.5" customHeight="1">
      <c r="A120" s="120" t="s">
        <v>14</v>
      </c>
      <c r="B120" s="105"/>
      <c r="C120" s="167"/>
      <c r="D120" s="105"/>
      <c r="E120" s="167"/>
      <c r="F120" s="149" t="s">
        <v>680</v>
      </c>
      <c r="G120" s="167" t="s">
        <v>1354</v>
      </c>
      <c r="H120" s="147"/>
      <c r="I120" s="147"/>
      <c r="J120" s="147"/>
      <c r="K120" s="147"/>
      <c r="L120" s="147"/>
      <c r="M120" s="147"/>
      <c r="N120" s="147"/>
      <c r="O120" s="147"/>
      <c r="P120" s="147"/>
      <c r="Q120" s="147"/>
      <c r="R120" s="147"/>
      <c r="S120" s="147"/>
      <c r="T120" s="147"/>
      <c r="U120" s="147"/>
      <c r="V120" s="147"/>
      <c r="W120" s="147"/>
      <c r="X120" s="147"/>
      <c r="Y120" s="147"/>
      <c r="Z120" s="147"/>
    </row>
    <row r="121" ht="16.5" customHeight="1">
      <c r="A121" s="120" t="s">
        <v>47</v>
      </c>
      <c r="B121" s="149"/>
      <c r="C121" s="167"/>
      <c r="D121" s="105"/>
      <c r="E121" s="167"/>
      <c r="F121" s="149" t="s">
        <v>693</v>
      </c>
      <c r="G121" s="167" t="s">
        <v>1355</v>
      </c>
      <c r="H121" s="147"/>
      <c r="I121" s="147"/>
      <c r="J121" s="147"/>
      <c r="K121" s="147"/>
      <c r="L121" s="147"/>
      <c r="M121" s="147"/>
      <c r="N121" s="147"/>
      <c r="O121" s="147"/>
      <c r="P121" s="147"/>
      <c r="Q121" s="147"/>
      <c r="R121" s="147"/>
      <c r="S121" s="147"/>
      <c r="T121" s="147"/>
      <c r="U121" s="147"/>
      <c r="V121" s="147"/>
      <c r="W121" s="147"/>
      <c r="X121" s="147"/>
      <c r="Y121" s="147"/>
      <c r="Z121" s="147"/>
    </row>
    <row r="122" ht="16.5" customHeight="1">
      <c r="A122" s="120" t="s">
        <v>80</v>
      </c>
      <c r="B122" s="105"/>
      <c r="C122" s="167"/>
      <c r="D122" s="105"/>
      <c r="E122" s="167"/>
      <c r="F122" s="149" t="s">
        <v>673</v>
      </c>
      <c r="G122" s="167" t="s">
        <v>1356</v>
      </c>
      <c r="H122" s="147"/>
      <c r="I122" s="147"/>
      <c r="J122" s="147"/>
      <c r="K122" s="147"/>
      <c r="L122" s="147"/>
      <c r="M122" s="147"/>
      <c r="N122" s="147"/>
      <c r="O122" s="147"/>
      <c r="P122" s="147"/>
      <c r="Q122" s="147"/>
      <c r="R122" s="147"/>
      <c r="S122" s="147"/>
      <c r="T122" s="147"/>
      <c r="U122" s="147"/>
      <c r="V122" s="147"/>
      <c r="W122" s="147"/>
      <c r="X122" s="147"/>
      <c r="Y122" s="147"/>
      <c r="Z122" s="147"/>
    </row>
    <row r="123" ht="16.5" customHeight="1">
      <c r="A123" s="120" t="s">
        <v>117</v>
      </c>
      <c r="B123" s="149"/>
      <c r="C123" s="167"/>
      <c r="D123" s="105"/>
      <c r="E123" s="167"/>
      <c r="F123" s="149" t="s">
        <v>673</v>
      </c>
      <c r="G123" s="167" t="s">
        <v>1357</v>
      </c>
      <c r="H123" s="147"/>
      <c r="I123" s="147"/>
      <c r="J123" s="147"/>
      <c r="K123" s="147"/>
      <c r="L123" s="147"/>
      <c r="M123" s="147"/>
      <c r="N123" s="147"/>
      <c r="O123" s="147"/>
      <c r="P123" s="147"/>
      <c r="Q123" s="147"/>
      <c r="R123" s="147"/>
      <c r="S123" s="147"/>
      <c r="T123" s="147"/>
      <c r="U123" s="147"/>
      <c r="V123" s="147"/>
      <c r="W123" s="147"/>
      <c r="X123" s="147"/>
      <c r="Y123" s="147"/>
      <c r="Z123" s="147"/>
    </row>
    <row r="124" ht="16.5" customHeight="1">
      <c r="A124" s="120" t="s">
        <v>151</v>
      </c>
      <c r="B124" s="149"/>
      <c r="C124" s="167"/>
      <c r="D124" s="149"/>
      <c r="E124" s="167"/>
      <c r="F124" s="149" t="s">
        <v>673</v>
      </c>
      <c r="G124" s="167" t="s">
        <v>1358</v>
      </c>
      <c r="H124" s="147"/>
      <c r="I124" s="147"/>
      <c r="J124" s="147"/>
      <c r="K124" s="147"/>
      <c r="L124" s="147"/>
      <c r="M124" s="147"/>
      <c r="N124" s="147"/>
      <c r="O124" s="147"/>
      <c r="P124" s="147"/>
      <c r="Q124" s="147"/>
      <c r="R124" s="147"/>
      <c r="S124" s="147"/>
      <c r="T124" s="147"/>
      <c r="U124" s="147"/>
      <c r="V124" s="147"/>
      <c r="W124" s="147"/>
      <c r="X124" s="147"/>
      <c r="Y124" s="147"/>
      <c r="Z124" s="147"/>
    </row>
    <row r="125" ht="16.5" customHeight="1">
      <c r="A125" s="120" t="s">
        <v>186</v>
      </c>
      <c r="B125" s="105"/>
      <c r="C125" s="167"/>
      <c r="D125" s="105"/>
      <c r="E125" s="167"/>
      <c r="F125" s="152" t="s">
        <v>736</v>
      </c>
      <c r="G125" s="167" t="s">
        <v>1359</v>
      </c>
      <c r="H125" s="147"/>
      <c r="I125" s="147"/>
      <c r="J125" s="147"/>
      <c r="K125" s="147"/>
      <c r="L125" s="147"/>
      <c r="M125" s="147"/>
      <c r="N125" s="147"/>
      <c r="O125" s="147"/>
      <c r="P125" s="147"/>
      <c r="Q125" s="147"/>
      <c r="R125" s="147"/>
      <c r="S125" s="147"/>
      <c r="T125" s="147"/>
      <c r="U125" s="147"/>
      <c r="V125" s="147"/>
      <c r="W125" s="147"/>
      <c r="X125" s="147"/>
      <c r="Y125" s="147"/>
      <c r="Z125" s="147"/>
    </row>
    <row r="126" ht="16.5" customHeight="1">
      <c r="A126" s="120" t="s">
        <v>221</v>
      </c>
      <c r="B126" s="105"/>
      <c r="C126" s="167"/>
      <c r="D126" s="105"/>
      <c r="E126" s="167"/>
      <c r="F126" s="152" t="s">
        <v>736</v>
      </c>
      <c r="G126" s="167" t="s">
        <v>1360</v>
      </c>
      <c r="H126" s="147"/>
      <c r="I126" s="147"/>
      <c r="J126" s="147"/>
      <c r="K126" s="147"/>
      <c r="L126" s="147"/>
      <c r="M126" s="147"/>
      <c r="N126" s="147"/>
      <c r="O126" s="147"/>
      <c r="P126" s="147"/>
      <c r="Q126" s="147"/>
      <c r="R126" s="147"/>
      <c r="S126" s="147"/>
      <c r="T126" s="147"/>
      <c r="U126" s="147"/>
      <c r="V126" s="147"/>
      <c r="W126" s="147"/>
      <c r="X126" s="147"/>
      <c r="Y126" s="147"/>
      <c r="Z126" s="147"/>
    </row>
    <row r="127" ht="16.5" customHeight="1">
      <c r="A127" s="120" t="s">
        <v>261</v>
      </c>
      <c r="B127" s="149"/>
      <c r="C127" s="167"/>
      <c r="D127" s="149"/>
      <c r="E127" s="167"/>
      <c r="F127" s="149" t="s">
        <v>673</v>
      </c>
      <c r="G127" s="167" t="s">
        <v>1361</v>
      </c>
      <c r="H127" s="147"/>
      <c r="I127" s="147"/>
      <c r="J127" s="147"/>
      <c r="K127" s="147"/>
      <c r="L127" s="147"/>
      <c r="M127" s="147"/>
      <c r="N127" s="147"/>
      <c r="O127" s="147"/>
      <c r="P127" s="147"/>
      <c r="Q127" s="147"/>
      <c r="R127" s="147"/>
      <c r="S127" s="147"/>
      <c r="T127" s="147"/>
      <c r="U127" s="147"/>
      <c r="V127" s="147"/>
      <c r="W127" s="147"/>
      <c r="X127" s="147"/>
      <c r="Y127" s="147"/>
      <c r="Z127" s="147"/>
    </row>
    <row r="128" ht="16.5" customHeight="1">
      <c r="A128" s="120" t="s">
        <v>310</v>
      </c>
      <c r="B128" s="105"/>
      <c r="C128" s="167"/>
      <c r="D128" s="105"/>
      <c r="E128" s="167"/>
      <c r="F128" s="149" t="s">
        <v>693</v>
      </c>
      <c r="G128" s="167" t="s">
        <v>1362</v>
      </c>
      <c r="H128" s="147"/>
      <c r="I128" s="147"/>
      <c r="J128" s="147"/>
      <c r="K128" s="147"/>
      <c r="L128" s="147"/>
      <c r="M128" s="147"/>
      <c r="N128" s="147"/>
      <c r="O128" s="147"/>
      <c r="P128" s="147"/>
      <c r="Q128" s="147"/>
      <c r="R128" s="147"/>
      <c r="S128" s="147"/>
      <c r="T128" s="147"/>
      <c r="U128" s="147"/>
      <c r="V128" s="147"/>
      <c r="W128" s="147"/>
      <c r="X128" s="147"/>
      <c r="Y128" s="147"/>
      <c r="Z128" s="147"/>
    </row>
    <row r="129" ht="16.5" customHeight="1">
      <c r="A129" s="120" t="s">
        <v>346</v>
      </c>
      <c r="B129" s="149"/>
      <c r="C129" s="167"/>
      <c r="D129" s="105"/>
      <c r="E129" s="167"/>
      <c r="F129" s="152" t="s">
        <v>680</v>
      </c>
      <c r="G129" s="167" t="s">
        <v>1363</v>
      </c>
      <c r="H129" s="147"/>
      <c r="I129" s="147"/>
      <c r="J129" s="147"/>
      <c r="K129" s="147"/>
      <c r="L129" s="147"/>
      <c r="M129" s="147"/>
      <c r="N129" s="147"/>
      <c r="O129" s="147"/>
      <c r="P129" s="147"/>
      <c r="Q129" s="147"/>
      <c r="R129" s="147"/>
      <c r="S129" s="147"/>
      <c r="T129" s="147"/>
      <c r="U129" s="147"/>
      <c r="V129" s="147"/>
      <c r="W129" s="147"/>
      <c r="X129" s="147"/>
      <c r="Y129" s="147"/>
      <c r="Z129" s="147"/>
    </row>
    <row r="130" ht="16.5" customHeight="1">
      <c r="A130" s="147"/>
      <c r="B130" s="121"/>
      <c r="C130" s="147"/>
      <c r="D130" s="121"/>
      <c r="E130" s="147"/>
      <c r="F130" s="121"/>
      <c r="G130" s="147"/>
      <c r="H130" s="147"/>
      <c r="I130" s="147"/>
      <c r="J130" s="147"/>
      <c r="K130" s="147"/>
      <c r="L130" s="147"/>
      <c r="M130" s="147"/>
      <c r="N130" s="147"/>
      <c r="O130" s="147"/>
      <c r="P130" s="147"/>
      <c r="Q130" s="147"/>
      <c r="R130" s="147"/>
      <c r="S130" s="147"/>
      <c r="T130" s="147"/>
      <c r="U130" s="147"/>
      <c r="V130" s="147"/>
      <c r="W130" s="147"/>
      <c r="X130" s="147"/>
      <c r="Y130" s="147"/>
      <c r="Z130" s="147"/>
    </row>
    <row r="131" ht="16.5" customHeight="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ht="16.5" customHeight="1">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ht="16.5" customHeight="1">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ht="16.5" customHeight="1">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ht="16.5" customHeight="1">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ht="16.5" customHeight="1">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ht="16.5" customHeight="1">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ht="16.5" customHeight="1">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ht="16.5" customHeight="1">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ht="16.5" customHeight="1">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ht="16.5" customHeight="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ht="16.5" customHeight="1">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ht="16.5" customHeight="1">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ht="16.5" customHeight="1">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ht="16.5" customHeight="1">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ht="16.5" customHeight="1">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ht="16.5" customHeight="1">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ht="16.5" customHeight="1">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ht="16.5" customHeight="1">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ht="16.5" customHeight="1">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ht="16.5" customHeight="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ht="16.5" customHeight="1">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ht="16.5" customHeight="1">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ht="16.5" customHeight="1">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ht="16.5" customHeight="1">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ht="16.5" customHeight="1">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ht="16.5" customHeight="1">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ht="16.5" customHeight="1">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ht="16.5" customHeight="1">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ht="16.5" customHeight="1">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ht="16.5" customHeight="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ht="16.5" customHeight="1">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ht="16.5" customHeight="1">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ht="16.5" customHeight="1">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ht="16.5" customHeight="1">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ht="16.5" customHeight="1">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ht="16.5" customHeight="1">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ht="16.5" customHeight="1">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ht="16.5" customHeight="1">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ht="16.5" customHeight="1">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ht="16.5" customHeight="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ht="16.5" customHeight="1">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ht="16.5" customHeight="1">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ht="16.5" customHeight="1">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ht="16.5" customHeight="1">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ht="16.5" customHeight="1">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ht="16.5" customHeight="1">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ht="16.5" customHeight="1">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ht="16.5" customHeight="1">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ht="16.5" customHeight="1">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ht="16.5" customHeight="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ht="16.5" customHeight="1">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ht="16.5" customHeight="1">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ht="16.5" customHeight="1">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ht="16.5" customHeight="1">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ht="16.5" customHeight="1">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ht="16.5" customHeight="1">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ht="16.5" customHeight="1">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ht="16.5" customHeight="1">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ht="16.5" customHeight="1">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ht="16.5" customHeight="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ht="16.5" customHeight="1">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ht="16.5" customHeight="1">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ht="16.5" customHeight="1">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ht="16.5" customHeight="1">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ht="16.5" customHeight="1">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ht="16.5" customHeight="1">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ht="16.5" customHeight="1">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ht="16.5" customHeight="1">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ht="16.5" customHeight="1">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ht="16.5" customHeight="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ht="16.5" customHeight="1">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ht="16.5" customHeight="1">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ht="16.5" customHeight="1">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ht="16.5" customHeight="1">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ht="16.5" customHeight="1">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ht="16.5" customHeight="1">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ht="16.5" customHeight="1">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ht="16.5" customHeight="1">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ht="16.5" customHeight="1">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ht="16.5" customHeight="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ht="16.5" customHeight="1">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ht="16.5" customHeight="1">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ht="16.5" customHeight="1">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ht="16.5" customHeight="1">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ht="16.5" customHeight="1">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ht="16.5" customHeight="1">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ht="16.5" customHeight="1">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ht="16.5" customHeight="1">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ht="16.5" customHeight="1">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ht="16.5" customHeight="1">
      <c r="A221" s="147"/>
      <c r="B221" s="147"/>
      <c r="C221" s="147"/>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ht="16.5" customHeight="1">
      <c r="A222" s="147"/>
      <c r="B222" s="147"/>
      <c r="C222" s="147"/>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ht="16.5" customHeight="1">
      <c r="A223" s="147"/>
      <c r="B223" s="147"/>
      <c r="C223" s="147"/>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ht="16.5" customHeight="1">
      <c r="A224" s="147"/>
      <c r="B224" s="147"/>
      <c r="C224" s="147"/>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ht="16.5" customHeight="1">
      <c r="A225" s="147"/>
      <c r="B225" s="147"/>
      <c r="C225" s="147"/>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ht="16.5" customHeight="1">
      <c r="A226" s="147"/>
      <c r="B226" s="147"/>
      <c r="C226" s="147"/>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ht="16.5" customHeight="1">
      <c r="A227" s="147"/>
      <c r="B227" s="147"/>
      <c r="C227" s="147"/>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ht="16.5" customHeight="1">
      <c r="A228" s="147"/>
      <c r="B228" s="147"/>
      <c r="C228" s="147"/>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ht="16.5" customHeight="1">
      <c r="A229" s="147"/>
      <c r="B229" s="147"/>
      <c r="C229" s="147"/>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ht="16.5" customHeight="1">
      <c r="A230" s="147"/>
      <c r="B230" s="147"/>
      <c r="C230" s="147"/>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ht="16.5" customHeight="1">
      <c r="A231" s="147"/>
      <c r="B231" s="147"/>
      <c r="C231" s="147"/>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ht="16.5" customHeight="1">
      <c r="A232" s="147"/>
      <c r="B232" s="147"/>
      <c r="C232" s="147"/>
      <c r="D232" s="147"/>
      <c r="E232" s="147"/>
      <c r="F232" s="147"/>
      <c r="G232" s="147"/>
      <c r="H232" s="147"/>
      <c r="I232" s="147"/>
      <c r="J232" s="147"/>
      <c r="K232" s="147"/>
      <c r="L232" s="147"/>
      <c r="M232" s="147"/>
      <c r="N232" s="147"/>
      <c r="O232" s="147"/>
      <c r="P232" s="147"/>
      <c r="Q232" s="147"/>
      <c r="R232" s="147"/>
      <c r="S232" s="147"/>
      <c r="T232" s="147"/>
      <c r="U232" s="147"/>
      <c r="V232" s="147"/>
      <c r="W232" s="147"/>
      <c r="X232" s="147"/>
      <c r="Y232" s="147"/>
      <c r="Z232" s="147"/>
    </row>
    <row r="233" ht="16.5" customHeight="1">
      <c r="A233" s="147"/>
      <c r="B233" s="147"/>
      <c r="C233" s="147"/>
      <c r="D233" s="147"/>
      <c r="E233" s="147"/>
      <c r="F233" s="147"/>
      <c r="G233" s="147"/>
      <c r="H233" s="147"/>
      <c r="I233" s="147"/>
      <c r="J233" s="147"/>
      <c r="K233" s="147"/>
      <c r="L233" s="147"/>
      <c r="M233" s="147"/>
      <c r="N233" s="147"/>
      <c r="O233" s="147"/>
      <c r="P233" s="147"/>
      <c r="Q233" s="147"/>
      <c r="R233" s="147"/>
      <c r="S233" s="147"/>
      <c r="T233" s="147"/>
      <c r="U233" s="147"/>
      <c r="V233" s="147"/>
      <c r="W233" s="147"/>
      <c r="X233" s="147"/>
      <c r="Y233" s="147"/>
      <c r="Z233" s="147"/>
    </row>
    <row r="234" ht="16.5" customHeight="1">
      <c r="A234" s="147"/>
      <c r="B234" s="147"/>
      <c r="C234" s="147"/>
      <c r="D234" s="147"/>
      <c r="E234" s="147"/>
      <c r="F234" s="147"/>
      <c r="G234" s="147"/>
      <c r="H234" s="147"/>
      <c r="I234" s="147"/>
      <c r="J234" s="147"/>
      <c r="K234" s="147"/>
      <c r="L234" s="147"/>
      <c r="M234" s="147"/>
      <c r="N234" s="147"/>
      <c r="O234" s="147"/>
      <c r="P234" s="147"/>
      <c r="Q234" s="147"/>
      <c r="R234" s="147"/>
      <c r="S234" s="147"/>
      <c r="T234" s="147"/>
      <c r="U234" s="147"/>
      <c r="V234" s="147"/>
      <c r="W234" s="147"/>
      <c r="X234" s="147"/>
      <c r="Y234" s="147"/>
      <c r="Z234" s="147"/>
    </row>
    <row r="235" ht="16.5" customHeight="1">
      <c r="A235" s="147"/>
      <c r="B235" s="147"/>
      <c r="C235" s="147"/>
      <c r="D235" s="147"/>
      <c r="E235" s="147"/>
      <c r="F235" s="147"/>
      <c r="G235" s="147"/>
      <c r="H235" s="147"/>
      <c r="I235" s="147"/>
      <c r="J235" s="147"/>
      <c r="K235" s="147"/>
      <c r="L235" s="147"/>
      <c r="M235" s="147"/>
      <c r="N235" s="147"/>
      <c r="O235" s="147"/>
      <c r="P235" s="147"/>
      <c r="Q235" s="147"/>
      <c r="R235" s="147"/>
      <c r="S235" s="147"/>
      <c r="T235" s="147"/>
      <c r="U235" s="147"/>
      <c r="V235" s="147"/>
      <c r="W235" s="147"/>
      <c r="X235" s="147"/>
      <c r="Y235" s="147"/>
      <c r="Z235" s="147"/>
    </row>
    <row r="236" ht="16.5" customHeight="1">
      <c r="A236" s="147"/>
      <c r="B236" s="147"/>
      <c r="C236" s="147"/>
      <c r="D236" s="147"/>
      <c r="E236" s="147"/>
      <c r="F236" s="147"/>
      <c r="G236" s="147"/>
      <c r="H236" s="147"/>
      <c r="I236" s="147"/>
      <c r="J236" s="147"/>
      <c r="K236" s="147"/>
      <c r="L236" s="147"/>
      <c r="M236" s="147"/>
      <c r="N236" s="147"/>
      <c r="O236" s="147"/>
      <c r="P236" s="147"/>
      <c r="Q236" s="147"/>
      <c r="R236" s="147"/>
      <c r="S236" s="147"/>
      <c r="T236" s="147"/>
      <c r="U236" s="147"/>
      <c r="V236" s="147"/>
      <c r="W236" s="147"/>
      <c r="X236" s="147"/>
      <c r="Y236" s="147"/>
      <c r="Z236" s="147"/>
    </row>
    <row r="237" ht="16.5" customHeight="1">
      <c r="A237" s="147"/>
      <c r="B237" s="147"/>
      <c r="C237" s="147"/>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row>
    <row r="238" ht="16.5" customHeight="1">
      <c r="A238" s="147"/>
      <c r="B238" s="147"/>
      <c r="C238" s="147"/>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row>
    <row r="239" ht="16.5" customHeight="1">
      <c r="A239" s="147"/>
      <c r="B239" s="147"/>
      <c r="C239" s="147"/>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row>
    <row r="240" ht="16.5" customHeight="1">
      <c r="A240" s="147"/>
      <c r="B240" s="147"/>
      <c r="C240" s="147"/>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row>
    <row r="241" ht="16.5" customHeight="1">
      <c r="A241" s="147"/>
      <c r="B241" s="147"/>
      <c r="C241" s="147"/>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row>
    <row r="242" ht="16.5" customHeight="1">
      <c r="A242" s="147"/>
      <c r="B242" s="147"/>
      <c r="C242" s="147"/>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row>
    <row r="243" ht="16.5" customHeight="1">
      <c r="A243" s="147"/>
      <c r="B243" s="147"/>
      <c r="C243" s="147"/>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row>
    <row r="244" ht="16.5" customHeight="1">
      <c r="A244" s="147"/>
      <c r="B244" s="147"/>
      <c r="C244" s="147"/>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row>
    <row r="245" ht="16.5" customHeight="1">
      <c r="A245" s="147"/>
      <c r="B245" s="147"/>
      <c r="C245" s="147"/>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row>
    <row r="246" ht="16.5" customHeight="1">
      <c r="A246" s="147"/>
      <c r="B246" s="147"/>
      <c r="C246" s="147"/>
      <c r="D246" s="147"/>
      <c r="E246" s="147"/>
      <c r="F246" s="147"/>
      <c r="G246" s="147"/>
      <c r="H246" s="147"/>
      <c r="I246" s="147"/>
      <c r="J246" s="147"/>
      <c r="K246" s="147"/>
      <c r="L246" s="147"/>
      <c r="M246" s="147"/>
      <c r="N246" s="147"/>
      <c r="O246" s="147"/>
      <c r="P246" s="147"/>
      <c r="Q246" s="147"/>
      <c r="R246" s="147"/>
      <c r="S246" s="147"/>
      <c r="T246" s="147"/>
      <c r="U246" s="147"/>
      <c r="V246" s="147"/>
      <c r="W246" s="147"/>
      <c r="X246" s="147"/>
      <c r="Y246" s="147"/>
      <c r="Z246" s="147"/>
    </row>
    <row r="247" ht="16.5" customHeight="1">
      <c r="A247" s="147"/>
      <c r="B247" s="147"/>
      <c r="C247" s="147"/>
      <c r="D247" s="147"/>
      <c r="E247" s="147"/>
      <c r="F247" s="147"/>
      <c r="G247" s="147"/>
      <c r="H247" s="147"/>
      <c r="I247" s="147"/>
      <c r="J247" s="147"/>
      <c r="K247" s="147"/>
      <c r="L247" s="147"/>
      <c r="M247" s="147"/>
      <c r="N247" s="147"/>
      <c r="O247" s="147"/>
      <c r="P247" s="147"/>
      <c r="Q247" s="147"/>
      <c r="R247" s="147"/>
      <c r="S247" s="147"/>
      <c r="T247" s="147"/>
      <c r="U247" s="147"/>
      <c r="V247" s="147"/>
      <c r="W247" s="147"/>
      <c r="X247" s="147"/>
      <c r="Y247" s="147"/>
      <c r="Z247" s="147"/>
    </row>
    <row r="248" ht="16.5" customHeight="1">
      <c r="A248" s="147"/>
      <c r="B248" s="147"/>
      <c r="C248" s="147"/>
      <c r="D248" s="147"/>
      <c r="E248" s="147"/>
      <c r="F248" s="147"/>
      <c r="G248" s="147"/>
      <c r="H248" s="147"/>
      <c r="I248" s="147"/>
      <c r="J248" s="147"/>
      <c r="K248" s="147"/>
      <c r="L248" s="147"/>
      <c r="M248" s="147"/>
      <c r="N248" s="147"/>
      <c r="O248" s="147"/>
      <c r="P248" s="147"/>
      <c r="Q248" s="147"/>
      <c r="R248" s="147"/>
      <c r="S248" s="147"/>
      <c r="T248" s="147"/>
      <c r="U248" s="147"/>
      <c r="V248" s="147"/>
      <c r="W248" s="147"/>
      <c r="X248" s="147"/>
      <c r="Y248" s="147"/>
      <c r="Z248" s="147"/>
    </row>
    <row r="249" ht="16.5" customHeight="1">
      <c r="A249" s="147"/>
      <c r="B249" s="147"/>
      <c r="C249" s="147"/>
      <c r="D249" s="147"/>
      <c r="E249" s="147"/>
      <c r="F249" s="147"/>
      <c r="G249" s="147"/>
      <c r="H249" s="147"/>
      <c r="I249" s="147"/>
      <c r="J249" s="147"/>
      <c r="K249" s="147"/>
      <c r="L249" s="147"/>
      <c r="M249" s="147"/>
      <c r="N249" s="147"/>
      <c r="O249" s="147"/>
      <c r="P249" s="147"/>
      <c r="Q249" s="147"/>
      <c r="R249" s="147"/>
      <c r="S249" s="147"/>
      <c r="T249" s="147"/>
      <c r="U249" s="147"/>
      <c r="V249" s="147"/>
      <c r="W249" s="147"/>
      <c r="X249" s="147"/>
      <c r="Y249" s="147"/>
      <c r="Z249" s="147"/>
    </row>
    <row r="250" ht="16.5" customHeight="1">
      <c r="A250" s="147"/>
      <c r="B250" s="147"/>
      <c r="C250" s="147"/>
      <c r="D250" s="147"/>
      <c r="E250" s="147"/>
      <c r="F250" s="147"/>
      <c r="G250" s="147"/>
      <c r="H250" s="147"/>
      <c r="I250" s="147"/>
      <c r="J250" s="147"/>
      <c r="K250" s="147"/>
      <c r="L250" s="147"/>
      <c r="M250" s="147"/>
      <c r="N250" s="147"/>
      <c r="O250" s="147"/>
      <c r="P250" s="147"/>
      <c r="Q250" s="147"/>
      <c r="R250" s="147"/>
      <c r="S250" s="147"/>
      <c r="T250" s="147"/>
      <c r="U250" s="147"/>
      <c r="V250" s="147"/>
      <c r="W250" s="147"/>
      <c r="X250" s="147"/>
      <c r="Y250" s="147"/>
      <c r="Z250" s="147"/>
    </row>
    <row r="251" ht="16.5" customHeight="1">
      <c r="A251" s="147"/>
      <c r="B251" s="147"/>
      <c r="C251" s="147"/>
      <c r="D251" s="147"/>
      <c r="E251" s="147"/>
      <c r="F251" s="147"/>
      <c r="G251" s="147"/>
      <c r="H251" s="147"/>
      <c r="I251" s="147"/>
      <c r="J251" s="147"/>
      <c r="K251" s="147"/>
      <c r="L251" s="147"/>
      <c r="M251" s="147"/>
      <c r="N251" s="147"/>
      <c r="O251" s="147"/>
      <c r="P251" s="147"/>
      <c r="Q251" s="147"/>
      <c r="R251" s="147"/>
      <c r="S251" s="147"/>
      <c r="T251" s="147"/>
      <c r="U251" s="147"/>
      <c r="V251" s="147"/>
      <c r="W251" s="147"/>
      <c r="X251" s="147"/>
      <c r="Y251" s="147"/>
      <c r="Z251" s="147"/>
    </row>
    <row r="252" ht="16.5" customHeight="1">
      <c r="A252" s="147"/>
      <c r="B252" s="147"/>
      <c r="C252" s="147"/>
      <c r="D252" s="147"/>
      <c r="E252" s="147"/>
      <c r="F252" s="147"/>
      <c r="G252" s="147"/>
      <c r="H252" s="147"/>
      <c r="I252" s="147"/>
      <c r="J252" s="147"/>
      <c r="K252" s="147"/>
      <c r="L252" s="147"/>
      <c r="M252" s="147"/>
      <c r="N252" s="147"/>
      <c r="O252" s="147"/>
      <c r="P252" s="147"/>
      <c r="Q252" s="147"/>
      <c r="R252" s="147"/>
      <c r="S252" s="147"/>
      <c r="T252" s="147"/>
      <c r="U252" s="147"/>
      <c r="V252" s="147"/>
      <c r="W252" s="147"/>
      <c r="X252" s="147"/>
      <c r="Y252" s="147"/>
      <c r="Z252" s="147"/>
    </row>
    <row r="253" ht="16.5" customHeight="1">
      <c r="A253" s="147"/>
      <c r="B253" s="147"/>
      <c r="C253" s="147"/>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row>
    <row r="254" ht="16.5" customHeight="1">
      <c r="A254" s="147"/>
      <c r="B254" s="147"/>
      <c r="C254" s="147"/>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row>
    <row r="255" ht="16.5" customHeight="1">
      <c r="A255" s="147"/>
      <c r="B255" s="147"/>
      <c r="C255" s="147"/>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row>
    <row r="256" ht="16.5" customHeight="1">
      <c r="A256" s="147"/>
      <c r="B256" s="147"/>
      <c r="C256" s="147"/>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row>
    <row r="257" ht="16.5" customHeight="1">
      <c r="A257" s="147"/>
      <c r="B257" s="147"/>
      <c r="C257" s="147"/>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row>
    <row r="258" ht="16.5" customHeight="1">
      <c r="A258" s="147"/>
      <c r="B258" s="147"/>
      <c r="C258" s="147"/>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row>
    <row r="259" ht="16.5" customHeight="1">
      <c r="A259" s="147"/>
      <c r="B259" s="147"/>
      <c r="C259" s="147"/>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row>
    <row r="260" ht="16.5" customHeight="1">
      <c r="A260" s="147"/>
      <c r="B260" s="147"/>
      <c r="C260" s="147"/>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row>
    <row r="261" ht="16.5" customHeight="1">
      <c r="A261" s="147"/>
      <c r="B261" s="147"/>
      <c r="C261" s="147"/>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row>
    <row r="262" ht="16.5" customHeight="1">
      <c r="A262" s="147"/>
      <c r="B262" s="147"/>
      <c r="C262" s="147"/>
      <c r="D262" s="147"/>
      <c r="E262" s="147"/>
      <c r="F262" s="147"/>
      <c r="G262" s="147"/>
      <c r="H262" s="147"/>
      <c r="I262" s="147"/>
      <c r="J262" s="147"/>
      <c r="K262" s="147"/>
      <c r="L262" s="147"/>
      <c r="M262" s="147"/>
      <c r="N262" s="147"/>
      <c r="O262" s="147"/>
      <c r="P262" s="147"/>
      <c r="Q262" s="147"/>
      <c r="R262" s="147"/>
      <c r="S262" s="147"/>
      <c r="T262" s="147"/>
      <c r="U262" s="147"/>
      <c r="V262" s="147"/>
      <c r="W262" s="147"/>
      <c r="X262" s="147"/>
      <c r="Y262" s="147"/>
      <c r="Z262" s="147"/>
    </row>
    <row r="263" ht="16.5" customHeight="1">
      <c r="A263" s="147"/>
      <c r="B263" s="147"/>
      <c r="C263" s="147"/>
      <c r="D263" s="147"/>
      <c r="E263" s="147"/>
      <c r="F263" s="147"/>
      <c r="G263" s="147"/>
      <c r="H263" s="147"/>
      <c r="I263" s="147"/>
      <c r="J263" s="147"/>
      <c r="K263" s="147"/>
      <c r="L263" s="147"/>
      <c r="M263" s="147"/>
      <c r="N263" s="147"/>
      <c r="O263" s="147"/>
      <c r="P263" s="147"/>
      <c r="Q263" s="147"/>
      <c r="R263" s="147"/>
      <c r="S263" s="147"/>
      <c r="T263" s="147"/>
      <c r="U263" s="147"/>
      <c r="V263" s="147"/>
      <c r="W263" s="147"/>
      <c r="X263" s="147"/>
      <c r="Y263" s="147"/>
      <c r="Z263" s="147"/>
    </row>
    <row r="264" ht="16.5" customHeight="1">
      <c r="A264" s="147"/>
      <c r="B264" s="147"/>
      <c r="C264" s="147"/>
      <c r="D264" s="147"/>
      <c r="E264" s="147"/>
      <c r="F264" s="147"/>
      <c r="G264" s="147"/>
      <c r="H264" s="147"/>
      <c r="I264" s="147"/>
      <c r="J264" s="147"/>
      <c r="K264" s="147"/>
      <c r="L264" s="147"/>
      <c r="M264" s="147"/>
      <c r="N264" s="147"/>
      <c r="O264" s="147"/>
      <c r="P264" s="147"/>
      <c r="Q264" s="147"/>
      <c r="R264" s="147"/>
      <c r="S264" s="147"/>
      <c r="T264" s="147"/>
      <c r="U264" s="147"/>
      <c r="V264" s="147"/>
      <c r="W264" s="147"/>
      <c r="X264" s="147"/>
      <c r="Y264" s="147"/>
      <c r="Z264" s="147"/>
    </row>
    <row r="265" ht="16.5" customHeight="1">
      <c r="A265" s="147"/>
      <c r="B265" s="147"/>
      <c r="C265" s="147"/>
      <c r="D265" s="147"/>
      <c r="E265" s="147"/>
      <c r="F265" s="147"/>
      <c r="G265" s="147"/>
      <c r="H265" s="147"/>
      <c r="I265" s="147"/>
      <c r="J265" s="147"/>
      <c r="K265" s="147"/>
      <c r="L265" s="147"/>
      <c r="M265" s="147"/>
      <c r="N265" s="147"/>
      <c r="O265" s="147"/>
      <c r="P265" s="147"/>
      <c r="Q265" s="147"/>
      <c r="R265" s="147"/>
      <c r="S265" s="147"/>
      <c r="T265" s="147"/>
      <c r="U265" s="147"/>
      <c r="V265" s="147"/>
      <c r="W265" s="147"/>
      <c r="X265" s="147"/>
      <c r="Y265" s="147"/>
      <c r="Z265" s="147"/>
    </row>
    <row r="266" ht="16.5" customHeight="1">
      <c r="A266" s="147"/>
      <c r="B266" s="147"/>
      <c r="C266" s="147"/>
      <c r="D266" s="147"/>
      <c r="E266" s="147"/>
      <c r="F266" s="147"/>
      <c r="G266" s="147"/>
      <c r="H266" s="147"/>
      <c r="I266" s="147"/>
      <c r="J266" s="147"/>
      <c r="K266" s="147"/>
      <c r="L266" s="147"/>
      <c r="M266" s="147"/>
      <c r="N266" s="147"/>
      <c r="O266" s="147"/>
      <c r="P266" s="147"/>
      <c r="Q266" s="147"/>
      <c r="R266" s="147"/>
      <c r="S266" s="147"/>
      <c r="T266" s="147"/>
      <c r="U266" s="147"/>
      <c r="V266" s="147"/>
      <c r="W266" s="147"/>
      <c r="X266" s="147"/>
      <c r="Y266" s="147"/>
      <c r="Z266" s="147"/>
    </row>
    <row r="267" ht="16.5" customHeight="1">
      <c r="A267" s="147"/>
      <c r="B267" s="147"/>
      <c r="C267" s="147"/>
      <c r="D267" s="147"/>
      <c r="E267" s="147"/>
      <c r="F267" s="147"/>
      <c r="G267" s="147"/>
      <c r="H267" s="147"/>
      <c r="I267" s="147"/>
      <c r="J267" s="147"/>
      <c r="K267" s="147"/>
      <c r="L267" s="147"/>
      <c r="M267" s="147"/>
      <c r="N267" s="147"/>
      <c r="O267" s="147"/>
      <c r="P267" s="147"/>
      <c r="Q267" s="147"/>
      <c r="R267" s="147"/>
      <c r="S267" s="147"/>
      <c r="T267" s="147"/>
      <c r="U267" s="147"/>
      <c r="V267" s="147"/>
      <c r="W267" s="147"/>
      <c r="X267" s="147"/>
      <c r="Y267" s="147"/>
      <c r="Z267" s="147"/>
    </row>
    <row r="268" ht="16.5" customHeight="1">
      <c r="A268" s="147"/>
      <c r="B268" s="147"/>
      <c r="C268" s="147"/>
      <c r="D268" s="147"/>
      <c r="E268" s="147"/>
      <c r="F268" s="147"/>
      <c r="G268" s="147"/>
      <c r="H268" s="147"/>
      <c r="I268" s="147"/>
      <c r="J268" s="147"/>
      <c r="K268" s="147"/>
      <c r="L268" s="147"/>
      <c r="M268" s="147"/>
      <c r="N268" s="147"/>
      <c r="O268" s="147"/>
      <c r="P268" s="147"/>
      <c r="Q268" s="147"/>
      <c r="R268" s="147"/>
      <c r="S268" s="147"/>
      <c r="T268" s="147"/>
      <c r="U268" s="147"/>
      <c r="V268" s="147"/>
      <c r="W268" s="147"/>
      <c r="X268" s="147"/>
      <c r="Y268" s="147"/>
      <c r="Z268" s="147"/>
    </row>
    <row r="269" ht="16.5" customHeight="1">
      <c r="A269" s="147"/>
      <c r="B269" s="147"/>
      <c r="C269" s="147"/>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row>
    <row r="270" ht="16.5" customHeight="1">
      <c r="A270" s="147"/>
      <c r="B270" s="147"/>
      <c r="C270" s="147"/>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row>
    <row r="271" ht="16.5" customHeight="1">
      <c r="A271" s="147"/>
      <c r="B271" s="147"/>
      <c r="C271" s="147"/>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row>
    <row r="272" ht="16.5" customHeight="1">
      <c r="A272" s="147"/>
      <c r="B272" s="147"/>
      <c r="C272" s="147"/>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row>
    <row r="273" ht="16.5" customHeight="1">
      <c r="A273" s="147"/>
      <c r="B273" s="147"/>
      <c r="C273" s="147"/>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row>
    <row r="274" ht="16.5" customHeight="1">
      <c r="A274" s="147"/>
      <c r="B274" s="147"/>
      <c r="C274" s="147"/>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row>
    <row r="275" ht="16.5" customHeight="1">
      <c r="A275" s="147"/>
      <c r="B275" s="147"/>
      <c r="C275" s="147"/>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row>
    <row r="276" ht="16.5" customHeight="1">
      <c r="A276" s="147"/>
      <c r="B276" s="147"/>
      <c r="C276" s="147"/>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row>
    <row r="277" ht="16.5" customHeight="1">
      <c r="A277" s="147"/>
      <c r="B277" s="147"/>
      <c r="C277" s="147"/>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row>
    <row r="278" ht="16.5" customHeight="1">
      <c r="A278" s="147"/>
      <c r="B278" s="147"/>
      <c r="C278" s="147"/>
      <c r="D278" s="147"/>
      <c r="E278" s="147"/>
      <c r="F278" s="147"/>
      <c r="G278" s="147"/>
      <c r="H278" s="147"/>
      <c r="I278" s="147"/>
      <c r="J278" s="147"/>
      <c r="K278" s="147"/>
      <c r="L278" s="147"/>
      <c r="M278" s="147"/>
      <c r="N278" s="147"/>
      <c r="O278" s="147"/>
      <c r="P278" s="147"/>
      <c r="Q278" s="147"/>
      <c r="R278" s="147"/>
      <c r="S278" s="147"/>
      <c r="T278" s="147"/>
      <c r="U278" s="147"/>
      <c r="V278" s="147"/>
      <c r="W278" s="147"/>
      <c r="X278" s="147"/>
      <c r="Y278" s="147"/>
      <c r="Z278" s="147"/>
    </row>
    <row r="279" ht="16.5" customHeight="1">
      <c r="A279" s="147"/>
      <c r="B279" s="147"/>
      <c r="C279" s="147"/>
      <c r="D279" s="147"/>
      <c r="E279" s="147"/>
      <c r="F279" s="147"/>
      <c r="G279" s="147"/>
      <c r="H279" s="147"/>
      <c r="I279" s="147"/>
      <c r="J279" s="147"/>
      <c r="K279" s="147"/>
      <c r="L279" s="147"/>
      <c r="M279" s="147"/>
      <c r="N279" s="147"/>
      <c r="O279" s="147"/>
      <c r="P279" s="147"/>
      <c r="Q279" s="147"/>
      <c r="R279" s="147"/>
      <c r="S279" s="147"/>
      <c r="T279" s="147"/>
      <c r="U279" s="147"/>
      <c r="V279" s="147"/>
      <c r="W279" s="147"/>
      <c r="X279" s="147"/>
      <c r="Y279" s="147"/>
      <c r="Z279" s="147"/>
    </row>
    <row r="280" ht="16.5" customHeight="1">
      <c r="A280" s="147"/>
      <c r="B280" s="147"/>
      <c r="C280" s="147"/>
      <c r="D280" s="147"/>
      <c r="E280" s="147"/>
      <c r="F280" s="147"/>
      <c r="G280" s="147"/>
      <c r="H280" s="147"/>
      <c r="I280" s="147"/>
      <c r="J280" s="147"/>
      <c r="K280" s="147"/>
      <c r="L280" s="147"/>
      <c r="M280" s="147"/>
      <c r="N280" s="147"/>
      <c r="O280" s="147"/>
      <c r="P280" s="147"/>
      <c r="Q280" s="147"/>
      <c r="R280" s="147"/>
      <c r="S280" s="147"/>
      <c r="T280" s="147"/>
      <c r="U280" s="147"/>
      <c r="V280" s="147"/>
      <c r="W280" s="147"/>
      <c r="X280" s="147"/>
      <c r="Y280" s="147"/>
      <c r="Z280" s="147"/>
    </row>
    <row r="281" ht="16.5" customHeight="1">
      <c r="A281" s="147"/>
      <c r="B281" s="147"/>
      <c r="C281" s="147"/>
      <c r="D281" s="147"/>
      <c r="E281" s="147"/>
      <c r="F281" s="147"/>
      <c r="G281" s="147"/>
      <c r="H281" s="147"/>
      <c r="I281" s="147"/>
      <c r="J281" s="147"/>
      <c r="K281" s="147"/>
      <c r="L281" s="147"/>
      <c r="M281" s="147"/>
      <c r="N281" s="147"/>
      <c r="O281" s="147"/>
      <c r="P281" s="147"/>
      <c r="Q281" s="147"/>
      <c r="R281" s="147"/>
      <c r="S281" s="147"/>
      <c r="T281" s="147"/>
      <c r="U281" s="147"/>
      <c r="V281" s="147"/>
      <c r="W281" s="147"/>
      <c r="X281" s="147"/>
      <c r="Y281" s="147"/>
      <c r="Z281" s="147"/>
    </row>
    <row r="282" ht="16.5" customHeight="1">
      <c r="A282" s="147"/>
      <c r="B282" s="147"/>
      <c r="C282" s="147"/>
      <c r="D282" s="147"/>
      <c r="E282" s="147"/>
      <c r="F282" s="147"/>
      <c r="G282" s="147"/>
      <c r="H282" s="147"/>
      <c r="I282" s="147"/>
      <c r="J282" s="147"/>
      <c r="K282" s="147"/>
      <c r="L282" s="147"/>
      <c r="M282" s="147"/>
      <c r="N282" s="147"/>
      <c r="O282" s="147"/>
      <c r="P282" s="147"/>
      <c r="Q282" s="147"/>
      <c r="R282" s="147"/>
      <c r="S282" s="147"/>
      <c r="T282" s="147"/>
      <c r="U282" s="147"/>
      <c r="V282" s="147"/>
      <c r="W282" s="147"/>
      <c r="X282" s="147"/>
      <c r="Y282" s="147"/>
      <c r="Z282" s="147"/>
    </row>
    <row r="283" ht="16.5" customHeight="1">
      <c r="A283" s="147"/>
      <c r="B283" s="147"/>
      <c r="C283" s="147"/>
      <c r="D283" s="147"/>
      <c r="E283" s="147"/>
      <c r="F283" s="147"/>
      <c r="G283" s="147"/>
      <c r="H283" s="147"/>
      <c r="I283" s="147"/>
      <c r="J283" s="147"/>
      <c r="K283" s="147"/>
      <c r="L283" s="147"/>
      <c r="M283" s="147"/>
      <c r="N283" s="147"/>
      <c r="O283" s="147"/>
      <c r="P283" s="147"/>
      <c r="Q283" s="147"/>
      <c r="R283" s="147"/>
      <c r="S283" s="147"/>
      <c r="T283" s="147"/>
      <c r="U283" s="147"/>
      <c r="V283" s="147"/>
      <c r="W283" s="147"/>
      <c r="X283" s="147"/>
      <c r="Y283" s="147"/>
      <c r="Z283" s="147"/>
    </row>
    <row r="284" ht="16.5" customHeight="1">
      <c r="A284" s="147"/>
      <c r="B284" s="147"/>
      <c r="C284" s="147"/>
      <c r="D284" s="147"/>
      <c r="E284" s="147"/>
      <c r="F284" s="147"/>
      <c r="G284" s="147"/>
      <c r="H284" s="147"/>
      <c r="I284" s="147"/>
      <c r="J284" s="147"/>
      <c r="K284" s="147"/>
      <c r="L284" s="147"/>
      <c r="M284" s="147"/>
      <c r="N284" s="147"/>
      <c r="O284" s="147"/>
      <c r="P284" s="147"/>
      <c r="Q284" s="147"/>
      <c r="R284" s="147"/>
      <c r="S284" s="147"/>
      <c r="T284" s="147"/>
      <c r="U284" s="147"/>
      <c r="V284" s="147"/>
      <c r="W284" s="147"/>
      <c r="X284" s="147"/>
      <c r="Y284" s="147"/>
      <c r="Z284" s="147"/>
    </row>
    <row r="285" ht="16.5" customHeight="1">
      <c r="A285" s="147"/>
      <c r="B285" s="147"/>
      <c r="C285" s="147"/>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row>
    <row r="286" ht="16.5" customHeight="1">
      <c r="A286" s="147"/>
      <c r="B286" s="147"/>
      <c r="C286" s="147"/>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row>
    <row r="287" ht="16.5" customHeight="1">
      <c r="A287" s="147"/>
      <c r="B287" s="147"/>
      <c r="C287" s="147"/>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row>
    <row r="288" ht="16.5" customHeight="1">
      <c r="A288" s="147"/>
      <c r="B288" s="147"/>
      <c r="C288" s="147"/>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row>
    <row r="289" ht="16.5" customHeight="1">
      <c r="A289" s="147"/>
      <c r="B289" s="147"/>
      <c r="C289" s="147"/>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row>
    <row r="290" ht="16.5" customHeight="1">
      <c r="A290" s="147"/>
      <c r="B290" s="147"/>
      <c r="C290" s="147"/>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row>
    <row r="291" ht="16.5" customHeight="1">
      <c r="A291" s="147"/>
      <c r="B291" s="147"/>
      <c r="C291" s="147"/>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row>
    <row r="292" ht="16.5" customHeight="1">
      <c r="A292" s="147"/>
      <c r="B292" s="147"/>
      <c r="C292" s="147"/>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row>
    <row r="293" ht="16.5" customHeight="1">
      <c r="A293" s="147"/>
      <c r="B293" s="147"/>
      <c r="C293" s="147"/>
      <c r="D293" s="147"/>
      <c r="E293" s="147"/>
      <c r="F293" s="147"/>
      <c r="G293" s="147"/>
      <c r="H293" s="147"/>
      <c r="I293" s="147"/>
      <c r="J293" s="147"/>
      <c r="K293" s="147"/>
      <c r="L293" s="147"/>
      <c r="M293" s="147"/>
      <c r="N293" s="147"/>
      <c r="O293" s="147"/>
      <c r="P293" s="147"/>
      <c r="Q293" s="147"/>
      <c r="R293" s="147"/>
      <c r="S293" s="147"/>
      <c r="T293" s="147"/>
      <c r="U293" s="147"/>
      <c r="V293" s="147"/>
      <c r="W293" s="147"/>
      <c r="X293" s="147"/>
      <c r="Y293" s="147"/>
      <c r="Z293" s="147"/>
    </row>
    <row r="294" ht="16.5" customHeight="1">
      <c r="A294" s="147"/>
      <c r="B294" s="147"/>
      <c r="C294" s="147"/>
      <c r="D294" s="147"/>
      <c r="E294" s="147"/>
      <c r="F294" s="147"/>
      <c r="G294" s="147"/>
      <c r="H294" s="147"/>
      <c r="I294" s="147"/>
      <c r="J294" s="147"/>
      <c r="K294" s="147"/>
      <c r="L294" s="147"/>
      <c r="M294" s="147"/>
      <c r="N294" s="147"/>
      <c r="O294" s="147"/>
      <c r="P294" s="147"/>
      <c r="Q294" s="147"/>
      <c r="R294" s="147"/>
      <c r="S294" s="147"/>
      <c r="T294" s="147"/>
      <c r="U294" s="147"/>
      <c r="V294" s="147"/>
      <c r="W294" s="147"/>
      <c r="X294" s="147"/>
      <c r="Y294" s="147"/>
      <c r="Z294" s="147"/>
    </row>
    <row r="295" ht="16.5" customHeight="1">
      <c r="A295" s="147"/>
      <c r="B295" s="147"/>
      <c r="C295" s="147"/>
      <c r="D295" s="147"/>
      <c r="E295" s="147"/>
      <c r="F295" s="147"/>
      <c r="G295" s="147"/>
      <c r="H295" s="147"/>
      <c r="I295" s="147"/>
      <c r="J295" s="147"/>
      <c r="K295" s="147"/>
      <c r="L295" s="147"/>
      <c r="M295" s="147"/>
      <c r="N295" s="147"/>
      <c r="O295" s="147"/>
      <c r="P295" s="147"/>
      <c r="Q295" s="147"/>
      <c r="R295" s="147"/>
      <c r="S295" s="147"/>
      <c r="T295" s="147"/>
      <c r="U295" s="147"/>
      <c r="V295" s="147"/>
      <c r="W295" s="147"/>
      <c r="X295" s="147"/>
      <c r="Y295" s="147"/>
      <c r="Z295" s="147"/>
    </row>
    <row r="296" ht="16.5" customHeight="1">
      <c r="A296" s="147"/>
      <c r="B296" s="147"/>
      <c r="C296" s="147"/>
      <c r="D296" s="147"/>
      <c r="E296" s="147"/>
      <c r="F296" s="147"/>
      <c r="G296" s="147"/>
      <c r="H296" s="147"/>
      <c r="I296" s="147"/>
      <c r="J296" s="147"/>
      <c r="K296" s="147"/>
      <c r="L296" s="147"/>
      <c r="M296" s="147"/>
      <c r="N296" s="147"/>
      <c r="O296" s="147"/>
      <c r="P296" s="147"/>
      <c r="Q296" s="147"/>
      <c r="R296" s="147"/>
      <c r="S296" s="147"/>
      <c r="T296" s="147"/>
      <c r="U296" s="147"/>
      <c r="V296" s="147"/>
      <c r="W296" s="147"/>
      <c r="X296" s="147"/>
      <c r="Y296" s="147"/>
      <c r="Z296" s="147"/>
    </row>
    <row r="297" ht="16.5" customHeight="1">
      <c r="A297" s="147"/>
      <c r="B297" s="147"/>
      <c r="C297" s="147"/>
      <c r="D297" s="147"/>
      <c r="E297" s="147"/>
      <c r="F297" s="147"/>
      <c r="G297" s="147"/>
      <c r="H297" s="147"/>
      <c r="I297" s="147"/>
      <c r="J297" s="147"/>
      <c r="K297" s="147"/>
      <c r="L297" s="147"/>
      <c r="M297" s="147"/>
      <c r="N297" s="147"/>
      <c r="O297" s="147"/>
      <c r="P297" s="147"/>
      <c r="Q297" s="147"/>
      <c r="R297" s="147"/>
      <c r="S297" s="147"/>
      <c r="T297" s="147"/>
      <c r="U297" s="147"/>
      <c r="V297" s="147"/>
      <c r="W297" s="147"/>
      <c r="X297" s="147"/>
      <c r="Y297" s="147"/>
      <c r="Z297" s="147"/>
    </row>
    <row r="298" ht="16.5" customHeight="1">
      <c r="A298" s="147"/>
      <c r="B298" s="147"/>
      <c r="C298" s="147"/>
      <c r="D298" s="147"/>
      <c r="E298" s="147"/>
      <c r="F298" s="147"/>
      <c r="G298" s="147"/>
      <c r="H298" s="147"/>
      <c r="I298" s="147"/>
      <c r="J298" s="147"/>
      <c r="K298" s="147"/>
      <c r="L298" s="147"/>
      <c r="M298" s="147"/>
      <c r="N298" s="147"/>
      <c r="O298" s="147"/>
      <c r="P298" s="147"/>
      <c r="Q298" s="147"/>
      <c r="R298" s="147"/>
      <c r="S298" s="147"/>
      <c r="T298" s="147"/>
      <c r="U298" s="147"/>
      <c r="V298" s="147"/>
      <c r="W298" s="147"/>
      <c r="X298" s="147"/>
      <c r="Y298" s="147"/>
      <c r="Z298" s="147"/>
    </row>
    <row r="299" ht="16.5" customHeight="1">
      <c r="A299" s="147"/>
      <c r="B299" s="147"/>
      <c r="C299" s="147"/>
      <c r="D299" s="147"/>
      <c r="E299" s="147"/>
      <c r="F299" s="147"/>
      <c r="G299" s="147"/>
      <c r="H299" s="147"/>
      <c r="I299" s="147"/>
      <c r="J299" s="147"/>
      <c r="K299" s="147"/>
      <c r="L299" s="147"/>
      <c r="M299" s="147"/>
      <c r="N299" s="147"/>
      <c r="O299" s="147"/>
      <c r="P299" s="147"/>
      <c r="Q299" s="147"/>
      <c r="R299" s="147"/>
      <c r="S299" s="147"/>
      <c r="T299" s="147"/>
      <c r="U299" s="147"/>
      <c r="V299" s="147"/>
      <c r="W299" s="147"/>
      <c r="X299" s="147"/>
      <c r="Y299" s="147"/>
      <c r="Z299" s="147"/>
    </row>
    <row r="300" ht="16.5" customHeight="1">
      <c r="A300" s="147"/>
      <c r="B300" s="147"/>
      <c r="C300" s="147"/>
      <c r="D300" s="147"/>
      <c r="E300" s="147"/>
      <c r="F300" s="147"/>
      <c r="G300" s="147"/>
      <c r="H300" s="147"/>
      <c r="I300" s="147"/>
      <c r="J300" s="147"/>
      <c r="K300" s="147"/>
      <c r="L300" s="147"/>
      <c r="M300" s="147"/>
      <c r="N300" s="147"/>
      <c r="O300" s="147"/>
      <c r="P300" s="147"/>
      <c r="Q300" s="147"/>
      <c r="R300" s="147"/>
      <c r="S300" s="147"/>
      <c r="T300" s="147"/>
      <c r="U300" s="147"/>
      <c r="V300" s="147"/>
      <c r="W300" s="147"/>
      <c r="X300" s="147"/>
      <c r="Y300" s="147"/>
      <c r="Z300" s="147"/>
    </row>
    <row r="301" ht="16.5" customHeight="1">
      <c r="A301" s="147"/>
      <c r="B301" s="147"/>
      <c r="C301" s="147"/>
      <c r="D301" s="147"/>
      <c r="E301" s="147"/>
      <c r="F301" s="147"/>
      <c r="G301" s="147"/>
      <c r="H301" s="147"/>
      <c r="I301" s="147"/>
      <c r="J301" s="147"/>
      <c r="K301" s="147"/>
      <c r="L301" s="147"/>
      <c r="M301" s="147"/>
      <c r="N301" s="147"/>
      <c r="O301" s="147"/>
      <c r="P301" s="147"/>
      <c r="Q301" s="147"/>
      <c r="R301" s="147"/>
      <c r="S301" s="147"/>
      <c r="T301" s="147"/>
      <c r="U301" s="147"/>
      <c r="V301" s="147"/>
      <c r="W301" s="147"/>
      <c r="X301" s="147"/>
      <c r="Y301" s="147"/>
      <c r="Z301" s="147"/>
    </row>
    <row r="302" ht="16.5" customHeight="1">
      <c r="A302" s="147"/>
      <c r="B302" s="147"/>
      <c r="C302" s="147"/>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row>
    <row r="303" ht="16.5" customHeight="1">
      <c r="A303" s="147"/>
      <c r="B303" s="147"/>
      <c r="C303" s="147"/>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row>
    <row r="304" ht="16.5" customHeight="1">
      <c r="A304" s="147"/>
      <c r="B304" s="147"/>
      <c r="C304" s="147"/>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row>
    <row r="305" ht="16.5" customHeight="1">
      <c r="A305" s="147"/>
      <c r="B305" s="147"/>
      <c r="C305" s="147"/>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row>
    <row r="306" ht="16.5" customHeight="1">
      <c r="A306" s="147"/>
      <c r="B306" s="147"/>
      <c r="C306" s="147"/>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row>
    <row r="307" ht="16.5" customHeight="1">
      <c r="A307" s="147"/>
      <c r="B307" s="147"/>
      <c r="C307" s="147"/>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row>
    <row r="308" ht="16.5" customHeight="1">
      <c r="A308" s="147"/>
      <c r="B308" s="147"/>
      <c r="C308" s="147"/>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row>
    <row r="309" ht="16.5" customHeight="1">
      <c r="A309" s="147"/>
      <c r="B309" s="147"/>
      <c r="C309" s="147"/>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row>
    <row r="310" ht="16.5" customHeight="1">
      <c r="A310" s="147"/>
      <c r="B310" s="147"/>
      <c r="C310" s="147"/>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row>
    <row r="311" ht="16.5" customHeight="1">
      <c r="A311" s="147"/>
      <c r="B311" s="147"/>
      <c r="C311" s="147"/>
      <c r="D311" s="147"/>
      <c r="E311" s="147"/>
      <c r="F311" s="147"/>
      <c r="G311" s="147"/>
      <c r="H311" s="147"/>
      <c r="I311" s="147"/>
      <c r="J311" s="147"/>
      <c r="K311" s="147"/>
      <c r="L311" s="147"/>
      <c r="M311" s="147"/>
      <c r="N311" s="147"/>
      <c r="O311" s="147"/>
      <c r="P311" s="147"/>
      <c r="Q311" s="147"/>
      <c r="R311" s="147"/>
      <c r="S311" s="147"/>
      <c r="T311" s="147"/>
      <c r="U311" s="147"/>
      <c r="V311" s="147"/>
      <c r="W311" s="147"/>
      <c r="X311" s="147"/>
      <c r="Y311" s="147"/>
      <c r="Z311" s="147"/>
    </row>
    <row r="312" ht="16.5" customHeight="1">
      <c r="A312" s="147"/>
      <c r="B312" s="147"/>
      <c r="C312" s="147"/>
      <c r="D312" s="147"/>
      <c r="E312" s="147"/>
      <c r="F312" s="147"/>
      <c r="G312" s="147"/>
      <c r="H312" s="147"/>
      <c r="I312" s="147"/>
      <c r="J312" s="147"/>
      <c r="K312" s="147"/>
      <c r="L312" s="147"/>
      <c r="M312" s="147"/>
      <c r="N312" s="147"/>
      <c r="O312" s="147"/>
      <c r="P312" s="147"/>
      <c r="Q312" s="147"/>
      <c r="R312" s="147"/>
      <c r="S312" s="147"/>
      <c r="T312" s="147"/>
      <c r="U312" s="147"/>
      <c r="V312" s="147"/>
      <c r="W312" s="147"/>
      <c r="X312" s="147"/>
      <c r="Y312" s="147"/>
      <c r="Z312" s="147"/>
    </row>
    <row r="313" ht="16.5" customHeight="1">
      <c r="A313" s="147"/>
      <c r="B313" s="147"/>
      <c r="C313" s="147"/>
      <c r="D313" s="147"/>
      <c r="E313" s="147"/>
      <c r="F313" s="147"/>
      <c r="G313" s="147"/>
      <c r="H313" s="147"/>
      <c r="I313" s="147"/>
      <c r="J313" s="147"/>
      <c r="K313" s="147"/>
      <c r="L313" s="147"/>
      <c r="M313" s="147"/>
      <c r="N313" s="147"/>
      <c r="O313" s="147"/>
      <c r="P313" s="147"/>
      <c r="Q313" s="147"/>
      <c r="R313" s="147"/>
      <c r="S313" s="147"/>
      <c r="T313" s="147"/>
      <c r="U313" s="147"/>
      <c r="V313" s="147"/>
      <c r="W313" s="147"/>
      <c r="X313" s="147"/>
      <c r="Y313" s="147"/>
      <c r="Z313" s="147"/>
    </row>
    <row r="314" ht="16.5" customHeight="1">
      <c r="A314" s="147"/>
      <c r="B314" s="147"/>
      <c r="C314" s="147"/>
      <c r="D314" s="147"/>
      <c r="E314" s="147"/>
      <c r="F314" s="147"/>
      <c r="G314" s="147"/>
      <c r="H314" s="147"/>
      <c r="I314" s="147"/>
      <c r="J314" s="147"/>
      <c r="K314" s="147"/>
      <c r="L314" s="147"/>
      <c r="M314" s="147"/>
      <c r="N314" s="147"/>
      <c r="O314" s="147"/>
      <c r="P314" s="147"/>
      <c r="Q314" s="147"/>
      <c r="R314" s="147"/>
      <c r="S314" s="147"/>
      <c r="T314" s="147"/>
      <c r="U314" s="147"/>
      <c r="V314" s="147"/>
      <c r="W314" s="147"/>
      <c r="X314" s="147"/>
      <c r="Y314" s="147"/>
      <c r="Z314" s="147"/>
    </row>
    <row r="315" ht="16.5" customHeight="1">
      <c r="A315" s="147"/>
      <c r="B315" s="147"/>
      <c r="C315" s="147"/>
      <c r="D315" s="147"/>
      <c r="E315" s="147"/>
      <c r="F315" s="147"/>
      <c r="G315" s="147"/>
      <c r="H315" s="147"/>
      <c r="I315" s="147"/>
      <c r="J315" s="147"/>
      <c r="K315" s="147"/>
      <c r="L315" s="147"/>
      <c r="M315" s="147"/>
      <c r="N315" s="147"/>
      <c r="O315" s="147"/>
      <c r="P315" s="147"/>
      <c r="Q315" s="147"/>
      <c r="R315" s="147"/>
      <c r="S315" s="147"/>
      <c r="T315" s="147"/>
      <c r="U315" s="147"/>
      <c r="V315" s="147"/>
      <c r="W315" s="147"/>
      <c r="X315" s="147"/>
      <c r="Y315" s="147"/>
      <c r="Z315" s="147"/>
    </row>
    <row r="316" ht="16.5" customHeight="1">
      <c r="A316" s="147"/>
      <c r="B316" s="147"/>
      <c r="C316" s="147"/>
      <c r="D316" s="147"/>
      <c r="E316" s="147"/>
      <c r="F316" s="147"/>
      <c r="G316" s="147"/>
      <c r="H316" s="147"/>
      <c r="I316" s="147"/>
      <c r="J316" s="147"/>
      <c r="K316" s="147"/>
      <c r="L316" s="147"/>
      <c r="M316" s="147"/>
      <c r="N316" s="147"/>
      <c r="O316" s="147"/>
      <c r="P316" s="147"/>
      <c r="Q316" s="147"/>
      <c r="R316" s="147"/>
      <c r="S316" s="147"/>
      <c r="T316" s="147"/>
      <c r="U316" s="147"/>
      <c r="V316" s="147"/>
      <c r="W316" s="147"/>
      <c r="X316" s="147"/>
      <c r="Y316" s="147"/>
      <c r="Z316" s="147"/>
    </row>
    <row r="317" ht="16.5" customHeight="1">
      <c r="A317" s="147"/>
      <c r="B317" s="147"/>
      <c r="C317" s="147"/>
      <c r="D317" s="147"/>
      <c r="E317" s="147"/>
      <c r="F317" s="147"/>
      <c r="G317" s="147"/>
      <c r="H317" s="147"/>
      <c r="I317" s="147"/>
      <c r="J317" s="147"/>
      <c r="K317" s="147"/>
      <c r="L317" s="147"/>
      <c r="M317" s="147"/>
      <c r="N317" s="147"/>
      <c r="O317" s="147"/>
      <c r="P317" s="147"/>
      <c r="Q317" s="147"/>
      <c r="R317" s="147"/>
      <c r="S317" s="147"/>
      <c r="T317" s="147"/>
      <c r="U317" s="147"/>
      <c r="V317" s="147"/>
      <c r="W317" s="147"/>
      <c r="X317" s="147"/>
      <c r="Y317" s="147"/>
      <c r="Z317" s="147"/>
    </row>
    <row r="318" ht="16.5" customHeight="1">
      <c r="A318" s="147"/>
      <c r="B318" s="147"/>
      <c r="C318" s="147"/>
      <c r="D318" s="147"/>
      <c r="E318" s="147"/>
      <c r="F318" s="147"/>
      <c r="G318" s="147"/>
      <c r="H318" s="147"/>
      <c r="I318" s="147"/>
      <c r="J318" s="147"/>
      <c r="K318" s="147"/>
      <c r="L318" s="147"/>
      <c r="M318" s="147"/>
      <c r="N318" s="147"/>
      <c r="O318" s="147"/>
      <c r="P318" s="147"/>
      <c r="Q318" s="147"/>
      <c r="R318" s="147"/>
      <c r="S318" s="147"/>
      <c r="T318" s="147"/>
      <c r="U318" s="147"/>
      <c r="V318" s="147"/>
      <c r="W318" s="147"/>
      <c r="X318" s="147"/>
      <c r="Y318" s="147"/>
      <c r="Z318" s="147"/>
    </row>
    <row r="319" ht="16.5" customHeight="1">
      <c r="A319" s="147"/>
      <c r="B319" s="147"/>
      <c r="C319" s="147"/>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row>
    <row r="320" ht="16.5" customHeight="1">
      <c r="A320" s="147"/>
      <c r="B320" s="147"/>
      <c r="C320" s="147"/>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row>
    <row r="321" ht="16.5" customHeight="1">
      <c r="A321" s="147"/>
      <c r="B321" s="147"/>
      <c r="C321" s="147"/>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row>
    <row r="322" ht="16.5" customHeight="1">
      <c r="A322" s="147"/>
      <c r="B322" s="147"/>
      <c r="C322" s="147"/>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row>
    <row r="323" ht="16.5" customHeight="1">
      <c r="A323" s="147"/>
      <c r="B323" s="147"/>
      <c r="C323" s="147"/>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row>
    <row r="324" ht="16.5" customHeight="1">
      <c r="A324" s="147"/>
      <c r="B324" s="147"/>
      <c r="C324" s="147"/>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row>
    <row r="325" ht="16.5" customHeight="1">
      <c r="A325" s="147"/>
      <c r="B325" s="147"/>
      <c r="C325" s="147"/>
      <c r="D325" s="147"/>
      <c r="E325" s="147"/>
      <c r="F325" s="147"/>
      <c r="G325" s="147"/>
      <c r="H325" s="147"/>
      <c r="I325" s="147"/>
      <c r="J325" s="147"/>
      <c r="K325" s="147"/>
      <c r="L325" s="147"/>
      <c r="M325" s="147"/>
      <c r="N325" s="147"/>
      <c r="O325" s="147"/>
      <c r="P325" s="147"/>
      <c r="Q325" s="147"/>
      <c r="R325" s="147"/>
      <c r="S325" s="147"/>
      <c r="T325" s="147"/>
      <c r="U325" s="147"/>
      <c r="V325" s="147"/>
      <c r="W325" s="147"/>
      <c r="X325" s="147"/>
      <c r="Y325" s="147"/>
      <c r="Z325" s="147"/>
    </row>
    <row r="326" ht="16.5" customHeight="1">
      <c r="A326" s="147"/>
      <c r="B326" s="147"/>
      <c r="C326" s="147"/>
      <c r="D326" s="147"/>
      <c r="E326" s="147"/>
      <c r="F326" s="147"/>
      <c r="G326" s="147"/>
      <c r="H326" s="147"/>
      <c r="I326" s="147"/>
      <c r="J326" s="147"/>
      <c r="K326" s="147"/>
      <c r="L326" s="147"/>
      <c r="M326" s="147"/>
      <c r="N326" s="147"/>
      <c r="O326" s="147"/>
      <c r="P326" s="147"/>
      <c r="Q326" s="147"/>
      <c r="R326" s="147"/>
      <c r="S326" s="147"/>
      <c r="T326" s="147"/>
      <c r="U326" s="147"/>
      <c r="V326" s="147"/>
      <c r="W326" s="147"/>
      <c r="X326" s="147"/>
      <c r="Y326" s="147"/>
      <c r="Z326" s="147"/>
    </row>
    <row r="327" ht="16.5" customHeight="1">
      <c r="A327" s="147"/>
      <c r="B327" s="147"/>
      <c r="C327" s="147"/>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row>
    <row r="328" ht="16.5" customHeight="1">
      <c r="A328" s="147"/>
      <c r="B328" s="147"/>
      <c r="C328" s="147"/>
      <c r="D328" s="147"/>
      <c r="E328" s="147"/>
      <c r="F328" s="147"/>
      <c r="G328" s="147"/>
      <c r="H328" s="147"/>
      <c r="I328" s="147"/>
      <c r="J328" s="147"/>
      <c r="K328" s="147"/>
      <c r="L328" s="147"/>
      <c r="M328" s="147"/>
      <c r="N328" s="147"/>
      <c r="O328" s="147"/>
      <c r="P328" s="147"/>
      <c r="Q328" s="147"/>
      <c r="R328" s="147"/>
      <c r="S328" s="147"/>
      <c r="T328" s="147"/>
      <c r="U328" s="147"/>
      <c r="V328" s="147"/>
      <c r="W328" s="147"/>
      <c r="X328" s="147"/>
      <c r="Y328" s="147"/>
      <c r="Z328" s="147"/>
    </row>
    <row r="329" ht="16.5" customHeight="1">
      <c r="A329" s="147"/>
      <c r="B329" s="147"/>
      <c r="C329" s="147"/>
      <c r="D329" s="147"/>
      <c r="E329" s="147"/>
      <c r="F329" s="147"/>
      <c r="G329" s="147"/>
      <c r="H329" s="147"/>
      <c r="I329" s="147"/>
      <c r="J329" s="147"/>
      <c r="K329" s="147"/>
      <c r="L329" s="147"/>
      <c r="M329" s="147"/>
      <c r="N329" s="147"/>
      <c r="O329" s="147"/>
      <c r="P329" s="147"/>
      <c r="Q329" s="147"/>
      <c r="R329" s="147"/>
      <c r="S329" s="147"/>
      <c r="T329" s="147"/>
      <c r="U329" s="147"/>
      <c r="V329" s="147"/>
      <c r="W329" s="147"/>
      <c r="X329" s="147"/>
      <c r="Y329" s="147"/>
      <c r="Z329" s="147"/>
    </row>
    <row r="330" ht="15.75" customHeight="1">
      <c r="A330" s="147"/>
      <c r="B330" s="147"/>
      <c r="C330" s="147"/>
      <c r="D330" s="147"/>
      <c r="E330" s="147"/>
      <c r="F330" s="147"/>
      <c r="G330" s="147"/>
      <c r="H330" s="147"/>
      <c r="I330" s="147"/>
      <c r="J330" s="147"/>
      <c r="K330" s="147"/>
      <c r="L330" s="147"/>
      <c r="M330" s="147"/>
      <c r="N330" s="147"/>
      <c r="O330" s="147"/>
      <c r="P330" s="147"/>
      <c r="Q330" s="147"/>
      <c r="R330" s="147"/>
      <c r="S330" s="147"/>
      <c r="T330" s="147"/>
      <c r="U330" s="147"/>
      <c r="V330" s="147"/>
      <c r="W330" s="147"/>
      <c r="X330" s="147"/>
      <c r="Y330" s="147"/>
      <c r="Z330" s="147"/>
    </row>
    <row r="331" ht="15.75" customHeight="1">
      <c r="A331" s="147"/>
      <c r="B331" s="147"/>
      <c r="C331" s="147"/>
      <c r="D331" s="147"/>
      <c r="E331" s="147"/>
      <c r="F331" s="147"/>
      <c r="G331" s="147"/>
      <c r="H331" s="147"/>
      <c r="I331" s="147"/>
      <c r="J331" s="147"/>
      <c r="K331" s="147"/>
      <c r="L331" s="147"/>
      <c r="M331" s="147"/>
      <c r="N331" s="147"/>
      <c r="O331" s="147"/>
      <c r="P331" s="147"/>
      <c r="Q331" s="147"/>
      <c r="R331" s="147"/>
      <c r="S331" s="147"/>
      <c r="T331" s="147"/>
      <c r="U331" s="147"/>
      <c r="V331" s="147"/>
      <c r="W331" s="147"/>
      <c r="X331" s="147"/>
      <c r="Y331" s="147"/>
      <c r="Z331" s="147"/>
    </row>
    <row r="332" ht="15.75" customHeight="1">
      <c r="A332" s="147"/>
      <c r="B332" s="147"/>
      <c r="C332" s="147"/>
      <c r="D332" s="147"/>
      <c r="E332" s="147"/>
      <c r="F332" s="147"/>
      <c r="G332" s="147"/>
      <c r="H332" s="147"/>
      <c r="I332" s="147"/>
      <c r="J332" s="147"/>
      <c r="K332" s="147"/>
      <c r="L332" s="147"/>
      <c r="M332" s="147"/>
      <c r="N332" s="147"/>
      <c r="O332" s="147"/>
      <c r="P332" s="147"/>
      <c r="Q332" s="147"/>
      <c r="R332" s="147"/>
      <c r="S332" s="147"/>
      <c r="T332" s="147"/>
      <c r="U332" s="147"/>
      <c r="V332" s="147"/>
      <c r="W332" s="147"/>
      <c r="X332" s="147"/>
      <c r="Y332" s="147"/>
      <c r="Z332" s="147"/>
    </row>
    <row r="333" ht="15.75" customHeight="1">
      <c r="A333" s="147"/>
      <c r="B333" s="147"/>
      <c r="C333" s="147"/>
      <c r="D333" s="147"/>
      <c r="E333" s="147"/>
      <c r="F333" s="147"/>
      <c r="G333" s="147"/>
      <c r="H333" s="147"/>
      <c r="I333" s="147"/>
      <c r="J333" s="147"/>
      <c r="K333" s="147"/>
      <c r="L333" s="147"/>
      <c r="M333" s="147"/>
      <c r="N333" s="147"/>
      <c r="O333" s="147"/>
      <c r="P333" s="147"/>
      <c r="Q333" s="147"/>
      <c r="R333" s="147"/>
      <c r="S333" s="147"/>
      <c r="T333" s="147"/>
      <c r="U333" s="147"/>
      <c r="V333" s="147"/>
      <c r="W333" s="147"/>
      <c r="X333" s="147"/>
      <c r="Y333" s="147"/>
      <c r="Z333" s="147"/>
    </row>
    <row r="334" ht="15.75" customHeight="1">
      <c r="A334" s="147"/>
      <c r="B334" s="147"/>
      <c r="C334" s="147"/>
      <c r="D334" s="147"/>
      <c r="E334" s="147"/>
      <c r="F334" s="147"/>
      <c r="G334" s="147"/>
      <c r="H334" s="147"/>
      <c r="I334" s="147"/>
      <c r="J334" s="147"/>
      <c r="K334" s="147"/>
      <c r="L334" s="147"/>
      <c r="M334" s="147"/>
      <c r="N334" s="147"/>
      <c r="O334" s="147"/>
      <c r="P334" s="147"/>
      <c r="Q334" s="147"/>
      <c r="R334" s="147"/>
      <c r="S334" s="147"/>
      <c r="T334" s="147"/>
      <c r="U334" s="147"/>
      <c r="V334" s="147"/>
      <c r="W334" s="147"/>
      <c r="X334" s="147"/>
      <c r="Y334" s="147"/>
      <c r="Z334" s="147"/>
    </row>
    <row r="335" ht="15.75" customHeight="1">
      <c r="A335" s="147"/>
      <c r="B335" s="147"/>
      <c r="C335" s="147"/>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row>
    <row r="336" ht="15.75" customHeight="1">
      <c r="A336" s="147"/>
      <c r="B336" s="147"/>
      <c r="C336" s="147"/>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row>
    <row r="337" ht="15.75" customHeight="1">
      <c r="A337" s="147"/>
      <c r="B337" s="147"/>
      <c r="C337" s="147"/>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row>
    <row r="338" ht="15.75" customHeight="1">
      <c r="A338" s="147"/>
      <c r="B338" s="147"/>
      <c r="C338" s="147"/>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row>
    <row r="339" ht="15.75" customHeight="1">
      <c r="A339" s="147"/>
      <c r="B339" s="147"/>
      <c r="C339" s="147"/>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row>
    <row r="340" ht="15.75" customHeight="1">
      <c r="A340" s="147"/>
      <c r="B340" s="147"/>
      <c r="C340" s="147"/>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row>
    <row r="341" ht="15.75" customHeight="1">
      <c r="A341" s="147"/>
      <c r="B341" s="147"/>
      <c r="C341" s="147"/>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row>
    <row r="342" ht="15.75" customHeight="1">
      <c r="A342" s="147"/>
      <c r="B342" s="147"/>
      <c r="C342" s="147"/>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row>
    <row r="343" ht="15.75" customHeight="1">
      <c r="A343" s="147"/>
      <c r="B343" s="147"/>
      <c r="C343" s="147"/>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row>
    <row r="344" ht="15.75" customHeight="1">
      <c r="A344" s="147"/>
      <c r="B344" s="147"/>
      <c r="C344" s="147"/>
      <c r="D344" s="147"/>
      <c r="E344" s="147"/>
      <c r="F344" s="147"/>
      <c r="G344" s="147"/>
      <c r="H344" s="147"/>
      <c r="I344" s="147"/>
      <c r="J344" s="147"/>
      <c r="K344" s="147"/>
      <c r="L344" s="147"/>
      <c r="M344" s="147"/>
      <c r="N344" s="147"/>
      <c r="O344" s="147"/>
      <c r="P344" s="147"/>
      <c r="Q344" s="147"/>
      <c r="R344" s="147"/>
      <c r="S344" s="147"/>
      <c r="T344" s="147"/>
      <c r="U344" s="147"/>
      <c r="V344" s="147"/>
      <c r="W344" s="147"/>
      <c r="X344" s="147"/>
      <c r="Y344" s="147"/>
      <c r="Z344" s="147"/>
    </row>
    <row r="345" ht="15.75" customHeight="1">
      <c r="A345" s="147"/>
      <c r="B345" s="147"/>
      <c r="C345" s="147"/>
      <c r="D345" s="147"/>
      <c r="E345" s="147"/>
      <c r="F345" s="147"/>
      <c r="G345" s="147"/>
      <c r="H345" s="147"/>
      <c r="I345" s="147"/>
      <c r="J345" s="147"/>
      <c r="K345" s="147"/>
      <c r="L345" s="147"/>
      <c r="M345" s="147"/>
      <c r="N345" s="147"/>
      <c r="O345" s="147"/>
      <c r="P345" s="147"/>
      <c r="Q345" s="147"/>
      <c r="R345" s="147"/>
      <c r="S345" s="147"/>
      <c r="T345" s="147"/>
      <c r="U345" s="147"/>
      <c r="V345" s="147"/>
      <c r="W345" s="147"/>
      <c r="X345" s="147"/>
      <c r="Y345" s="147"/>
      <c r="Z345" s="147"/>
    </row>
    <row r="346" ht="15.75" customHeight="1">
      <c r="A346" s="147"/>
      <c r="B346" s="147"/>
      <c r="C346" s="147"/>
      <c r="D346" s="147"/>
      <c r="E346" s="147"/>
      <c r="F346" s="147"/>
      <c r="G346" s="147"/>
      <c r="H346" s="147"/>
      <c r="I346" s="147"/>
      <c r="J346" s="147"/>
      <c r="K346" s="147"/>
      <c r="L346" s="147"/>
      <c r="M346" s="147"/>
      <c r="N346" s="147"/>
      <c r="O346" s="147"/>
      <c r="P346" s="147"/>
      <c r="Q346" s="147"/>
      <c r="R346" s="147"/>
      <c r="S346" s="147"/>
      <c r="T346" s="147"/>
      <c r="U346" s="147"/>
      <c r="V346" s="147"/>
      <c r="W346" s="147"/>
      <c r="X346" s="147"/>
      <c r="Y346" s="147"/>
      <c r="Z346" s="147"/>
    </row>
    <row r="347" ht="15.75" customHeight="1">
      <c r="A347" s="147"/>
      <c r="B347" s="147"/>
      <c r="C347" s="147"/>
      <c r="D347" s="147"/>
      <c r="E347" s="147"/>
      <c r="F347" s="147"/>
      <c r="G347" s="147"/>
      <c r="H347" s="147"/>
      <c r="I347" s="147"/>
      <c r="J347" s="147"/>
      <c r="K347" s="147"/>
      <c r="L347" s="147"/>
      <c r="M347" s="147"/>
      <c r="N347" s="147"/>
      <c r="O347" s="147"/>
      <c r="P347" s="147"/>
      <c r="Q347" s="147"/>
      <c r="R347" s="147"/>
      <c r="S347" s="147"/>
      <c r="T347" s="147"/>
      <c r="U347" s="147"/>
      <c r="V347" s="147"/>
      <c r="W347" s="147"/>
      <c r="X347" s="147"/>
      <c r="Y347" s="147"/>
      <c r="Z347" s="147"/>
    </row>
    <row r="348" ht="15.75" customHeight="1">
      <c r="A348" s="147"/>
      <c r="B348" s="147"/>
      <c r="C348" s="147"/>
      <c r="D348" s="147"/>
      <c r="E348" s="147"/>
      <c r="F348" s="147"/>
      <c r="G348" s="147"/>
      <c r="H348" s="147"/>
      <c r="I348" s="147"/>
      <c r="J348" s="147"/>
      <c r="K348" s="147"/>
      <c r="L348" s="147"/>
      <c r="M348" s="147"/>
      <c r="N348" s="147"/>
      <c r="O348" s="147"/>
      <c r="P348" s="147"/>
      <c r="Q348" s="147"/>
      <c r="R348" s="147"/>
      <c r="S348" s="147"/>
      <c r="T348" s="147"/>
      <c r="U348" s="147"/>
      <c r="V348" s="147"/>
      <c r="W348" s="147"/>
      <c r="X348" s="147"/>
      <c r="Y348" s="147"/>
      <c r="Z348" s="147"/>
    </row>
    <row r="349" ht="15.75" customHeight="1">
      <c r="A349" s="147"/>
      <c r="B349" s="147"/>
      <c r="C349" s="147"/>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row>
    <row r="350" ht="15.75" customHeight="1">
      <c r="A350" s="147"/>
      <c r="B350" s="147"/>
      <c r="C350" s="147"/>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row>
    <row r="351" ht="15.75" customHeight="1">
      <c r="A351" s="147"/>
      <c r="B351" s="147"/>
      <c r="C351" s="147"/>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row>
    <row r="352" ht="15.75" customHeight="1">
      <c r="A352" s="147"/>
      <c r="B352" s="147"/>
      <c r="C352" s="147"/>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row>
    <row r="353" ht="15.75" customHeight="1">
      <c r="A353" s="147"/>
      <c r="B353" s="147"/>
      <c r="C353" s="147"/>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row>
    <row r="354" ht="15.75" customHeight="1">
      <c r="A354" s="147"/>
      <c r="B354" s="147"/>
      <c r="C354" s="147"/>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row>
    <row r="355" ht="15.75" customHeight="1">
      <c r="A355" s="147"/>
      <c r="B355" s="147"/>
      <c r="C355" s="147"/>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row>
    <row r="356" ht="15.75" customHeight="1">
      <c r="A356" s="147"/>
      <c r="B356" s="147"/>
      <c r="C356" s="147"/>
      <c r="D356" s="147"/>
      <c r="E356" s="147"/>
      <c r="F356" s="147"/>
      <c r="G356" s="147"/>
      <c r="H356" s="147"/>
      <c r="I356" s="147"/>
      <c r="J356" s="147"/>
      <c r="K356" s="147"/>
      <c r="L356" s="147"/>
      <c r="M356" s="147"/>
      <c r="N356" s="147"/>
      <c r="O356" s="147"/>
      <c r="P356" s="147"/>
      <c r="Q356" s="147"/>
      <c r="R356" s="147"/>
      <c r="S356" s="147"/>
      <c r="T356" s="147"/>
      <c r="U356" s="147"/>
      <c r="V356" s="147"/>
      <c r="W356" s="147"/>
      <c r="X356" s="147"/>
      <c r="Y356" s="147"/>
      <c r="Z356" s="147"/>
    </row>
    <row r="357" ht="15.75" customHeight="1">
      <c r="A357" s="147"/>
      <c r="B357" s="147"/>
      <c r="C357" s="147"/>
      <c r="D357" s="147"/>
      <c r="E357" s="147"/>
      <c r="F357" s="147"/>
      <c r="G357" s="147"/>
      <c r="H357" s="147"/>
      <c r="I357" s="147"/>
      <c r="J357" s="147"/>
      <c r="K357" s="147"/>
      <c r="L357" s="147"/>
      <c r="M357" s="147"/>
      <c r="N357" s="147"/>
      <c r="O357" s="147"/>
      <c r="P357" s="147"/>
      <c r="Q357" s="147"/>
      <c r="R357" s="147"/>
      <c r="S357" s="147"/>
      <c r="T357" s="147"/>
      <c r="U357" s="147"/>
      <c r="V357" s="147"/>
      <c r="W357" s="147"/>
      <c r="X357" s="147"/>
      <c r="Y357" s="147"/>
      <c r="Z357" s="147"/>
    </row>
    <row r="358" ht="15.75" customHeight="1">
      <c r="A358" s="147"/>
      <c r="B358" s="147"/>
      <c r="C358" s="147"/>
      <c r="D358" s="147"/>
      <c r="E358" s="147"/>
      <c r="F358" s="147"/>
      <c r="G358" s="147"/>
      <c r="H358" s="147"/>
      <c r="I358" s="147"/>
      <c r="J358" s="147"/>
      <c r="K358" s="147"/>
      <c r="L358" s="147"/>
      <c r="M358" s="147"/>
      <c r="N358" s="147"/>
      <c r="O358" s="147"/>
      <c r="P358" s="147"/>
      <c r="Q358" s="147"/>
      <c r="R358" s="147"/>
      <c r="S358" s="147"/>
      <c r="T358" s="147"/>
      <c r="U358" s="147"/>
      <c r="V358" s="147"/>
      <c r="W358" s="147"/>
      <c r="X358" s="147"/>
      <c r="Y358" s="147"/>
      <c r="Z358" s="147"/>
    </row>
    <row r="359" ht="15.75" customHeight="1">
      <c r="A359" s="147"/>
      <c r="B359" s="147"/>
      <c r="C359" s="147"/>
      <c r="D359" s="147"/>
      <c r="E359" s="147"/>
      <c r="F359" s="147"/>
      <c r="G359" s="147"/>
      <c r="H359" s="147"/>
      <c r="I359" s="147"/>
      <c r="J359" s="147"/>
      <c r="K359" s="147"/>
      <c r="L359" s="147"/>
      <c r="M359" s="147"/>
      <c r="N359" s="147"/>
      <c r="O359" s="147"/>
      <c r="P359" s="147"/>
      <c r="Q359" s="147"/>
      <c r="R359" s="147"/>
      <c r="S359" s="147"/>
      <c r="T359" s="147"/>
      <c r="U359" s="147"/>
      <c r="V359" s="147"/>
      <c r="W359" s="147"/>
      <c r="X359" s="147"/>
      <c r="Y359" s="147"/>
      <c r="Z359" s="147"/>
    </row>
    <row r="360" ht="15.75" customHeight="1">
      <c r="A360" s="147"/>
      <c r="B360" s="147"/>
      <c r="C360" s="147"/>
      <c r="D360" s="147"/>
      <c r="E360" s="147"/>
      <c r="F360" s="147"/>
      <c r="G360" s="147"/>
      <c r="H360" s="147"/>
      <c r="I360" s="147"/>
      <c r="J360" s="147"/>
      <c r="K360" s="147"/>
      <c r="L360" s="147"/>
      <c r="M360" s="147"/>
      <c r="N360" s="147"/>
      <c r="O360" s="147"/>
      <c r="P360" s="147"/>
      <c r="Q360" s="147"/>
      <c r="R360" s="147"/>
      <c r="S360" s="147"/>
      <c r="T360" s="147"/>
      <c r="U360" s="147"/>
      <c r="V360" s="147"/>
      <c r="W360" s="147"/>
      <c r="X360" s="147"/>
      <c r="Y360" s="147"/>
      <c r="Z360" s="147"/>
    </row>
    <row r="361" ht="15.75" customHeight="1">
      <c r="A361" s="147"/>
      <c r="B361" s="147"/>
      <c r="C361" s="147"/>
      <c r="D361" s="147"/>
      <c r="E361" s="147"/>
      <c r="F361" s="147"/>
      <c r="G361" s="147"/>
      <c r="H361" s="147"/>
      <c r="I361" s="147"/>
      <c r="J361" s="147"/>
      <c r="K361" s="147"/>
      <c r="L361" s="147"/>
      <c r="M361" s="147"/>
      <c r="N361" s="147"/>
      <c r="O361" s="147"/>
      <c r="P361" s="147"/>
      <c r="Q361" s="147"/>
      <c r="R361" s="147"/>
      <c r="S361" s="147"/>
      <c r="T361" s="147"/>
      <c r="U361" s="147"/>
      <c r="V361" s="147"/>
      <c r="W361" s="147"/>
      <c r="X361" s="147"/>
      <c r="Y361" s="147"/>
      <c r="Z361" s="147"/>
    </row>
    <row r="362" ht="15.75" customHeight="1">
      <c r="A362" s="147"/>
      <c r="B362" s="147"/>
      <c r="C362" s="147"/>
      <c r="D362" s="147"/>
      <c r="E362" s="147"/>
      <c r="F362" s="147"/>
      <c r="G362" s="147"/>
      <c r="H362" s="147"/>
      <c r="I362" s="147"/>
      <c r="J362" s="147"/>
      <c r="K362" s="147"/>
      <c r="L362" s="147"/>
      <c r="M362" s="147"/>
      <c r="N362" s="147"/>
      <c r="O362" s="147"/>
      <c r="P362" s="147"/>
      <c r="Q362" s="147"/>
      <c r="R362" s="147"/>
      <c r="S362" s="147"/>
      <c r="T362" s="147"/>
      <c r="U362" s="147"/>
      <c r="V362" s="147"/>
      <c r="W362" s="147"/>
      <c r="X362" s="147"/>
      <c r="Y362" s="147"/>
      <c r="Z362" s="147"/>
    </row>
    <row r="363" ht="15.75" customHeight="1">
      <c r="A363" s="147"/>
      <c r="B363" s="147"/>
      <c r="C363" s="147"/>
      <c r="D363" s="147"/>
      <c r="E363" s="147"/>
      <c r="F363" s="147"/>
      <c r="G363" s="147"/>
      <c r="H363" s="147"/>
      <c r="I363" s="147"/>
      <c r="J363" s="147"/>
      <c r="K363" s="147"/>
      <c r="L363" s="147"/>
      <c r="M363" s="147"/>
      <c r="N363" s="147"/>
      <c r="O363" s="147"/>
      <c r="P363" s="147"/>
      <c r="Q363" s="147"/>
      <c r="R363" s="147"/>
      <c r="S363" s="147"/>
      <c r="T363" s="147"/>
      <c r="U363" s="147"/>
      <c r="V363" s="147"/>
      <c r="W363" s="147"/>
      <c r="X363" s="147"/>
      <c r="Y363" s="147"/>
      <c r="Z363" s="147"/>
    </row>
    <row r="364" ht="15.75" customHeight="1">
      <c r="A364" s="147"/>
      <c r="B364" s="147"/>
      <c r="C364" s="147"/>
      <c r="D364" s="147"/>
      <c r="E364" s="147"/>
      <c r="F364" s="147"/>
      <c r="G364" s="147"/>
      <c r="H364" s="147"/>
      <c r="I364" s="147"/>
      <c r="J364" s="147"/>
      <c r="K364" s="147"/>
      <c r="L364" s="147"/>
      <c r="M364" s="147"/>
      <c r="N364" s="147"/>
      <c r="O364" s="147"/>
      <c r="P364" s="147"/>
      <c r="Q364" s="147"/>
      <c r="R364" s="147"/>
      <c r="S364" s="147"/>
      <c r="T364" s="147"/>
      <c r="U364" s="147"/>
      <c r="V364" s="147"/>
      <c r="W364" s="147"/>
      <c r="X364" s="147"/>
      <c r="Y364" s="147"/>
      <c r="Z364" s="147"/>
    </row>
    <row r="365" ht="15.75" customHeight="1">
      <c r="A365" s="147"/>
      <c r="B365" s="147"/>
      <c r="C365" s="147"/>
      <c r="D365" s="147"/>
      <c r="E365" s="147"/>
      <c r="F365" s="147"/>
      <c r="G365" s="147"/>
      <c r="H365" s="147"/>
      <c r="I365" s="147"/>
      <c r="J365" s="147"/>
      <c r="K365" s="147"/>
      <c r="L365" s="147"/>
      <c r="M365" s="147"/>
      <c r="N365" s="147"/>
      <c r="O365" s="147"/>
      <c r="P365" s="147"/>
      <c r="Q365" s="147"/>
      <c r="R365" s="147"/>
      <c r="S365" s="147"/>
      <c r="T365" s="147"/>
      <c r="U365" s="147"/>
      <c r="V365" s="147"/>
      <c r="W365" s="147"/>
      <c r="X365" s="147"/>
      <c r="Y365" s="147"/>
      <c r="Z365" s="147"/>
    </row>
    <row r="366" ht="15.75" customHeight="1">
      <c r="A366" s="147"/>
      <c r="B366" s="147"/>
      <c r="C366" s="147"/>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row>
    <row r="367" ht="15.75" customHeight="1">
      <c r="A367" s="147"/>
      <c r="B367" s="147"/>
      <c r="C367" s="147"/>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row>
    <row r="368" ht="15.75" customHeight="1">
      <c r="A368" s="147"/>
      <c r="B368" s="147"/>
      <c r="C368" s="147"/>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row>
    <row r="369" ht="15.75" customHeight="1">
      <c r="A369" s="147"/>
      <c r="B369" s="147"/>
      <c r="C369" s="147"/>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row>
    <row r="370" ht="15.75" customHeight="1">
      <c r="A370" s="147"/>
      <c r="B370" s="147"/>
      <c r="C370" s="147"/>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row>
    <row r="371" ht="15.75" customHeight="1">
      <c r="A371" s="147"/>
      <c r="B371" s="147"/>
      <c r="C371" s="147"/>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row>
    <row r="372" ht="15.75" customHeight="1">
      <c r="A372" s="147"/>
      <c r="B372" s="147"/>
      <c r="C372" s="147"/>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row>
    <row r="373" ht="15.75" customHeight="1">
      <c r="A373" s="147"/>
      <c r="B373" s="147"/>
      <c r="C373" s="147"/>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row>
    <row r="374" ht="15.75" customHeight="1">
      <c r="A374" s="147"/>
      <c r="B374" s="147"/>
      <c r="C374" s="147"/>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row>
    <row r="375" ht="15.75" customHeight="1">
      <c r="A375" s="147"/>
      <c r="B375" s="147"/>
      <c r="C375" s="147"/>
      <c r="D375" s="147"/>
      <c r="E375" s="147"/>
      <c r="F375" s="147"/>
      <c r="G375" s="147"/>
      <c r="H375" s="147"/>
      <c r="I375" s="147"/>
      <c r="J375" s="147"/>
      <c r="K375" s="147"/>
      <c r="L375" s="147"/>
      <c r="M375" s="147"/>
      <c r="N375" s="147"/>
      <c r="O375" s="147"/>
      <c r="P375" s="147"/>
      <c r="Q375" s="147"/>
      <c r="R375" s="147"/>
      <c r="S375" s="147"/>
      <c r="T375" s="147"/>
      <c r="U375" s="147"/>
      <c r="V375" s="147"/>
      <c r="W375" s="147"/>
      <c r="X375" s="147"/>
      <c r="Y375" s="147"/>
      <c r="Z375" s="147"/>
    </row>
    <row r="376" ht="15.75" customHeight="1">
      <c r="A376" s="147"/>
      <c r="B376" s="147"/>
      <c r="C376" s="147"/>
      <c r="D376" s="147"/>
      <c r="E376" s="147"/>
      <c r="F376" s="147"/>
      <c r="G376" s="147"/>
      <c r="H376" s="147"/>
      <c r="I376" s="147"/>
      <c r="J376" s="147"/>
      <c r="K376" s="147"/>
      <c r="L376" s="147"/>
      <c r="M376" s="147"/>
      <c r="N376" s="147"/>
      <c r="O376" s="147"/>
      <c r="P376" s="147"/>
      <c r="Q376" s="147"/>
      <c r="R376" s="147"/>
      <c r="S376" s="147"/>
      <c r="T376" s="147"/>
      <c r="U376" s="147"/>
      <c r="V376" s="147"/>
      <c r="W376" s="147"/>
      <c r="X376" s="147"/>
      <c r="Y376" s="147"/>
      <c r="Z376" s="147"/>
    </row>
    <row r="377" ht="15.75" customHeight="1">
      <c r="A377" s="147"/>
      <c r="B377" s="147"/>
      <c r="C377" s="147"/>
      <c r="D377" s="147"/>
      <c r="E377" s="147"/>
      <c r="F377" s="147"/>
      <c r="G377" s="147"/>
      <c r="H377" s="147"/>
      <c r="I377" s="147"/>
      <c r="J377" s="147"/>
      <c r="K377" s="147"/>
      <c r="L377" s="147"/>
      <c r="M377" s="147"/>
      <c r="N377" s="147"/>
      <c r="O377" s="147"/>
      <c r="P377" s="147"/>
      <c r="Q377" s="147"/>
      <c r="R377" s="147"/>
      <c r="S377" s="147"/>
      <c r="T377" s="147"/>
      <c r="U377" s="147"/>
      <c r="V377" s="147"/>
      <c r="W377" s="147"/>
      <c r="X377" s="147"/>
      <c r="Y377" s="147"/>
      <c r="Z377" s="147"/>
    </row>
    <row r="378" ht="15.75" customHeight="1">
      <c r="A378" s="147"/>
      <c r="B378" s="147"/>
      <c r="C378" s="147"/>
      <c r="D378" s="147"/>
      <c r="E378" s="147"/>
      <c r="F378" s="147"/>
      <c r="G378" s="147"/>
      <c r="H378" s="147"/>
      <c r="I378" s="147"/>
      <c r="J378" s="147"/>
      <c r="K378" s="147"/>
      <c r="L378" s="147"/>
      <c r="M378" s="147"/>
      <c r="N378" s="147"/>
      <c r="O378" s="147"/>
      <c r="P378" s="147"/>
      <c r="Q378" s="147"/>
      <c r="R378" s="147"/>
      <c r="S378" s="147"/>
      <c r="T378" s="147"/>
      <c r="U378" s="147"/>
      <c r="V378" s="147"/>
      <c r="W378" s="147"/>
      <c r="X378" s="147"/>
      <c r="Y378" s="147"/>
      <c r="Z378" s="147"/>
    </row>
    <row r="379" ht="15.75" customHeight="1">
      <c r="A379" s="147"/>
      <c r="B379" s="147"/>
      <c r="C379" s="147"/>
      <c r="D379" s="147"/>
      <c r="E379" s="147"/>
      <c r="F379" s="147"/>
      <c r="G379" s="147"/>
      <c r="H379" s="147"/>
      <c r="I379" s="147"/>
      <c r="J379" s="147"/>
      <c r="K379" s="147"/>
      <c r="L379" s="147"/>
      <c r="M379" s="147"/>
      <c r="N379" s="147"/>
      <c r="O379" s="147"/>
      <c r="P379" s="147"/>
      <c r="Q379" s="147"/>
      <c r="R379" s="147"/>
      <c r="S379" s="147"/>
      <c r="T379" s="147"/>
      <c r="U379" s="147"/>
      <c r="V379" s="147"/>
      <c r="W379" s="147"/>
      <c r="X379" s="147"/>
      <c r="Y379" s="147"/>
      <c r="Z379" s="147"/>
    </row>
    <row r="380" ht="15.75" customHeight="1">
      <c r="A380" s="147"/>
      <c r="B380" s="147"/>
      <c r="C380" s="147"/>
      <c r="D380" s="147"/>
      <c r="E380" s="147"/>
      <c r="F380" s="147"/>
      <c r="G380" s="147"/>
      <c r="H380" s="147"/>
      <c r="I380" s="147"/>
      <c r="J380" s="147"/>
      <c r="K380" s="147"/>
      <c r="L380" s="147"/>
      <c r="M380" s="147"/>
      <c r="N380" s="147"/>
      <c r="O380" s="147"/>
      <c r="P380" s="147"/>
      <c r="Q380" s="147"/>
      <c r="R380" s="147"/>
      <c r="S380" s="147"/>
      <c r="T380" s="147"/>
      <c r="U380" s="147"/>
      <c r="V380" s="147"/>
      <c r="W380" s="147"/>
      <c r="X380" s="147"/>
      <c r="Y380" s="147"/>
      <c r="Z380" s="147"/>
    </row>
    <row r="381" ht="15.75" customHeight="1">
      <c r="A381" s="147"/>
      <c r="B381" s="147"/>
      <c r="C381" s="147"/>
      <c r="D381" s="147"/>
      <c r="E381" s="147"/>
      <c r="F381" s="147"/>
      <c r="G381" s="147"/>
      <c r="H381" s="147"/>
      <c r="I381" s="147"/>
      <c r="J381" s="147"/>
      <c r="K381" s="147"/>
      <c r="L381" s="147"/>
      <c r="M381" s="147"/>
      <c r="N381" s="147"/>
      <c r="O381" s="147"/>
      <c r="P381" s="147"/>
      <c r="Q381" s="147"/>
      <c r="R381" s="147"/>
      <c r="S381" s="147"/>
      <c r="T381" s="147"/>
      <c r="U381" s="147"/>
      <c r="V381" s="147"/>
      <c r="W381" s="147"/>
      <c r="X381" s="147"/>
      <c r="Y381" s="147"/>
      <c r="Z381" s="147"/>
    </row>
    <row r="382" ht="15.75" customHeight="1">
      <c r="A382" s="147"/>
      <c r="B382" s="147"/>
      <c r="C382" s="147"/>
      <c r="D382" s="147"/>
      <c r="E382" s="147"/>
      <c r="F382" s="147"/>
      <c r="G382" s="147"/>
      <c r="H382" s="147"/>
      <c r="I382" s="147"/>
      <c r="J382" s="147"/>
      <c r="K382" s="147"/>
      <c r="L382" s="147"/>
      <c r="M382" s="147"/>
      <c r="N382" s="147"/>
      <c r="O382" s="147"/>
      <c r="P382" s="147"/>
      <c r="Q382" s="147"/>
      <c r="R382" s="147"/>
      <c r="S382" s="147"/>
      <c r="T382" s="147"/>
      <c r="U382" s="147"/>
      <c r="V382" s="147"/>
      <c r="W382" s="147"/>
      <c r="X382" s="147"/>
      <c r="Y382" s="147"/>
      <c r="Z382" s="147"/>
    </row>
    <row r="383" ht="15.75" customHeight="1">
      <c r="A383" s="147"/>
      <c r="B383" s="147"/>
      <c r="C383" s="147"/>
      <c r="D383" s="147"/>
      <c r="E383" s="147"/>
      <c r="F383" s="147"/>
      <c r="G383" s="147"/>
      <c r="H383" s="147"/>
      <c r="I383" s="147"/>
      <c r="J383" s="147"/>
      <c r="K383" s="147"/>
      <c r="L383" s="147"/>
      <c r="M383" s="147"/>
      <c r="N383" s="147"/>
      <c r="O383" s="147"/>
      <c r="P383" s="147"/>
      <c r="Q383" s="147"/>
      <c r="R383" s="147"/>
      <c r="S383" s="147"/>
      <c r="T383" s="147"/>
      <c r="U383" s="147"/>
      <c r="V383" s="147"/>
      <c r="W383" s="147"/>
      <c r="X383" s="147"/>
      <c r="Y383" s="147"/>
      <c r="Z383" s="147"/>
    </row>
    <row r="384" ht="15.75" customHeight="1">
      <c r="A384" s="147"/>
      <c r="B384" s="147"/>
      <c r="C384" s="147"/>
      <c r="D384" s="147"/>
      <c r="E384" s="147"/>
      <c r="F384" s="147"/>
      <c r="G384" s="147"/>
      <c r="H384" s="147"/>
      <c r="I384" s="147"/>
      <c r="J384" s="147"/>
      <c r="K384" s="147"/>
      <c r="L384" s="147"/>
      <c r="M384" s="147"/>
      <c r="N384" s="147"/>
      <c r="O384" s="147"/>
      <c r="P384" s="147"/>
      <c r="Q384" s="147"/>
      <c r="R384" s="147"/>
      <c r="S384" s="147"/>
      <c r="T384" s="147"/>
      <c r="U384" s="147"/>
      <c r="V384" s="147"/>
      <c r="W384" s="147"/>
      <c r="X384" s="147"/>
      <c r="Y384" s="147"/>
      <c r="Z384" s="147"/>
    </row>
    <row r="385" ht="15.75" customHeight="1">
      <c r="A385" s="147"/>
      <c r="B385" s="147"/>
      <c r="C385" s="147"/>
      <c r="D385" s="147"/>
      <c r="E385" s="147"/>
      <c r="F385" s="147"/>
      <c r="G385" s="147"/>
      <c r="H385" s="147"/>
      <c r="I385" s="147"/>
      <c r="J385" s="147"/>
      <c r="K385" s="147"/>
      <c r="L385" s="147"/>
      <c r="M385" s="147"/>
      <c r="N385" s="147"/>
      <c r="O385" s="147"/>
      <c r="P385" s="147"/>
      <c r="Q385" s="147"/>
      <c r="R385" s="147"/>
      <c r="S385" s="147"/>
      <c r="T385" s="147"/>
      <c r="U385" s="147"/>
      <c r="V385" s="147"/>
      <c r="W385" s="147"/>
      <c r="X385" s="147"/>
      <c r="Y385" s="147"/>
      <c r="Z385" s="147"/>
    </row>
    <row r="386" ht="15.75" customHeight="1">
      <c r="A386" s="147"/>
      <c r="B386" s="147"/>
      <c r="C386" s="147"/>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row>
    <row r="387" ht="15.75" customHeight="1">
      <c r="A387" s="147"/>
      <c r="B387" s="147"/>
      <c r="C387" s="147"/>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row>
    <row r="388" ht="15.75" customHeight="1">
      <c r="A388" s="147"/>
      <c r="B388" s="147"/>
      <c r="C388" s="147"/>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row>
    <row r="389" ht="15.75" customHeight="1">
      <c r="A389" s="147"/>
      <c r="B389" s="147"/>
      <c r="C389" s="147"/>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row>
    <row r="390" ht="15.75" customHeight="1">
      <c r="A390" s="147"/>
      <c r="B390" s="147"/>
      <c r="C390" s="147"/>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row>
    <row r="391" ht="15.75" customHeight="1">
      <c r="A391" s="147"/>
      <c r="B391" s="147"/>
      <c r="C391" s="147"/>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row>
    <row r="392" ht="15.75" customHeight="1">
      <c r="A392" s="147"/>
      <c r="B392" s="147"/>
      <c r="C392" s="147"/>
      <c r="D392" s="147"/>
      <c r="E392" s="147"/>
      <c r="F392" s="147"/>
      <c r="G392" s="147"/>
      <c r="H392" s="147"/>
      <c r="I392" s="147"/>
      <c r="J392" s="147"/>
      <c r="K392" s="147"/>
      <c r="L392" s="147"/>
      <c r="M392" s="147"/>
      <c r="N392" s="147"/>
      <c r="O392" s="147"/>
      <c r="P392" s="147"/>
      <c r="Q392" s="147"/>
      <c r="R392" s="147"/>
      <c r="S392" s="147"/>
      <c r="T392" s="147"/>
      <c r="U392" s="147"/>
      <c r="V392" s="147"/>
      <c r="W392" s="147"/>
      <c r="X392" s="147"/>
      <c r="Y392" s="147"/>
      <c r="Z392" s="147"/>
    </row>
    <row r="393" ht="15.75" customHeight="1">
      <c r="A393" s="147"/>
      <c r="B393" s="147"/>
      <c r="C393" s="147"/>
      <c r="D393" s="147"/>
      <c r="E393" s="147"/>
      <c r="F393" s="147"/>
      <c r="G393" s="147"/>
      <c r="H393" s="147"/>
      <c r="I393" s="147"/>
      <c r="J393" s="147"/>
      <c r="K393" s="147"/>
      <c r="L393" s="147"/>
      <c r="M393" s="147"/>
      <c r="N393" s="147"/>
      <c r="O393" s="147"/>
      <c r="P393" s="147"/>
      <c r="Q393" s="147"/>
      <c r="R393" s="147"/>
      <c r="S393" s="147"/>
      <c r="T393" s="147"/>
      <c r="U393" s="147"/>
      <c r="V393" s="147"/>
      <c r="W393" s="147"/>
      <c r="X393" s="147"/>
      <c r="Y393" s="147"/>
      <c r="Z393" s="147"/>
    </row>
    <row r="394" ht="15.75" customHeight="1">
      <c r="A394" s="147"/>
      <c r="B394" s="147"/>
      <c r="C394" s="147"/>
      <c r="D394" s="147"/>
      <c r="E394" s="147"/>
      <c r="F394" s="147"/>
      <c r="G394" s="147"/>
      <c r="H394" s="147"/>
      <c r="I394" s="147"/>
      <c r="J394" s="147"/>
      <c r="K394" s="147"/>
      <c r="L394" s="147"/>
      <c r="M394" s="147"/>
      <c r="N394" s="147"/>
      <c r="O394" s="147"/>
      <c r="P394" s="147"/>
      <c r="Q394" s="147"/>
      <c r="R394" s="147"/>
      <c r="S394" s="147"/>
      <c r="T394" s="147"/>
      <c r="U394" s="147"/>
      <c r="V394" s="147"/>
      <c r="W394" s="147"/>
      <c r="X394" s="147"/>
      <c r="Y394" s="147"/>
      <c r="Z394" s="147"/>
    </row>
    <row r="395" ht="15.75" customHeight="1">
      <c r="A395" s="147"/>
      <c r="B395" s="147"/>
      <c r="C395" s="147"/>
      <c r="D395" s="147"/>
      <c r="E395" s="147"/>
      <c r="F395" s="147"/>
      <c r="G395" s="147"/>
      <c r="H395" s="147"/>
      <c r="I395" s="147"/>
      <c r="J395" s="147"/>
      <c r="K395" s="147"/>
      <c r="L395" s="147"/>
      <c r="M395" s="147"/>
      <c r="N395" s="147"/>
      <c r="O395" s="147"/>
      <c r="P395" s="147"/>
      <c r="Q395" s="147"/>
      <c r="R395" s="147"/>
      <c r="S395" s="147"/>
      <c r="T395" s="147"/>
      <c r="U395" s="147"/>
      <c r="V395" s="147"/>
      <c r="W395" s="147"/>
      <c r="X395" s="147"/>
      <c r="Y395" s="147"/>
      <c r="Z395" s="147"/>
    </row>
    <row r="396" ht="15.75" customHeight="1">
      <c r="A396" s="147"/>
      <c r="B396" s="147"/>
      <c r="C396" s="147"/>
      <c r="D396" s="147"/>
      <c r="E396" s="147"/>
      <c r="F396" s="147"/>
      <c r="G396" s="147"/>
      <c r="H396" s="147"/>
      <c r="I396" s="147"/>
      <c r="J396" s="147"/>
      <c r="K396" s="147"/>
      <c r="L396" s="147"/>
      <c r="M396" s="147"/>
      <c r="N396" s="147"/>
      <c r="O396" s="147"/>
      <c r="P396" s="147"/>
      <c r="Q396" s="147"/>
      <c r="R396" s="147"/>
      <c r="S396" s="147"/>
      <c r="T396" s="147"/>
      <c r="U396" s="147"/>
      <c r="V396" s="147"/>
      <c r="W396" s="147"/>
      <c r="X396" s="147"/>
      <c r="Y396" s="147"/>
      <c r="Z396" s="147"/>
    </row>
    <row r="397" ht="15.75" customHeight="1">
      <c r="A397" s="147"/>
      <c r="B397" s="147"/>
      <c r="C397" s="147"/>
      <c r="D397" s="147"/>
      <c r="E397" s="147"/>
      <c r="F397" s="147"/>
      <c r="G397" s="147"/>
      <c r="H397" s="147"/>
      <c r="I397" s="147"/>
      <c r="J397" s="147"/>
      <c r="K397" s="147"/>
      <c r="L397" s="147"/>
      <c r="M397" s="147"/>
      <c r="N397" s="147"/>
      <c r="O397" s="147"/>
      <c r="P397" s="147"/>
      <c r="Q397" s="147"/>
      <c r="R397" s="147"/>
      <c r="S397" s="147"/>
      <c r="T397" s="147"/>
      <c r="U397" s="147"/>
      <c r="V397" s="147"/>
      <c r="W397" s="147"/>
      <c r="X397" s="147"/>
      <c r="Y397" s="147"/>
      <c r="Z397" s="147"/>
    </row>
    <row r="398" ht="15.75" customHeight="1">
      <c r="A398" s="147"/>
      <c r="B398" s="147"/>
      <c r="C398" s="147"/>
      <c r="D398" s="147"/>
      <c r="E398" s="147"/>
      <c r="F398" s="147"/>
      <c r="G398" s="147"/>
      <c r="H398" s="147"/>
      <c r="I398" s="147"/>
      <c r="J398" s="147"/>
      <c r="K398" s="147"/>
      <c r="L398" s="147"/>
      <c r="M398" s="147"/>
      <c r="N398" s="147"/>
      <c r="O398" s="147"/>
      <c r="P398" s="147"/>
      <c r="Q398" s="147"/>
      <c r="R398" s="147"/>
      <c r="S398" s="147"/>
      <c r="T398" s="147"/>
      <c r="U398" s="147"/>
      <c r="V398" s="147"/>
      <c r="W398" s="147"/>
      <c r="X398" s="147"/>
      <c r="Y398" s="147"/>
      <c r="Z398" s="147"/>
    </row>
    <row r="399" ht="15.75" customHeight="1">
      <c r="A399" s="147"/>
      <c r="B399" s="147"/>
      <c r="C399" s="147"/>
      <c r="D399" s="147"/>
      <c r="E399" s="147"/>
      <c r="F399" s="147"/>
      <c r="G399" s="147"/>
      <c r="H399" s="147"/>
      <c r="I399" s="147"/>
      <c r="J399" s="147"/>
      <c r="K399" s="147"/>
      <c r="L399" s="147"/>
      <c r="M399" s="147"/>
      <c r="N399" s="147"/>
      <c r="O399" s="147"/>
      <c r="P399" s="147"/>
      <c r="Q399" s="147"/>
      <c r="R399" s="147"/>
      <c r="S399" s="147"/>
      <c r="T399" s="147"/>
      <c r="U399" s="147"/>
      <c r="V399" s="147"/>
      <c r="W399" s="147"/>
      <c r="X399" s="147"/>
      <c r="Y399" s="147"/>
      <c r="Z399" s="147"/>
    </row>
    <row r="400" ht="15.75" customHeight="1">
      <c r="A400" s="147"/>
      <c r="B400" s="147"/>
      <c r="C400" s="147"/>
      <c r="D400" s="147"/>
      <c r="E400" s="147"/>
      <c r="F400" s="147"/>
      <c r="G400" s="147"/>
      <c r="H400" s="147"/>
      <c r="I400" s="147"/>
      <c r="J400" s="147"/>
      <c r="K400" s="147"/>
      <c r="L400" s="147"/>
      <c r="M400" s="147"/>
      <c r="N400" s="147"/>
      <c r="O400" s="147"/>
      <c r="P400" s="147"/>
      <c r="Q400" s="147"/>
      <c r="R400" s="147"/>
      <c r="S400" s="147"/>
      <c r="T400" s="147"/>
      <c r="U400" s="147"/>
      <c r="V400" s="147"/>
      <c r="W400" s="147"/>
      <c r="X400" s="147"/>
      <c r="Y400" s="147"/>
      <c r="Z400" s="147"/>
    </row>
    <row r="401" ht="15.75" customHeight="1">
      <c r="A401" s="147"/>
      <c r="B401" s="147"/>
      <c r="C401" s="147"/>
      <c r="D401" s="147"/>
      <c r="E401" s="147"/>
      <c r="F401" s="147"/>
      <c r="G401" s="147"/>
      <c r="H401" s="147"/>
      <c r="I401" s="147"/>
      <c r="J401" s="147"/>
      <c r="K401" s="147"/>
      <c r="L401" s="147"/>
      <c r="M401" s="147"/>
      <c r="N401" s="147"/>
      <c r="O401" s="147"/>
      <c r="P401" s="147"/>
      <c r="Q401" s="147"/>
      <c r="R401" s="147"/>
      <c r="S401" s="147"/>
      <c r="T401" s="147"/>
      <c r="U401" s="147"/>
      <c r="V401" s="147"/>
      <c r="W401" s="147"/>
      <c r="X401" s="147"/>
      <c r="Y401" s="147"/>
      <c r="Z401" s="147"/>
    </row>
    <row r="402" ht="15.75" customHeight="1">
      <c r="A402" s="147"/>
      <c r="B402" s="147"/>
      <c r="C402" s="147"/>
      <c r="D402" s="147"/>
      <c r="E402" s="147"/>
      <c r="F402" s="147"/>
      <c r="G402" s="147"/>
      <c r="H402" s="147"/>
      <c r="I402" s="147"/>
      <c r="J402" s="147"/>
      <c r="K402" s="147"/>
      <c r="L402" s="147"/>
      <c r="M402" s="147"/>
      <c r="N402" s="147"/>
      <c r="O402" s="147"/>
      <c r="P402" s="147"/>
      <c r="Q402" s="147"/>
      <c r="R402" s="147"/>
      <c r="S402" s="147"/>
      <c r="T402" s="147"/>
      <c r="U402" s="147"/>
      <c r="V402" s="147"/>
      <c r="W402" s="147"/>
      <c r="X402" s="147"/>
      <c r="Y402" s="147"/>
      <c r="Z402" s="147"/>
    </row>
    <row r="403" ht="15.75" customHeight="1">
      <c r="A403" s="147"/>
      <c r="B403" s="147"/>
      <c r="C403" s="147"/>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row>
    <row r="404" ht="15.75" customHeight="1">
      <c r="A404" s="147"/>
      <c r="B404" s="147"/>
      <c r="C404" s="147"/>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row>
    <row r="405" ht="15.75" customHeight="1">
      <c r="A405" s="147"/>
      <c r="B405" s="147"/>
      <c r="C405" s="147"/>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row>
    <row r="406" ht="15.75" customHeight="1">
      <c r="A406" s="147"/>
      <c r="B406" s="147"/>
      <c r="C406" s="147"/>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row>
    <row r="407" ht="15.75" customHeight="1">
      <c r="A407" s="147"/>
      <c r="B407" s="147"/>
      <c r="C407" s="147"/>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row>
    <row r="408" ht="15.75" customHeight="1">
      <c r="A408" s="147"/>
      <c r="B408" s="147"/>
      <c r="C408" s="147"/>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row>
    <row r="409" ht="15.75" customHeight="1">
      <c r="A409" s="147"/>
      <c r="B409" s="147"/>
      <c r="C409" s="147"/>
      <c r="D409" s="147"/>
      <c r="E409" s="147"/>
      <c r="F409" s="147"/>
      <c r="G409" s="147"/>
      <c r="H409" s="147"/>
      <c r="I409" s="147"/>
      <c r="J409" s="147"/>
      <c r="K409" s="147"/>
      <c r="L409" s="147"/>
      <c r="M409" s="147"/>
      <c r="N409" s="147"/>
      <c r="O409" s="147"/>
      <c r="P409" s="147"/>
      <c r="Q409" s="147"/>
      <c r="R409" s="147"/>
      <c r="S409" s="147"/>
      <c r="T409" s="147"/>
      <c r="U409" s="147"/>
      <c r="V409" s="147"/>
      <c r="W409" s="147"/>
      <c r="X409" s="147"/>
      <c r="Y409" s="147"/>
      <c r="Z409" s="147"/>
    </row>
    <row r="410" ht="15.75" customHeight="1">
      <c r="A410" s="147"/>
      <c r="B410" s="147"/>
      <c r="C410" s="147"/>
      <c r="D410" s="147"/>
      <c r="E410" s="147"/>
      <c r="F410" s="147"/>
      <c r="G410" s="147"/>
      <c r="H410" s="147"/>
      <c r="I410" s="147"/>
      <c r="J410" s="147"/>
      <c r="K410" s="147"/>
      <c r="L410" s="147"/>
      <c r="M410" s="147"/>
      <c r="N410" s="147"/>
      <c r="O410" s="147"/>
      <c r="P410" s="147"/>
      <c r="Q410" s="147"/>
      <c r="R410" s="147"/>
      <c r="S410" s="147"/>
      <c r="T410" s="147"/>
      <c r="U410" s="147"/>
      <c r="V410" s="147"/>
      <c r="W410" s="147"/>
      <c r="X410" s="147"/>
      <c r="Y410" s="147"/>
      <c r="Z410" s="147"/>
    </row>
    <row r="411" ht="15.75" customHeight="1">
      <c r="A411" s="147"/>
      <c r="B411" s="147"/>
      <c r="C411" s="147"/>
      <c r="D411" s="147"/>
      <c r="E411" s="147"/>
      <c r="F411" s="147"/>
      <c r="G411" s="147"/>
      <c r="H411" s="147"/>
      <c r="I411" s="147"/>
      <c r="J411" s="147"/>
      <c r="K411" s="147"/>
      <c r="L411" s="147"/>
      <c r="M411" s="147"/>
      <c r="N411" s="147"/>
      <c r="O411" s="147"/>
      <c r="P411" s="147"/>
      <c r="Q411" s="147"/>
      <c r="R411" s="147"/>
      <c r="S411" s="147"/>
      <c r="T411" s="147"/>
      <c r="U411" s="147"/>
      <c r="V411" s="147"/>
      <c r="W411" s="147"/>
      <c r="X411" s="147"/>
      <c r="Y411" s="147"/>
      <c r="Z411" s="147"/>
    </row>
    <row r="412" ht="15.75" customHeight="1">
      <c r="A412" s="147"/>
      <c r="B412" s="147"/>
      <c r="C412" s="147"/>
      <c r="D412" s="147"/>
      <c r="E412" s="147"/>
      <c r="F412" s="147"/>
      <c r="G412" s="147"/>
      <c r="H412" s="147"/>
      <c r="I412" s="147"/>
      <c r="J412" s="147"/>
      <c r="K412" s="147"/>
      <c r="L412" s="147"/>
      <c r="M412" s="147"/>
      <c r="N412" s="147"/>
      <c r="O412" s="147"/>
      <c r="P412" s="147"/>
      <c r="Q412" s="147"/>
      <c r="R412" s="147"/>
      <c r="S412" s="147"/>
      <c r="T412" s="147"/>
      <c r="U412" s="147"/>
      <c r="V412" s="147"/>
      <c r="W412" s="147"/>
      <c r="X412" s="147"/>
      <c r="Y412" s="147"/>
      <c r="Z412" s="147"/>
    </row>
    <row r="413" ht="15.75" customHeight="1">
      <c r="A413" s="147"/>
      <c r="B413" s="147"/>
      <c r="C413" s="147"/>
      <c r="D413" s="147"/>
      <c r="E413" s="147"/>
      <c r="F413" s="147"/>
      <c r="G413" s="147"/>
      <c r="H413" s="147"/>
      <c r="I413" s="147"/>
      <c r="J413" s="147"/>
      <c r="K413" s="147"/>
      <c r="L413" s="147"/>
      <c r="M413" s="147"/>
      <c r="N413" s="147"/>
      <c r="O413" s="147"/>
      <c r="P413" s="147"/>
      <c r="Q413" s="147"/>
      <c r="R413" s="147"/>
      <c r="S413" s="147"/>
      <c r="T413" s="147"/>
      <c r="U413" s="147"/>
      <c r="V413" s="147"/>
      <c r="W413" s="147"/>
      <c r="X413" s="147"/>
      <c r="Y413" s="147"/>
      <c r="Z413" s="147"/>
    </row>
    <row r="414" ht="15.75" customHeight="1">
      <c r="A414" s="147"/>
      <c r="B414" s="147"/>
      <c r="C414" s="147"/>
      <c r="D414" s="147"/>
      <c r="E414" s="147"/>
      <c r="F414" s="147"/>
      <c r="G414" s="147"/>
      <c r="H414" s="147"/>
      <c r="I414" s="147"/>
      <c r="J414" s="147"/>
      <c r="K414" s="147"/>
      <c r="L414" s="147"/>
      <c r="M414" s="147"/>
      <c r="N414" s="147"/>
      <c r="O414" s="147"/>
      <c r="P414" s="147"/>
      <c r="Q414" s="147"/>
      <c r="R414" s="147"/>
      <c r="S414" s="147"/>
      <c r="T414" s="147"/>
      <c r="U414" s="147"/>
      <c r="V414" s="147"/>
      <c r="W414" s="147"/>
      <c r="X414" s="147"/>
      <c r="Y414" s="147"/>
      <c r="Z414" s="147"/>
    </row>
    <row r="415" ht="15.75" customHeight="1">
      <c r="A415" s="147"/>
      <c r="B415" s="147"/>
      <c r="C415" s="147"/>
      <c r="D415" s="147"/>
      <c r="E415" s="147"/>
      <c r="F415" s="147"/>
      <c r="G415" s="147"/>
      <c r="H415" s="147"/>
      <c r="I415" s="147"/>
      <c r="J415" s="147"/>
      <c r="K415" s="147"/>
      <c r="L415" s="147"/>
      <c r="M415" s="147"/>
      <c r="N415" s="147"/>
      <c r="O415" s="147"/>
      <c r="P415" s="147"/>
      <c r="Q415" s="147"/>
      <c r="R415" s="147"/>
      <c r="S415" s="147"/>
      <c r="T415" s="147"/>
      <c r="U415" s="147"/>
      <c r="V415" s="147"/>
      <c r="W415" s="147"/>
      <c r="X415" s="147"/>
      <c r="Y415" s="147"/>
      <c r="Z415" s="147"/>
    </row>
    <row r="416" ht="15.75" customHeight="1">
      <c r="A416" s="147"/>
      <c r="B416" s="147"/>
      <c r="C416" s="147"/>
      <c r="D416" s="147"/>
      <c r="E416" s="147"/>
      <c r="F416" s="147"/>
      <c r="G416" s="147"/>
      <c r="H416" s="147"/>
      <c r="I416" s="147"/>
      <c r="J416" s="147"/>
      <c r="K416" s="147"/>
      <c r="L416" s="147"/>
      <c r="M416" s="147"/>
      <c r="N416" s="147"/>
      <c r="O416" s="147"/>
      <c r="P416" s="147"/>
      <c r="Q416" s="147"/>
      <c r="R416" s="147"/>
      <c r="S416" s="147"/>
      <c r="T416" s="147"/>
      <c r="U416" s="147"/>
      <c r="V416" s="147"/>
      <c r="W416" s="147"/>
      <c r="X416" s="147"/>
      <c r="Y416" s="147"/>
      <c r="Z416" s="147"/>
    </row>
    <row r="417" ht="15.75" customHeight="1">
      <c r="A417" s="147"/>
      <c r="B417" s="147"/>
      <c r="C417" s="147"/>
      <c r="D417" s="147"/>
      <c r="E417" s="147"/>
      <c r="F417" s="147"/>
      <c r="G417" s="147"/>
      <c r="H417" s="147"/>
      <c r="I417" s="147"/>
      <c r="J417" s="147"/>
      <c r="K417" s="147"/>
      <c r="L417" s="147"/>
      <c r="M417" s="147"/>
      <c r="N417" s="147"/>
      <c r="O417" s="147"/>
      <c r="P417" s="147"/>
      <c r="Q417" s="147"/>
      <c r="R417" s="147"/>
      <c r="S417" s="147"/>
      <c r="T417" s="147"/>
      <c r="U417" s="147"/>
      <c r="V417" s="147"/>
      <c r="W417" s="147"/>
      <c r="X417" s="147"/>
      <c r="Y417" s="147"/>
      <c r="Z417" s="147"/>
    </row>
    <row r="418" ht="15.75" customHeight="1">
      <c r="A418" s="147"/>
      <c r="B418" s="147"/>
      <c r="C418" s="147"/>
      <c r="D418" s="147"/>
      <c r="E418" s="147"/>
      <c r="F418" s="147"/>
      <c r="G418" s="147"/>
      <c r="H418" s="147"/>
      <c r="I418" s="147"/>
      <c r="J418" s="147"/>
      <c r="K418" s="147"/>
      <c r="L418" s="147"/>
      <c r="M418" s="147"/>
      <c r="N418" s="147"/>
      <c r="O418" s="147"/>
      <c r="P418" s="147"/>
      <c r="Q418" s="147"/>
      <c r="R418" s="147"/>
      <c r="S418" s="147"/>
      <c r="T418" s="147"/>
      <c r="U418" s="147"/>
      <c r="V418" s="147"/>
      <c r="W418" s="147"/>
      <c r="X418" s="147"/>
      <c r="Y418" s="147"/>
      <c r="Z418" s="147"/>
    </row>
    <row r="419" ht="15.75" customHeight="1">
      <c r="A419" s="147"/>
      <c r="B419" s="147"/>
      <c r="C419" s="147"/>
      <c r="D419" s="147"/>
      <c r="E419" s="147"/>
      <c r="F419" s="147"/>
      <c r="G419" s="147"/>
      <c r="H419" s="147"/>
      <c r="I419" s="147"/>
      <c r="J419" s="147"/>
      <c r="K419" s="147"/>
      <c r="L419" s="147"/>
      <c r="M419" s="147"/>
      <c r="N419" s="147"/>
      <c r="O419" s="147"/>
      <c r="P419" s="147"/>
      <c r="Q419" s="147"/>
      <c r="R419" s="147"/>
      <c r="S419" s="147"/>
      <c r="T419" s="147"/>
      <c r="U419" s="147"/>
      <c r="V419" s="147"/>
      <c r="W419" s="147"/>
      <c r="X419" s="147"/>
      <c r="Y419" s="147"/>
      <c r="Z419" s="147"/>
    </row>
    <row r="420" ht="15.75" customHeight="1">
      <c r="A420" s="147"/>
      <c r="B420" s="147"/>
      <c r="C420" s="147"/>
      <c r="D420" s="147"/>
      <c r="E420" s="147"/>
      <c r="F420" s="147"/>
      <c r="G420" s="147"/>
      <c r="H420" s="147"/>
      <c r="I420" s="147"/>
      <c r="J420" s="147"/>
      <c r="K420" s="147"/>
      <c r="L420" s="147"/>
      <c r="M420" s="147"/>
      <c r="N420" s="147"/>
      <c r="O420" s="147"/>
      <c r="P420" s="147"/>
      <c r="Q420" s="147"/>
      <c r="R420" s="147"/>
      <c r="S420" s="147"/>
      <c r="T420" s="147"/>
      <c r="U420" s="147"/>
      <c r="V420" s="147"/>
      <c r="W420" s="147"/>
      <c r="X420" s="147"/>
      <c r="Y420" s="147"/>
      <c r="Z420" s="147"/>
    </row>
    <row r="421" ht="15.75" customHeight="1">
      <c r="A421" s="147"/>
      <c r="B421" s="147"/>
      <c r="C421" s="147"/>
      <c r="D421" s="147"/>
      <c r="E421" s="147"/>
      <c r="F421" s="147"/>
      <c r="G421" s="147"/>
      <c r="H421" s="147"/>
      <c r="I421" s="147"/>
      <c r="J421" s="147"/>
      <c r="K421" s="147"/>
      <c r="L421" s="147"/>
      <c r="M421" s="147"/>
      <c r="N421" s="147"/>
      <c r="O421" s="147"/>
      <c r="P421" s="147"/>
      <c r="Q421" s="147"/>
      <c r="R421" s="147"/>
      <c r="S421" s="147"/>
      <c r="T421" s="147"/>
      <c r="U421" s="147"/>
      <c r="V421" s="147"/>
      <c r="W421" s="147"/>
      <c r="X421" s="147"/>
      <c r="Y421" s="147"/>
      <c r="Z421" s="147"/>
    </row>
    <row r="422" ht="15.75" customHeight="1">
      <c r="A422" s="147"/>
      <c r="B422" s="147"/>
      <c r="C422" s="147"/>
      <c r="D422" s="147"/>
      <c r="E422" s="147"/>
      <c r="F422" s="147"/>
      <c r="G422" s="147"/>
      <c r="H422" s="147"/>
      <c r="I422" s="147"/>
      <c r="J422" s="147"/>
      <c r="K422" s="147"/>
      <c r="L422" s="147"/>
      <c r="M422" s="147"/>
      <c r="N422" s="147"/>
      <c r="O422" s="147"/>
      <c r="P422" s="147"/>
      <c r="Q422" s="147"/>
      <c r="R422" s="147"/>
      <c r="S422" s="147"/>
      <c r="T422" s="147"/>
      <c r="U422" s="147"/>
      <c r="V422" s="147"/>
      <c r="W422" s="147"/>
      <c r="X422" s="147"/>
      <c r="Y422" s="147"/>
      <c r="Z422" s="147"/>
    </row>
    <row r="423" ht="15.75" customHeight="1">
      <c r="A423" s="147"/>
      <c r="B423" s="147"/>
      <c r="C423" s="147"/>
      <c r="D423" s="147"/>
      <c r="E423" s="147"/>
      <c r="F423" s="147"/>
      <c r="G423" s="147"/>
      <c r="H423" s="147"/>
      <c r="I423" s="147"/>
      <c r="J423" s="147"/>
      <c r="K423" s="147"/>
      <c r="L423" s="147"/>
      <c r="M423" s="147"/>
      <c r="N423" s="147"/>
      <c r="O423" s="147"/>
      <c r="P423" s="147"/>
      <c r="Q423" s="147"/>
      <c r="R423" s="147"/>
      <c r="S423" s="147"/>
      <c r="T423" s="147"/>
      <c r="U423" s="147"/>
      <c r="V423" s="147"/>
      <c r="W423" s="147"/>
      <c r="X423" s="147"/>
      <c r="Y423" s="147"/>
      <c r="Z423" s="147"/>
    </row>
    <row r="424" ht="15.75" customHeight="1">
      <c r="A424" s="147"/>
      <c r="B424" s="147"/>
      <c r="C424" s="147"/>
      <c r="D424" s="147"/>
      <c r="E424" s="147"/>
      <c r="F424" s="147"/>
      <c r="G424" s="147"/>
      <c r="H424" s="147"/>
      <c r="I424" s="147"/>
      <c r="J424" s="147"/>
      <c r="K424" s="147"/>
      <c r="L424" s="147"/>
      <c r="M424" s="147"/>
      <c r="N424" s="147"/>
      <c r="O424" s="147"/>
      <c r="P424" s="147"/>
      <c r="Q424" s="147"/>
      <c r="R424" s="147"/>
      <c r="S424" s="147"/>
      <c r="T424" s="147"/>
      <c r="U424" s="147"/>
      <c r="V424" s="147"/>
      <c r="W424" s="147"/>
      <c r="X424" s="147"/>
      <c r="Y424" s="147"/>
      <c r="Z424" s="147"/>
    </row>
    <row r="425" ht="15.75" customHeight="1">
      <c r="A425" s="147"/>
      <c r="B425" s="147"/>
      <c r="C425" s="147"/>
      <c r="D425" s="147"/>
      <c r="E425" s="147"/>
      <c r="F425" s="147"/>
      <c r="G425" s="147"/>
      <c r="H425" s="147"/>
      <c r="I425" s="147"/>
      <c r="J425" s="147"/>
      <c r="K425" s="147"/>
      <c r="L425" s="147"/>
      <c r="M425" s="147"/>
      <c r="N425" s="147"/>
      <c r="O425" s="147"/>
      <c r="P425" s="147"/>
      <c r="Q425" s="147"/>
      <c r="R425" s="147"/>
      <c r="S425" s="147"/>
      <c r="T425" s="147"/>
      <c r="U425" s="147"/>
      <c r="V425" s="147"/>
      <c r="W425" s="147"/>
      <c r="X425" s="147"/>
      <c r="Y425" s="147"/>
      <c r="Z425" s="147"/>
    </row>
    <row r="426" ht="15.75" customHeight="1">
      <c r="A426" s="147"/>
      <c r="B426" s="147"/>
      <c r="C426" s="147"/>
      <c r="D426" s="147"/>
      <c r="E426" s="147"/>
      <c r="F426" s="147"/>
      <c r="G426" s="147"/>
      <c r="H426" s="147"/>
      <c r="I426" s="147"/>
      <c r="J426" s="147"/>
      <c r="K426" s="147"/>
      <c r="L426" s="147"/>
      <c r="M426" s="147"/>
      <c r="N426" s="147"/>
      <c r="O426" s="147"/>
      <c r="P426" s="147"/>
      <c r="Q426" s="147"/>
      <c r="R426" s="147"/>
      <c r="S426" s="147"/>
      <c r="T426" s="147"/>
      <c r="U426" s="147"/>
      <c r="V426" s="147"/>
      <c r="W426" s="147"/>
      <c r="X426" s="147"/>
      <c r="Y426" s="147"/>
      <c r="Z426" s="147"/>
    </row>
    <row r="427" ht="15.75" customHeight="1">
      <c r="A427" s="147"/>
      <c r="B427" s="147"/>
      <c r="C427" s="147"/>
      <c r="D427" s="147"/>
      <c r="E427" s="147"/>
      <c r="F427" s="147"/>
      <c r="G427" s="147"/>
      <c r="H427" s="147"/>
      <c r="I427" s="147"/>
      <c r="J427" s="147"/>
      <c r="K427" s="147"/>
      <c r="L427" s="147"/>
      <c r="M427" s="147"/>
      <c r="N427" s="147"/>
      <c r="O427" s="147"/>
      <c r="P427" s="147"/>
      <c r="Q427" s="147"/>
      <c r="R427" s="147"/>
      <c r="S427" s="147"/>
      <c r="T427" s="147"/>
      <c r="U427" s="147"/>
      <c r="V427" s="147"/>
      <c r="W427" s="147"/>
      <c r="X427" s="147"/>
      <c r="Y427" s="147"/>
      <c r="Z427" s="147"/>
    </row>
    <row r="428" ht="15.75" customHeight="1">
      <c r="A428" s="147"/>
      <c r="B428" s="147"/>
      <c r="C428" s="147"/>
      <c r="D428" s="147"/>
      <c r="E428" s="147"/>
      <c r="F428" s="147"/>
      <c r="G428" s="147"/>
      <c r="H428" s="147"/>
      <c r="I428" s="147"/>
      <c r="J428" s="147"/>
      <c r="K428" s="147"/>
      <c r="L428" s="147"/>
      <c r="M428" s="147"/>
      <c r="N428" s="147"/>
      <c r="O428" s="147"/>
      <c r="P428" s="147"/>
      <c r="Q428" s="147"/>
      <c r="R428" s="147"/>
      <c r="S428" s="147"/>
      <c r="T428" s="147"/>
      <c r="U428" s="147"/>
      <c r="V428" s="147"/>
      <c r="W428" s="147"/>
      <c r="X428" s="147"/>
      <c r="Y428" s="147"/>
      <c r="Z428" s="147"/>
    </row>
    <row r="429" ht="15.75" customHeight="1">
      <c r="A429" s="147"/>
      <c r="B429" s="147"/>
      <c r="C429" s="147"/>
      <c r="D429" s="147"/>
      <c r="E429" s="147"/>
      <c r="F429" s="147"/>
      <c r="G429" s="147"/>
      <c r="H429" s="147"/>
      <c r="I429" s="147"/>
      <c r="J429" s="147"/>
      <c r="K429" s="147"/>
      <c r="L429" s="147"/>
      <c r="M429" s="147"/>
      <c r="N429" s="147"/>
      <c r="O429" s="147"/>
      <c r="P429" s="147"/>
      <c r="Q429" s="147"/>
      <c r="R429" s="147"/>
      <c r="S429" s="147"/>
      <c r="T429" s="147"/>
      <c r="U429" s="147"/>
      <c r="V429" s="147"/>
      <c r="W429" s="147"/>
      <c r="X429" s="147"/>
      <c r="Y429" s="147"/>
      <c r="Z429" s="147"/>
    </row>
    <row r="430" ht="15.75" customHeight="1">
      <c r="A430" s="147"/>
      <c r="B430" s="147"/>
      <c r="C430" s="147"/>
      <c r="D430" s="147"/>
      <c r="E430" s="147"/>
      <c r="F430" s="147"/>
      <c r="G430" s="147"/>
      <c r="H430" s="147"/>
      <c r="I430" s="147"/>
      <c r="J430" s="147"/>
      <c r="K430" s="147"/>
      <c r="L430" s="147"/>
      <c r="M430" s="147"/>
      <c r="N430" s="147"/>
      <c r="O430" s="147"/>
      <c r="P430" s="147"/>
      <c r="Q430" s="147"/>
      <c r="R430" s="147"/>
      <c r="S430" s="147"/>
      <c r="T430" s="147"/>
      <c r="U430" s="147"/>
      <c r="V430" s="147"/>
      <c r="W430" s="147"/>
      <c r="X430" s="147"/>
      <c r="Y430" s="147"/>
      <c r="Z430" s="147"/>
    </row>
    <row r="431" ht="15.75" customHeight="1">
      <c r="A431" s="147"/>
      <c r="B431" s="147"/>
      <c r="C431" s="147"/>
      <c r="D431" s="147"/>
      <c r="E431" s="147"/>
      <c r="F431" s="147"/>
      <c r="G431" s="147"/>
      <c r="H431" s="147"/>
      <c r="I431" s="147"/>
      <c r="J431" s="147"/>
      <c r="K431" s="147"/>
      <c r="L431" s="147"/>
      <c r="M431" s="147"/>
      <c r="N431" s="147"/>
      <c r="O431" s="147"/>
      <c r="P431" s="147"/>
      <c r="Q431" s="147"/>
      <c r="R431" s="147"/>
      <c r="S431" s="147"/>
      <c r="T431" s="147"/>
      <c r="U431" s="147"/>
      <c r="V431" s="147"/>
      <c r="W431" s="147"/>
      <c r="X431" s="147"/>
      <c r="Y431" s="147"/>
      <c r="Z431" s="147"/>
    </row>
    <row r="432" ht="15.75" customHeight="1">
      <c r="A432" s="147"/>
      <c r="B432" s="147"/>
      <c r="C432" s="147"/>
      <c r="D432" s="147"/>
      <c r="E432" s="147"/>
      <c r="F432" s="147"/>
      <c r="G432" s="147"/>
      <c r="H432" s="147"/>
      <c r="I432" s="147"/>
      <c r="J432" s="147"/>
      <c r="K432" s="147"/>
      <c r="L432" s="147"/>
      <c r="M432" s="147"/>
      <c r="N432" s="147"/>
      <c r="O432" s="147"/>
      <c r="P432" s="147"/>
      <c r="Q432" s="147"/>
      <c r="R432" s="147"/>
      <c r="S432" s="147"/>
      <c r="T432" s="147"/>
      <c r="U432" s="147"/>
      <c r="V432" s="147"/>
      <c r="W432" s="147"/>
      <c r="X432" s="147"/>
      <c r="Y432" s="147"/>
      <c r="Z432" s="147"/>
    </row>
    <row r="433" ht="15.75" customHeight="1">
      <c r="A433" s="147"/>
      <c r="B433" s="147"/>
      <c r="C433" s="147"/>
      <c r="D433" s="147"/>
      <c r="E433" s="147"/>
      <c r="F433" s="147"/>
      <c r="G433" s="147"/>
      <c r="H433" s="147"/>
      <c r="I433" s="147"/>
      <c r="J433" s="147"/>
      <c r="K433" s="147"/>
      <c r="L433" s="147"/>
      <c r="M433" s="147"/>
      <c r="N433" s="147"/>
      <c r="O433" s="147"/>
      <c r="P433" s="147"/>
      <c r="Q433" s="147"/>
      <c r="R433" s="147"/>
      <c r="S433" s="147"/>
      <c r="T433" s="147"/>
      <c r="U433" s="147"/>
      <c r="V433" s="147"/>
      <c r="W433" s="147"/>
      <c r="X433" s="147"/>
      <c r="Y433" s="147"/>
      <c r="Z433" s="147"/>
    </row>
    <row r="434" ht="15.75" customHeight="1">
      <c r="A434" s="147"/>
      <c r="B434" s="147"/>
      <c r="C434" s="147"/>
      <c r="D434" s="147"/>
      <c r="E434" s="147"/>
      <c r="F434" s="147"/>
      <c r="G434" s="147"/>
      <c r="H434" s="147"/>
      <c r="I434" s="147"/>
      <c r="J434" s="147"/>
      <c r="K434" s="147"/>
      <c r="L434" s="147"/>
      <c r="M434" s="147"/>
      <c r="N434" s="147"/>
      <c r="O434" s="147"/>
      <c r="P434" s="147"/>
      <c r="Q434" s="147"/>
      <c r="R434" s="147"/>
      <c r="S434" s="147"/>
      <c r="T434" s="147"/>
      <c r="U434" s="147"/>
      <c r="V434" s="147"/>
      <c r="W434" s="147"/>
      <c r="X434" s="147"/>
      <c r="Y434" s="147"/>
      <c r="Z434" s="147"/>
    </row>
    <row r="435" ht="15.75" customHeight="1">
      <c r="A435" s="147"/>
      <c r="B435" s="147"/>
      <c r="C435" s="147"/>
      <c r="D435" s="147"/>
      <c r="E435" s="147"/>
      <c r="F435" s="147"/>
      <c r="G435" s="147"/>
      <c r="H435" s="147"/>
      <c r="I435" s="147"/>
      <c r="J435" s="147"/>
      <c r="K435" s="147"/>
      <c r="L435" s="147"/>
      <c r="M435" s="147"/>
      <c r="N435" s="147"/>
      <c r="O435" s="147"/>
      <c r="P435" s="147"/>
      <c r="Q435" s="147"/>
      <c r="R435" s="147"/>
      <c r="S435" s="147"/>
      <c r="T435" s="147"/>
      <c r="U435" s="147"/>
      <c r="V435" s="147"/>
      <c r="W435" s="147"/>
      <c r="X435" s="147"/>
      <c r="Y435" s="147"/>
      <c r="Z435" s="147"/>
    </row>
    <row r="436" ht="15.75" customHeight="1">
      <c r="A436" s="147"/>
      <c r="B436" s="147"/>
      <c r="C436" s="147"/>
      <c r="D436" s="147"/>
      <c r="E436" s="147"/>
      <c r="F436" s="147"/>
      <c r="G436" s="147"/>
      <c r="H436" s="147"/>
      <c r="I436" s="147"/>
      <c r="J436" s="147"/>
      <c r="K436" s="147"/>
      <c r="L436" s="147"/>
      <c r="M436" s="147"/>
      <c r="N436" s="147"/>
      <c r="O436" s="147"/>
      <c r="P436" s="147"/>
      <c r="Q436" s="147"/>
      <c r="R436" s="147"/>
      <c r="S436" s="147"/>
      <c r="T436" s="147"/>
      <c r="U436" s="147"/>
      <c r="V436" s="147"/>
      <c r="W436" s="147"/>
      <c r="X436" s="147"/>
      <c r="Y436" s="147"/>
      <c r="Z436" s="147"/>
    </row>
    <row r="437" ht="15.75" customHeight="1">
      <c r="A437" s="147"/>
      <c r="B437" s="147"/>
      <c r="C437" s="147"/>
      <c r="D437" s="147"/>
      <c r="E437" s="147"/>
      <c r="F437" s="147"/>
      <c r="G437" s="147"/>
      <c r="H437" s="147"/>
      <c r="I437" s="147"/>
      <c r="J437" s="147"/>
      <c r="K437" s="147"/>
      <c r="L437" s="147"/>
      <c r="M437" s="147"/>
      <c r="N437" s="147"/>
      <c r="O437" s="147"/>
      <c r="P437" s="147"/>
      <c r="Q437" s="147"/>
      <c r="R437" s="147"/>
      <c r="S437" s="147"/>
      <c r="T437" s="147"/>
      <c r="U437" s="147"/>
      <c r="V437" s="147"/>
      <c r="W437" s="147"/>
      <c r="X437" s="147"/>
      <c r="Y437" s="147"/>
      <c r="Z437" s="147"/>
    </row>
    <row r="438" ht="15.75" customHeight="1">
      <c r="A438" s="147"/>
      <c r="B438" s="147"/>
      <c r="C438" s="147"/>
      <c r="D438" s="147"/>
      <c r="E438" s="147"/>
      <c r="F438" s="147"/>
      <c r="G438" s="147"/>
      <c r="H438" s="147"/>
      <c r="I438" s="147"/>
      <c r="J438" s="147"/>
      <c r="K438" s="147"/>
      <c r="L438" s="147"/>
      <c r="M438" s="147"/>
      <c r="N438" s="147"/>
      <c r="O438" s="147"/>
      <c r="P438" s="147"/>
      <c r="Q438" s="147"/>
      <c r="R438" s="147"/>
      <c r="S438" s="147"/>
      <c r="T438" s="147"/>
      <c r="U438" s="147"/>
      <c r="V438" s="147"/>
      <c r="W438" s="147"/>
      <c r="X438" s="147"/>
      <c r="Y438" s="147"/>
      <c r="Z438" s="147"/>
    </row>
    <row r="439" ht="15.75" customHeight="1">
      <c r="A439" s="147"/>
      <c r="B439" s="147"/>
      <c r="C439" s="147"/>
      <c r="D439" s="147"/>
      <c r="E439" s="147"/>
      <c r="F439" s="147"/>
      <c r="G439" s="147"/>
      <c r="H439" s="147"/>
      <c r="I439" s="147"/>
      <c r="J439" s="147"/>
      <c r="K439" s="147"/>
      <c r="L439" s="147"/>
      <c r="M439" s="147"/>
      <c r="N439" s="147"/>
      <c r="O439" s="147"/>
      <c r="P439" s="147"/>
      <c r="Q439" s="147"/>
      <c r="R439" s="147"/>
      <c r="S439" s="147"/>
      <c r="T439" s="147"/>
      <c r="U439" s="147"/>
      <c r="V439" s="147"/>
      <c r="W439" s="147"/>
      <c r="X439" s="147"/>
      <c r="Y439" s="147"/>
      <c r="Z439" s="147"/>
    </row>
    <row r="440" ht="15.75" customHeight="1">
      <c r="A440" s="147"/>
      <c r="B440" s="147"/>
      <c r="C440" s="147"/>
      <c r="D440" s="147"/>
      <c r="E440" s="147"/>
      <c r="F440" s="147"/>
      <c r="G440" s="147"/>
      <c r="H440" s="147"/>
      <c r="I440" s="147"/>
      <c r="J440" s="147"/>
      <c r="K440" s="147"/>
      <c r="L440" s="147"/>
      <c r="M440" s="147"/>
      <c r="N440" s="147"/>
      <c r="O440" s="147"/>
      <c r="P440" s="147"/>
      <c r="Q440" s="147"/>
      <c r="R440" s="147"/>
      <c r="S440" s="147"/>
      <c r="T440" s="147"/>
      <c r="U440" s="147"/>
      <c r="V440" s="147"/>
      <c r="W440" s="147"/>
      <c r="X440" s="147"/>
      <c r="Y440" s="147"/>
      <c r="Z440" s="147"/>
    </row>
    <row r="441" ht="15.75" customHeight="1">
      <c r="A441" s="147"/>
      <c r="B441" s="147"/>
      <c r="C441" s="147"/>
      <c r="D441" s="147"/>
      <c r="E441" s="147"/>
      <c r="F441" s="147"/>
      <c r="G441" s="147"/>
      <c r="H441" s="147"/>
      <c r="I441" s="147"/>
      <c r="J441" s="147"/>
      <c r="K441" s="147"/>
      <c r="L441" s="147"/>
      <c r="M441" s="147"/>
      <c r="N441" s="147"/>
      <c r="O441" s="147"/>
      <c r="P441" s="147"/>
      <c r="Q441" s="147"/>
      <c r="R441" s="147"/>
      <c r="S441" s="147"/>
      <c r="T441" s="147"/>
      <c r="U441" s="147"/>
      <c r="V441" s="147"/>
      <c r="W441" s="147"/>
      <c r="X441" s="147"/>
      <c r="Y441" s="147"/>
      <c r="Z441" s="147"/>
    </row>
    <row r="442" ht="15.75" customHeight="1">
      <c r="A442" s="147"/>
      <c r="B442" s="147"/>
      <c r="C442" s="147"/>
      <c r="D442" s="147"/>
      <c r="E442" s="147"/>
      <c r="F442" s="147"/>
      <c r="G442" s="147"/>
      <c r="H442" s="147"/>
      <c r="I442" s="147"/>
      <c r="J442" s="147"/>
      <c r="K442" s="147"/>
      <c r="L442" s="147"/>
      <c r="M442" s="147"/>
      <c r="N442" s="147"/>
      <c r="O442" s="147"/>
      <c r="P442" s="147"/>
      <c r="Q442" s="147"/>
      <c r="R442" s="147"/>
      <c r="S442" s="147"/>
      <c r="T442" s="147"/>
      <c r="U442" s="147"/>
      <c r="V442" s="147"/>
      <c r="W442" s="147"/>
      <c r="X442" s="147"/>
      <c r="Y442" s="147"/>
      <c r="Z442" s="147"/>
    </row>
    <row r="443" ht="15.75" customHeight="1">
      <c r="A443" s="147"/>
      <c r="B443" s="147"/>
      <c r="C443" s="147"/>
      <c r="D443" s="147"/>
      <c r="E443" s="147"/>
      <c r="F443" s="147"/>
      <c r="G443" s="147"/>
      <c r="H443" s="147"/>
      <c r="I443" s="147"/>
      <c r="J443" s="147"/>
      <c r="K443" s="147"/>
      <c r="L443" s="147"/>
      <c r="M443" s="147"/>
      <c r="N443" s="147"/>
      <c r="O443" s="147"/>
      <c r="P443" s="147"/>
      <c r="Q443" s="147"/>
      <c r="R443" s="147"/>
      <c r="S443" s="147"/>
      <c r="T443" s="147"/>
      <c r="U443" s="147"/>
      <c r="V443" s="147"/>
      <c r="W443" s="147"/>
      <c r="X443" s="147"/>
      <c r="Y443" s="147"/>
      <c r="Z443" s="147"/>
    </row>
    <row r="444" ht="15.75" customHeight="1">
      <c r="A444" s="147"/>
      <c r="B444" s="147"/>
      <c r="C444" s="147"/>
      <c r="D444" s="147"/>
      <c r="E444" s="147"/>
      <c r="F444" s="147"/>
      <c r="G444" s="147"/>
      <c r="H444" s="147"/>
      <c r="I444" s="147"/>
      <c r="J444" s="147"/>
      <c r="K444" s="147"/>
      <c r="L444" s="147"/>
      <c r="M444" s="147"/>
      <c r="N444" s="147"/>
      <c r="O444" s="147"/>
      <c r="P444" s="147"/>
      <c r="Q444" s="147"/>
      <c r="R444" s="147"/>
      <c r="S444" s="147"/>
      <c r="T444" s="147"/>
      <c r="U444" s="147"/>
      <c r="V444" s="147"/>
      <c r="W444" s="147"/>
      <c r="X444" s="147"/>
      <c r="Y444" s="147"/>
      <c r="Z444" s="147"/>
    </row>
    <row r="445" ht="15.75" customHeight="1">
      <c r="A445" s="147"/>
      <c r="B445" s="147"/>
      <c r="C445" s="147"/>
      <c r="D445" s="147"/>
      <c r="E445" s="147"/>
      <c r="F445" s="147"/>
      <c r="G445" s="147"/>
      <c r="H445" s="147"/>
      <c r="I445" s="147"/>
      <c r="J445" s="147"/>
      <c r="K445" s="147"/>
      <c r="L445" s="147"/>
      <c r="M445" s="147"/>
      <c r="N445" s="147"/>
      <c r="O445" s="147"/>
      <c r="P445" s="147"/>
      <c r="Q445" s="147"/>
      <c r="R445" s="147"/>
      <c r="S445" s="147"/>
      <c r="T445" s="147"/>
      <c r="U445" s="147"/>
      <c r="V445" s="147"/>
      <c r="W445" s="147"/>
      <c r="X445" s="147"/>
      <c r="Y445" s="147"/>
      <c r="Z445" s="147"/>
    </row>
    <row r="446" ht="15.75" customHeight="1">
      <c r="A446" s="147"/>
      <c r="B446" s="147"/>
      <c r="C446" s="147"/>
      <c r="D446" s="147"/>
      <c r="E446" s="147"/>
      <c r="F446" s="147"/>
      <c r="G446" s="147"/>
      <c r="H446" s="147"/>
      <c r="I446" s="147"/>
      <c r="J446" s="147"/>
      <c r="K446" s="147"/>
      <c r="L446" s="147"/>
      <c r="M446" s="147"/>
      <c r="N446" s="147"/>
      <c r="O446" s="147"/>
      <c r="P446" s="147"/>
      <c r="Q446" s="147"/>
      <c r="R446" s="147"/>
      <c r="S446" s="147"/>
      <c r="T446" s="147"/>
      <c r="U446" s="147"/>
      <c r="V446" s="147"/>
      <c r="W446" s="147"/>
      <c r="X446" s="147"/>
      <c r="Y446" s="147"/>
      <c r="Z446" s="147"/>
    </row>
    <row r="447" ht="15.75" customHeight="1">
      <c r="A447" s="147"/>
      <c r="B447" s="147"/>
      <c r="C447" s="147"/>
      <c r="D447" s="147"/>
      <c r="E447" s="147"/>
      <c r="F447" s="147"/>
      <c r="G447" s="147"/>
      <c r="H447" s="147"/>
      <c r="I447" s="147"/>
      <c r="J447" s="147"/>
      <c r="K447" s="147"/>
      <c r="L447" s="147"/>
      <c r="M447" s="147"/>
      <c r="N447" s="147"/>
      <c r="O447" s="147"/>
      <c r="P447" s="147"/>
      <c r="Q447" s="147"/>
      <c r="R447" s="147"/>
      <c r="S447" s="147"/>
      <c r="T447" s="147"/>
      <c r="U447" s="147"/>
      <c r="V447" s="147"/>
      <c r="W447" s="147"/>
      <c r="X447" s="147"/>
      <c r="Y447" s="147"/>
      <c r="Z447" s="147"/>
    </row>
    <row r="448" ht="15.75" customHeight="1">
      <c r="A448" s="147"/>
      <c r="B448" s="147"/>
      <c r="C448" s="147"/>
      <c r="D448" s="147"/>
      <c r="E448" s="147"/>
      <c r="F448" s="147"/>
      <c r="G448" s="147"/>
      <c r="H448" s="147"/>
      <c r="I448" s="147"/>
      <c r="J448" s="147"/>
      <c r="K448" s="147"/>
      <c r="L448" s="147"/>
      <c r="M448" s="147"/>
      <c r="N448" s="147"/>
      <c r="O448" s="147"/>
      <c r="P448" s="147"/>
      <c r="Q448" s="147"/>
      <c r="R448" s="147"/>
      <c r="S448" s="147"/>
      <c r="T448" s="147"/>
      <c r="U448" s="147"/>
      <c r="V448" s="147"/>
      <c r="W448" s="147"/>
      <c r="X448" s="147"/>
      <c r="Y448" s="147"/>
      <c r="Z448" s="147"/>
    </row>
    <row r="449" ht="15.75" customHeight="1">
      <c r="A449" s="147"/>
      <c r="B449" s="147"/>
      <c r="C449" s="147"/>
      <c r="D449" s="147"/>
      <c r="E449" s="147"/>
      <c r="F449" s="147"/>
      <c r="G449" s="147"/>
      <c r="H449" s="147"/>
      <c r="I449" s="147"/>
      <c r="J449" s="147"/>
      <c r="K449" s="147"/>
      <c r="L449" s="147"/>
      <c r="M449" s="147"/>
      <c r="N449" s="147"/>
      <c r="O449" s="147"/>
      <c r="P449" s="147"/>
      <c r="Q449" s="147"/>
      <c r="R449" s="147"/>
      <c r="S449" s="147"/>
      <c r="T449" s="147"/>
      <c r="U449" s="147"/>
      <c r="V449" s="147"/>
      <c r="W449" s="147"/>
      <c r="X449" s="147"/>
      <c r="Y449" s="147"/>
      <c r="Z449" s="147"/>
    </row>
    <row r="450" ht="15.75" customHeight="1">
      <c r="A450" s="147"/>
      <c r="B450" s="147"/>
      <c r="C450" s="147"/>
      <c r="D450" s="147"/>
      <c r="E450" s="147"/>
      <c r="F450" s="147"/>
      <c r="G450" s="147"/>
      <c r="H450" s="147"/>
      <c r="I450" s="147"/>
      <c r="J450" s="147"/>
      <c r="K450" s="147"/>
      <c r="L450" s="147"/>
      <c r="M450" s="147"/>
      <c r="N450" s="147"/>
      <c r="O450" s="147"/>
      <c r="P450" s="147"/>
      <c r="Q450" s="147"/>
      <c r="R450" s="147"/>
      <c r="S450" s="147"/>
      <c r="T450" s="147"/>
      <c r="U450" s="147"/>
      <c r="V450" s="147"/>
      <c r="W450" s="147"/>
      <c r="X450" s="147"/>
      <c r="Y450" s="147"/>
      <c r="Z450" s="147"/>
    </row>
    <row r="451" ht="15.75" customHeight="1">
      <c r="A451" s="147"/>
      <c r="B451" s="147"/>
      <c r="C451" s="147"/>
      <c r="D451" s="147"/>
      <c r="E451" s="147"/>
      <c r="F451" s="147"/>
      <c r="G451" s="147"/>
      <c r="H451" s="147"/>
      <c r="I451" s="147"/>
      <c r="J451" s="147"/>
      <c r="K451" s="147"/>
      <c r="L451" s="147"/>
      <c r="M451" s="147"/>
      <c r="N451" s="147"/>
      <c r="O451" s="147"/>
      <c r="P451" s="147"/>
      <c r="Q451" s="147"/>
      <c r="R451" s="147"/>
      <c r="S451" s="147"/>
      <c r="T451" s="147"/>
      <c r="U451" s="147"/>
      <c r="V451" s="147"/>
      <c r="W451" s="147"/>
      <c r="X451" s="147"/>
      <c r="Y451" s="147"/>
      <c r="Z451" s="147"/>
    </row>
    <row r="452" ht="15.75" customHeight="1">
      <c r="A452" s="147"/>
      <c r="B452" s="147"/>
      <c r="C452" s="147"/>
      <c r="D452" s="147"/>
      <c r="E452" s="147"/>
      <c r="F452" s="147"/>
      <c r="G452" s="147"/>
      <c r="H452" s="147"/>
      <c r="I452" s="147"/>
      <c r="J452" s="147"/>
      <c r="K452" s="147"/>
      <c r="L452" s="147"/>
      <c r="M452" s="147"/>
      <c r="N452" s="147"/>
      <c r="O452" s="147"/>
      <c r="P452" s="147"/>
      <c r="Q452" s="147"/>
      <c r="R452" s="147"/>
      <c r="S452" s="147"/>
      <c r="T452" s="147"/>
      <c r="U452" s="147"/>
      <c r="V452" s="147"/>
      <c r="W452" s="147"/>
      <c r="X452" s="147"/>
      <c r="Y452" s="147"/>
      <c r="Z452" s="147"/>
    </row>
    <row r="453" ht="15.75" customHeight="1">
      <c r="A453" s="147"/>
      <c r="B453" s="147"/>
      <c r="C453" s="147"/>
      <c r="D453" s="147"/>
      <c r="E453" s="147"/>
      <c r="F453" s="147"/>
      <c r="G453" s="147"/>
      <c r="H453" s="147"/>
      <c r="I453" s="147"/>
      <c r="J453" s="147"/>
      <c r="K453" s="147"/>
      <c r="L453" s="147"/>
      <c r="M453" s="147"/>
      <c r="N453" s="147"/>
      <c r="O453" s="147"/>
      <c r="P453" s="147"/>
      <c r="Q453" s="147"/>
      <c r="R453" s="147"/>
      <c r="S453" s="147"/>
      <c r="T453" s="147"/>
      <c r="U453" s="147"/>
      <c r="V453" s="147"/>
      <c r="W453" s="147"/>
      <c r="X453" s="147"/>
      <c r="Y453" s="147"/>
      <c r="Z453" s="147"/>
    </row>
    <row r="454" ht="15.75" customHeight="1">
      <c r="A454" s="147"/>
      <c r="B454" s="147"/>
      <c r="C454" s="147"/>
      <c r="D454" s="147"/>
      <c r="E454" s="147"/>
      <c r="F454" s="147"/>
      <c r="G454" s="147"/>
      <c r="H454" s="147"/>
      <c r="I454" s="147"/>
      <c r="J454" s="147"/>
      <c r="K454" s="147"/>
      <c r="L454" s="147"/>
      <c r="M454" s="147"/>
      <c r="N454" s="147"/>
      <c r="O454" s="147"/>
      <c r="P454" s="147"/>
      <c r="Q454" s="147"/>
      <c r="R454" s="147"/>
      <c r="S454" s="147"/>
      <c r="T454" s="147"/>
      <c r="U454" s="147"/>
      <c r="V454" s="147"/>
      <c r="W454" s="147"/>
      <c r="X454" s="147"/>
      <c r="Y454" s="147"/>
      <c r="Z454" s="147"/>
    </row>
    <row r="455" ht="15.75" customHeight="1">
      <c r="A455" s="147"/>
      <c r="B455" s="147"/>
      <c r="C455" s="147"/>
      <c r="D455" s="147"/>
      <c r="E455" s="147"/>
      <c r="F455" s="147"/>
      <c r="G455" s="147"/>
      <c r="H455" s="147"/>
      <c r="I455" s="147"/>
      <c r="J455" s="147"/>
      <c r="K455" s="147"/>
      <c r="L455" s="147"/>
      <c r="M455" s="147"/>
      <c r="N455" s="147"/>
      <c r="O455" s="147"/>
      <c r="P455" s="147"/>
      <c r="Q455" s="147"/>
      <c r="R455" s="147"/>
      <c r="S455" s="147"/>
      <c r="T455" s="147"/>
      <c r="U455" s="147"/>
      <c r="V455" s="147"/>
      <c r="W455" s="147"/>
      <c r="X455" s="147"/>
      <c r="Y455" s="147"/>
      <c r="Z455" s="147"/>
    </row>
    <row r="456" ht="15.75" customHeight="1">
      <c r="A456" s="147"/>
      <c r="B456" s="147"/>
      <c r="C456" s="147"/>
      <c r="D456" s="147"/>
      <c r="E456" s="147"/>
      <c r="F456" s="147"/>
      <c r="G456" s="147"/>
      <c r="H456" s="147"/>
      <c r="I456" s="147"/>
      <c r="J456" s="147"/>
      <c r="K456" s="147"/>
      <c r="L456" s="147"/>
      <c r="M456" s="147"/>
      <c r="N456" s="147"/>
      <c r="O456" s="147"/>
      <c r="P456" s="147"/>
      <c r="Q456" s="147"/>
      <c r="R456" s="147"/>
      <c r="S456" s="147"/>
      <c r="T456" s="147"/>
      <c r="U456" s="147"/>
      <c r="V456" s="147"/>
      <c r="W456" s="147"/>
      <c r="X456" s="147"/>
      <c r="Y456" s="147"/>
      <c r="Z456" s="147"/>
    </row>
    <row r="457" ht="15.75" customHeight="1">
      <c r="A457" s="147"/>
      <c r="B457" s="147"/>
      <c r="C457" s="147"/>
      <c r="D457" s="147"/>
      <c r="E457" s="147"/>
      <c r="F457" s="147"/>
      <c r="G457" s="147"/>
      <c r="H457" s="147"/>
      <c r="I457" s="147"/>
      <c r="J457" s="147"/>
      <c r="K457" s="147"/>
      <c r="L457" s="147"/>
      <c r="M457" s="147"/>
      <c r="N457" s="147"/>
      <c r="O457" s="147"/>
      <c r="P457" s="147"/>
      <c r="Q457" s="147"/>
      <c r="R457" s="147"/>
      <c r="S457" s="147"/>
      <c r="T457" s="147"/>
      <c r="U457" s="147"/>
      <c r="V457" s="147"/>
      <c r="W457" s="147"/>
      <c r="X457" s="147"/>
      <c r="Y457" s="147"/>
      <c r="Z457" s="147"/>
    </row>
    <row r="458" ht="15.75" customHeight="1">
      <c r="A458" s="147"/>
      <c r="B458" s="147"/>
      <c r="C458" s="147"/>
      <c r="D458" s="147"/>
      <c r="E458" s="147"/>
      <c r="F458" s="147"/>
      <c r="G458" s="147"/>
      <c r="H458" s="147"/>
      <c r="I458" s="147"/>
      <c r="J458" s="147"/>
      <c r="K458" s="147"/>
      <c r="L458" s="147"/>
      <c r="M458" s="147"/>
      <c r="N458" s="147"/>
      <c r="O458" s="147"/>
      <c r="P458" s="147"/>
      <c r="Q458" s="147"/>
      <c r="R458" s="147"/>
      <c r="S458" s="147"/>
      <c r="T458" s="147"/>
      <c r="U458" s="147"/>
      <c r="V458" s="147"/>
      <c r="W458" s="147"/>
      <c r="X458" s="147"/>
      <c r="Y458" s="147"/>
      <c r="Z458" s="147"/>
    </row>
    <row r="459" ht="15.75" customHeight="1">
      <c r="A459" s="147"/>
      <c r="B459" s="147"/>
      <c r="C459" s="147"/>
      <c r="D459" s="147"/>
      <c r="E459" s="147"/>
      <c r="F459" s="147"/>
      <c r="G459" s="147"/>
      <c r="H459" s="147"/>
      <c r="I459" s="147"/>
      <c r="J459" s="147"/>
      <c r="K459" s="147"/>
      <c r="L459" s="147"/>
      <c r="M459" s="147"/>
      <c r="N459" s="147"/>
      <c r="O459" s="147"/>
      <c r="P459" s="147"/>
      <c r="Q459" s="147"/>
      <c r="R459" s="147"/>
      <c r="S459" s="147"/>
      <c r="T459" s="147"/>
      <c r="U459" s="147"/>
      <c r="V459" s="147"/>
      <c r="W459" s="147"/>
      <c r="X459" s="147"/>
      <c r="Y459" s="147"/>
      <c r="Z459" s="147"/>
    </row>
    <row r="460" ht="15.75" customHeight="1">
      <c r="A460" s="147"/>
      <c r="B460" s="147"/>
      <c r="C460" s="147"/>
      <c r="D460" s="147"/>
      <c r="E460" s="147"/>
      <c r="F460" s="147"/>
      <c r="G460" s="147"/>
      <c r="H460" s="147"/>
      <c r="I460" s="147"/>
      <c r="J460" s="147"/>
      <c r="K460" s="147"/>
      <c r="L460" s="147"/>
      <c r="M460" s="147"/>
      <c r="N460" s="147"/>
      <c r="O460" s="147"/>
      <c r="P460" s="147"/>
      <c r="Q460" s="147"/>
      <c r="R460" s="147"/>
      <c r="S460" s="147"/>
      <c r="T460" s="147"/>
      <c r="U460" s="147"/>
      <c r="V460" s="147"/>
      <c r="W460" s="147"/>
      <c r="X460" s="147"/>
      <c r="Y460" s="147"/>
      <c r="Z460" s="147"/>
    </row>
    <row r="461" ht="15.75" customHeight="1">
      <c r="A461" s="147"/>
      <c r="B461" s="147"/>
      <c r="C461" s="147"/>
      <c r="D461" s="147"/>
      <c r="E461" s="147"/>
      <c r="F461" s="147"/>
      <c r="G461" s="147"/>
      <c r="H461" s="147"/>
      <c r="I461" s="147"/>
      <c r="J461" s="147"/>
      <c r="K461" s="147"/>
      <c r="L461" s="147"/>
      <c r="M461" s="147"/>
      <c r="N461" s="147"/>
      <c r="O461" s="147"/>
      <c r="P461" s="147"/>
      <c r="Q461" s="147"/>
      <c r="R461" s="147"/>
      <c r="S461" s="147"/>
      <c r="T461" s="147"/>
      <c r="U461" s="147"/>
      <c r="V461" s="147"/>
      <c r="W461" s="147"/>
      <c r="X461" s="147"/>
      <c r="Y461" s="147"/>
      <c r="Z461" s="147"/>
    </row>
    <row r="462" ht="15.75" customHeight="1">
      <c r="A462" s="147"/>
      <c r="B462" s="147"/>
      <c r="C462" s="147"/>
      <c r="D462" s="147"/>
      <c r="E462" s="147"/>
      <c r="F462" s="147"/>
      <c r="G462" s="147"/>
      <c r="H462" s="147"/>
      <c r="I462" s="147"/>
      <c r="J462" s="147"/>
      <c r="K462" s="147"/>
      <c r="L462" s="147"/>
      <c r="M462" s="147"/>
      <c r="N462" s="147"/>
      <c r="O462" s="147"/>
      <c r="P462" s="147"/>
      <c r="Q462" s="147"/>
      <c r="R462" s="147"/>
      <c r="S462" s="147"/>
      <c r="T462" s="147"/>
      <c r="U462" s="147"/>
      <c r="V462" s="147"/>
      <c r="W462" s="147"/>
      <c r="X462" s="147"/>
      <c r="Y462" s="147"/>
      <c r="Z462" s="147"/>
    </row>
    <row r="463" ht="15.75" customHeight="1">
      <c r="A463" s="147"/>
      <c r="B463" s="147"/>
      <c r="C463" s="147"/>
      <c r="D463" s="147"/>
      <c r="E463" s="147"/>
      <c r="F463" s="147"/>
      <c r="G463" s="147"/>
      <c r="H463" s="147"/>
      <c r="I463" s="147"/>
      <c r="J463" s="147"/>
      <c r="K463" s="147"/>
      <c r="L463" s="147"/>
      <c r="M463" s="147"/>
      <c r="N463" s="147"/>
      <c r="O463" s="147"/>
      <c r="P463" s="147"/>
      <c r="Q463" s="147"/>
      <c r="R463" s="147"/>
      <c r="S463" s="147"/>
      <c r="T463" s="147"/>
      <c r="U463" s="147"/>
      <c r="V463" s="147"/>
      <c r="W463" s="147"/>
      <c r="X463" s="147"/>
      <c r="Y463" s="147"/>
      <c r="Z463" s="147"/>
    </row>
    <row r="464" ht="15.75" customHeight="1">
      <c r="A464" s="147"/>
      <c r="B464" s="147"/>
      <c r="C464" s="147"/>
      <c r="D464" s="147"/>
      <c r="E464" s="147"/>
      <c r="F464" s="147"/>
      <c r="G464" s="147"/>
      <c r="H464" s="147"/>
      <c r="I464" s="147"/>
      <c r="J464" s="147"/>
      <c r="K464" s="147"/>
      <c r="L464" s="147"/>
      <c r="M464" s="147"/>
      <c r="N464" s="147"/>
      <c r="O464" s="147"/>
      <c r="P464" s="147"/>
      <c r="Q464" s="147"/>
      <c r="R464" s="147"/>
      <c r="S464" s="147"/>
      <c r="T464" s="147"/>
      <c r="U464" s="147"/>
      <c r="V464" s="147"/>
      <c r="W464" s="147"/>
      <c r="X464" s="147"/>
      <c r="Y464" s="147"/>
      <c r="Z464" s="147"/>
    </row>
    <row r="465" ht="15.75" customHeight="1">
      <c r="A465" s="147"/>
      <c r="B465" s="147"/>
      <c r="C465" s="147"/>
      <c r="D465" s="147"/>
      <c r="E465" s="147"/>
      <c r="F465" s="147"/>
      <c r="G465" s="147"/>
      <c r="H465" s="147"/>
      <c r="I465" s="147"/>
      <c r="J465" s="147"/>
      <c r="K465" s="147"/>
      <c r="L465" s="147"/>
      <c r="M465" s="147"/>
      <c r="N465" s="147"/>
      <c r="O465" s="147"/>
      <c r="P465" s="147"/>
      <c r="Q465" s="147"/>
      <c r="R465" s="147"/>
      <c r="S465" s="147"/>
      <c r="T465" s="147"/>
      <c r="U465" s="147"/>
      <c r="V465" s="147"/>
      <c r="W465" s="147"/>
      <c r="X465" s="147"/>
      <c r="Y465" s="147"/>
      <c r="Z465" s="147"/>
    </row>
    <row r="466" ht="15.75" customHeight="1">
      <c r="A466" s="147"/>
      <c r="B466" s="147"/>
      <c r="C466" s="147"/>
      <c r="D466" s="147"/>
      <c r="E466" s="147"/>
      <c r="F466" s="147"/>
      <c r="G466" s="147"/>
      <c r="H466" s="147"/>
      <c r="I466" s="147"/>
      <c r="J466" s="147"/>
      <c r="K466" s="147"/>
      <c r="L466" s="147"/>
      <c r="M466" s="147"/>
      <c r="N466" s="147"/>
      <c r="O466" s="147"/>
      <c r="P466" s="147"/>
      <c r="Q466" s="147"/>
      <c r="R466" s="147"/>
      <c r="S466" s="147"/>
      <c r="T466" s="147"/>
      <c r="U466" s="147"/>
      <c r="V466" s="147"/>
      <c r="W466" s="147"/>
      <c r="X466" s="147"/>
      <c r="Y466" s="147"/>
      <c r="Z466" s="147"/>
    </row>
    <row r="467" ht="15.75" customHeight="1">
      <c r="A467" s="147"/>
      <c r="B467" s="147"/>
      <c r="C467" s="147"/>
      <c r="D467" s="147"/>
      <c r="E467" s="147"/>
      <c r="F467" s="147"/>
      <c r="G467" s="147"/>
      <c r="H467" s="147"/>
      <c r="I467" s="147"/>
      <c r="J467" s="147"/>
      <c r="K467" s="147"/>
      <c r="L467" s="147"/>
      <c r="M467" s="147"/>
      <c r="N467" s="147"/>
      <c r="O467" s="147"/>
      <c r="P467" s="147"/>
      <c r="Q467" s="147"/>
      <c r="R467" s="147"/>
      <c r="S467" s="147"/>
      <c r="T467" s="147"/>
      <c r="U467" s="147"/>
      <c r="V467" s="147"/>
      <c r="W467" s="147"/>
      <c r="X467" s="147"/>
      <c r="Y467" s="147"/>
      <c r="Z467" s="147"/>
    </row>
    <row r="468" ht="15.75" customHeight="1">
      <c r="A468" s="147"/>
      <c r="B468" s="147"/>
      <c r="C468" s="147"/>
      <c r="D468" s="147"/>
      <c r="E468" s="147"/>
      <c r="F468" s="147"/>
      <c r="G468" s="147"/>
      <c r="H468" s="147"/>
      <c r="I468" s="147"/>
      <c r="J468" s="147"/>
      <c r="K468" s="147"/>
      <c r="L468" s="147"/>
      <c r="M468" s="147"/>
      <c r="N468" s="147"/>
      <c r="O468" s="147"/>
      <c r="P468" s="147"/>
      <c r="Q468" s="147"/>
      <c r="R468" s="147"/>
      <c r="S468" s="147"/>
      <c r="T468" s="147"/>
      <c r="U468" s="147"/>
      <c r="V468" s="147"/>
      <c r="W468" s="147"/>
      <c r="X468" s="147"/>
      <c r="Y468" s="147"/>
      <c r="Z468" s="147"/>
    </row>
    <row r="469" ht="15.75" customHeight="1">
      <c r="A469" s="147"/>
      <c r="B469" s="147"/>
      <c r="C469" s="147"/>
      <c r="D469" s="147"/>
      <c r="E469" s="147"/>
      <c r="F469" s="147"/>
      <c r="G469" s="147"/>
      <c r="H469" s="147"/>
      <c r="I469" s="147"/>
      <c r="J469" s="147"/>
      <c r="K469" s="147"/>
      <c r="L469" s="147"/>
      <c r="M469" s="147"/>
      <c r="N469" s="147"/>
      <c r="O469" s="147"/>
      <c r="P469" s="147"/>
      <c r="Q469" s="147"/>
      <c r="R469" s="147"/>
      <c r="S469" s="147"/>
      <c r="T469" s="147"/>
      <c r="U469" s="147"/>
      <c r="V469" s="147"/>
      <c r="W469" s="147"/>
      <c r="X469" s="147"/>
      <c r="Y469" s="147"/>
      <c r="Z469" s="147"/>
    </row>
    <row r="470" ht="15.75" customHeight="1">
      <c r="A470" s="147"/>
      <c r="B470" s="147"/>
      <c r="C470" s="147"/>
      <c r="D470" s="147"/>
      <c r="E470" s="147"/>
      <c r="F470" s="147"/>
      <c r="G470" s="147"/>
      <c r="H470" s="147"/>
      <c r="I470" s="147"/>
      <c r="J470" s="147"/>
      <c r="K470" s="147"/>
      <c r="L470" s="147"/>
      <c r="M470" s="147"/>
      <c r="N470" s="147"/>
      <c r="O470" s="147"/>
      <c r="P470" s="147"/>
      <c r="Q470" s="147"/>
      <c r="R470" s="147"/>
      <c r="S470" s="147"/>
      <c r="T470" s="147"/>
      <c r="U470" s="147"/>
      <c r="V470" s="147"/>
      <c r="W470" s="147"/>
      <c r="X470" s="147"/>
      <c r="Y470" s="147"/>
      <c r="Z470" s="147"/>
    </row>
    <row r="471" ht="15.75" customHeight="1">
      <c r="A471" s="147"/>
      <c r="B471" s="147"/>
      <c r="C471" s="147"/>
      <c r="D471" s="147"/>
      <c r="E471" s="147"/>
      <c r="F471" s="147"/>
      <c r="G471" s="147"/>
      <c r="H471" s="147"/>
      <c r="I471" s="147"/>
      <c r="J471" s="147"/>
      <c r="K471" s="147"/>
      <c r="L471" s="147"/>
      <c r="M471" s="147"/>
      <c r="N471" s="147"/>
      <c r="O471" s="147"/>
      <c r="P471" s="147"/>
      <c r="Q471" s="147"/>
      <c r="R471" s="147"/>
      <c r="S471" s="147"/>
      <c r="T471" s="147"/>
      <c r="U471" s="147"/>
      <c r="V471" s="147"/>
      <c r="W471" s="147"/>
      <c r="X471" s="147"/>
      <c r="Y471" s="147"/>
      <c r="Z471" s="147"/>
    </row>
    <row r="472" ht="15.75" customHeight="1">
      <c r="A472" s="147"/>
      <c r="B472" s="147"/>
      <c r="C472" s="147"/>
      <c r="D472" s="147"/>
      <c r="E472" s="147"/>
      <c r="F472" s="147"/>
      <c r="G472" s="147"/>
      <c r="H472" s="147"/>
      <c r="I472" s="147"/>
      <c r="J472" s="147"/>
      <c r="K472" s="147"/>
      <c r="L472" s="147"/>
      <c r="M472" s="147"/>
      <c r="N472" s="147"/>
      <c r="O472" s="147"/>
      <c r="P472" s="147"/>
      <c r="Q472" s="147"/>
      <c r="R472" s="147"/>
      <c r="S472" s="147"/>
      <c r="T472" s="147"/>
      <c r="U472" s="147"/>
      <c r="V472" s="147"/>
      <c r="W472" s="147"/>
      <c r="X472" s="147"/>
      <c r="Y472" s="147"/>
      <c r="Z472" s="147"/>
    </row>
    <row r="473" ht="15.75" customHeight="1">
      <c r="A473" s="147"/>
      <c r="B473" s="147"/>
      <c r="C473" s="147"/>
      <c r="D473" s="147"/>
      <c r="E473" s="147"/>
      <c r="F473" s="147"/>
      <c r="G473" s="147"/>
      <c r="H473" s="147"/>
      <c r="I473" s="147"/>
      <c r="J473" s="147"/>
      <c r="K473" s="147"/>
      <c r="L473" s="147"/>
      <c r="M473" s="147"/>
      <c r="N473" s="147"/>
      <c r="O473" s="147"/>
      <c r="P473" s="147"/>
      <c r="Q473" s="147"/>
      <c r="R473" s="147"/>
      <c r="S473" s="147"/>
      <c r="T473" s="147"/>
      <c r="U473" s="147"/>
      <c r="V473" s="147"/>
      <c r="W473" s="147"/>
      <c r="X473" s="147"/>
      <c r="Y473" s="147"/>
      <c r="Z473" s="147"/>
    </row>
    <row r="474" ht="15.75" customHeight="1">
      <c r="A474" s="147"/>
      <c r="B474" s="147"/>
      <c r="C474" s="147"/>
      <c r="D474" s="147"/>
      <c r="E474" s="147"/>
      <c r="F474" s="147"/>
      <c r="G474" s="147"/>
      <c r="H474" s="147"/>
      <c r="I474" s="147"/>
      <c r="J474" s="147"/>
      <c r="K474" s="147"/>
      <c r="L474" s="147"/>
      <c r="M474" s="147"/>
      <c r="N474" s="147"/>
      <c r="O474" s="147"/>
      <c r="P474" s="147"/>
      <c r="Q474" s="147"/>
      <c r="R474" s="147"/>
      <c r="S474" s="147"/>
      <c r="T474" s="147"/>
      <c r="U474" s="147"/>
      <c r="V474" s="147"/>
      <c r="W474" s="147"/>
      <c r="X474" s="147"/>
      <c r="Y474" s="147"/>
      <c r="Z474" s="147"/>
    </row>
    <row r="475" ht="15.75" customHeight="1">
      <c r="A475" s="147"/>
      <c r="B475" s="147"/>
      <c r="C475" s="147"/>
      <c r="D475" s="147"/>
      <c r="E475" s="147"/>
      <c r="F475" s="147"/>
      <c r="G475" s="147"/>
      <c r="H475" s="147"/>
      <c r="I475" s="147"/>
      <c r="J475" s="147"/>
      <c r="K475" s="147"/>
      <c r="L475" s="147"/>
      <c r="M475" s="147"/>
      <c r="N475" s="147"/>
      <c r="O475" s="147"/>
      <c r="P475" s="147"/>
      <c r="Q475" s="147"/>
      <c r="R475" s="147"/>
      <c r="S475" s="147"/>
      <c r="T475" s="147"/>
      <c r="U475" s="147"/>
      <c r="V475" s="147"/>
      <c r="W475" s="147"/>
      <c r="X475" s="147"/>
      <c r="Y475" s="147"/>
      <c r="Z475" s="147"/>
    </row>
    <row r="476" ht="15.75" customHeight="1">
      <c r="A476" s="147"/>
      <c r="B476" s="147"/>
      <c r="C476" s="147"/>
      <c r="D476" s="147"/>
      <c r="E476" s="147"/>
      <c r="F476" s="147"/>
      <c r="G476" s="147"/>
      <c r="H476" s="147"/>
      <c r="I476" s="147"/>
      <c r="J476" s="147"/>
      <c r="K476" s="147"/>
      <c r="L476" s="147"/>
      <c r="M476" s="147"/>
      <c r="N476" s="147"/>
      <c r="O476" s="147"/>
      <c r="P476" s="147"/>
      <c r="Q476" s="147"/>
      <c r="R476" s="147"/>
      <c r="S476" s="147"/>
      <c r="T476" s="147"/>
      <c r="U476" s="147"/>
      <c r="V476" s="147"/>
      <c r="W476" s="147"/>
      <c r="X476" s="147"/>
      <c r="Y476" s="147"/>
      <c r="Z476" s="147"/>
    </row>
    <row r="477" ht="15.75" customHeight="1">
      <c r="A477" s="147"/>
      <c r="B477" s="147"/>
      <c r="C477" s="147"/>
      <c r="D477" s="147"/>
      <c r="E477" s="147"/>
      <c r="F477" s="147"/>
      <c r="G477" s="147"/>
      <c r="H477" s="147"/>
      <c r="I477" s="147"/>
      <c r="J477" s="147"/>
      <c r="K477" s="147"/>
      <c r="L477" s="147"/>
      <c r="M477" s="147"/>
      <c r="N477" s="147"/>
      <c r="O477" s="147"/>
      <c r="P477" s="147"/>
      <c r="Q477" s="147"/>
      <c r="R477" s="147"/>
      <c r="S477" s="147"/>
      <c r="T477" s="147"/>
      <c r="U477" s="147"/>
      <c r="V477" s="147"/>
      <c r="W477" s="147"/>
      <c r="X477" s="147"/>
      <c r="Y477" s="147"/>
      <c r="Z477" s="147"/>
    </row>
    <row r="478" ht="15.75" customHeight="1">
      <c r="A478" s="147"/>
      <c r="B478" s="147"/>
      <c r="C478" s="147"/>
      <c r="D478" s="147"/>
      <c r="E478" s="147"/>
      <c r="F478" s="147"/>
      <c r="G478" s="147"/>
      <c r="H478" s="147"/>
      <c r="I478" s="147"/>
      <c r="J478" s="147"/>
      <c r="K478" s="147"/>
      <c r="L478" s="147"/>
      <c r="M478" s="147"/>
      <c r="N478" s="147"/>
      <c r="O478" s="147"/>
      <c r="P478" s="147"/>
      <c r="Q478" s="147"/>
      <c r="R478" s="147"/>
      <c r="S478" s="147"/>
      <c r="T478" s="147"/>
      <c r="U478" s="147"/>
      <c r="V478" s="147"/>
      <c r="W478" s="147"/>
      <c r="X478" s="147"/>
      <c r="Y478" s="147"/>
      <c r="Z478" s="147"/>
    </row>
    <row r="479" ht="15.75" customHeight="1">
      <c r="A479" s="147"/>
      <c r="B479" s="147"/>
      <c r="C479" s="147"/>
      <c r="D479" s="147"/>
      <c r="E479" s="147"/>
      <c r="F479" s="147"/>
      <c r="G479" s="147"/>
      <c r="H479" s="147"/>
      <c r="I479" s="147"/>
      <c r="J479" s="147"/>
      <c r="K479" s="147"/>
      <c r="L479" s="147"/>
      <c r="M479" s="147"/>
      <c r="N479" s="147"/>
      <c r="O479" s="147"/>
      <c r="P479" s="147"/>
      <c r="Q479" s="147"/>
      <c r="R479" s="147"/>
      <c r="S479" s="147"/>
      <c r="T479" s="147"/>
      <c r="U479" s="147"/>
      <c r="V479" s="147"/>
      <c r="W479" s="147"/>
      <c r="X479" s="147"/>
      <c r="Y479" s="147"/>
      <c r="Z479" s="147"/>
    </row>
    <row r="480" ht="15.75" customHeight="1">
      <c r="A480" s="147"/>
      <c r="B480" s="147"/>
      <c r="C480" s="147"/>
      <c r="D480" s="147"/>
      <c r="E480" s="147"/>
      <c r="F480" s="147"/>
      <c r="G480" s="147"/>
      <c r="H480" s="147"/>
      <c r="I480" s="147"/>
      <c r="J480" s="147"/>
      <c r="K480" s="147"/>
      <c r="L480" s="147"/>
      <c r="M480" s="147"/>
      <c r="N480" s="147"/>
      <c r="O480" s="147"/>
      <c r="P480" s="147"/>
      <c r="Q480" s="147"/>
      <c r="R480" s="147"/>
      <c r="S480" s="147"/>
      <c r="T480" s="147"/>
      <c r="U480" s="147"/>
      <c r="V480" s="147"/>
      <c r="W480" s="147"/>
      <c r="X480" s="147"/>
      <c r="Y480" s="147"/>
      <c r="Z480" s="147"/>
    </row>
    <row r="481" ht="15.75" customHeight="1">
      <c r="A481" s="147"/>
      <c r="B481" s="147"/>
      <c r="C481" s="147"/>
      <c r="D481" s="147"/>
      <c r="E481" s="147"/>
      <c r="F481" s="147"/>
      <c r="G481" s="147"/>
      <c r="H481" s="147"/>
      <c r="I481" s="147"/>
      <c r="J481" s="147"/>
      <c r="K481" s="147"/>
      <c r="L481" s="147"/>
      <c r="M481" s="147"/>
      <c r="N481" s="147"/>
      <c r="O481" s="147"/>
      <c r="P481" s="147"/>
      <c r="Q481" s="147"/>
      <c r="R481" s="147"/>
      <c r="S481" s="147"/>
      <c r="T481" s="147"/>
      <c r="U481" s="147"/>
      <c r="V481" s="147"/>
      <c r="W481" s="147"/>
      <c r="X481" s="147"/>
      <c r="Y481" s="147"/>
      <c r="Z481" s="147"/>
    </row>
    <row r="482" ht="15.75" customHeight="1">
      <c r="A482" s="147"/>
      <c r="B482" s="147"/>
      <c r="C482" s="147"/>
      <c r="D482" s="147"/>
      <c r="E482" s="147"/>
      <c r="F482" s="147"/>
      <c r="G482" s="147"/>
      <c r="H482" s="147"/>
      <c r="I482" s="147"/>
      <c r="J482" s="147"/>
      <c r="K482" s="147"/>
      <c r="L482" s="147"/>
      <c r="M482" s="147"/>
      <c r="N482" s="147"/>
      <c r="O482" s="147"/>
      <c r="P482" s="147"/>
      <c r="Q482" s="147"/>
      <c r="R482" s="147"/>
      <c r="S482" s="147"/>
      <c r="T482" s="147"/>
      <c r="U482" s="147"/>
      <c r="V482" s="147"/>
      <c r="W482" s="147"/>
      <c r="X482" s="147"/>
      <c r="Y482" s="147"/>
      <c r="Z482" s="147"/>
    </row>
    <row r="483" ht="15.75" customHeight="1">
      <c r="A483" s="147"/>
      <c r="B483" s="147"/>
      <c r="C483" s="147"/>
      <c r="D483" s="147"/>
      <c r="E483" s="147"/>
      <c r="F483" s="147"/>
      <c r="G483" s="147"/>
      <c r="H483" s="147"/>
      <c r="I483" s="147"/>
      <c r="J483" s="147"/>
      <c r="K483" s="147"/>
      <c r="L483" s="147"/>
      <c r="M483" s="147"/>
      <c r="N483" s="147"/>
      <c r="O483" s="147"/>
      <c r="P483" s="147"/>
      <c r="Q483" s="147"/>
      <c r="R483" s="147"/>
      <c r="S483" s="147"/>
      <c r="T483" s="147"/>
      <c r="U483" s="147"/>
      <c r="V483" s="147"/>
      <c r="W483" s="147"/>
      <c r="X483" s="147"/>
      <c r="Y483" s="147"/>
      <c r="Z483" s="147"/>
    </row>
    <row r="484" ht="15.75" customHeight="1">
      <c r="A484" s="147"/>
      <c r="B484" s="147"/>
      <c r="C484" s="147"/>
      <c r="D484" s="147"/>
      <c r="E484" s="147"/>
      <c r="F484" s="147"/>
      <c r="G484" s="147"/>
      <c r="H484" s="147"/>
      <c r="I484" s="147"/>
      <c r="J484" s="147"/>
      <c r="K484" s="147"/>
      <c r="L484" s="147"/>
      <c r="M484" s="147"/>
      <c r="N484" s="147"/>
      <c r="O484" s="147"/>
      <c r="P484" s="147"/>
      <c r="Q484" s="147"/>
      <c r="R484" s="147"/>
      <c r="S484" s="147"/>
      <c r="T484" s="147"/>
      <c r="U484" s="147"/>
      <c r="V484" s="147"/>
      <c r="W484" s="147"/>
      <c r="X484" s="147"/>
      <c r="Y484" s="147"/>
      <c r="Z484" s="147"/>
    </row>
    <row r="485" ht="15.75" customHeight="1">
      <c r="A485" s="147"/>
      <c r="B485" s="147"/>
      <c r="C485" s="147"/>
      <c r="D485" s="147"/>
      <c r="E485" s="147"/>
      <c r="F485" s="147"/>
      <c r="G485" s="147"/>
      <c r="H485" s="147"/>
      <c r="I485" s="147"/>
      <c r="J485" s="147"/>
      <c r="K485" s="147"/>
      <c r="L485" s="147"/>
      <c r="M485" s="147"/>
      <c r="N485" s="147"/>
      <c r="O485" s="147"/>
      <c r="P485" s="147"/>
      <c r="Q485" s="147"/>
      <c r="R485" s="147"/>
      <c r="S485" s="147"/>
      <c r="T485" s="147"/>
      <c r="U485" s="147"/>
      <c r="V485" s="147"/>
      <c r="W485" s="147"/>
      <c r="X485" s="147"/>
      <c r="Y485" s="147"/>
      <c r="Z485" s="147"/>
    </row>
    <row r="486" ht="15.75" customHeight="1">
      <c r="A486" s="147"/>
      <c r="B486" s="147"/>
      <c r="C486" s="147"/>
      <c r="D486" s="147"/>
      <c r="E486" s="147"/>
      <c r="F486" s="147"/>
      <c r="G486" s="147"/>
      <c r="H486" s="147"/>
      <c r="I486" s="147"/>
      <c r="J486" s="147"/>
      <c r="K486" s="147"/>
      <c r="L486" s="147"/>
      <c r="M486" s="147"/>
      <c r="N486" s="147"/>
      <c r="O486" s="147"/>
      <c r="P486" s="147"/>
      <c r="Q486" s="147"/>
      <c r="R486" s="147"/>
      <c r="S486" s="147"/>
      <c r="T486" s="147"/>
      <c r="U486" s="147"/>
      <c r="V486" s="147"/>
      <c r="W486" s="147"/>
      <c r="X486" s="147"/>
      <c r="Y486" s="147"/>
      <c r="Z486" s="147"/>
    </row>
    <row r="487" ht="15.75" customHeight="1">
      <c r="A487" s="147"/>
      <c r="B487" s="147"/>
      <c r="C487" s="147"/>
      <c r="D487" s="147"/>
      <c r="E487" s="147"/>
      <c r="F487" s="147"/>
      <c r="G487" s="147"/>
      <c r="H487" s="147"/>
      <c r="I487" s="147"/>
      <c r="J487" s="147"/>
      <c r="K487" s="147"/>
      <c r="L487" s="147"/>
      <c r="M487" s="147"/>
      <c r="N487" s="147"/>
      <c r="O487" s="147"/>
      <c r="P487" s="147"/>
      <c r="Q487" s="147"/>
      <c r="R487" s="147"/>
      <c r="S487" s="147"/>
      <c r="T487" s="147"/>
      <c r="U487" s="147"/>
      <c r="V487" s="147"/>
      <c r="W487" s="147"/>
      <c r="X487" s="147"/>
      <c r="Y487" s="147"/>
      <c r="Z487" s="147"/>
    </row>
    <row r="488" ht="15.75" customHeight="1">
      <c r="A488" s="147"/>
      <c r="B488" s="147"/>
      <c r="C488" s="147"/>
      <c r="D488" s="147"/>
      <c r="E488" s="147"/>
      <c r="F488" s="147"/>
      <c r="G488" s="147"/>
      <c r="H488" s="147"/>
      <c r="I488" s="147"/>
      <c r="J488" s="147"/>
      <c r="K488" s="147"/>
      <c r="L488" s="147"/>
      <c r="M488" s="147"/>
      <c r="N488" s="147"/>
      <c r="O488" s="147"/>
      <c r="P488" s="147"/>
      <c r="Q488" s="147"/>
      <c r="R488" s="147"/>
      <c r="S488" s="147"/>
      <c r="T488" s="147"/>
      <c r="U488" s="147"/>
      <c r="V488" s="147"/>
      <c r="W488" s="147"/>
      <c r="X488" s="147"/>
      <c r="Y488" s="147"/>
      <c r="Z488" s="147"/>
    </row>
    <row r="489" ht="15.75" customHeight="1">
      <c r="A489" s="147"/>
      <c r="B489" s="147"/>
      <c r="C489" s="147"/>
      <c r="D489" s="147"/>
      <c r="E489" s="147"/>
      <c r="F489" s="147"/>
      <c r="G489" s="147"/>
      <c r="H489" s="147"/>
      <c r="I489" s="147"/>
      <c r="J489" s="147"/>
      <c r="K489" s="147"/>
      <c r="L489" s="147"/>
      <c r="M489" s="147"/>
      <c r="N489" s="147"/>
      <c r="O489" s="147"/>
      <c r="P489" s="147"/>
      <c r="Q489" s="147"/>
      <c r="R489" s="147"/>
      <c r="S489" s="147"/>
      <c r="T489" s="147"/>
      <c r="U489" s="147"/>
      <c r="V489" s="147"/>
      <c r="W489" s="147"/>
      <c r="X489" s="147"/>
      <c r="Y489" s="147"/>
      <c r="Z489" s="147"/>
    </row>
    <row r="490" ht="15.75" customHeight="1">
      <c r="A490" s="147"/>
      <c r="B490" s="147"/>
      <c r="C490" s="147"/>
      <c r="D490" s="147"/>
      <c r="E490" s="147"/>
      <c r="F490" s="147"/>
      <c r="G490" s="147"/>
      <c r="H490" s="147"/>
      <c r="I490" s="147"/>
      <c r="J490" s="147"/>
      <c r="K490" s="147"/>
      <c r="L490" s="147"/>
      <c r="M490" s="147"/>
      <c r="N490" s="147"/>
      <c r="O490" s="147"/>
      <c r="P490" s="147"/>
      <c r="Q490" s="147"/>
      <c r="R490" s="147"/>
      <c r="S490" s="147"/>
      <c r="T490" s="147"/>
      <c r="U490" s="147"/>
      <c r="V490" s="147"/>
      <c r="W490" s="147"/>
      <c r="X490" s="147"/>
      <c r="Y490" s="147"/>
      <c r="Z490" s="147"/>
    </row>
    <row r="491" ht="15.75" customHeight="1">
      <c r="A491" s="147"/>
      <c r="B491" s="147"/>
      <c r="C491" s="147"/>
      <c r="D491" s="147"/>
      <c r="E491" s="147"/>
      <c r="F491" s="147"/>
      <c r="G491" s="147"/>
      <c r="H491" s="147"/>
      <c r="I491" s="147"/>
      <c r="J491" s="147"/>
      <c r="K491" s="147"/>
      <c r="L491" s="147"/>
      <c r="M491" s="147"/>
      <c r="N491" s="147"/>
      <c r="O491" s="147"/>
      <c r="P491" s="147"/>
      <c r="Q491" s="147"/>
      <c r="R491" s="147"/>
      <c r="S491" s="147"/>
      <c r="T491" s="147"/>
      <c r="U491" s="147"/>
      <c r="V491" s="147"/>
      <c r="W491" s="147"/>
      <c r="X491" s="147"/>
      <c r="Y491" s="147"/>
      <c r="Z491" s="147"/>
    </row>
    <row r="492" ht="15.75" customHeight="1">
      <c r="A492" s="147"/>
      <c r="B492" s="147"/>
      <c r="C492" s="147"/>
      <c r="D492" s="147"/>
      <c r="E492" s="147"/>
      <c r="F492" s="147"/>
      <c r="G492" s="147"/>
      <c r="H492" s="147"/>
      <c r="I492" s="147"/>
      <c r="J492" s="147"/>
      <c r="K492" s="147"/>
      <c r="L492" s="147"/>
      <c r="M492" s="147"/>
      <c r="N492" s="147"/>
      <c r="O492" s="147"/>
      <c r="P492" s="147"/>
      <c r="Q492" s="147"/>
      <c r="R492" s="147"/>
      <c r="S492" s="147"/>
      <c r="T492" s="147"/>
      <c r="U492" s="147"/>
      <c r="V492" s="147"/>
      <c r="W492" s="147"/>
      <c r="X492" s="147"/>
      <c r="Y492" s="147"/>
      <c r="Z492" s="147"/>
    </row>
    <row r="493" ht="15.75" customHeight="1">
      <c r="A493" s="147"/>
      <c r="B493" s="147"/>
      <c r="C493" s="147"/>
      <c r="D493" s="147"/>
      <c r="E493" s="147"/>
      <c r="F493" s="147"/>
      <c r="G493" s="147"/>
      <c r="H493" s="147"/>
      <c r="I493" s="147"/>
      <c r="J493" s="147"/>
      <c r="K493" s="147"/>
      <c r="L493" s="147"/>
      <c r="M493" s="147"/>
      <c r="N493" s="147"/>
      <c r="O493" s="147"/>
      <c r="P493" s="147"/>
      <c r="Q493" s="147"/>
      <c r="R493" s="147"/>
      <c r="S493" s="147"/>
      <c r="T493" s="147"/>
      <c r="U493" s="147"/>
      <c r="V493" s="147"/>
      <c r="W493" s="147"/>
      <c r="X493" s="147"/>
      <c r="Y493" s="147"/>
      <c r="Z493" s="147"/>
    </row>
    <row r="494" ht="15.75" customHeight="1">
      <c r="A494" s="147"/>
      <c r="B494" s="147"/>
      <c r="C494" s="147"/>
      <c r="D494" s="147"/>
      <c r="E494" s="147"/>
      <c r="F494" s="147"/>
      <c r="G494" s="147"/>
      <c r="H494" s="147"/>
      <c r="I494" s="147"/>
      <c r="J494" s="147"/>
      <c r="K494" s="147"/>
      <c r="L494" s="147"/>
      <c r="M494" s="147"/>
      <c r="N494" s="147"/>
      <c r="O494" s="147"/>
      <c r="P494" s="147"/>
      <c r="Q494" s="147"/>
      <c r="R494" s="147"/>
      <c r="S494" s="147"/>
      <c r="T494" s="147"/>
      <c r="U494" s="147"/>
      <c r="V494" s="147"/>
      <c r="W494" s="147"/>
      <c r="X494" s="147"/>
      <c r="Y494" s="147"/>
      <c r="Z494" s="147"/>
    </row>
    <row r="495" ht="15.75" customHeight="1">
      <c r="A495" s="147"/>
      <c r="B495" s="147"/>
      <c r="C495" s="147"/>
      <c r="D495" s="147"/>
      <c r="E495" s="147"/>
      <c r="F495" s="147"/>
      <c r="G495" s="147"/>
      <c r="H495" s="147"/>
      <c r="I495" s="147"/>
      <c r="J495" s="147"/>
      <c r="K495" s="147"/>
      <c r="L495" s="147"/>
      <c r="M495" s="147"/>
      <c r="N495" s="147"/>
      <c r="O495" s="147"/>
      <c r="P495" s="147"/>
      <c r="Q495" s="147"/>
      <c r="R495" s="147"/>
      <c r="S495" s="147"/>
      <c r="T495" s="147"/>
      <c r="U495" s="147"/>
      <c r="V495" s="147"/>
      <c r="W495" s="147"/>
      <c r="X495" s="147"/>
      <c r="Y495" s="147"/>
      <c r="Z495" s="147"/>
    </row>
    <row r="496" ht="15.75" customHeight="1">
      <c r="A496" s="147"/>
      <c r="B496" s="147"/>
      <c r="C496" s="147"/>
      <c r="D496" s="147"/>
      <c r="E496" s="147"/>
      <c r="F496" s="147"/>
      <c r="G496" s="147"/>
      <c r="H496" s="147"/>
      <c r="I496" s="147"/>
      <c r="J496" s="147"/>
      <c r="K496" s="147"/>
      <c r="L496" s="147"/>
      <c r="M496" s="147"/>
      <c r="N496" s="147"/>
      <c r="O496" s="147"/>
      <c r="P496" s="147"/>
      <c r="Q496" s="147"/>
      <c r="R496" s="147"/>
      <c r="S496" s="147"/>
      <c r="T496" s="147"/>
      <c r="U496" s="147"/>
      <c r="V496" s="147"/>
      <c r="W496" s="147"/>
      <c r="X496" s="147"/>
      <c r="Y496" s="147"/>
      <c r="Z496" s="147"/>
    </row>
    <row r="497" ht="15.75" customHeight="1">
      <c r="A497" s="147"/>
      <c r="B497" s="147"/>
      <c r="C497" s="147"/>
      <c r="D497" s="147"/>
      <c r="E497" s="147"/>
      <c r="F497" s="147"/>
      <c r="G497" s="147"/>
      <c r="H497" s="147"/>
      <c r="I497" s="147"/>
      <c r="J497" s="147"/>
      <c r="K497" s="147"/>
      <c r="L497" s="147"/>
      <c r="M497" s="147"/>
      <c r="N497" s="147"/>
      <c r="O497" s="147"/>
      <c r="P497" s="147"/>
      <c r="Q497" s="147"/>
      <c r="R497" s="147"/>
      <c r="S497" s="147"/>
      <c r="T497" s="147"/>
      <c r="U497" s="147"/>
      <c r="V497" s="147"/>
      <c r="W497" s="147"/>
      <c r="X497" s="147"/>
      <c r="Y497" s="147"/>
      <c r="Z497" s="147"/>
    </row>
    <row r="498" ht="15.75" customHeight="1">
      <c r="A498" s="147"/>
      <c r="B498" s="147"/>
      <c r="C498" s="147"/>
      <c r="D498" s="147"/>
      <c r="E498" s="147"/>
      <c r="F498" s="147"/>
      <c r="G498" s="147"/>
      <c r="H498" s="147"/>
      <c r="I498" s="147"/>
      <c r="J498" s="147"/>
      <c r="K498" s="147"/>
      <c r="L498" s="147"/>
      <c r="M498" s="147"/>
      <c r="N498" s="147"/>
      <c r="O498" s="147"/>
      <c r="P498" s="147"/>
      <c r="Q498" s="147"/>
      <c r="R498" s="147"/>
      <c r="S498" s="147"/>
      <c r="T498" s="147"/>
      <c r="U498" s="147"/>
      <c r="V498" s="147"/>
      <c r="W498" s="147"/>
      <c r="X498" s="147"/>
      <c r="Y498" s="147"/>
      <c r="Z498" s="147"/>
    </row>
    <row r="499" ht="15.75" customHeight="1">
      <c r="A499" s="147"/>
      <c r="B499" s="147"/>
      <c r="C499" s="147"/>
      <c r="D499" s="147"/>
      <c r="E499" s="147"/>
      <c r="F499" s="147"/>
      <c r="G499" s="147"/>
      <c r="H499" s="147"/>
      <c r="I499" s="147"/>
      <c r="J499" s="147"/>
      <c r="K499" s="147"/>
      <c r="L499" s="147"/>
      <c r="M499" s="147"/>
      <c r="N499" s="147"/>
      <c r="O499" s="147"/>
      <c r="P499" s="147"/>
      <c r="Q499" s="147"/>
      <c r="R499" s="147"/>
      <c r="S499" s="147"/>
      <c r="T499" s="147"/>
      <c r="U499" s="147"/>
      <c r="V499" s="147"/>
      <c r="W499" s="147"/>
      <c r="X499" s="147"/>
      <c r="Y499" s="147"/>
      <c r="Z499" s="147"/>
    </row>
    <row r="500" ht="15.75" customHeight="1">
      <c r="A500" s="147"/>
      <c r="B500" s="147"/>
      <c r="C500" s="147"/>
      <c r="D500" s="147"/>
      <c r="E500" s="147"/>
      <c r="F500" s="147"/>
      <c r="G500" s="147"/>
      <c r="H500" s="147"/>
      <c r="I500" s="147"/>
      <c r="J500" s="147"/>
      <c r="K500" s="147"/>
      <c r="L500" s="147"/>
      <c r="M500" s="147"/>
      <c r="N500" s="147"/>
      <c r="O500" s="147"/>
      <c r="P500" s="147"/>
      <c r="Q500" s="147"/>
      <c r="R500" s="147"/>
      <c r="S500" s="147"/>
      <c r="T500" s="147"/>
      <c r="U500" s="147"/>
      <c r="V500" s="147"/>
      <c r="W500" s="147"/>
      <c r="X500" s="147"/>
      <c r="Y500" s="147"/>
      <c r="Z500" s="147"/>
    </row>
    <row r="501" ht="15.75" customHeight="1">
      <c r="A501" s="147"/>
      <c r="B501" s="147"/>
      <c r="C501" s="147"/>
      <c r="D501" s="147"/>
      <c r="E501" s="147"/>
      <c r="F501" s="147"/>
      <c r="G501" s="147"/>
      <c r="H501" s="147"/>
      <c r="I501" s="147"/>
      <c r="J501" s="147"/>
      <c r="K501" s="147"/>
      <c r="L501" s="147"/>
      <c r="M501" s="147"/>
      <c r="N501" s="147"/>
      <c r="O501" s="147"/>
      <c r="P501" s="147"/>
      <c r="Q501" s="147"/>
      <c r="R501" s="147"/>
      <c r="S501" s="147"/>
      <c r="T501" s="147"/>
      <c r="U501" s="147"/>
      <c r="V501" s="147"/>
      <c r="W501" s="147"/>
      <c r="X501" s="147"/>
      <c r="Y501" s="147"/>
      <c r="Z501" s="147"/>
    </row>
    <row r="502" ht="15.75" customHeight="1">
      <c r="A502" s="147"/>
      <c r="B502" s="147"/>
      <c r="C502" s="147"/>
      <c r="D502" s="147"/>
      <c r="E502" s="147"/>
      <c r="F502" s="147"/>
      <c r="G502" s="147"/>
      <c r="H502" s="147"/>
      <c r="I502" s="147"/>
      <c r="J502" s="147"/>
      <c r="K502" s="147"/>
      <c r="L502" s="147"/>
      <c r="M502" s="147"/>
      <c r="N502" s="147"/>
      <c r="O502" s="147"/>
      <c r="P502" s="147"/>
      <c r="Q502" s="147"/>
      <c r="R502" s="147"/>
      <c r="S502" s="147"/>
      <c r="T502" s="147"/>
      <c r="U502" s="147"/>
      <c r="V502" s="147"/>
      <c r="W502" s="147"/>
      <c r="X502" s="147"/>
      <c r="Y502" s="147"/>
      <c r="Z502" s="147"/>
    </row>
    <row r="503" ht="15.75" customHeight="1">
      <c r="A503" s="147"/>
      <c r="B503" s="147"/>
      <c r="C503" s="147"/>
      <c r="D503" s="147"/>
      <c r="E503" s="147"/>
      <c r="F503" s="147"/>
      <c r="G503" s="147"/>
      <c r="H503" s="147"/>
      <c r="I503" s="147"/>
      <c r="J503" s="147"/>
      <c r="K503" s="147"/>
      <c r="L503" s="147"/>
      <c r="M503" s="147"/>
      <c r="N503" s="147"/>
      <c r="O503" s="147"/>
      <c r="P503" s="147"/>
      <c r="Q503" s="147"/>
      <c r="R503" s="147"/>
      <c r="S503" s="147"/>
      <c r="T503" s="147"/>
      <c r="U503" s="147"/>
      <c r="V503" s="147"/>
      <c r="W503" s="147"/>
      <c r="X503" s="147"/>
      <c r="Y503" s="147"/>
      <c r="Z503" s="147"/>
    </row>
    <row r="504" ht="15.75" customHeight="1">
      <c r="A504" s="147"/>
      <c r="B504" s="147"/>
      <c r="C504" s="147"/>
      <c r="D504" s="147"/>
      <c r="E504" s="147"/>
      <c r="F504" s="147"/>
      <c r="G504" s="147"/>
      <c r="H504" s="147"/>
      <c r="I504" s="147"/>
      <c r="J504" s="147"/>
      <c r="K504" s="147"/>
      <c r="L504" s="147"/>
      <c r="M504" s="147"/>
      <c r="N504" s="147"/>
      <c r="O504" s="147"/>
      <c r="P504" s="147"/>
      <c r="Q504" s="147"/>
      <c r="R504" s="147"/>
      <c r="S504" s="147"/>
      <c r="T504" s="147"/>
      <c r="U504" s="147"/>
      <c r="V504" s="147"/>
      <c r="W504" s="147"/>
      <c r="X504" s="147"/>
      <c r="Y504" s="147"/>
      <c r="Z504" s="147"/>
    </row>
    <row r="505" ht="15.75" customHeight="1">
      <c r="A505" s="147"/>
      <c r="B505" s="147"/>
      <c r="C505" s="147"/>
      <c r="D505" s="147"/>
      <c r="E505" s="147"/>
      <c r="F505" s="147"/>
      <c r="G505" s="147"/>
      <c r="H505" s="147"/>
      <c r="I505" s="147"/>
      <c r="J505" s="147"/>
      <c r="K505" s="147"/>
      <c r="L505" s="147"/>
      <c r="M505" s="147"/>
      <c r="N505" s="147"/>
      <c r="O505" s="147"/>
      <c r="P505" s="147"/>
      <c r="Q505" s="147"/>
      <c r="R505" s="147"/>
      <c r="S505" s="147"/>
      <c r="T505" s="147"/>
      <c r="U505" s="147"/>
      <c r="V505" s="147"/>
      <c r="W505" s="147"/>
      <c r="X505" s="147"/>
      <c r="Y505" s="147"/>
      <c r="Z505" s="147"/>
    </row>
    <row r="506" ht="15.75" customHeight="1">
      <c r="A506" s="147"/>
      <c r="B506" s="147"/>
      <c r="C506" s="147"/>
      <c r="D506" s="147"/>
      <c r="E506" s="147"/>
      <c r="F506" s="147"/>
      <c r="G506" s="147"/>
      <c r="H506" s="147"/>
      <c r="I506" s="147"/>
      <c r="J506" s="147"/>
      <c r="K506" s="147"/>
      <c r="L506" s="147"/>
      <c r="M506" s="147"/>
      <c r="N506" s="147"/>
      <c r="O506" s="147"/>
      <c r="P506" s="147"/>
      <c r="Q506" s="147"/>
      <c r="R506" s="147"/>
      <c r="S506" s="147"/>
      <c r="T506" s="147"/>
      <c r="U506" s="147"/>
      <c r="V506" s="147"/>
      <c r="W506" s="147"/>
      <c r="X506" s="147"/>
      <c r="Y506" s="147"/>
      <c r="Z506" s="147"/>
    </row>
    <row r="507" ht="15.75" customHeight="1">
      <c r="A507" s="147"/>
      <c r="B507" s="147"/>
      <c r="C507" s="147"/>
      <c r="D507" s="147"/>
      <c r="E507" s="147"/>
      <c r="F507" s="147"/>
      <c r="G507" s="147"/>
      <c r="H507" s="147"/>
      <c r="I507" s="147"/>
      <c r="J507" s="147"/>
      <c r="K507" s="147"/>
      <c r="L507" s="147"/>
      <c r="M507" s="147"/>
      <c r="N507" s="147"/>
      <c r="O507" s="147"/>
      <c r="P507" s="147"/>
      <c r="Q507" s="147"/>
      <c r="R507" s="147"/>
      <c r="S507" s="147"/>
      <c r="T507" s="147"/>
      <c r="U507" s="147"/>
      <c r="V507" s="147"/>
      <c r="W507" s="147"/>
      <c r="X507" s="147"/>
      <c r="Y507" s="147"/>
      <c r="Z507" s="147"/>
    </row>
    <row r="508" ht="15.75" customHeight="1">
      <c r="A508" s="147"/>
      <c r="B508" s="147"/>
      <c r="C508" s="147"/>
      <c r="D508" s="147"/>
      <c r="E508" s="147"/>
      <c r="F508" s="147"/>
      <c r="G508" s="147"/>
      <c r="H508" s="147"/>
      <c r="I508" s="147"/>
      <c r="J508" s="147"/>
      <c r="K508" s="147"/>
      <c r="L508" s="147"/>
      <c r="M508" s="147"/>
      <c r="N508" s="147"/>
      <c r="O508" s="147"/>
      <c r="P508" s="147"/>
      <c r="Q508" s="147"/>
      <c r="R508" s="147"/>
      <c r="S508" s="147"/>
      <c r="T508" s="147"/>
      <c r="U508" s="147"/>
      <c r="V508" s="147"/>
      <c r="W508" s="147"/>
      <c r="X508" s="147"/>
      <c r="Y508" s="147"/>
      <c r="Z508" s="147"/>
    </row>
    <row r="509" ht="15.75" customHeight="1">
      <c r="A509" s="147"/>
      <c r="B509" s="147"/>
      <c r="C509" s="147"/>
      <c r="D509" s="147"/>
      <c r="E509" s="147"/>
      <c r="F509" s="147"/>
      <c r="G509" s="147"/>
      <c r="H509" s="147"/>
      <c r="I509" s="147"/>
      <c r="J509" s="147"/>
      <c r="K509" s="147"/>
      <c r="L509" s="147"/>
      <c r="M509" s="147"/>
      <c r="N509" s="147"/>
      <c r="O509" s="147"/>
      <c r="P509" s="147"/>
      <c r="Q509" s="147"/>
      <c r="R509" s="147"/>
      <c r="S509" s="147"/>
      <c r="T509" s="147"/>
      <c r="U509" s="147"/>
      <c r="V509" s="147"/>
      <c r="W509" s="147"/>
      <c r="X509" s="147"/>
      <c r="Y509" s="147"/>
      <c r="Z509" s="147"/>
    </row>
    <row r="510" ht="15.75" customHeight="1">
      <c r="A510" s="147"/>
      <c r="B510" s="147"/>
      <c r="C510" s="147"/>
      <c r="D510" s="147"/>
      <c r="E510" s="147"/>
      <c r="F510" s="147"/>
      <c r="G510" s="147"/>
      <c r="H510" s="147"/>
      <c r="I510" s="147"/>
      <c r="J510" s="147"/>
      <c r="K510" s="147"/>
      <c r="L510" s="147"/>
      <c r="M510" s="147"/>
      <c r="N510" s="147"/>
      <c r="O510" s="147"/>
      <c r="P510" s="147"/>
      <c r="Q510" s="147"/>
      <c r="R510" s="147"/>
      <c r="S510" s="147"/>
      <c r="T510" s="147"/>
      <c r="U510" s="147"/>
      <c r="V510" s="147"/>
      <c r="W510" s="147"/>
      <c r="X510" s="147"/>
      <c r="Y510" s="147"/>
      <c r="Z510" s="147"/>
    </row>
    <row r="511" ht="15.75" customHeight="1">
      <c r="A511" s="147"/>
      <c r="B511" s="147"/>
      <c r="C511" s="147"/>
      <c r="D511" s="147"/>
      <c r="E511" s="147"/>
      <c r="F511" s="147"/>
      <c r="G511" s="147"/>
      <c r="H511" s="147"/>
      <c r="I511" s="147"/>
      <c r="J511" s="147"/>
      <c r="K511" s="147"/>
      <c r="L511" s="147"/>
      <c r="M511" s="147"/>
      <c r="N511" s="147"/>
      <c r="O511" s="147"/>
      <c r="P511" s="147"/>
      <c r="Q511" s="147"/>
      <c r="R511" s="147"/>
      <c r="S511" s="147"/>
      <c r="T511" s="147"/>
      <c r="U511" s="147"/>
      <c r="V511" s="147"/>
      <c r="W511" s="147"/>
      <c r="X511" s="147"/>
      <c r="Y511" s="147"/>
      <c r="Z511" s="147"/>
    </row>
    <row r="512" ht="15.75" customHeight="1">
      <c r="A512" s="147"/>
      <c r="B512" s="147"/>
      <c r="C512" s="147"/>
      <c r="D512" s="147"/>
      <c r="E512" s="147"/>
      <c r="F512" s="147"/>
      <c r="G512" s="147"/>
      <c r="H512" s="147"/>
      <c r="I512" s="147"/>
      <c r="J512" s="147"/>
      <c r="K512" s="147"/>
      <c r="L512" s="147"/>
      <c r="M512" s="147"/>
      <c r="N512" s="147"/>
      <c r="O512" s="147"/>
      <c r="P512" s="147"/>
      <c r="Q512" s="147"/>
      <c r="R512" s="147"/>
      <c r="S512" s="147"/>
      <c r="T512" s="147"/>
      <c r="U512" s="147"/>
      <c r="V512" s="147"/>
      <c r="W512" s="147"/>
      <c r="X512" s="147"/>
      <c r="Y512" s="147"/>
      <c r="Z512" s="147"/>
    </row>
    <row r="513" ht="15.75" customHeight="1">
      <c r="A513" s="147"/>
      <c r="B513" s="147"/>
      <c r="C513" s="147"/>
      <c r="D513" s="147"/>
      <c r="E513" s="147"/>
      <c r="F513" s="147"/>
      <c r="G513" s="147"/>
      <c r="H513" s="147"/>
      <c r="I513" s="147"/>
      <c r="J513" s="147"/>
      <c r="K513" s="147"/>
      <c r="L513" s="147"/>
      <c r="M513" s="147"/>
      <c r="N513" s="147"/>
      <c r="O513" s="147"/>
      <c r="P513" s="147"/>
      <c r="Q513" s="147"/>
      <c r="R513" s="147"/>
      <c r="S513" s="147"/>
      <c r="T513" s="147"/>
      <c r="U513" s="147"/>
      <c r="V513" s="147"/>
      <c r="W513" s="147"/>
      <c r="X513" s="147"/>
      <c r="Y513" s="147"/>
      <c r="Z513" s="147"/>
    </row>
    <row r="514" ht="15.75" customHeight="1">
      <c r="A514" s="147"/>
      <c r="B514" s="147"/>
      <c r="C514" s="147"/>
      <c r="D514" s="147"/>
      <c r="E514" s="147"/>
      <c r="F514" s="147"/>
      <c r="G514" s="147"/>
      <c r="H514" s="147"/>
      <c r="I514" s="147"/>
      <c r="J514" s="147"/>
      <c r="K514" s="147"/>
      <c r="L514" s="147"/>
      <c r="M514" s="147"/>
      <c r="N514" s="147"/>
      <c r="O514" s="147"/>
      <c r="P514" s="147"/>
      <c r="Q514" s="147"/>
      <c r="R514" s="147"/>
      <c r="S514" s="147"/>
      <c r="T514" s="147"/>
      <c r="U514" s="147"/>
      <c r="V514" s="147"/>
      <c r="W514" s="147"/>
      <c r="X514" s="147"/>
      <c r="Y514" s="147"/>
      <c r="Z514" s="147"/>
    </row>
    <row r="515" ht="15.75" customHeight="1">
      <c r="A515" s="147"/>
      <c r="B515" s="147"/>
      <c r="C515" s="147"/>
      <c r="D515" s="147"/>
      <c r="E515" s="147"/>
      <c r="F515" s="147"/>
      <c r="G515" s="147"/>
      <c r="H515" s="147"/>
      <c r="I515" s="147"/>
      <c r="J515" s="147"/>
      <c r="K515" s="147"/>
      <c r="L515" s="147"/>
      <c r="M515" s="147"/>
      <c r="N515" s="147"/>
      <c r="O515" s="147"/>
      <c r="P515" s="147"/>
      <c r="Q515" s="147"/>
      <c r="R515" s="147"/>
      <c r="S515" s="147"/>
      <c r="T515" s="147"/>
      <c r="U515" s="147"/>
      <c r="V515" s="147"/>
      <c r="W515" s="147"/>
      <c r="X515" s="147"/>
      <c r="Y515" s="147"/>
      <c r="Z515" s="147"/>
    </row>
    <row r="516" ht="15.75" customHeight="1">
      <c r="A516" s="147"/>
      <c r="B516" s="147"/>
      <c r="C516" s="147"/>
      <c r="D516" s="147"/>
      <c r="E516" s="147"/>
      <c r="F516" s="147"/>
      <c r="G516" s="147"/>
      <c r="H516" s="147"/>
      <c r="I516" s="147"/>
      <c r="J516" s="147"/>
      <c r="K516" s="147"/>
      <c r="L516" s="147"/>
      <c r="M516" s="147"/>
      <c r="N516" s="147"/>
      <c r="O516" s="147"/>
      <c r="P516" s="147"/>
      <c r="Q516" s="147"/>
      <c r="R516" s="147"/>
      <c r="S516" s="147"/>
      <c r="T516" s="147"/>
      <c r="U516" s="147"/>
      <c r="V516" s="147"/>
      <c r="W516" s="147"/>
      <c r="X516" s="147"/>
      <c r="Y516" s="147"/>
      <c r="Z516" s="147"/>
    </row>
    <row r="517" ht="15.75" customHeight="1">
      <c r="A517" s="147"/>
      <c r="B517" s="147"/>
      <c r="C517" s="147"/>
      <c r="D517" s="147"/>
      <c r="E517" s="147"/>
      <c r="F517" s="147"/>
      <c r="G517" s="147"/>
      <c r="H517" s="147"/>
      <c r="I517" s="147"/>
      <c r="J517" s="147"/>
      <c r="K517" s="147"/>
      <c r="L517" s="147"/>
      <c r="M517" s="147"/>
      <c r="N517" s="147"/>
      <c r="O517" s="147"/>
      <c r="P517" s="147"/>
      <c r="Q517" s="147"/>
      <c r="R517" s="147"/>
      <c r="S517" s="147"/>
      <c r="T517" s="147"/>
      <c r="U517" s="147"/>
      <c r="V517" s="147"/>
      <c r="W517" s="147"/>
      <c r="X517" s="147"/>
      <c r="Y517" s="147"/>
      <c r="Z517" s="147"/>
    </row>
    <row r="518" ht="15.75" customHeight="1">
      <c r="A518" s="147"/>
      <c r="B518" s="147"/>
      <c r="C518" s="147"/>
      <c r="D518" s="147"/>
      <c r="E518" s="147"/>
      <c r="F518" s="147"/>
      <c r="G518" s="147"/>
      <c r="H518" s="147"/>
      <c r="I518" s="147"/>
      <c r="J518" s="147"/>
      <c r="K518" s="147"/>
      <c r="L518" s="147"/>
      <c r="M518" s="147"/>
      <c r="N518" s="147"/>
      <c r="O518" s="147"/>
      <c r="P518" s="147"/>
      <c r="Q518" s="147"/>
      <c r="R518" s="147"/>
      <c r="S518" s="147"/>
      <c r="T518" s="147"/>
      <c r="U518" s="147"/>
      <c r="V518" s="147"/>
      <c r="W518" s="147"/>
      <c r="X518" s="147"/>
      <c r="Y518" s="147"/>
      <c r="Z518" s="147"/>
    </row>
    <row r="519" ht="15.75" customHeight="1">
      <c r="A519" s="147"/>
      <c r="B519" s="147"/>
      <c r="C519" s="147"/>
      <c r="D519" s="147"/>
      <c r="E519" s="147"/>
      <c r="F519" s="147"/>
      <c r="G519" s="147"/>
      <c r="H519" s="147"/>
      <c r="I519" s="147"/>
      <c r="J519" s="147"/>
      <c r="K519" s="147"/>
      <c r="L519" s="147"/>
      <c r="M519" s="147"/>
      <c r="N519" s="147"/>
      <c r="O519" s="147"/>
      <c r="P519" s="147"/>
      <c r="Q519" s="147"/>
      <c r="R519" s="147"/>
      <c r="S519" s="147"/>
      <c r="T519" s="147"/>
      <c r="U519" s="147"/>
      <c r="V519" s="147"/>
      <c r="W519" s="147"/>
      <c r="X519" s="147"/>
      <c r="Y519" s="147"/>
      <c r="Z519" s="147"/>
    </row>
    <row r="520" ht="15.75" customHeight="1">
      <c r="A520" s="147"/>
      <c r="B520" s="147"/>
      <c r="C520" s="147"/>
      <c r="D520" s="147"/>
      <c r="E520" s="147"/>
      <c r="F520" s="147"/>
      <c r="G520" s="147"/>
      <c r="H520" s="147"/>
      <c r="I520" s="147"/>
      <c r="J520" s="147"/>
      <c r="K520" s="147"/>
      <c r="L520" s="147"/>
      <c r="M520" s="147"/>
      <c r="N520" s="147"/>
      <c r="O520" s="147"/>
      <c r="P520" s="147"/>
      <c r="Q520" s="147"/>
      <c r="R520" s="147"/>
      <c r="S520" s="147"/>
      <c r="T520" s="147"/>
      <c r="U520" s="147"/>
      <c r="V520" s="147"/>
      <c r="W520" s="147"/>
      <c r="X520" s="147"/>
      <c r="Y520" s="147"/>
      <c r="Z520" s="147"/>
    </row>
    <row r="521" ht="15.75" customHeight="1">
      <c r="A521" s="147"/>
      <c r="B521" s="147"/>
      <c r="C521" s="147"/>
      <c r="D521" s="147"/>
      <c r="E521" s="147"/>
      <c r="F521" s="147"/>
      <c r="G521" s="147"/>
      <c r="H521" s="147"/>
      <c r="I521" s="147"/>
      <c r="J521" s="147"/>
      <c r="K521" s="147"/>
      <c r="L521" s="147"/>
      <c r="M521" s="147"/>
      <c r="N521" s="147"/>
      <c r="O521" s="147"/>
      <c r="P521" s="147"/>
      <c r="Q521" s="147"/>
      <c r="R521" s="147"/>
      <c r="S521" s="147"/>
      <c r="T521" s="147"/>
      <c r="U521" s="147"/>
      <c r="V521" s="147"/>
      <c r="W521" s="147"/>
      <c r="X521" s="147"/>
      <c r="Y521" s="147"/>
      <c r="Z521" s="147"/>
    </row>
    <row r="522" ht="15.75" customHeight="1">
      <c r="A522" s="147"/>
      <c r="B522" s="147"/>
      <c r="C522" s="147"/>
      <c r="D522" s="147"/>
      <c r="E522" s="147"/>
      <c r="F522" s="147"/>
      <c r="G522" s="147"/>
      <c r="H522" s="147"/>
      <c r="I522" s="147"/>
      <c r="J522" s="147"/>
      <c r="K522" s="147"/>
      <c r="L522" s="147"/>
      <c r="M522" s="147"/>
      <c r="N522" s="147"/>
      <c r="O522" s="147"/>
      <c r="P522" s="147"/>
      <c r="Q522" s="147"/>
      <c r="R522" s="147"/>
      <c r="S522" s="147"/>
      <c r="T522" s="147"/>
      <c r="U522" s="147"/>
      <c r="V522" s="147"/>
      <c r="W522" s="147"/>
      <c r="X522" s="147"/>
      <c r="Y522" s="147"/>
      <c r="Z522" s="147"/>
    </row>
    <row r="523" ht="15.75" customHeight="1">
      <c r="A523" s="147"/>
      <c r="B523" s="147"/>
      <c r="C523" s="147"/>
      <c r="D523" s="147"/>
      <c r="E523" s="147"/>
      <c r="F523" s="147"/>
      <c r="G523" s="147"/>
      <c r="H523" s="147"/>
      <c r="I523" s="147"/>
      <c r="J523" s="147"/>
      <c r="K523" s="147"/>
      <c r="L523" s="147"/>
      <c r="M523" s="147"/>
      <c r="N523" s="147"/>
      <c r="O523" s="147"/>
      <c r="P523" s="147"/>
      <c r="Q523" s="147"/>
      <c r="R523" s="147"/>
      <c r="S523" s="147"/>
      <c r="T523" s="147"/>
      <c r="U523" s="147"/>
      <c r="V523" s="147"/>
      <c r="W523" s="147"/>
      <c r="X523" s="147"/>
      <c r="Y523" s="147"/>
      <c r="Z523" s="147"/>
    </row>
    <row r="524" ht="15.75" customHeight="1">
      <c r="A524" s="147"/>
      <c r="B524" s="147"/>
      <c r="C524" s="147"/>
      <c r="D524" s="147"/>
      <c r="E524" s="147"/>
      <c r="F524" s="147"/>
      <c r="G524" s="147"/>
      <c r="H524" s="147"/>
      <c r="I524" s="147"/>
      <c r="J524" s="147"/>
      <c r="K524" s="147"/>
      <c r="L524" s="147"/>
      <c r="M524" s="147"/>
      <c r="N524" s="147"/>
      <c r="O524" s="147"/>
      <c r="P524" s="147"/>
      <c r="Q524" s="147"/>
      <c r="R524" s="147"/>
      <c r="S524" s="147"/>
      <c r="T524" s="147"/>
      <c r="U524" s="147"/>
      <c r="V524" s="147"/>
      <c r="W524" s="147"/>
      <c r="X524" s="147"/>
      <c r="Y524" s="147"/>
      <c r="Z524" s="147"/>
    </row>
    <row r="525" ht="15.75" customHeight="1">
      <c r="A525" s="147"/>
      <c r="B525" s="147"/>
      <c r="C525" s="147"/>
      <c r="D525" s="147"/>
      <c r="E525" s="147"/>
      <c r="F525" s="147"/>
      <c r="G525" s="147"/>
      <c r="H525" s="147"/>
      <c r="I525" s="147"/>
      <c r="J525" s="147"/>
      <c r="K525" s="147"/>
      <c r="L525" s="147"/>
      <c r="M525" s="147"/>
      <c r="N525" s="147"/>
      <c r="O525" s="147"/>
      <c r="P525" s="147"/>
      <c r="Q525" s="147"/>
      <c r="R525" s="147"/>
      <c r="S525" s="147"/>
      <c r="T525" s="147"/>
      <c r="U525" s="147"/>
      <c r="V525" s="147"/>
      <c r="W525" s="147"/>
      <c r="X525" s="147"/>
      <c r="Y525" s="147"/>
      <c r="Z525" s="147"/>
    </row>
    <row r="526" ht="15.75" customHeight="1">
      <c r="A526" s="147"/>
      <c r="B526" s="147"/>
      <c r="C526" s="147"/>
      <c r="D526" s="147"/>
      <c r="E526" s="147"/>
      <c r="F526" s="147"/>
      <c r="G526" s="147"/>
      <c r="H526" s="147"/>
      <c r="I526" s="147"/>
      <c r="J526" s="147"/>
      <c r="K526" s="147"/>
      <c r="L526" s="147"/>
      <c r="M526" s="147"/>
      <c r="N526" s="147"/>
      <c r="O526" s="147"/>
      <c r="P526" s="147"/>
      <c r="Q526" s="147"/>
      <c r="R526" s="147"/>
      <c r="S526" s="147"/>
      <c r="T526" s="147"/>
      <c r="U526" s="147"/>
      <c r="V526" s="147"/>
      <c r="W526" s="147"/>
      <c r="X526" s="147"/>
      <c r="Y526" s="147"/>
      <c r="Z526" s="147"/>
    </row>
    <row r="527" ht="15.75" customHeight="1">
      <c r="A527" s="147"/>
      <c r="B527" s="147"/>
      <c r="C527" s="147"/>
      <c r="D527" s="147"/>
      <c r="E527" s="147"/>
      <c r="F527" s="147"/>
      <c r="G527" s="147"/>
      <c r="H527" s="147"/>
      <c r="I527" s="147"/>
      <c r="J527" s="147"/>
      <c r="K527" s="147"/>
      <c r="L527" s="147"/>
      <c r="M527" s="147"/>
      <c r="N527" s="147"/>
      <c r="O527" s="147"/>
      <c r="P527" s="147"/>
      <c r="Q527" s="147"/>
      <c r="R527" s="147"/>
      <c r="S527" s="147"/>
      <c r="T527" s="147"/>
      <c r="U527" s="147"/>
      <c r="V527" s="147"/>
      <c r="W527" s="147"/>
      <c r="X527" s="147"/>
      <c r="Y527" s="147"/>
      <c r="Z527" s="147"/>
    </row>
    <row r="528" ht="15.75" customHeight="1">
      <c r="A528" s="147"/>
      <c r="B528" s="147"/>
      <c r="C528" s="147"/>
      <c r="D528" s="147"/>
      <c r="E528" s="147"/>
      <c r="F528" s="147"/>
      <c r="G528" s="147"/>
      <c r="H528" s="147"/>
      <c r="I528" s="147"/>
      <c r="J528" s="147"/>
      <c r="K528" s="147"/>
      <c r="L528" s="147"/>
      <c r="M528" s="147"/>
      <c r="N528" s="147"/>
      <c r="O528" s="147"/>
      <c r="P528" s="147"/>
      <c r="Q528" s="147"/>
      <c r="R528" s="147"/>
      <c r="S528" s="147"/>
      <c r="T528" s="147"/>
      <c r="U528" s="147"/>
      <c r="V528" s="147"/>
      <c r="W528" s="147"/>
      <c r="X528" s="147"/>
      <c r="Y528" s="147"/>
      <c r="Z528" s="147"/>
    </row>
    <row r="529" ht="15.75" customHeight="1">
      <c r="A529" s="147"/>
      <c r="B529" s="147"/>
      <c r="C529" s="147"/>
      <c r="D529" s="147"/>
      <c r="E529" s="147"/>
      <c r="F529" s="147"/>
      <c r="G529" s="147"/>
      <c r="H529" s="147"/>
      <c r="I529" s="147"/>
      <c r="J529" s="147"/>
      <c r="K529" s="147"/>
      <c r="L529" s="147"/>
      <c r="M529" s="147"/>
      <c r="N529" s="147"/>
      <c r="O529" s="147"/>
      <c r="P529" s="147"/>
      <c r="Q529" s="147"/>
      <c r="R529" s="147"/>
      <c r="S529" s="147"/>
      <c r="T529" s="147"/>
      <c r="U529" s="147"/>
      <c r="V529" s="147"/>
      <c r="W529" s="147"/>
      <c r="X529" s="147"/>
      <c r="Y529" s="147"/>
      <c r="Z529" s="147"/>
    </row>
    <row r="530" ht="15.75" customHeight="1">
      <c r="A530" s="147"/>
      <c r="B530" s="147"/>
      <c r="C530" s="147"/>
      <c r="D530" s="147"/>
      <c r="E530" s="147"/>
      <c r="F530" s="147"/>
      <c r="G530" s="147"/>
      <c r="H530" s="147"/>
      <c r="I530" s="147"/>
      <c r="J530" s="147"/>
      <c r="K530" s="147"/>
      <c r="L530" s="147"/>
      <c r="M530" s="147"/>
      <c r="N530" s="147"/>
      <c r="O530" s="147"/>
      <c r="P530" s="147"/>
      <c r="Q530" s="147"/>
      <c r="R530" s="147"/>
      <c r="S530" s="147"/>
      <c r="T530" s="147"/>
      <c r="U530" s="147"/>
      <c r="V530" s="147"/>
      <c r="W530" s="147"/>
      <c r="X530" s="147"/>
      <c r="Y530" s="147"/>
      <c r="Z530" s="147"/>
    </row>
    <row r="531" ht="15.75" customHeight="1">
      <c r="A531" s="147"/>
      <c r="B531" s="147"/>
      <c r="C531" s="147"/>
      <c r="D531" s="147"/>
      <c r="E531" s="147"/>
      <c r="F531" s="147"/>
      <c r="G531" s="147"/>
      <c r="H531" s="147"/>
      <c r="I531" s="147"/>
      <c r="J531" s="147"/>
      <c r="K531" s="147"/>
      <c r="L531" s="147"/>
      <c r="M531" s="147"/>
      <c r="N531" s="147"/>
      <c r="O531" s="147"/>
      <c r="P531" s="147"/>
      <c r="Q531" s="147"/>
      <c r="R531" s="147"/>
      <c r="S531" s="147"/>
      <c r="T531" s="147"/>
      <c r="U531" s="147"/>
      <c r="V531" s="147"/>
      <c r="W531" s="147"/>
      <c r="X531" s="147"/>
      <c r="Y531" s="147"/>
      <c r="Z531" s="147"/>
    </row>
    <row r="532" ht="15.75" customHeight="1">
      <c r="A532" s="147"/>
      <c r="B532" s="147"/>
      <c r="C532" s="147"/>
      <c r="D532" s="147"/>
      <c r="E532" s="147"/>
      <c r="F532" s="147"/>
      <c r="G532" s="147"/>
      <c r="H532" s="147"/>
      <c r="I532" s="147"/>
      <c r="J532" s="147"/>
      <c r="K532" s="147"/>
      <c r="L532" s="147"/>
      <c r="M532" s="147"/>
      <c r="N532" s="147"/>
      <c r="O532" s="147"/>
      <c r="P532" s="147"/>
      <c r="Q532" s="147"/>
      <c r="R532" s="147"/>
      <c r="S532" s="147"/>
      <c r="T532" s="147"/>
      <c r="U532" s="147"/>
      <c r="V532" s="147"/>
      <c r="W532" s="147"/>
      <c r="X532" s="147"/>
      <c r="Y532" s="147"/>
      <c r="Z532" s="147"/>
    </row>
    <row r="533" ht="15.75" customHeight="1">
      <c r="A533" s="147"/>
      <c r="B533" s="147"/>
      <c r="C533" s="147"/>
      <c r="D533" s="147"/>
      <c r="E533" s="147"/>
      <c r="F533" s="147"/>
      <c r="G533" s="147"/>
      <c r="H533" s="147"/>
      <c r="I533" s="147"/>
      <c r="J533" s="147"/>
      <c r="K533" s="147"/>
      <c r="L533" s="147"/>
      <c r="M533" s="147"/>
      <c r="N533" s="147"/>
      <c r="O533" s="147"/>
      <c r="P533" s="147"/>
      <c r="Q533" s="147"/>
      <c r="R533" s="147"/>
      <c r="S533" s="147"/>
      <c r="T533" s="147"/>
      <c r="U533" s="147"/>
      <c r="V533" s="147"/>
      <c r="W533" s="147"/>
      <c r="X533" s="147"/>
      <c r="Y533" s="147"/>
      <c r="Z533" s="147"/>
    </row>
    <row r="534" ht="15.75" customHeight="1">
      <c r="A534" s="147"/>
      <c r="B534" s="147"/>
      <c r="C534" s="147"/>
      <c r="D534" s="147"/>
      <c r="E534" s="147"/>
      <c r="F534" s="147"/>
      <c r="G534" s="147"/>
      <c r="H534" s="147"/>
      <c r="I534" s="147"/>
      <c r="J534" s="147"/>
      <c r="K534" s="147"/>
      <c r="L534" s="147"/>
      <c r="M534" s="147"/>
      <c r="N534" s="147"/>
      <c r="O534" s="147"/>
      <c r="P534" s="147"/>
      <c r="Q534" s="147"/>
      <c r="R534" s="147"/>
      <c r="S534" s="147"/>
      <c r="T534" s="147"/>
      <c r="U534" s="147"/>
      <c r="V534" s="147"/>
      <c r="W534" s="147"/>
      <c r="X534" s="147"/>
      <c r="Y534" s="147"/>
      <c r="Z534" s="147"/>
    </row>
    <row r="535" ht="15.75" customHeight="1">
      <c r="A535" s="147"/>
      <c r="B535" s="147"/>
      <c r="C535" s="147"/>
      <c r="D535" s="147"/>
      <c r="E535" s="147"/>
      <c r="F535" s="147"/>
      <c r="G535" s="147"/>
      <c r="H535" s="147"/>
      <c r="I535" s="147"/>
      <c r="J535" s="147"/>
      <c r="K535" s="147"/>
      <c r="L535" s="147"/>
      <c r="M535" s="147"/>
      <c r="N535" s="147"/>
      <c r="O535" s="147"/>
      <c r="P535" s="147"/>
      <c r="Q535" s="147"/>
      <c r="R535" s="147"/>
      <c r="S535" s="147"/>
      <c r="T535" s="147"/>
      <c r="U535" s="147"/>
      <c r="V535" s="147"/>
      <c r="W535" s="147"/>
      <c r="X535" s="147"/>
      <c r="Y535" s="147"/>
      <c r="Z535" s="147"/>
    </row>
    <row r="536" ht="15.75" customHeight="1">
      <c r="A536" s="147"/>
      <c r="B536" s="147"/>
      <c r="C536" s="147"/>
      <c r="D536" s="147"/>
      <c r="E536" s="147"/>
      <c r="F536" s="147"/>
      <c r="G536" s="147"/>
      <c r="H536" s="147"/>
      <c r="I536" s="147"/>
      <c r="J536" s="147"/>
      <c r="K536" s="147"/>
      <c r="L536" s="147"/>
      <c r="M536" s="147"/>
      <c r="N536" s="147"/>
      <c r="O536" s="147"/>
      <c r="P536" s="147"/>
      <c r="Q536" s="147"/>
      <c r="R536" s="147"/>
      <c r="S536" s="147"/>
      <c r="T536" s="147"/>
      <c r="U536" s="147"/>
      <c r="V536" s="147"/>
      <c r="W536" s="147"/>
      <c r="X536" s="147"/>
      <c r="Y536" s="147"/>
      <c r="Z536" s="147"/>
    </row>
    <row r="537" ht="15.75" customHeight="1">
      <c r="A537" s="147"/>
      <c r="B537" s="147"/>
      <c r="C537" s="147"/>
      <c r="D537" s="147"/>
      <c r="E537" s="147"/>
      <c r="F537" s="147"/>
      <c r="G537" s="147"/>
      <c r="H537" s="147"/>
      <c r="I537" s="147"/>
      <c r="J537" s="147"/>
      <c r="K537" s="147"/>
      <c r="L537" s="147"/>
      <c r="M537" s="147"/>
      <c r="N537" s="147"/>
      <c r="O537" s="147"/>
      <c r="P537" s="147"/>
      <c r="Q537" s="147"/>
      <c r="R537" s="147"/>
      <c r="S537" s="147"/>
      <c r="T537" s="147"/>
      <c r="U537" s="147"/>
      <c r="V537" s="147"/>
      <c r="W537" s="147"/>
      <c r="X537" s="147"/>
      <c r="Y537" s="147"/>
      <c r="Z537" s="147"/>
    </row>
    <row r="538" ht="15.75" customHeight="1">
      <c r="A538" s="147"/>
      <c r="B538" s="147"/>
      <c r="C538" s="147"/>
      <c r="D538" s="147"/>
      <c r="E538" s="147"/>
      <c r="F538" s="147"/>
      <c r="G538" s="147"/>
      <c r="H538" s="147"/>
      <c r="I538" s="147"/>
      <c r="J538" s="147"/>
      <c r="K538" s="147"/>
      <c r="L538" s="147"/>
      <c r="M538" s="147"/>
      <c r="N538" s="147"/>
      <c r="O538" s="147"/>
      <c r="P538" s="147"/>
      <c r="Q538" s="147"/>
      <c r="R538" s="147"/>
      <c r="S538" s="147"/>
      <c r="T538" s="147"/>
      <c r="U538" s="147"/>
      <c r="V538" s="147"/>
      <c r="W538" s="147"/>
      <c r="X538" s="147"/>
      <c r="Y538" s="147"/>
      <c r="Z538" s="147"/>
    </row>
    <row r="539" ht="15.75" customHeight="1">
      <c r="A539" s="147"/>
      <c r="B539" s="147"/>
      <c r="C539" s="147"/>
      <c r="D539" s="147"/>
      <c r="E539" s="147"/>
      <c r="F539" s="147"/>
      <c r="G539" s="147"/>
      <c r="H539" s="147"/>
      <c r="I539" s="147"/>
      <c r="J539" s="147"/>
      <c r="K539" s="147"/>
      <c r="L539" s="147"/>
      <c r="M539" s="147"/>
      <c r="N539" s="147"/>
      <c r="O539" s="147"/>
      <c r="P539" s="147"/>
      <c r="Q539" s="147"/>
      <c r="R539" s="147"/>
      <c r="S539" s="147"/>
      <c r="T539" s="147"/>
      <c r="U539" s="147"/>
      <c r="V539" s="147"/>
      <c r="W539" s="147"/>
      <c r="X539" s="147"/>
      <c r="Y539" s="147"/>
      <c r="Z539" s="147"/>
    </row>
    <row r="540" ht="15.75" customHeight="1">
      <c r="A540" s="147"/>
      <c r="B540" s="147"/>
      <c r="C540" s="147"/>
      <c r="D540" s="147"/>
      <c r="E540" s="147"/>
      <c r="F540" s="147"/>
      <c r="G540" s="147"/>
      <c r="H540" s="147"/>
      <c r="I540" s="147"/>
      <c r="J540" s="147"/>
      <c r="K540" s="147"/>
      <c r="L540" s="147"/>
      <c r="M540" s="147"/>
      <c r="N540" s="147"/>
      <c r="O540" s="147"/>
      <c r="P540" s="147"/>
      <c r="Q540" s="147"/>
      <c r="R540" s="147"/>
      <c r="S540" s="147"/>
      <c r="T540" s="147"/>
      <c r="U540" s="147"/>
      <c r="V540" s="147"/>
      <c r="W540" s="147"/>
      <c r="X540" s="147"/>
      <c r="Y540" s="147"/>
      <c r="Z540" s="147"/>
    </row>
    <row r="541" ht="15.75" customHeight="1">
      <c r="A541" s="147"/>
      <c r="B541" s="147"/>
      <c r="C541" s="147"/>
      <c r="D541" s="147"/>
      <c r="E541" s="147"/>
      <c r="F541" s="147"/>
      <c r="G541" s="147"/>
      <c r="H541" s="147"/>
      <c r="I541" s="147"/>
      <c r="J541" s="147"/>
      <c r="K541" s="147"/>
      <c r="L541" s="147"/>
      <c r="M541" s="147"/>
      <c r="N541" s="147"/>
      <c r="O541" s="147"/>
      <c r="P541" s="147"/>
      <c r="Q541" s="147"/>
      <c r="R541" s="147"/>
      <c r="S541" s="147"/>
      <c r="T541" s="147"/>
      <c r="U541" s="147"/>
      <c r="V541" s="147"/>
      <c r="W541" s="147"/>
      <c r="X541" s="147"/>
      <c r="Y541" s="147"/>
      <c r="Z541" s="147"/>
    </row>
    <row r="542" ht="15.75" customHeight="1">
      <c r="A542" s="147"/>
      <c r="B542" s="147"/>
      <c r="C542" s="147"/>
      <c r="D542" s="147"/>
      <c r="E542" s="147"/>
      <c r="F542" s="147"/>
      <c r="G542" s="147"/>
      <c r="H542" s="147"/>
      <c r="I542" s="147"/>
      <c r="J542" s="147"/>
      <c r="K542" s="147"/>
      <c r="L542" s="147"/>
      <c r="M542" s="147"/>
      <c r="N542" s="147"/>
      <c r="O542" s="147"/>
      <c r="P542" s="147"/>
      <c r="Q542" s="147"/>
      <c r="R542" s="147"/>
      <c r="S542" s="147"/>
      <c r="T542" s="147"/>
      <c r="U542" s="147"/>
      <c r="V542" s="147"/>
      <c r="W542" s="147"/>
      <c r="X542" s="147"/>
      <c r="Y542" s="147"/>
      <c r="Z542" s="147"/>
    </row>
    <row r="543" ht="15.75" customHeight="1">
      <c r="A543" s="147"/>
      <c r="B543" s="147"/>
      <c r="C543" s="147"/>
      <c r="D543" s="147"/>
      <c r="E543" s="147"/>
      <c r="F543" s="147"/>
      <c r="G543" s="147"/>
      <c r="H543" s="147"/>
      <c r="I543" s="147"/>
      <c r="J543" s="147"/>
      <c r="K543" s="147"/>
      <c r="L543" s="147"/>
      <c r="M543" s="147"/>
      <c r="N543" s="147"/>
      <c r="O543" s="147"/>
      <c r="P543" s="147"/>
      <c r="Q543" s="147"/>
      <c r="R543" s="147"/>
      <c r="S543" s="147"/>
      <c r="T543" s="147"/>
      <c r="U543" s="147"/>
      <c r="V543" s="147"/>
      <c r="W543" s="147"/>
      <c r="X543" s="147"/>
      <c r="Y543" s="147"/>
      <c r="Z543" s="147"/>
    </row>
    <row r="544" ht="15.75" customHeight="1">
      <c r="A544" s="147"/>
      <c r="B544" s="147"/>
      <c r="C544" s="147"/>
      <c r="D544" s="147"/>
      <c r="E544" s="147"/>
      <c r="F544" s="147"/>
      <c r="G544" s="147"/>
      <c r="H544" s="147"/>
      <c r="I544" s="147"/>
      <c r="J544" s="147"/>
      <c r="K544" s="147"/>
      <c r="L544" s="147"/>
      <c r="M544" s="147"/>
      <c r="N544" s="147"/>
      <c r="O544" s="147"/>
      <c r="P544" s="147"/>
      <c r="Q544" s="147"/>
      <c r="R544" s="147"/>
      <c r="S544" s="147"/>
      <c r="T544" s="147"/>
      <c r="U544" s="147"/>
      <c r="V544" s="147"/>
      <c r="W544" s="147"/>
      <c r="X544" s="147"/>
      <c r="Y544" s="147"/>
      <c r="Z544" s="147"/>
    </row>
    <row r="545" ht="15.75" customHeight="1">
      <c r="A545" s="147"/>
      <c r="B545" s="147"/>
      <c r="C545" s="147"/>
      <c r="D545" s="147"/>
      <c r="E545" s="147"/>
      <c r="F545" s="147"/>
      <c r="G545" s="147"/>
      <c r="H545" s="147"/>
      <c r="I545" s="147"/>
      <c r="J545" s="147"/>
      <c r="K545" s="147"/>
      <c r="L545" s="147"/>
      <c r="M545" s="147"/>
      <c r="N545" s="147"/>
      <c r="O545" s="147"/>
      <c r="P545" s="147"/>
      <c r="Q545" s="147"/>
      <c r="R545" s="147"/>
      <c r="S545" s="147"/>
      <c r="T545" s="147"/>
      <c r="U545" s="147"/>
      <c r="V545" s="147"/>
      <c r="W545" s="147"/>
      <c r="X545" s="147"/>
      <c r="Y545" s="147"/>
      <c r="Z545" s="147"/>
    </row>
    <row r="546" ht="15.75" customHeight="1">
      <c r="A546" s="147"/>
      <c r="B546" s="147"/>
      <c r="C546" s="147"/>
      <c r="D546" s="147"/>
      <c r="E546" s="147"/>
      <c r="F546" s="147"/>
      <c r="G546" s="147"/>
      <c r="H546" s="147"/>
      <c r="I546" s="147"/>
      <c r="J546" s="147"/>
      <c r="K546" s="147"/>
      <c r="L546" s="147"/>
      <c r="M546" s="147"/>
      <c r="N546" s="147"/>
      <c r="O546" s="147"/>
      <c r="P546" s="147"/>
      <c r="Q546" s="147"/>
      <c r="R546" s="147"/>
      <c r="S546" s="147"/>
      <c r="T546" s="147"/>
      <c r="U546" s="147"/>
      <c r="V546" s="147"/>
      <c r="W546" s="147"/>
      <c r="X546" s="147"/>
      <c r="Y546" s="147"/>
      <c r="Z546" s="147"/>
    </row>
    <row r="547" ht="15.75" customHeight="1">
      <c r="A547" s="147"/>
      <c r="B547" s="147"/>
      <c r="C547" s="147"/>
      <c r="D547" s="147"/>
      <c r="E547" s="147"/>
      <c r="F547" s="147"/>
      <c r="G547" s="147"/>
      <c r="H547" s="147"/>
      <c r="I547" s="147"/>
      <c r="J547" s="147"/>
      <c r="K547" s="147"/>
      <c r="L547" s="147"/>
      <c r="M547" s="147"/>
      <c r="N547" s="147"/>
      <c r="O547" s="147"/>
      <c r="P547" s="147"/>
      <c r="Q547" s="147"/>
      <c r="R547" s="147"/>
      <c r="S547" s="147"/>
      <c r="T547" s="147"/>
      <c r="U547" s="147"/>
      <c r="V547" s="147"/>
      <c r="W547" s="147"/>
      <c r="X547" s="147"/>
      <c r="Y547" s="147"/>
      <c r="Z547" s="147"/>
    </row>
    <row r="548" ht="15.75" customHeight="1">
      <c r="A548" s="147"/>
      <c r="B548" s="147"/>
      <c r="C548" s="147"/>
      <c r="D548" s="147"/>
      <c r="E548" s="147"/>
      <c r="F548" s="147"/>
      <c r="G548" s="147"/>
      <c r="H548" s="147"/>
      <c r="I548" s="147"/>
      <c r="J548" s="147"/>
      <c r="K548" s="147"/>
      <c r="L548" s="147"/>
      <c r="M548" s="147"/>
      <c r="N548" s="147"/>
      <c r="O548" s="147"/>
      <c r="P548" s="147"/>
      <c r="Q548" s="147"/>
      <c r="R548" s="147"/>
      <c r="S548" s="147"/>
      <c r="T548" s="147"/>
      <c r="U548" s="147"/>
      <c r="V548" s="147"/>
      <c r="W548" s="147"/>
      <c r="X548" s="147"/>
      <c r="Y548" s="147"/>
      <c r="Z548" s="147"/>
    </row>
    <row r="549" ht="15.75" customHeight="1">
      <c r="A549" s="147"/>
      <c r="B549" s="147"/>
      <c r="C549" s="147"/>
      <c r="D549" s="147"/>
      <c r="E549" s="147"/>
      <c r="F549" s="147"/>
      <c r="G549" s="147"/>
      <c r="H549" s="147"/>
      <c r="I549" s="147"/>
      <c r="J549" s="147"/>
      <c r="K549" s="147"/>
      <c r="L549" s="147"/>
      <c r="M549" s="147"/>
      <c r="N549" s="147"/>
      <c r="O549" s="147"/>
      <c r="P549" s="147"/>
      <c r="Q549" s="147"/>
      <c r="R549" s="147"/>
      <c r="S549" s="147"/>
      <c r="T549" s="147"/>
      <c r="U549" s="147"/>
      <c r="V549" s="147"/>
      <c r="W549" s="147"/>
      <c r="X549" s="147"/>
      <c r="Y549" s="147"/>
      <c r="Z549" s="147"/>
    </row>
    <row r="550" ht="15.75" customHeight="1">
      <c r="A550" s="147"/>
      <c r="B550" s="147"/>
      <c r="C550" s="147"/>
      <c r="D550" s="147"/>
      <c r="E550" s="147"/>
      <c r="F550" s="147"/>
      <c r="G550" s="147"/>
      <c r="H550" s="147"/>
      <c r="I550" s="147"/>
      <c r="J550" s="147"/>
      <c r="K550" s="147"/>
      <c r="L550" s="147"/>
      <c r="M550" s="147"/>
      <c r="N550" s="147"/>
      <c r="O550" s="147"/>
      <c r="P550" s="147"/>
      <c r="Q550" s="147"/>
      <c r="R550" s="147"/>
      <c r="S550" s="147"/>
      <c r="T550" s="147"/>
      <c r="U550" s="147"/>
      <c r="V550" s="147"/>
      <c r="W550" s="147"/>
      <c r="X550" s="147"/>
      <c r="Y550" s="147"/>
      <c r="Z550" s="147"/>
    </row>
    <row r="551" ht="15.75" customHeight="1">
      <c r="A551" s="147"/>
      <c r="B551" s="147"/>
      <c r="C551" s="147"/>
      <c r="D551" s="147"/>
      <c r="E551" s="147"/>
      <c r="F551" s="147"/>
      <c r="G551" s="147"/>
      <c r="H551" s="147"/>
      <c r="I551" s="147"/>
      <c r="J551" s="147"/>
      <c r="K551" s="147"/>
      <c r="L551" s="147"/>
      <c r="M551" s="147"/>
      <c r="N551" s="147"/>
      <c r="O551" s="147"/>
      <c r="P551" s="147"/>
      <c r="Q551" s="147"/>
      <c r="R551" s="147"/>
      <c r="S551" s="147"/>
      <c r="T551" s="147"/>
      <c r="U551" s="147"/>
      <c r="V551" s="147"/>
      <c r="W551" s="147"/>
      <c r="X551" s="147"/>
      <c r="Y551" s="147"/>
      <c r="Z551" s="147"/>
    </row>
    <row r="552" ht="15.75" customHeight="1">
      <c r="A552" s="147"/>
      <c r="B552" s="147"/>
      <c r="C552" s="147"/>
      <c r="D552" s="147"/>
      <c r="E552" s="147"/>
      <c r="F552" s="147"/>
      <c r="G552" s="147"/>
      <c r="H552" s="147"/>
      <c r="I552" s="147"/>
      <c r="J552" s="147"/>
      <c r="K552" s="147"/>
      <c r="L552" s="147"/>
      <c r="M552" s="147"/>
      <c r="N552" s="147"/>
      <c r="O552" s="147"/>
      <c r="P552" s="147"/>
      <c r="Q552" s="147"/>
      <c r="R552" s="147"/>
      <c r="S552" s="147"/>
      <c r="T552" s="147"/>
      <c r="U552" s="147"/>
      <c r="V552" s="147"/>
      <c r="W552" s="147"/>
      <c r="X552" s="147"/>
      <c r="Y552" s="147"/>
      <c r="Z552" s="147"/>
    </row>
    <row r="553" ht="15.75" customHeight="1">
      <c r="A553" s="147"/>
      <c r="B553" s="147"/>
      <c r="C553" s="147"/>
      <c r="D553" s="147"/>
      <c r="E553" s="147"/>
      <c r="F553" s="147"/>
      <c r="G553" s="147"/>
      <c r="H553" s="147"/>
      <c r="I553" s="147"/>
      <c r="J553" s="147"/>
      <c r="K553" s="147"/>
      <c r="L553" s="147"/>
      <c r="M553" s="147"/>
      <c r="N553" s="147"/>
      <c r="O553" s="147"/>
      <c r="P553" s="147"/>
      <c r="Q553" s="147"/>
      <c r="R553" s="147"/>
      <c r="S553" s="147"/>
      <c r="T553" s="147"/>
      <c r="U553" s="147"/>
      <c r="V553" s="147"/>
      <c r="W553" s="147"/>
      <c r="X553" s="147"/>
      <c r="Y553" s="147"/>
      <c r="Z553" s="147"/>
    </row>
    <row r="554" ht="15.75" customHeight="1">
      <c r="A554" s="147"/>
      <c r="B554" s="147"/>
      <c r="C554" s="147"/>
      <c r="D554" s="147"/>
      <c r="E554" s="147"/>
      <c r="F554" s="147"/>
      <c r="G554" s="147"/>
      <c r="H554" s="147"/>
      <c r="I554" s="147"/>
      <c r="J554" s="147"/>
      <c r="K554" s="147"/>
      <c r="L554" s="147"/>
      <c r="M554" s="147"/>
      <c r="N554" s="147"/>
      <c r="O554" s="147"/>
      <c r="P554" s="147"/>
      <c r="Q554" s="147"/>
      <c r="R554" s="147"/>
      <c r="S554" s="147"/>
      <c r="T554" s="147"/>
      <c r="U554" s="147"/>
      <c r="V554" s="147"/>
      <c r="W554" s="147"/>
      <c r="X554" s="147"/>
      <c r="Y554" s="147"/>
      <c r="Z554" s="147"/>
    </row>
    <row r="555" ht="15.75" customHeight="1">
      <c r="A555" s="147"/>
      <c r="B555" s="147"/>
      <c r="C555" s="147"/>
      <c r="D555" s="147"/>
      <c r="E555" s="147"/>
      <c r="F555" s="147"/>
      <c r="G555" s="147"/>
      <c r="H555" s="147"/>
      <c r="I555" s="147"/>
      <c r="J555" s="147"/>
      <c r="K555" s="147"/>
      <c r="L555" s="147"/>
      <c r="M555" s="147"/>
      <c r="N555" s="147"/>
      <c r="O555" s="147"/>
      <c r="P555" s="147"/>
      <c r="Q555" s="147"/>
      <c r="R555" s="147"/>
      <c r="S555" s="147"/>
      <c r="T555" s="147"/>
      <c r="U555" s="147"/>
      <c r="V555" s="147"/>
      <c r="W555" s="147"/>
      <c r="X555" s="147"/>
      <c r="Y555" s="147"/>
      <c r="Z555" s="147"/>
    </row>
    <row r="556" ht="15.75" customHeight="1">
      <c r="A556" s="147"/>
      <c r="B556" s="147"/>
      <c r="C556" s="147"/>
      <c r="D556" s="147"/>
      <c r="E556" s="147"/>
      <c r="F556" s="147"/>
      <c r="G556" s="147"/>
      <c r="H556" s="147"/>
      <c r="I556" s="147"/>
      <c r="J556" s="147"/>
      <c r="K556" s="147"/>
      <c r="L556" s="147"/>
      <c r="M556" s="147"/>
      <c r="N556" s="147"/>
      <c r="O556" s="147"/>
      <c r="P556" s="147"/>
      <c r="Q556" s="147"/>
      <c r="R556" s="147"/>
      <c r="S556" s="147"/>
      <c r="T556" s="147"/>
      <c r="U556" s="147"/>
      <c r="V556" s="147"/>
      <c r="W556" s="147"/>
      <c r="X556" s="147"/>
      <c r="Y556" s="147"/>
      <c r="Z556" s="147"/>
    </row>
    <row r="557" ht="15.75" customHeight="1">
      <c r="A557" s="147"/>
      <c r="B557" s="147"/>
      <c r="C557" s="147"/>
      <c r="D557" s="147"/>
      <c r="E557" s="147"/>
      <c r="F557" s="147"/>
      <c r="G557" s="147"/>
      <c r="H557" s="147"/>
      <c r="I557" s="147"/>
      <c r="J557" s="147"/>
      <c r="K557" s="147"/>
      <c r="L557" s="147"/>
      <c r="M557" s="147"/>
      <c r="N557" s="147"/>
      <c r="O557" s="147"/>
      <c r="P557" s="147"/>
      <c r="Q557" s="147"/>
      <c r="R557" s="147"/>
      <c r="S557" s="147"/>
      <c r="T557" s="147"/>
      <c r="U557" s="147"/>
      <c r="V557" s="147"/>
      <c r="W557" s="147"/>
      <c r="X557" s="147"/>
      <c r="Y557" s="147"/>
      <c r="Z557" s="147"/>
    </row>
    <row r="558" ht="15.75" customHeight="1">
      <c r="A558" s="147"/>
      <c r="B558" s="147"/>
      <c r="C558" s="147"/>
      <c r="D558" s="147"/>
      <c r="E558" s="147"/>
      <c r="F558" s="147"/>
      <c r="G558" s="147"/>
      <c r="H558" s="147"/>
      <c r="I558" s="147"/>
      <c r="J558" s="147"/>
      <c r="K558" s="147"/>
      <c r="L558" s="147"/>
      <c r="M558" s="147"/>
      <c r="N558" s="147"/>
      <c r="O558" s="147"/>
      <c r="P558" s="147"/>
      <c r="Q558" s="147"/>
      <c r="R558" s="147"/>
      <c r="S558" s="147"/>
      <c r="T558" s="147"/>
      <c r="U558" s="147"/>
      <c r="V558" s="147"/>
      <c r="W558" s="147"/>
      <c r="X558" s="147"/>
      <c r="Y558" s="147"/>
      <c r="Z558" s="147"/>
    </row>
    <row r="559" ht="15.75" customHeight="1">
      <c r="A559" s="147"/>
      <c r="B559" s="147"/>
      <c r="C559" s="147"/>
      <c r="D559" s="147"/>
      <c r="E559" s="147"/>
      <c r="F559" s="147"/>
      <c r="G559" s="147"/>
      <c r="H559" s="147"/>
      <c r="I559" s="147"/>
      <c r="J559" s="147"/>
      <c r="K559" s="147"/>
      <c r="L559" s="147"/>
      <c r="M559" s="147"/>
      <c r="N559" s="147"/>
      <c r="O559" s="147"/>
      <c r="P559" s="147"/>
      <c r="Q559" s="147"/>
      <c r="R559" s="147"/>
      <c r="S559" s="147"/>
      <c r="T559" s="147"/>
      <c r="U559" s="147"/>
      <c r="V559" s="147"/>
      <c r="W559" s="147"/>
      <c r="X559" s="147"/>
      <c r="Y559" s="147"/>
      <c r="Z559" s="147"/>
    </row>
    <row r="560" ht="15.75" customHeight="1">
      <c r="A560" s="147"/>
      <c r="B560" s="147"/>
      <c r="C560" s="147"/>
      <c r="D560" s="147"/>
      <c r="E560" s="147"/>
      <c r="F560" s="147"/>
      <c r="G560" s="147"/>
      <c r="H560" s="147"/>
      <c r="I560" s="147"/>
      <c r="J560" s="147"/>
      <c r="K560" s="147"/>
      <c r="L560" s="147"/>
      <c r="M560" s="147"/>
      <c r="N560" s="147"/>
      <c r="O560" s="147"/>
      <c r="P560" s="147"/>
      <c r="Q560" s="147"/>
      <c r="R560" s="147"/>
      <c r="S560" s="147"/>
      <c r="T560" s="147"/>
      <c r="U560" s="147"/>
      <c r="V560" s="147"/>
      <c r="W560" s="147"/>
      <c r="X560" s="147"/>
      <c r="Y560" s="147"/>
      <c r="Z560" s="147"/>
    </row>
    <row r="561" ht="15.75" customHeight="1">
      <c r="A561" s="147"/>
      <c r="B561" s="147"/>
      <c r="C561" s="147"/>
      <c r="D561" s="147"/>
      <c r="E561" s="147"/>
      <c r="F561" s="147"/>
      <c r="G561" s="147"/>
      <c r="H561" s="147"/>
      <c r="I561" s="147"/>
      <c r="J561" s="147"/>
      <c r="K561" s="147"/>
      <c r="L561" s="147"/>
      <c r="M561" s="147"/>
      <c r="N561" s="147"/>
      <c r="O561" s="147"/>
      <c r="P561" s="147"/>
      <c r="Q561" s="147"/>
      <c r="R561" s="147"/>
      <c r="S561" s="147"/>
      <c r="T561" s="147"/>
      <c r="U561" s="147"/>
      <c r="V561" s="147"/>
      <c r="W561" s="147"/>
      <c r="X561" s="147"/>
      <c r="Y561" s="147"/>
      <c r="Z561" s="147"/>
    </row>
    <row r="562" ht="15.75" customHeight="1">
      <c r="A562" s="147"/>
      <c r="B562" s="147"/>
      <c r="C562" s="147"/>
      <c r="D562" s="147"/>
      <c r="E562" s="147"/>
      <c r="F562" s="147"/>
      <c r="G562" s="147"/>
      <c r="H562" s="147"/>
      <c r="I562" s="147"/>
      <c r="J562" s="147"/>
      <c r="K562" s="147"/>
      <c r="L562" s="147"/>
      <c r="M562" s="147"/>
      <c r="N562" s="147"/>
      <c r="O562" s="147"/>
      <c r="P562" s="147"/>
      <c r="Q562" s="147"/>
      <c r="R562" s="147"/>
      <c r="S562" s="147"/>
      <c r="T562" s="147"/>
      <c r="U562" s="147"/>
      <c r="V562" s="147"/>
      <c r="W562" s="147"/>
      <c r="X562" s="147"/>
      <c r="Y562" s="147"/>
      <c r="Z562" s="147"/>
    </row>
    <row r="563" ht="15.75" customHeight="1">
      <c r="A563" s="147"/>
      <c r="B563" s="147"/>
      <c r="C563" s="147"/>
      <c r="D563" s="147"/>
      <c r="E563" s="147"/>
      <c r="F563" s="147"/>
      <c r="G563" s="147"/>
      <c r="H563" s="147"/>
      <c r="I563" s="147"/>
      <c r="J563" s="147"/>
      <c r="K563" s="147"/>
      <c r="L563" s="147"/>
      <c r="M563" s="147"/>
      <c r="N563" s="147"/>
      <c r="O563" s="147"/>
      <c r="P563" s="147"/>
      <c r="Q563" s="147"/>
      <c r="R563" s="147"/>
      <c r="S563" s="147"/>
      <c r="T563" s="147"/>
      <c r="U563" s="147"/>
      <c r="V563" s="147"/>
      <c r="W563" s="147"/>
      <c r="X563" s="147"/>
      <c r="Y563" s="147"/>
      <c r="Z563" s="147"/>
    </row>
    <row r="564" ht="15.75" customHeight="1">
      <c r="A564" s="147"/>
      <c r="B564" s="147"/>
      <c r="C564" s="147"/>
      <c r="D564" s="147"/>
      <c r="E564" s="147"/>
      <c r="F564" s="147"/>
      <c r="G564" s="147"/>
      <c r="H564" s="147"/>
      <c r="I564" s="147"/>
      <c r="J564" s="147"/>
      <c r="K564" s="147"/>
      <c r="L564" s="147"/>
      <c r="M564" s="147"/>
      <c r="N564" s="147"/>
      <c r="O564" s="147"/>
      <c r="P564" s="147"/>
      <c r="Q564" s="147"/>
      <c r="R564" s="147"/>
      <c r="S564" s="147"/>
      <c r="T564" s="147"/>
      <c r="U564" s="147"/>
      <c r="V564" s="147"/>
      <c r="W564" s="147"/>
      <c r="X564" s="147"/>
      <c r="Y564" s="147"/>
      <c r="Z564" s="147"/>
    </row>
    <row r="565" ht="15.75" customHeight="1">
      <c r="A565" s="147"/>
      <c r="B565" s="147"/>
      <c r="C565" s="147"/>
      <c r="D565" s="147"/>
      <c r="E565" s="147"/>
      <c r="F565" s="147"/>
      <c r="G565" s="147"/>
      <c r="H565" s="147"/>
      <c r="I565" s="147"/>
      <c r="J565" s="147"/>
      <c r="K565" s="147"/>
      <c r="L565" s="147"/>
      <c r="M565" s="147"/>
      <c r="N565" s="147"/>
      <c r="O565" s="147"/>
      <c r="P565" s="147"/>
      <c r="Q565" s="147"/>
      <c r="R565" s="147"/>
      <c r="S565" s="147"/>
      <c r="T565" s="147"/>
      <c r="U565" s="147"/>
      <c r="V565" s="147"/>
      <c r="W565" s="147"/>
      <c r="X565" s="147"/>
      <c r="Y565" s="147"/>
      <c r="Z565" s="147"/>
    </row>
    <row r="566" ht="15.75" customHeight="1">
      <c r="A566" s="147"/>
      <c r="B566" s="147"/>
      <c r="C566" s="147"/>
      <c r="D566" s="147"/>
      <c r="E566" s="147"/>
      <c r="F566" s="147"/>
      <c r="G566" s="147"/>
      <c r="H566" s="147"/>
      <c r="I566" s="147"/>
      <c r="J566" s="147"/>
      <c r="K566" s="147"/>
      <c r="L566" s="147"/>
      <c r="M566" s="147"/>
      <c r="N566" s="147"/>
      <c r="O566" s="147"/>
      <c r="P566" s="147"/>
      <c r="Q566" s="147"/>
      <c r="R566" s="147"/>
      <c r="S566" s="147"/>
      <c r="T566" s="147"/>
      <c r="U566" s="147"/>
      <c r="V566" s="147"/>
      <c r="W566" s="147"/>
      <c r="X566" s="147"/>
      <c r="Y566" s="147"/>
      <c r="Z566" s="147"/>
    </row>
    <row r="567" ht="15.75" customHeight="1">
      <c r="A567" s="147"/>
      <c r="B567" s="147"/>
      <c r="C567" s="147"/>
      <c r="D567" s="147"/>
      <c r="E567" s="147"/>
      <c r="F567" s="147"/>
      <c r="G567" s="147"/>
      <c r="H567" s="147"/>
      <c r="I567" s="147"/>
      <c r="J567" s="147"/>
      <c r="K567" s="147"/>
      <c r="L567" s="147"/>
      <c r="M567" s="147"/>
      <c r="N567" s="147"/>
      <c r="O567" s="147"/>
      <c r="P567" s="147"/>
      <c r="Q567" s="147"/>
      <c r="R567" s="147"/>
      <c r="S567" s="147"/>
      <c r="T567" s="147"/>
      <c r="U567" s="147"/>
      <c r="V567" s="147"/>
      <c r="W567" s="147"/>
      <c r="X567" s="147"/>
      <c r="Y567" s="147"/>
      <c r="Z567" s="147"/>
    </row>
    <row r="568" ht="15.75" customHeight="1">
      <c r="A568" s="147"/>
      <c r="B568" s="147"/>
      <c r="C568" s="147"/>
      <c r="D568" s="147"/>
      <c r="E568" s="147"/>
      <c r="F568" s="147"/>
      <c r="G568" s="147"/>
      <c r="H568" s="147"/>
      <c r="I568" s="147"/>
      <c r="J568" s="147"/>
      <c r="K568" s="147"/>
      <c r="L568" s="147"/>
      <c r="M568" s="147"/>
      <c r="N568" s="147"/>
      <c r="O568" s="147"/>
      <c r="P568" s="147"/>
      <c r="Q568" s="147"/>
      <c r="R568" s="147"/>
      <c r="S568" s="147"/>
      <c r="T568" s="147"/>
      <c r="U568" s="147"/>
      <c r="V568" s="147"/>
      <c r="W568" s="147"/>
      <c r="X568" s="147"/>
      <c r="Y568" s="147"/>
      <c r="Z568" s="147"/>
    </row>
    <row r="569" ht="15.75" customHeight="1">
      <c r="A569" s="147"/>
      <c r="B569" s="147"/>
      <c r="C569" s="147"/>
      <c r="D569" s="147"/>
      <c r="E569" s="147"/>
      <c r="F569" s="147"/>
      <c r="G569" s="147"/>
      <c r="H569" s="147"/>
      <c r="I569" s="147"/>
      <c r="J569" s="147"/>
      <c r="K569" s="147"/>
      <c r="L569" s="147"/>
      <c r="M569" s="147"/>
      <c r="N569" s="147"/>
      <c r="O569" s="147"/>
      <c r="P569" s="147"/>
      <c r="Q569" s="147"/>
      <c r="R569" s="147"/>
      <c r="S569" s="147"/>
      <c r="T569" s="147"/>
      <c r="U569" s="147"/>
      <c r="V569" s="147"/>
      <c r="W569" s="147"/>
      <c r="X569" s="147"/>
      <c r="Y569" s="147"/>
      <c r="Z569" s="147"/>
    </row>
    <row r="570" ht="15.75" customHeight="1">
      <c r="A570" s="147"/>
      <c r="B570" s="147"/>
      <c r="C570" s="147"/>
      <c r="D570" s="147"/>
      <c r="E570" s="147"/>
      <c r="F570" s="147"/>
      <c r="G570" s="147"/>
      <c r="H570" s="147"/>
      <c r="I570" s="147"/>
      <c r="J570" s="147"/>
      <c r="K570" s="147"/>
      <c r="L570" s="147"/>
      <c r="M570" s="147"/>
      <c r="N570" s="147"/>
      <c r="O570" s="147"/>
      <c r="P570" s="147"/>
      <c r="Q570" s="147"/>
      <c r="R570" s="147"/>
      <c r="S570" s="147"/>
      <c r="T570" s="147"/>
      <c r="U570" s="147"/>
      <c r="V570" s="147"/>
      <c r="W570" s="147"/>
      <c r="X570" s="147"/>
      <c r="Y570" s="147"/>
      <c r="Z570" s="147"/>
    </row>
    <row r="571" ht="15.75" customHeight="1">
      <c r="A571" s="147"/>
      <c r="B571" s="147"/>
      <c r="C571" s="147"/>
      <c r="D571" s="147"/>
      <c r="E571" s="147"/>
      <c r="F571" s="147"/>
      <c r="G571" s="147"/>
      <c r="H571" s="147"/>
      <c r="I571" s="147"/>
      <c r="J571" s="147"/>
      <c r="K571" s="147"/>
      <c r="L571" s="147"/>
      <c r="M571" s="147"/>
      <c r="N571" s="147"/>
      <c r="O571" s="147"/>
      <c r="P571" s="147"/>
      <c r="Q571" s="147"/>
      <c r="R571" s="147"/>
      <c r="S571" s="147"/>
      <c r="T571" s="147"/>
      <c r="U571" s="147"/>
      <c r="V571" s="147"/>
      <c r="W571" s="147"/>
      <c r="X571" s="147"/>
      <c r="Y571" s="147"/>
      <c r="Z571" s="147"/>
    </row>
    <row r="572" ht="15.75" customHeight="1">
      <c r="A572" s="147"/>
      <c r="B572" s="147"/>
      <c r="C572" s="147"/>
      <c r="D572" s="147"/>
      <c r="E572" s="147"/>
      <c r="F572" s="147"/>
      <c r="G572" s="147"/>
      <c r="H572" s="147"/>
      <c r="I572" s="147"/>
      <c r="J572" s="147"/>
      <c r="K572" s="147"/>
      <c r="L572" s="147"/>
      <c r="M572" s="147"/>
      <c r="N572" s="147"/>
      <c r="O572" s="147"/>
      <c r="P572" s="147"/>
      <c r="Q572" s="147"/>
      <c r="R572" s="147"/>
      <c r="S572" s="147"/>
      <c r="T572" s="147"/>
      <c r="U572" s="147"/>
      <c r="V572" s="147"/>
      <c r="W572" s="147"/>
      <c r="X572" s="147"/>
      <c r="Y572" s="147"/>
      <c r="Z572" s="147"/>
    </row>
    <row r="573" ht="15.75" customHeight="1">
      <c r="A573" s="147"/>
      <c r="B573" s="147"/>
      <c r="C573" s="147"/>
      <c r="D573" s="147"/>
      <c r="E573" s="147"/>
      <c r="F573" s="147"/>
      <c r="G573" s="147"/>
      <c r="H573" s="147"/>
      <c r="I573" s="147"/>
      <c r="J573" s="147"/>
      <c r="K573" s="147"/>
      <c r="L573" s="147"/>
      <c r="M573" s="147"/>
      <c r="N573" s="147"/>
      <c r="O573" s="147"/>
      <c r="P573" s="147"/>
      <c r="Q573" s="147"/>
      <c r="R573" s="147"/>
      <c r="S573" s="147"/>
      <c r="T573" s="147"/>
      <c r="U573" s="147"/>
      <c r="V573" s="147"/>
      <c r="W573" s="147"/>
      <c r="X573" s="147"/>
      <c r="Y573" s="147"/>
      <c r="Z573" s="147"/>
    </row>
    <row r="574" ht="15.75" customHeight="1">
      <c r="A574" s="147"/>
      <c r="B574" s="147"/>
      <c r="C574" s="147"/>
      <c r="D574" s="147"/>
      <c r="E574" s="147"/>
      <c r="F574" s="147"/>
      <c r="G574" s="147"/>
      <c r="H574" s="147"/>
      <c r="I574" s="147"/>
      <c r="J574" s="147"/>
      <c r="K574" s="147"/>
      <c r="L574" s="147"/>
      <c r="M574" s="147"/>
      <c r="N574" s="147"/>
      <c r="O574" s="147"/>
      <c r="P574" s="147"/>
      <c r="Q574" s="147"/>
      <c r="R574" s="147"/>
      <c r="S574" s="147"/>
      <c r="T574" s="147"/>
      <c r="U574" s="147"/>
      <c r="V574" s="147"/>
      <c r="W574" s="147"/>
      <c r="X574" s="147"/>
      <c r="Y574" s="147"/>
      <c r="Z574" s="147"/>
    </row>
    <row r="575" ht="15.75" customHeight="1">
      <c r="A575" s="147"/>
      <c r="B575" s="147"/>
      <c r="C575" s="147"/>
      <c r="D575" s="147"/>
      <c r="E575" s="147"/>
      <c r="F575" s="147"/>
      <c r="G575" s="147"/>
      <c r="H575" s="147"/>
      <c r="I575" s="147"/>
      <c r="J575" s="147"/>
      <c r="K575" s="147"/>
      <c r="L575" s="147"/>
      <c r="M575" s="147"/>
      <c r="N575" s="147"/>
      <c r="O575" s="147"/>
      <c r="P575" s="147"/>
      <c r="Q575" s="147"/>
      <c r="R575" s="147"/>
      <c r="S575" s="147"/>
      <c r="T575" s="147"/>
      <c r="U575" s="147"/>
      <c r="V575" s="147"/>
      <c r="W575" s="147"/>
      <c r="X575" s="147"/>
      <c r="Y575" s="147"/>
      <c r="Z575" s="147"/>
    </row>
    <row r="576" ht="15.75" customHeight="1">
      <c r="A576" s="147"/>
      <c r="B576" s="147"/>
      <c r="C576" s="147"/>
      <c r="D576" s="147"/>
      <c r="E576" s="147"/>
      <c r="F576" s="147"/>
      <c r="G576" s="147"/>
      <c r="H576" s="147"/>
      <c r="I576" s="147"/>
      <c r="J576" s="147"/>
      <c r="K576" s="147"/>
      <c r="L576" s="147"/>
      <c r="M576" s="147"/>
      <c r="N576" s="147"/>
      <c r="O576" s="147"/>
      <c r="P576" s="147"/>
      <c r="Q576" s="147"/>
      <c r="R576" s="147"/>
      <c r="S576" s="147"/>
      <c r="T576" s="147"/>
      <c r="U576" s="147"/>
      <c r="V576" s="147"/>
      <c r="W576" s="147"/>
      <c r="X576" s="147"/>
      <c r="Y576" s="147"/>
      <c r="Z576" s="147"/>
    </row>
    <row r="577" ht="15.75" customHeight="1">
      <c r="A577" s="147"/>
      <c r="B577" s="147"/>
      <c r="C577" s="147"/>
      <c r="D577" s="147"/>
      <c r="E577" s="147"/>
      <c r="F577" s="147"/>
      <c r="G577" s="147"/>
      <c r="H577" s="147"/>
      <c r="I577" s="147"/>
      <c r="J577" s="147"/>
      <c r="K577" s="147"/>
      <c r="L577" s="147"/>
      <c r="M577" s="147"/>
      <c r="N577" s="147"/>
      <c r="O577" s="147"/>
      <c r="P577" s="147"/>
      <c r="Q577" s="147"/>
      <c r="R577" s="147"/>
      <c r="S577" s="147"/>
      <c r="T577" s="147"/>
      <c r="U577" s="147"/>
      <c r="V577" s="147"/>
      <c r="W577" s="147"/>
      <c r="X577" s="147"/>
      <c r="Y577" s="147"/>
      <c r="Z577" s="147"/>
    </row>
    <row r="578" ht="15.75" customHeight="1">
      <c r="A578" s="147"/>
      <c r="B578" s="147"/>
      <c r="C578" s="147"/>
      <c r="D578" s="147"/>
      <c r="E578" s="147"/>
      <c r="F578" s="147"/>
      <c r="G578" s="147"/>
      <c r="H578" s="147"/>
      <c r="I578" s="147"/>
      <c r="J578" s="147"/>
      <c r="K578" s="147"/>
      <c r="L578" s="147"/>
      <c r="M578" s="147"/>
      <c r="N578" s="147"/>
      <c r="O578" s="147"/>
      <c r="P578" s="147"/>
      <c r="Q578" s="147"/>
      <c r="R578" s="147"/>
      <c r="S578" s="147"/>
      <c r="T578" s="147"/>
      <c r="U578" s="147"/>
      <c r="V578" s="147"/>
      <c r="W578" s="147"/>
      <c r="X578" s="147"/>
      <c r="Y578" s="147"/>
      <c r="Z578" s="147"/>
    </row>
    <row r="579" ht="15.75" customHeight="1">
      <c r="A579" s="147"/>
      <c r="B579" s="147"/>
      <c r="C579" s="147"/>
      <c r="D579" s="147"/>
      <c r="E579" s="147"/>
      <c r="F579" s="147"/>
      <c r="G579" s="147"/>
      <c r="H579" s="147"/>
      <c r="I579" s="147"/>
      <c r="J579" s="147"/>
      <c r="K579" s="147"/>
      <c r="L579" s="147"/>
      <c r="M579" s="147"/>
      <c r="N579" s="147"/>
      <c r="O579" s="147"/>
      <c r="P579" s="147"/>
      <c r="Q579" s="147"/>
      <c r="R579" s="147"/>
      <c r="S579" s="147"/>
      <c r="T579" s="147"/>
      <c r="U579" s="147"/>
      <c r="V579" s="147"/>
      <c r="W579" s="147"/>
      <c r="X579" s="147"/>
      <c r="Y579" s="147"/>
      <c r="Z579" s="147"/>
    </row>
    <row r="580" ht="15.75" customHeight="1">
      <c r="A580" s="147"/>
      <c r="B580" s="147"/>
      <c r="C580" s="147"/>
      <c r="D580" s="147"/>
      <c r="E580" s="147"/>
      <c r="F580" s="147"/>
      <c r="G580" s="147"/>
      <c r="H580" s="147"/>
      <c r="I580" s="147"/>
      <c r="J580" s="147"/>
      <c r="K580" s="147"/>
      <c r="L580" s="147"/>
      <c r="M580" s="147"/>
      <c r="N580" s="147"/>
      <c r="O580" s="147"/>
      <c r="P580" s="147"/>
      <c r="Q580" s="147"/>
      <c r="R580" s="147"/>
      <c r="S580" s="147"/>
      <c r="T580" s="147"/>
      <c r="U580" s="147"/>
      <c r="V580" s="147"/>
      <c r="W580" s="147"/>
      <c r="X580" s="147"/>
      <c r="Y580" s="147"/>
      <c r="Z580" s="147"/>
    </row>
    <row r="581" ht="15.75" customHeight="1">
      <c r="A581" s="147"/>
      <c r="B581" s="147"/>
      <c r="C581" s="147"/>
      <c r="D581" s="147"/>
      <c r="E581" s="147"/>
      <c r="F581" s="147"/>
      <c r="G581" s="147"/>
      <c r="H581" s="147"/>
      <c r="I581" s="147"/>
      <c r="J581" s="147"/>
      <c r="K581" s="147"/>
      <c r="L581" s="147"/>
      <c r="M581" s="147"/>
      <c r="N581" s="147"/>
      <c r="O581" s="147"/>
      <c r="P581" s="147"/>
      <c r="Q581" s="147"/>
      <c r="R581" s="147"/>
      <c r="S581" s="147"/>
      <c r="T581" s="147"/>
      <c r="U581" s="147"/>
      <c r="V581" s="147"/>
      <c r="W581" s="147"/>
      <c r="X581" s="147"/>
      <c r="Y581" s="147"/>
      <c r="Z581" s="147"/>
    </row>
    <row r="582" ht="15.75" customHeight="1">
      <c r="A582" s="147"/>
      <c r="B582" s="147"/>
      <c r="C582" s="147"/>
      <c r="D582" s="147"/>
      <c r="E582" s="147"/>
      <c r="F582" s="147"/>
      <c r="G582" s="147"/>
      <c r="H582" s="147"/>
      <c r="I582" s="147"/>
      <c r="J582" s="147"/>
      <c r="K582" s="147"/>
      <c r="L582" s="147"/>
      <c r="M582" s="147"/>
      <c r="N582" s="147"/>
      <c r="O582" s="147"/>
      <c r="P582" s="147"/>
      <c r="Q582" s="147"/>
      <c r="R582" s="147"/>
      <c r="S582" s="147"/>
      <c r="T582" s="147"/>
      <c r="U582" s="147"/>
      <c r="V582" s="147"/>
      <c r="W582" s="147"/>
      <c r="X582" s="147"/>
      <c r="Y582" s="147"/>
      <c r="Z582" s="147"/>
    </row>
    <row r="583" ht="15.75" customHeight="1">
      <c r="A583" s="147"/>
      <c r="B583" s="147"/>
      <c r="C583" s="147"/>
      <c r="D583" s="147"/>
      <c r="E583" s="147"/>
      <c r="F583" s="147"/>
      <c r="G583" s="147"/>
      <c r="H583" s="147"/>
      <c r="I583" s="147"/>
      <c r="J583" s="147"/>
      <c r="K583" s="147"/>
      <c r="L583" s="147"/>
      <c r="M583" s="147"/>
      <c r="N583" s="147"/>
      <c r="O583" s="147"/>
      <c r="P583" s="147"/>
      <c r="Q583" s="147"/>
      <c r="R583" s="147"/>
      <c r="S583" s="147"/>
      <c r="T583" s="147"/>
      <c r="U583" s="147"/>
      <c r="V583" s="147"/>
      <c r="W583" s="147"/>
      <c r="X583" s="147"/>
      <c r="Y583" s="147"/>
      <c r="Z583" s="147"/>
    </row>
    <row r="584" ht="15.75" customHeight="1">
      <c r="A584" s="147"/>
      <c r="B584" s="147"/>
      <c r="C584" s="147"/>
      <c r="D584" s="147"/>
      <c r="E584" s="147"/>
      <c r="F584" s="147"/>
      <c r="G584" s="147"/>
      <c r="H584" s="147"/>
      <c r="I584" s="147"/>
      <c r="J584" s="147"/>
      <c r="K584" s="147"/>
      <c r="L584" s="147"/>
      <c r="M584" s="147"/>
      <c r="N584" s="147"/>
      <c r="O584" s="147"/>
      <c r="P584" s="147"/>
      <c r="Q584" s="147"/>
      <c r="R584" s="147"/>
      <c r="S584" s="147"/>
      <c r="T584" s="147"/>
      <c r="U584" s="147"/>
      <c r="V584" s="147"/>
      <c r="W584" s="147"/>
      <c r="X584" s="147"/>
      <c r="Y584" s="147"/>
      <c r="Z584" s="147"/>
    </row>
    <row r="585" ht="15.75" customHeight="1">
      <c r="A585" s="147"/>
      <c r="B585" s="147"/>
      <c r="C585" s="147"/>
      <c r="D585" s="147"/>
      <c r="E585" s="147"/>
      <c r="F585" s="147"/>
      <c r="G585" s="147"/>
      <c r="H585" s="147"/>
      <c r="I585" s="147"/>
      <c r="J585" s="147"/>
      <c r="K585" s="147"/>
      <c r="L585" s="147"/>
      <c r="M585" s="147"/>
      <c r="N585" s="147"/>
      <c r="O585" s="147"/>
      <c r="P585" s="147"/>
      <c r="Q585" s="147"/>
      <c r="R585" s="147"/>
      <c r="S585" s="147"/>
      <c r="T585" s="147"/>
      <c r="U585" s="147"/>
      <c r="V585" s="147"/>
      <c r="W585" s="147"/>
      <c r="X585" s="147"/>
      <c r="Y585" s="147"/>
      <c r="Z585" s="147"/>
    </row>
    <row r="586" ht="15.75" customHeight="1">
      <c r="A586" s="147"/>
      <c r="B586" s="147"/>
      <c r="C586" s="147"/>
      <c r="D586" s="147"/>
      <c r="E586" s="147"/>
      <c r="F586" s="147"/>
      <c r="G586" s="147"/>
      <c r="H586" s="147"/>
      <c r="I586" s="147"/>
      <c r="J586" s="147"/>
      <c r="K586" s="147"/>
      <c r="L586" s="147"/>
      <c r="M586" s="147"/>
      <c r="N586" s="147"/>
      <c r="O586" s="147"/>
      <c r="P586" s="147"/>
      <c r="Q586" s="147"/>
      <c r="R586" s="147"/>
      <c r="S586" s="147"/>
      <c r="T586" s="147"/>
      <c r="U586" s="147"/>
      <c r="V586" s="147"/>
      <c r="W586" s="147"/>
      <c r="X586" s="147"/>
      <c r="Y586" s="147"/>
      <c r="Z586" s="147"/>
    </row>
    <row r="587" ht="15.75" customHeight="1">
      <c r="A587" s="147"/>
      <c r="B587" s="147"/>
      <c r="C587" s="147"/>
      <c r="D587" s="147"/>
      <c r="E587" s="147"/>
      <c r="F587" s="147"/>
      <c r="G587" s="147"/>
      <c r="H587" s="147"/>
      <c r="I587" s="147"/>
      <c r="J587" s="147"/>
      <c r="K587" s="147"/>
      <c r="L587" s="147"/>
      <c r="M587" s="147"/>
      <c r="N587" s="147"/>
      <c r="O587" s="147"/>
      <c r="P587" s="147"/>
      <c r="Q587" s="147"/>
      <c r="R587" s="147"/>
      <c r="S587" s="147"/>
      <c r="T587" s="147"/>
      <c r="U587" s="147"/>
      <c r="V587" s="147"/>
      <c r="W587" s="147"/>
      <c r="X587" s="147"/>
      <c r="Y587" s="147"/>
      <c r="Z587" s="147"/>
    </row>
    <row r="588" ht="15.75" customHeight="1">
      <c r="A588" s="147"/>
      <c r="B588" s="147"/>
      <c r="C588" s="147"/>
      <c r="D588" s="147"/>
      <c r="E588" s="147"/>
      <c r="F588" s="147"/>
      <c r="G588" s="147"/>
      <c r="H588" s="147"/>
      <c r="I588" s="147"/>
      <c r="J588" s="147"/>
      <c r="K588" s="147"/>
      <c r="L588" s="147"/>
      <c r="M588" s="147"/>
      <c r="N588" s="147"/>
      <c r="O588" s="147"/>
      <c r="P588" s="147"/>
      <c r="Q588" s="147"/>
      <c r="R588" s="147"/>
      <c r="S588" s="147"/>
      <c r="T588" s="147"/>
      <c r="U588" s="147"/>
      <c r="V588" s="147"/>
      <c r="W588" s="147"/>
      <c r="X588" s="147"/>
      <c r="Y588" s="147"/>
      <c r="Z588" s="147"/>
    </row>
    <row r="589" ht="15.75" customHeight="1">
      <c r="A589" s="147"/>
      <c r="B589" s="147"/>
      <c r="C589" s="147"/>
      <c r="D589" s="147"/>
      <c r="E589" s="147"/>
      <c r="F589" s="147"/>
      <c r="G589" s="147"/>
      <c r="H589" s="147"/>
      <c r="I589" s="147"/>
      <c r="J589" s="147"/>
      <c r="K589" s="147"/>
      <c r="L589" s="147"/>
      <c r="M589" s="147"/>
      <c r="N589" s="147"/>
      <c r="O589" s="147"/>
      <c r="P589" s="147"/>
      <c r="Q589" s="147"/>
      <c r="R589" s="147"/>
      <c r="S589" s="147"/>
      <c r="T589" s="147"/>
      <c r="U589" s="147"/>
      <c r="V589" s="147"/>
      <c r="W589" s="147"/>
      <c r="X589" s="147"/>
      <c r="Y589" s="147"/>
      <c r="Z589" s="147"/>
    </row>
    <row r="590" ht="15.75" customHeight="1">
      <c r="A590" s="147"/>
      <c r="B590" s="147"/>
      <c r="C590" s="147"/>
      <c r="D590" s="147"/>
      <c r="E590" s="147"/>
      <c r="F590" s="147"/>
      <c r="G590" s="147"/>
      <c r="H590" s="147"/>
      <c r="I590" s="147"/>
      <c r="J590" s="147"/>
      <c r="K590" s="147"/>
      <c r="L590" s="147"/>
      <c r="M590" s="147"/>
      <c r="N590" s="147"/>
      <c r="O590" s="147"/>
      <c r="P590" s="147"/>
      <c r="Q590" s="147"/>
      <c r="R590" s="147"/>
      <c r="S590" s="147"/>
      <c r="T590" s="147"/>
      <c r="U590" s="147"/>
      <c r="V590" s="147"/>
      <c r="W590" s="147"/>
      <c r="X590" s="147"/>
      <c r="Y590" s="147"/>
      <c r="Z590" s="147"/>
    </row>
    <row r="591" ht="15.75" customHeight="1">
      <c r="A591" s="147"/>
      <c r="B591" s="147"/>
      <c r="C591" s="147"/>
      <c r="D591" s="147"/>
      <c r="E591" s="147"/>
      <c r="F591" s="147"/>
      <c r="G591" s="147"/>
      <c r="H591" s="147"/>
      <c r="I591" s="147"/>
      <c r="J591" s="147"/>
      <c r="K591" s="147"/>
      <c r="L591" s="147"/>
      <c r="M591" s="147"/>
      <c r="N591" s="147"/>
      <c r="O591" s="147"/>
      <c r="P591" s="147"/>
      <c r="Q591" s="147"/>
      <c r="R591" s="147"/>
      <c r="S591" s="147"/>
      <c r="T591" s="147"/>
      <c r="U591" s="147"/>
      <c r="V591" s="147"/>
      <c r="W591" s="147"/>
      <c r="X591" s="147"/>
      <c r="Y591" s="147"/>
      <c r="Z591" s="147"/>
    </row>
    <row r="592" ht="15.75" customHeight="1">
      <c r="A592" s="147"/>
      <c r="B592" s="147"/>
      <c r="C592" s="147"/>
      <c r="D592" s="147"/>
      <c r="E592" s="147"/>
      <c r="F592" s="147"/>
      <c r="G592" s="147"/>
      <c r="H592" s="147"/>
      <c r="I592" s="147"/>
      <c r="J592" s="147"/>
      <c r="K592" s="147"/>
      <c r="L592" s="147"/>
      <c r="M592" s="147"/>
      <c r="N592" s="147"/>
      <c r="O592" s="147"/>
      <c r="P592" s="147"/>
      <c r="Q592" s="147"/>
      <c r="R592" s="147"/>
      <c r="S592" s="147"/>
      <c r="T592" s="147"/>
      <c r="U592" s="147"/>
      <c r="V592" s="147"/>
      <c r="W592" s="147"/>
      <c r="X592" s="147"/>
      <c r="Y592" s="147"/>
      <c r="Z592" s="147"/>
    </row>
    <row r="593" ht="15.75" customHeight="1">
      <c r="A593" s="147"/>
      <c r="B593" s="147"/>
      <c r="C593" s="147"/>
      <c r="D593" s="147"/>
      <c r="E593" s="147"/>
      <c r="F593" s="147"/>
      <c r="G593" s="147"/>
      <c r="H593" s="147"/>
      <c r="I593" s="147"/>
      <c r="J593" s="147"/>
      <c r="K593" s="147"/>
      <c r="L593" s="147"/>
      <c r="M593" s="147"/>
      <c r="N593" s="147"/>
      <c r="O593" s="147"/>
      <c r="P593" s="147"/>
      <c r="Q593" s="147"/>
      <c r="R593" s="147"/>
      <c r="S593" s="147"/>
      <c r="T593" s="147"/>
      <c r="U593" s="147"/>
      <c r="V593" s="147"/>
      <c r="W593" s="147"/>
      <c r="X593" s="147"/>
      <c r="Y593" s="147"/>
      <c r="Z593" s="147"/>
    </row>
    <row r="594" ht="15.75" customHeight="1">
      <c r="A594" s="147"/>
      <c r="B594" s="147"/>
      <c r="C594" s="147"/>
      <c r="D594" s="147"/>
      <c r="E594" s="147"/>
      <c r="F594" s="147"/>
      <c r="G594" s="147"/>
      <c r="H594" s="147"/>
      <c r="I594" s="147"/>
      <c r="J594" s="147"/>
      <c r="K594" s="147"/>
      <c r="L594" s="147"/>
      <c r="M594" s="147"/>
      <c r="N594" s="147"/>
      <c r="O594" s="147"/>
      <c r="P594" s="147"/>
      <c r="Q594" s="147"/>
      <c r="R594" s="147"/>
      <c r="S594" s="147"/>
      <c r="T594" s="147"/>
      <c r="U594" s="147"/>
      <c r="V594" s="147"/>
      <c r="W594" s="147"/>
      <c r="X594" s="147"/>
      <c r="Y594" s="147"/>
      <c r="Z594" s="147"/>
    </row>
    <row r="595" ht="15.75" customHeight="1">
      <c r="A595" s="147"/>
      <c r="B595" s="147"/>
      <c r="C595" s="147"/>
      <c r="D595" s="147"/>
      <c r="E595" s="147"/>
      <c r="F595" s="147"/>
      <c r="G595" s="147"/>
      <c r="H595" s="147"/>
      <c r="I595" s="147"/>
      <c r="J595" s="147"/>
      <c r="K595" s="147"/>
      <c r="L595" s="147"/>
      <c r="M595" s="147"/>
      <c r="N595" s="147"/>
      <c r="O595" s="147"/>
      <c r="P595" s="147"/>
      <c r="Q595" s="147"/>
      <c r="R595" s="147"/>
      <c r="S595" s="147"/>
      <c r="T595" s="147"/>
      <c r="U595" s="147"/>
      <c r="V595" s="147"/>
      <c r="W595" s="147"/>
      <c r="X595" s="147"/>
      <c r="Y595" s="147"/>
      <c r="Z595" s="147"/>
    </row>
    <row r="596" ht="15.75" customHeight="1">
      <c r="A596" s="147"/>
      <c r="B596" s="147"/>
      <c r="C596" s="147"/>
      <c r="D596" s="147"/>
      <c r="E596" s="147"/>
      <c r="F596" s="147"/>
      <c r="G596" s="147"/>
      <c r="H596" s="147"/>
      <c r="I596" s="147"/>
      <c r="J596" s="147"/>
      <c r="K596" s="147"/>
      <c r="L596" s="147"/>
      <c r="M596" s="147"/>
      <c r="N596" s="147"/>
      <c r="O596" s="147"/>
      <c r="P596" s="147"/>
      <c r="Q596" s="147"/>
      <c r="R596" s="147"/>
      <c r="S596" s="147"/>
      <c r="T596" s="147"/>
      <c r="U596" s="147"/>
      <c r="V596" s="147"/>
      <c r="W596" s="147"/>
      <c r="X596" s="147"/>
      <c r="Y596" s="147"/>
      <c r="Z596" s="147"/>
    </row>
    <row r="597" ht="15.75" customHeight="1">
      <c r="A597" s="147"/>
      <c r="B597" s="147"/>
      <c r="C597" s="147"/>
      <c r="D597" s="147"/>
      <c r="E597" s="147"/>
      <c r="F597" s="147"/>
      <c r="G597" s="147"/>
      <c r="H597" s="147"/>
      <c r="I597" s="147"/>
      <c r="J597" s="147"/>
      <c r="K597" s="147"/>
      <c r="L597" s="147"/>
      <c r="M597" s="147"/>
      <c r="N597" s="147"/>
      <c r="O597" s="147"/>
      <c r="P597" s="147"/>
      <c r="Q597" s="147"/>
      <c r="R597" s="147"/>
      <c r="S597" s="147"/>
      <c r="T597" s="147"/>
      <c r="U597" s="147"/>
      <c r="V597" s="147"/>
      <c r="W597" s="147"/>
      <c r="X597" s="147"/>
      <c r="Y597" s="147"/>
      <c r="Z597" s="147"/>
    </row>
    <row r="598" ht="15.75" customHeight="1">
      <c r="A598" s="147"/>
      <c r="B598" s="147"/>
      <c r="C598" s="147"/>
      <c r="D598" s="147"/>
      <c r="E598" s="147"/>
      <c r="F598" s="147"/>
      <c r="G598" s="147"/>
      <c r="H598" s="147"/>
      <c r="I598" s="147"/>
      <c r="J598" s="147"/>
      <c r="K598" s="147"/>
      <c r="L598" s="147"/>
      <c r="M598" s="147"/>
      <c r="N598" s="147"/>
      <c r="O598" s="147"/>
      <c r="P598" s="147"/>
      <c r="Q598" s="147"/>
      <c r="R598" s="147"/>
      <c r="S598" s="147"/>
      <c r="T598" s="147"/>
      <c r="U598" s="147"/>
      <c r="V598" s="147"/>
      <c r="W598" s="147"/>
      <c r="X598" s="147"/>
      <c r="Y598" s="147"/>
      <c r="Z598" s="147"/>
    </row>
    <row r="599" ht="15.75" customHeight="1">
      <c r="A599" s="147"/>
      <c r="B599" s="147"/>
      <c r="C599" s="147"/>
      <c r="D599" s="147"/>
      <c r="E599" s="147"/>
      <c r="F599" s="147"/>
      <c r="G599" s="147"/>
      <c r="H599" s="147"/>
      <c r="I599" s="147"/>
      <c r="J599" s="147"/>
      <c r="K599" s="147"/>
      <c r="L599" s="147"/>
      <c r="M599" s="147"/>
      <c r="N599" s="147"/>
      <c r="O599" s="147"/>
      <c r="P599" s="147"/>
      <c r="Q599" s="147"/>
      <c r="R599" s="147"/>
      <c r="S599" s="147"/>
      <c r="T599" s="147"/>
      <c r="U599" s="147"/>
      <c r="V599" s="147"/>
      <c r="W599" s="147"/>
      <c r="X599" s="147"/>
      <c r="Y599" s="147"/>
      <c r="Z599" s="147"/>
    </row>
    <row r="600" ht="15.75" customHeight="1">
      <c r="A600" s="147"/>
      <c r="B600" s="147"/>
      <c r="C600" s="147"/>
      <c r="D600" s="147"/>
      <c r="E600" s="147"/>
      <c r="F600" s="147"/>
      <c r="G600" s="147"/>
      <c r="H600" s="147"/>
      <c r="I600" s="147"/>
      <c r="J600" s="147"/>
      <c r="K600" s="147"/>
      <c r="L600" s="147"/>
      <c r="M600" s="147"/>
      <c r="N600" s="147"/>
      <c r="O600" s="147"/>
      <c r="P600" s="147"/>
      <c r="Q600" s="147"/>
      <c r="R600" s="147"/>
      <c r="S600" s="147"/>
      <c r="T600" s="147"/>
      <c r="U600" s="147"/>
      <c r="V600" s="147"/>
      <c r="W600" s="147"/>
      <c r="X600" s="147"/>
      <c r="Y600" s="147"/>
      <c r="Z600" s="147"/>
    </row>
    <row r="601" ht="15.75" customHeight="1">
      <c r="A601" s="147"/>
      <c r="B601" s="147"/>
      <c r="C601" s="147"/>
      <c r="D601" s="147"/>
      <c r="E601" s="147"/>
      <c r="F601" s="147"/>
      <c r="G601" s="147"/>
      <c r="H601" s="147"/>
      <c r="I601" s="147"/>
      <c r="J601" s="147"/>
      <c r="K601" s="147"/>
      <c r="L601" s="147"/>
      <c r="M601" s="147"/>
      <c r="N601" s="147"/>
      <c r="O601" s="147"/>
      <c r="P601" s="147"/>
      <c r="Q601" s="147"/>
      <c r="R601" s="147"/>
      <c r="S601" s="147"/>
      <c r="T601" s="147"/>
      <c r="U601" s="147"/>
      <c r="V601" s="147"/>
      <c r="W601" s="147"/>
      <c r="X601" s="147"/>
      <c r="Y601" s="147"/>
      <c r="Z601" s="147"/>
    </row>
    <row r="602" ht="15.75" customHeight="1">
      <c r="A602" s="147"/>
      <c r="B602" s="147"/>
      <c r="C602" s="147"/>
      <c r="D602" s="147"/>
      <c r="E602" s="147"/>
      <c r="F602" s="147"/>
      <c r="G602" s="147"/>
      <c r="H602" s="147"/>
      <c r="I602" s="147"/>
      <c r="J602" s="147"/>
      <c r="K602" s="147"/>
      <c r="L602" s="147"/>
      <c r="M602" s="147"/>
      <c r="N602" s="147"/>
      <c r="O602" s="147"/>
      <c r="P602" s="147"/>
      <c r="Q602" s="147"/>
      <c r="R602" s="147"/>
      <c r="S602" s="147"/>
      <c r="T602" s="147"/>
      <c r="U602" s="147"/>
      <c r="V602" s="147"/>
      <c r="W602" s="147"/>
      <c r="X602" s="147"/>
      <c r="Y602" s="147"/>
      <c r="Z602" s="147"/>
    </row>
    <row r="603" ht="15.75" customHeight="1">
      <c r="A603" s="147"/>
      <c r="B603" s="147"/>
      <c r="C603" s="147"/>
      <c r="D603" s="147"/>
      <c r="E603" s="147"/>
      <c r="F603" s="147"/>
      <c r="G603" s="147"/>
      <c r="H603" s="147"/>
      <c r="I603" s="147"/>
      <c r="J603" s="147"/>
      <c r="K603" s="147"/>
      <c r="L603" s="147"/>
      <c r="M603" s="147"/>
      <c r="N603" s="147"/>
      <c r="O603" s="147"/>
      <c r="P603" s="147"/>
      <c r="Q603" s="147"/>
      <c r="R603" s="147"/>
      <c r="S603" s="147"/>
      <c r="T603" s="147"/>
      <c r="U603" s="147"/>
      <c r="V603" s="147"/>
      <c r="W603" s="147"/>
      <c r="X603" s="147"/>
      <c r="Y603" s="147"/>
      <c r="Z603" s="147"/>
    </row>
    <row r="604" ht="15.75" customHeight="1">
      <c r="A604" s="147"/>
      <c r="B604" s="147"/>
      <c r="C604" s="147"/>
      <c r="D604" s="147"/>
      <c r="E604" s="147"/>
      <c r="F604" s="147"/>
      <c r="G604" s="147"/>
      <c r="H604" s="147"/>
      <c r="I604" s="147"/>
      <c r="J604" s="147"/>
      <c r="K604" s="147"/>
      <c r="L604" s="147"/>
      <c r="M604" s="147"/>
      <c r="N604" s="147"/>
      <c r="O604" s="147"/>
      <c r="P604" s="147"/>
      <c r="Q604" s="147"/>
      <c r="R604" s="147"/>
      <c r="S604" s="147"/>
      <c r="T604" s="147"/>
      <c r="U604" s="147"/>
      <c r="V604" s="147"/>
      <c r="W604" s="147"/>
      <c r="X604" s="147"/>
      <c r="Y604" s="147"/>
      <c r="Z604" s="147"/>
    </row>
    <row r="605" ht="15.75" customHeight="1">
      <c r="A605" s="147"/>
      <c r="B605" s="147"/>
      <c r="C605" s="147"/>
      <c r="D605" s="147"/>
      <c r="E605" s="147"/>
      <c r="F605" s="147"/>
      <c r="G605" s="147"/>
      <c r="H605" s="147"/>
      <c r="I605" s="147"/>
      <c r="J605" s="147"/>
      <c r="K605" s="147"/>
      <c r="L605" s="147"/>
      <c r="M605" s="147"/>
      <c r="N605" s="147"/>
      <c r="O605" s="147"/>
      <c r="P605" s="147"/>
      <c r="Q605" s="147"/>
      <c r="R605" s="147"/>
      <c r="S605" s="147"/>
      <c r="T605" s="147"/>
      <c r="U605" s="147"/>
      <c r="V605" s="147"/>
      <c r="W605" s="147"/>
      <c r="X605" s="147"/>
      <c r="Y605" s="147"/>
      <c r="Z605" s="147"/>
    </row>
    <row r="606" ht="15.75" customHeight="1">
      <c r="A606" s="147"/>
      <c r="B606" s="147"/>
      <c r="C606" s="147"/>
      <c r="D606" s="147"/>
      <c r="E606" s="147"/>
      <c r="F606" s="147"/>
      <c r="G606" s="147"/>
      <c r="H606" s="147"/>
      <c r="I606" s="147"/>
      <c r="J606" s="147"/>
      <c r="K606" s="147"/>
      <c r="L606" s="147"/>
      <c r="M606" s="147"/>
      <c r="N606" s="147"/>
      <c r="O606" s="147"/>
      <c r="P606" s="147"/>
      <c r="Q606" s="147"/>
      <c r="R606" s="147"/>
      <c r="S606" s="147"/>
      <c r="T606" s="147"/>
      <c r="U606" s="147"/>
      <c r="V606" s="147"/>
      <c r="W606" s="147"/>
      <c r="X606" s="147"/>
      <c r="Y606" s="147"/>
      <c r="Z606" s="147"/>
    </row>
    <row r="607" ht="15.75" customHeight="1">
      <c r="A607" s="147"/>
      <c r="B607" s="147"/>
      <c r="C607" s="147"/>
      <c r="D607" s="147"/>
      <c r="E607" s="147"/>
      <c r="F607" s="147"/>
      <c r="G607" s="147"/>
      <c r="H607" s="147"/>
      <c r="I607" s="147"/>
      <c r="J607" s="147"/>
      <c r="K607" s="147"/>
      <c r="L607" s="147"/>
      <c r="M607" s="147"/>
      <c r="N607" s="147"/>
      <c r="O607" s="147"/>
      <c r="P607" s="147"/>
      <c r="Q607" s="147"/>
      <c r="R607" s="147"/>
      <c r="S607" s="147"/>
      <c r="T607" s="147"/>
      <c r="U607" s="147"/>
      <c r="V607" s="147"/>
      <c r="W607" s="147"/>
      <c r="X607" s="147"/>
      <c r="Y607" s="147"/>
      <c r="Z607" s="147"/>
    </row>
    <row r="608" ht="15.75" customHeight="1">
      <c r="A608" s="147"/>
      <c r="B608" s="147"/>
      <c r="C608" s="147"/>
      <c r="D608" s="147"/>
      <c r="E608" s="147"/>
      <c r="F608" s="147"/>
      <c r="G608" s="147"/>
      <c r="H608" s="147"/>
      <c r="I608" s="147"/>
      <c r="J608" s="147"/>
      <c r="K608" s="147"/>
      <c r="L608" s="147"/>
      <c r="M608" s="147"/>
      <c r="N608" s="147"/>
      <c r="O608" s="147"/>
      <c r="P608" s="147"/>
      <c r="Q608" s="147"/>
      <c r="R608" s="147"/>
      <c r="S608" s="147"/>
      <c r="T608" s="147"/>
      <c r="U608" s="147"/>
      <c r="V608" s="147"/>
      <c r="W608" s="147"/>
      <c r="X608" s="147"/>
      <c r="Y608" s="147"/>
      <c r="Z608" s="147"/>
    </row>
    <row r="609" ht="15.75" customHeight="1">
      <c r="A609" s="147"/>
      <c r="B609" s="147"/>
      <c r="C609" s="147"/>
      <c r="D609" s="147"/>
      <c r="E609" s="147"/>
      <c r="F609" s="147"/>
      <c r="G609" s="147"/>
      <c r="H609" s="147"/>
      <c r="I609" s="147"/>
      <c r="J609" s="147"/>
      <c r="K609" s="147"/>
      <c r="L609" s="147"/>
      <c r="M609" s="147"/>
      <c r="N609" s="147"/>
      <c r="O609" s="147"/>
      <c r="P609" s="147"/>
      <c r="Q609" s="147"/>
      <c r="R609" s="147"/>
      <c r="S609" s="147"/>
      <c r="T609" s="147"/>
      <c r="U609" s="147"/>
      <c r="V609" s="147"/>
      <c r="W609" s="147"/>
      <c r="X609" s="147"/>
      <c r="Y609" s="147"/>
      <c r="Z609" s="147"/>
    </row>
    <row r="610" ht="15.75" customHeight="1">
      <c r="A610" s="147"/>
      <c r="B610" s="147"/>
      <c r="C610" s="147"/>
      <c r="D610" s="147"/>
      <c r="E610" s="147"/>
      <c r="F610" s="147"/>
      <c r="G610" s="147"/>
      <c r="H610" s="147"/>
      <c r="I610" s="147"/>
      <c r="J610" s="147"/>
      <c r="K610" s="147"/>
      <c r="L610" s="147"/>
      <c r="M610" s="147"/>
      <c r="N610" s="147"/>
      <c r="O610" s="147"/>
      <c r="P610" s="147"/>
      <c r="Q610" s="147"/>
      <c r="R610" s="147"/>
      <c r="S610" s="147"/>
      <c r="T610" s="147"/>
      <c r="U610" s="147"/>
      <c r="V610" s="147"/>
      <c r="W610" s="147"/>
      <c r="X610" s="147"/>
      <c r="Y610" s="147"/>
      <c r="Z610" s="147"/>
    </row>
    <row r="611" ht="15.75" customHeight="1">
      <c r="A611" s="147"/>
      <c r="B611" s="147"/>
      <c r="C611" s="147"/>
      <c r="D611" s="147"/>
      <c r="E611" s="147"/>
      <c r="F611" s="147"/>
      <c r="G611" s="147"/>
      <c r="H611" s="147"/>
      <c r="I611" s="147"/>
      <c r="J611" s="147"/>
      <c r="K611" s="147"/>
      <c r="L611" s="147"/>
      <c r="M611" s="147"/>
      <c r="N611" s="147"/>
      <c r="O611" s="147"/>
      <c r="P611" s="147"/>
      <c r="Q611" s="147"/>
      <c r="R611" s="147"/>
      <c r="S611" s="147"/>
      <c r="T611" s="147"/>
      <c r="U611" s="147"/>
      <c r="V611" s="147"/>
      <c r="W611" s="147"/>
      <c r="X611" s="147"/>
      <c r="Y611" s="147"/>
      <c r="Z611" s="147"/>
    </row>
    <row r="612" ht="15.75" customHeight="1">
      <c r="A612" s="147"/>
      <c r="B612" s="147"/>
      <c r="C612" s="147"/>
      <c r="D612" s="147"/>
      <c r="E612" s="147"/>
      <c r="F612" s="147"/>
      <c r="G612" s="147"/>
      <c r="H612" s="147"/>
      <c r="I612" s="147"/>
      <c r="J612" s="147"/>
      <c r="K612" s="147"/>
      <c r="L612" s="147"/>
      <c r="M612" s="147"/>
      <c r="N612" s="147"/>
      <c r="O612" s="147"/>
      <c r="P612" s="147"/>
      <c r="Q612" s="147"/>
      <c r="R612" s="147"/>
      <c r="S612" s="147"/>
      <c r="T612" s="147"/>
      <c r="U612" s="147"/>
      <c r="V612" s="147"/>
      <c r="W612" s="147"/>
      <c r="X612" s="147"/>
      <c r="Y612" s="147"/>
      <c r="Z612" s="147"/>
    </row>
    <row r="613" ht="15.75" customHeight="1">
      <c r="A613" s="147"/>
      <c r="B613" s="147"/>
      <c r="C613" s="147"/>
      <c r="D613" s="147"/>
      <c r="E613" s="147"/>
      <c r="F613" s="147"/>
      <c r="G613" s="147"/>
      <c r="H613" s="147"/>
      <c r="I613" s="147"/>
      <c r="J613" s="147"/>
      <c r="K613" s="147"/>
      <c r="L613" s="147"/>
      <c r="M613" s="147"/>
      <c r="N613" s="147"/>
      <c r="O613" s="147"/>
      <c r="P613" s="147"/>
      <c r="Q613" s="147"/>
      <c r="R613" s="147"/>
      <c r="S613" s="147"/>
      <c r="T613" s="147"/>
      <c r="U613" s="147"/>
      <c r="V613" s="147"/>
      <c r="W613" s="147"/>
      <c r="X613" s="147"/>
      <c r="Y613" s="147"/>
      <c r="Z613" s="147"/>
    </row>
    <row r="614" ht="15.75" customHeight="1">
      <c r="A614" s="147"/>
      <c r="B614" s="147"/>
      <c r="C614" s="147"/>
      <c r="D614" s="147"/>
      <c r="E614" s="147"/>
      <c r="F614" s="147"/>
      <c r="G614" s="147"/>
      <c r="H614" s="147"/>
      <c r="I614" s="147"/>
      <c r="J614" s="147"/>
      <c r="K614" s="147"/>
      <c r="L614" s="147"/>
      <c r="M614" s="147"/>
      <c r="N614" s="147"/>
      <c r="O614" s="147"/>
      <c r="P614" s="147"/>
      <c r="Q614" s="147"/>
      <c r="R614" s="147"/>
      <c r="S614" s="147"/>
      <c r="T614" s="147"/>
      <c r="U614" s="147"/>
      <c r="V614" s="147"/>
      <c r="W614" s="147"/>
      <c r="X614" s="147"/>
      <c r="Y614" s="147"/>
      <c r="Z614" s="147"/>
    </row>
    <row r="615" ht="15.75" customHeight="1">
      <c r="A615" s="147"/>
      <c r="B615" s="147"/>
      <c r="C615" s="147"/>
      <c r="D615" s="147"/>
      <c r="E615" s="147"/>
      <c r="F615" s="147"/>
      <c r="G615" s="147"/>
      <c r="H615" s="147"/>
      <c r="I615" s="147"/>
      <c r="J615" s="147"/>
      <c r="K615" s="147"/>
      <c r="L615" s="147"/>
      <c r="M615" s="147"/>
      <c r="N615" s="147"/>
      <c r="O615" s="147"/>
      <c r="P615" s="147"/>
      <c r="Q615" s="147"/>
      <c r="R615" s="147"/>
      <c r="S615" s="147"/>
      <c r="T615" s="147"/>
      <c r="U615" s="147"/>
      <c r="V615" s="147"/>
      <c r="W615" s="147"/>
      <c r="X615" s="147"/>
      <c r="Y615" s="147"/>
      <c r="Z615" s="147"/>
    </row>
    <row r="616" ht="15.75" customHeight="1">
      <c r="A616" s="147"/>
      <c r="B616" s="147"/>
      <c r="C616" s="147"/>
      <c r="D616" s="147"/>
      <c r="E616" s="147"/>
      <c r="F616" s="147"/>
      <c r="G616" s="147"/>
      <c r="H616" s="147"/>
      <c r="I616" s="147"/>
      <c r="J616" s="147"/>
      <c r="K616" s="147"/>
      <c r="L616" s="147"/>
      <c r="M616" s="147"/>
      <c r="N616" s="147"/>
      <c r="O616" s="147"/>
      <c r="P616" s="147"/>
      <c r="Q616" s="147"/>
      <c r="R616" s="147"/>
      <c r="S616" s="147"/>
      <c r="T616" s="147"/>
      <c r="U616" s="147"/>
      <c r="V616" s="147"/>
      <c r="W616" s="147"/>
      <c r="X616" s="147"/>
      <c r="Y616" s="147"/>
      <c r="Z616" s="147"/>
    </row>
    <row r="617" ht="15.75" customHeight="1">
      <c r="A617" s="147"/>
      <c r="B617" s="147"/>
      <c r="C617" s="147"/>
      <c r="D617" s="147"/>
      <c r="E617" s="147"/>
      <c r="F617" s="147"/>
      <c r="G617" s="147"/>
      <c r="H617" s="147"/>
      <c r="I617" s="147"/>
      <c r="J617" s="147"/>
      <c r="K617" s="147"/>
      <c r="L617" s="147"/>
      <c r="M617" s="147"/>
      <c r="N617" s="147"/>
      <c r="O617" s="147"/>
      <c r="P617" s="147"/>
      <c r="Q617" s="147"/>
      <c r="R617" s="147"/>
      <c r="S617" s="147"/>
      <c r="T617" s="147"/>
      <c r="U617" s="147"/>
      <c r="V617" s="147"/>
      <c r="W617" s="147"/>
      <c r="X617" s="147"/>
      <c r="Y617" s="147"/>
      <c r="Z617" s="147"/>
    </row>
    <row r="618" ht="15.75" customHeight="1">
      <c r="A618" s="147"/>
      <c r="B618" s="147"/>
      <c r="C618" s="147"/>
      <c r="D618" s="147"/>
      <c r="E618" s="147"/>
      <c r="F618" s="147"/>
      <c r="G618" s="147"/>
      <c r="H618" s="147"/>
      <c r="I618" s="147"/>
      <c r="J618" s="147"/>
      <c r="K618" s="147"/>
      <c r="L618" s="147"/>
      <c r="M618" s="147"/>
      <c r="N618" s="147"/>
      <c r="O618" s="147"/>
      <c r="P618" s="147"/>
      <c r="Q618" s="147"/>
      <c r="R618" s="147"/>
      <c r="S618" s="147"/>
      <c r="T618" s="147"/>
      <c r="U618" s="147"/>
      <c r="V618" s="147"/>
      <c r="W618" s="147"/>
      <c r="X618" s="147"/>
      <c r="Y618" s="147"/>
      <c r="Z618" s="147"/>
    </row>
    <row r="619" ht="15.75" customHeight="1">
      <c r="A619" s="147"/>
      <c r="B619" s="147"/>
      <c r="C619" s="147"/>
      <c r="D619" s="147"/>
      <c r="E619" s="147"/>
      <c r="F619" s="147"/>
      <c r="G619" s="147"/>
      <c r="H619" s="147"/>
      <c r="I619" s="147"/>
      <c r="J619" s="147"/>
      <c r="K619" s="147"/>
      <c r="L619" s="147"/>
      <c r="M619" s="147"/>
      <c r="N619" s="147"/>
      <c r="O619" s="147"/>
      <c r="P619" s="147"/>
      <c r="Q619" s="147"/>
      <c r="R619" s="147"/>
      <c r="S619" s="147"/>
      <c r="T619" s="147"/>
      <c r="U619" s="147"/>
      <c r="V619" s="147"/>
      <c r="W619" s="147"/>
      <c r="X619" s="147"/>
      <c r="Y619" s="147"/>
      <c r="Z619" s="147"/>
    </row>
    <row r="620" ht="15.75" customHeight="1">
      <c r="A620" s="147"/>
      <c r="B620" s="147"/>
      <c r="C620" s="147"/>
      <c r="D620" s="147"/>
      <c r="E620" s="147"/>
      <c r="F620" s="147"/>
      <c r="G620" s="147"/>
      <c r="H620" s="147"/>
      <c r="I620" s="147"/>
      <c r="J620" s="147"/>
      <c r="K620" s="147"/>
      <c r="L620" s="147"/>
      <c r="M620" s="147"/>
      <c r="N620" s="147"/>
      <c r="O620" s="147"/>
      <c r="P620" s="147"/>
      <c r="Q620" s="147"/>
      <c r="R620" s="147"/>
      <c r="S620" s="147"/>
      <c r="T620" s="147"/>
      <c r="U620" s="147"/>
      <c r="V620" s="147"/>
      <c r="W620" s="147"/>
      <c r="X620" s="147"/>
      <c r="Y620" s="147"/>
      <c r="Z620" s="147"/>
    </row>
    <row r="621" ht="15.75" customHeight="1">
      <c r="A621" s="147"/>
      <c r="B621" s="147"/>
      <c r="C621" s="147"/>
      <c r="D621" s="147"/>
      <c r="E621" s="147"/>
      <c r="F621" s="147"/>
      <c r="G621" s="147"/>
      <c r="H621" s="147"/>
      <c r="I621" s="147"/>
      <c r="J621" s="147"/>
      <c r="K621" s="147"/>
      <c r="L621" s="147"/>
      <c r="M621" s="147"/>
      <c r="N621" s="147"/>
      <c r="O621" s="147"/>
      <c r="P621" s="147"/>
      <c r="Q621" s="147"/>
      <c r="R621" s="147"/>
      <c r="S621" s="147"/>
      <c r="T621" s="147"/>
      <c r="U621" s="147"/>
      <c r="V621" s="147"/>
      <c r="W621" s="147"/>
      <c r="X621" s="147"/>
      <c r="Y621" s="147"/>
      <c r="Z621" s="147"/>
    </row>
    <row r="622" ht="15.75" customHeight="1">
      <c r="A622" s="147"/>
      <c r="B622" s="147"/>
      <c r="C622" s="147"/>
      <c r="D622" s="147"/>
      <c r="E622" s="147"/>
      <c r="F622" s="147"/>
      <c r="G622" s="147"/>
      <c r="H622" s="147"/>
      <c r="I622" s="147"/>
      <c r="J622" s="147"/>
      <c r="K622" s="147"/>
      <c r="L622" s="147"/>
      <c r="M622" s="147"/>
      <c r="N622" s="147"/>
      <c r="O622" s="147"/>
      <c r="P622" s="147"/>
      <c r="Q622" s="147"/>
      <c r="R622" s="147"/>
      <c r="S622" s="147"/>
      <c r="T622" s="147"/>
      <c r="U622" s="147"/>
      <c r="V622" s="147"/>
      <c r="W622" s="147"/>
      <c r="X622" s="147"/>
      <c r="Y622" s="147"/>
      <c r="Z622" s="147"/>
    </row>
    <row r="623" ht="15.75" customHeight="1">
      <c r="A623" s="147"/>
      <c r="B623" s="147"/>
      <c r="C623" s="147"/>
      <c r="D623" s="147"/>
      <c r="E623" s="147"/>
      <c r="F623" s="147"/>
      <c r="G623" s="147"/>
      <c r="H623" s="147"/>
      <c r="I623" s="147"/>
      <c r="J623" s="147"/>
      <c r="K623" s="147"/>
      <c r="L623" s="147"/>
      <c r="M623" s="147"/>
      <c r="N623" s="147"/>
      <c r="O623" s="147"/>
      <c r="P623" s="147"/>
      <c r="Q623" s="147"/>
      <c r="R623" s="147"/>
      <c r="S623" s="147"/>
      <c r="T623" s="147"/>
      <c r="U623" s="147"/>
      <c r="V623" s="147"/>
      <c r="W623" s="147"/>
      <c r="X623" s="147"/>
      <c r="Y623" s="147"/>
      <c r="Z623" s="147"/>
    </row>
    <row r="624" ht="15.75" customHeight="1">
      <c r="A624" s="147"/>
      <c r="B624" s="147"/>
      <c r="C624" s="147"/>
      <c r="D624" s="147"/>
      <c r="E624" s="147"/>
      <c r="F624" s="147"/>
      <c r="G624" s="147"/>
      <c r="H624" s="147"/>
      <c r="I624" s="147"/>
      <c r="J624" s="147"/>
      <c r="K624" s="147"/>
      <c r="L624" s="147"/>
      <c r="M624" s="147"/>
      <c r="N624" s="147"/>
      <c r="O624" s="147"/>
      <c r="P624" s="147"/>
      <c r="Q624" s="147"/>
      <c r="R624" s="147"/>
      <c r="S624" s="147"/>
      <c r="T624" s="147"/>
      <c r="U624" s="147"/>
      <c r="V624" s="147"/>
      <c r="W624" s="147"/>
      <c r="X624" s="147"/>
      <c r="Y624" s="147"/>
      <c r="Z624" s="147"/>
    </row>
    <row r="625" ht="15.75" customHeight="1">
      <c r="A625" s="147"/>
      <c r="B625" s="147"/>
      <c r="C625" s="147"/>
      <c r="D625" s="147"/>
      <c r="E625" s="147"/>
      <c r="F625" s="147"/>
      <c r="G625" s="147"/>
      <c r="H625" s="147"/>
      <c r="I625" s="147"/>
      <c r="J625" s="147"/>
      <c r="K625" s="147"/>
      <c r="L625" s="147"/>
      <c r="M625" s="147"/>
      <c r="N625" s="147"/>
      <c r="O625" s="147"/>
      <c r="P625" s="147"/>
      <c r="Q625" s="147"/>
      <c r="R625" s="147"/>
      <c r="S625" s="147"/>
      <c r="T625" s="147"/>
      <c r="U625" s="147"/>
      <c r="V625" s="147"/>
      <c r="W625" s="147"/>
      <c r="X625" s="147"/>
      <c r="Y625" s="147"/>
      <c r="Z625" s="147"/>
    </row>
    <row r="626" ht="15.75" customHeight="1">
      <c r="A626" s="147"/>
      <c r="B626" s="147"/>
      <c r="C626" s="147"/>
      <c r="D626" s="147"/>
      <c r="E626" s="147"/>
      <c r="F626" s="147"/>
      <c r="G626" s="147"/>
      <c r="H626" s="147"/>
      <c r="I626" s="147"/>
      <c r="J626" s="147"/>
      <c r="K626" s="147"/>
      <c r="L626" s="147"/>
      <c r="M626" s="147"/>
      <c r="N626" s="147"/>
      <c r="O626" s="147"/>
      <c r="P626" s="147"/>
      <c r="Q626" s="147"/>
      <c r="R626" s="147"/>
      <c r="S626" s="147"/>
      <c r="T626" s="147"/>
      <c r="U626" s="147"/>
      <c r="V626" s="147"/>
      <c r="W626" s="147"/>
      <c r="X626" s="147"/>
      <c r="Y626" s="147"/>
      <c r="Z626" s="147"/>
    </row>
    <row r="627" ht="15.75" customHeight="1">
      <c r="A627" s="147"/>
      <c r="B627" s="147"/>
      <c r="C627" s="147"/>
      <c r="D627" s="147"/>
      <c r="E627" s="147"/>
      <c r="F627" s="147"/>
      <c r="G627" s="147"/>
      <c r="H627" s="147"/>
      <c r="I627" s="147"/>
      <c r="J627" s="147"/>
      <c r="K627" s="147"/>
      <c r="L627" s="147"/>
      <c r="M627" s="147"/>
      <c r="N627" s="147"/>
      <c r="O627" s="147"/>
      <c r="P627" s="147"/>
      <c r="Q627" s="147"/>
      <c r="R627" s="147"/>
      <c r="S627" s="147"/>
      <c r="T627" s="147"/>
      <c r="U627" s="147"/>
      <c r="V627" s="147"/>
      <c r="W627" s="147"/>
      <c r="X627" s="147"/>
      <c r="Y627" s="147"/>
      <c r="Z627" s="147"/>
    </row>
    <row r="628" ht="15.75" customHeight="1">
      <c r="A628" s="147"/>
      <c r="B628" s="147"/>
      <c r="C628" s="147"/>
      <c r="D628" s="147"/>
      <c r="E628" s="147"/>
      <c r="F628" s="147"/>
      <c r="G628" s="147"/>
      <c r="H628" s="147"/>
      <c r="I628" s="147"/>
      <c r="J628" s="147"/>
      <c r="K628" s="147"/>
      <c r="L628" s="147"/>
      <c r="M628" s="147"/>
      <c r="N628" s="147"/>
      <c r="O628" s="147"/>
      <c r="P628" s="147"/>
      <c r="Q628" s="147"/>
      <c r="R628" s="147"/>
      <c r="S628" s="147"/>
      <c r="T628" s="147"/>
      <c r="U628" s="147"/>
      <c r="V628" s="147"/>
      <c r="W628" s="147"/>
      <c r="X628" s="147"/>
      <c r="Y628" s="147"/>
      <c r="Z628" s="147"/>
    </row>
    <row r="629" ht="15.75" customHeight="1">
      <c r="A629" s="147"/>
      <c r="B629" s="147"/>
      <c r="C629" s="147"/>
      <c r="D629" s="147"/>
      <c r="E629" s="147"/>
      <c r="F629" s="147"/>
      <c r="G629" s="147"/>
      <c r="H629" s="147"/>
      <c r="I629" s="147"/>
      <c r="J629" s="147"/>
      <c r="K629" s="147"/>
      <c r="L629" s="147"/>
      <c r="M629" s="147"/>
      <c r="N629" s="147"/>
      <c r="O629" s="147"/>
      <c r="P629" s="147"/>
      <c r="Q629" s="147"/>
      <c r="R629" s="147"/>
      <c r="S629" s="147"/>
      <c r="T629" s="147"/>
      <c r="U629" s="147"/>
      <c r="V629" s="147"/>
      <c r="W629" s="147"/>
      <c r="X629" s="147"/>
      <c r="Y629" s="147"/>
      <c r="Z629" s="147"/>
    </row>
    <row r="630" ht="15.75" customHeight="1">
      <c r="A630" s="147"/>
      <c r="B630" s="147"/>
      <c r="C630" s="147"/>
      <c r="D630" s="147"/>
      <c r="E630" s="147"/>
      <c r="F630" s="147"/>
      <c r="G630" s="147"/>
      <c r="H630" s="147"/>
      <c r="I630" s="147"/>
      <c r="J630" s="147"/>
      <c r="K630" s="147"/>
      <c r="L630" s="147"/>
      <c r="M630" s="147"/>
      <c r="N630" s="147"/>
      <c r="O630" s="147"/>
      <c r="P630" s="147"/>
      <c r="Q630" s="147"/>
      <c r="R630" s="147"/>
      <c r="S630" s="147"/>
      <c r="T630" s="147"/>
      <c r="U630" s="147"/>
      <c r="V630" s="147"/>
      <c r="W630" s="147"/>
      <c r="X630" s="147"/>
      <c r="Y630" s="147"/>
      <c r="Z630" s="147"/>
    </row>
    <row r="631" ht="15.75" customHeight="1">
      <c r="A631" s="147"/>
      <c r="B631" s="147"/>
      <c r="C631" s="147"/>
      <c r="D631" s="147"/>
      <c r="E631" s="147"/>
      <c r="F631" s="147"/>
      <c r="G631" s="147"/>
      <c r="H631" s="147"/>
      <c r="I631" s="147"/>
      <c r="J631" s="147"/>
      <c r="K631" s="147"/>
      <c r="L631" s="147"/>
      <c r="M631" s="147"/>
      <c r="N631" s="147"/>
      <c r="O631" s="147"/>
      <c r="P631" s="147"/>
      <c r="Q631" s="147"/>
      <c r="R631" s="147"/>
      <c r="S631" s="147"/>
      <c r="T631" s="147"/>
      <c r="U631" s="147"/>
      <c r="V631" s="147"/>
      <c r="W631" s="147"/>
      <c r="X631" s="147"/>
      <c r="Y631" s="147"/>
      <c r="Z631" s="147"/>
    </row>
    <row r="632" ht="15.75" customHeight="1">
      <c r="A632" s="147"/>
      <c r="B632" s="147"/>
      <c r="C632" s="147"/>
      <c r="D632" s="147"/>
      <c r="E632" s="147"/>
      <c r="F632" s="147"/>
      <c r="G632" s="147"/>
      <c r="H632" s="147"/>
      <c r="I632" s="147"/>
      <c r="J632" s="147"/>
      <c r="K632" s="147"/>
      <c r="L632" s="147"/>
      <c r="M632" s="147"/>
      <c r="N632" s="147"/>
      <c r="O632" s="147"/>
      <c r="P632" s="147"/>
      <c r="Q632" s="147"/>
      <c r="R632" s="147"/>
      <c r="S632" s="147"/>
      <c r="T632" s="147"/>
      <c r="U632" s="147"/>
      <c r="V632" s="147"/>
      <c r="W632" s="147"/>
      <c r="X632" s="147"/>
      <c r="Y632" s="147"/>
      <c r="Z632" s="147"/>
    </row>
    <row r="633" ht="15.75" customHeight="1">
      <c r="A633" s="147"/>
      <c r="B633" s="147"/>
      <c r="C633" s="147"/>
      <c r="D633" s="147"/>
      <c r="E633" s="147"/>
      <c r="F633" s="147"/>
      <c r="G633" s="147"/>
      <c r="H633" s="147"/>
      <c r="I633" s="147"/>
      <c r="J633" s="147"/>
      <c r="K633" s="147"/>
      <c r="L633" s="147"/>
      <c r="M633" s="147"/>
      <c r="N633" s="147"/>
      <c r="O633" s="147"/>
      <c r="P633" s="147"/>
      <c r="Q633" s="147"/>
      <c r="R633" s="147"/>
      <c r="S633" s="147"/>
      <c r="T633" s="147"/>
      <c r="U633" s="147"/>
      <c r="V633" s="147"/>
      <c r="W633" s="147"/>
      <c r="X633" s="147"/>
      <c r="Y633" s="147"/>
      <c r="Z633" s="147"/>
    </row>
    <row r="634" ht="15.75" customHeight="1">
      <c r="A634" s="147"/>
      <c r="B634" s="147"/>
      <c r="C634" s="147"/>
      <c r="D634" s="147"/>
      <c r="E634" s="147"/>
      <c r="F634" s="147"/>
      <c r="G634" s="147"/>
      <c r="H634" s="147"/>
      <c r="I634" s="147"/>
      <c r="J634" s="147"/>
      <c r="K634" s="147"/>
      <c r="L634" s="147"/>
      <c r="M634" s="147"/>
      <c r="N634" s="147"/>
      <c r="O634" s="147"/>
      <c r="P634" s="147"/>
      <c r="Q634" s="147"/>
      <c r="R634" s="147"/>
      <c r="S634" s="147"/>
      <c r="T634" s="147"/>
      <c r="U634" s="147"/>
      <c r="V634" s="147"/>
      <c r="W634" s="147"/>
      <c r="X634" s="147"/>
      <c r="Y634" s="147"/>
      <c r="Z634" s="147"/>
    </row>
    <row r="635" ht="15.75" customHeight="1">
      <c r="A635" s="147"/>
      <c r="B635" s="147"/>
      <c r="C635" s="147"/>
      <c r="D635" s="147"/>
      <c r="E635" s="147"/>
      <c r="F635" s="147"/>
      <c r="G635" s="147"/>
      <c r="H635" s="147"/>
      <c r="I635" s="147"/>
      <c r="J635" s="147"/>
      <c r="K635" s="147"/>
      <c r="L635" s="147"/>
      <c r="M635" s="147"/>
      <c r="N635" s="147"/>
      <c r="O635" s="147"/>
      <c r="P635" s="147"/>
      <c r="Q635" s="147"/>
      <c r="R635" s="147"/>
      <c r="S635" s="147"/>
      <c r="T635" s="147"/>
      <c r="U635" s="147"/>
      <c r="V635" s="147"/>
      <c r="W635" s="147"/>
      <c r="X635" s="147"/>
      <c r="Y635" s="147"/>
      <c r="Z635" s="147"/>
    </row>
    <row r="636" ht="15.75" customHeight="1">
      <c r="A636" s="147"/>
      <c r="B636" s="147"/>
      <c r="C636" s="147"/>
      <c r="D636" s="147"/>
      <c r="E636" s="147"/>
      <c r="F636" s="147"/>
      <c r="G636" s="147"/>
      <c r="H636" s="147"/>
      <c r="I636" s="147"/>
      <c r="J636" s="147"/>
      <c r="K636" s="147"/>
      <c r="L636" s="147"/>
      <c r="M636" s="147"/>
      <c r="N636" s="147"/>
      <c r="O636" s="147"/>
      <c r="P636" s="147"/>
      <c r="Q636" s="147"/>
      <c r="R636" s="147"/>
      <c r="S636" s="147"/>
      <c r="T636" s="147"/>
      <c r="U636" s="147"/>
      <c r="V636" s="147"/>
      <c r="W636" s="147"/>
      <c r="X636" s="147"/>
      <c r="Y636" s="147"/>
      <c r="Z636" s="147"/>
    </row>
    <row r="637" ht="15.75" customHeight="1">
      <c r="A637" s="147"/>
      <c r="B637" s="147"/>
      <c r="C637" s="147"/>
      <c r="D637" s="147"/>
      <c r="E637" s="147"/>
      <c r="F637" s="147"/>
      <c r="G637" s="147"/>
      <c r="H637" s="147"/>
      <c r="I637" s="147"/>
      <c r="J637" s="147"/>
      <c r="K637" s="147"/>
      <c r="L637" s="147"/>
      <c r="M637" s="147"/>
      <c r="N637" s="147"/>
      <c r="O637" s="147"/>
      <c r="P637" s="147"/>
      <c r="Q637" s="147"/>
      <c r="R637" s="147"/>
      <c r="S637" s="147"/>
      <c r="T637" s="147"/>
      <c r="U637" s="147"/>
      <c r="V637" s="147"/>
      <c r="W637" s="147"/>
      <c r="X637" s="147"/>
      <c r="Y637" s="147"/>
      <c r="Z637" s="147"/>
    </row>
    <row r="638" ht="15.75" customHeight="1">
      <c r="A638" s="147"/>
      <c r="B638" s="147"/>
      <c r="C638" s="147"/>
      <c r="D638" s="147"/>
      <c r="E638" s="147"/>
      <c r="F638" s="147"/>
      <c r="G638" s="147"/>
      <c r="H638" s="147"/>
      <c r="I638" s="147"/>
      <c r="J638" s="147"/>
      <c r="K638" s="147"/>
      <c r="L638" s="147"/>
      <c r="M638" s="147"/>
      <c r="N638" s="147"/>
      <c r="O638" s="147"/>
      <c r="P638" s="147"/>
      <c r="Q638" s="147"/>
      <c r="R638" s="147"/>
      <c r="S638" s="147"/>
      <c r="T638" s="147"/>
      <c r="U638" s="147"/>
      <c r="V638" s="147"/>
      <c r="W638" s="147"/>
      <c r="X638" s="147"/>
      <c r="Y638" s="147"/>
      <c r="Z638" s="147"/>
    </row>
    <row r="639" ht="15.75" customHeight="1">
      <c r="A639" s="147"/>
      <c r="B639" s="147"/>
      <c r="C639" s="147"/>
      <c r="D639" s="147"/>
      <c r="E639" s="147"/>
      <c r="F639" s="147"/>
      <c r="G639" s="147"/>
      <c r="H639" s="147"/>
      <c r="I639" s="147"/>
      <c r="J639" s="147"/>
      <c r="K639" s="147"/>
      <c r="L639" s="147"/>
      <c r="M639" s="147"/>
      <c r="N639" s="147"/>
      <c r="O639" s="147"/>
      <c r="P639" s="147"/>
      <c r="Q639" s="147"/>
      <c r="R639" s="147"/>
      <c r="S639" s="147"/>
      <c r="T639" s="147"/>
      <c r="U639" s="147"/>
      <c r="V639" s="147"/>
      <c r="W639" s="147"/>
      <c r="X639" s="147"/>
      <c r="Y639" s="147"/>
      <c r="Z639" s="147"/>
    </row>
    <row r="640" ht="15.75" customHeight="1">
      <c r="A640" s="147"/>
      <c r="B640" s="147"/>
      <c r="C640" s="147"/>
      <c r="D640" s="147"/>
      <c r="E640" s="147"/>
      <c r="F640" s="147"/>
      <c r="G640" s="147"/>
      <c r="H640" s="147"/>
      <c r="I640" s="147"/>
      <c r="J640" s="147"/>
      <c r="K640" s="147"/>
      <c r="L640" s="147"/>
      <c r="M640" s="147"/>
      <c r="N640" s="147"/>
      <c r="O640" s="147"/>
      <c r="P640" s="147"/>
      <c r="Q640" s="147"/>
      <c r="R640" s="147"/>
      <c r="S640" s="147"/>
      <c r="T640" s="147"/>
      <c r="U640" s="147"/>
      <c r="V640" s="147"/>
      <c r="W640" s="147"/>
      <c r="X640" s="147"/>
      <c r="Y640" s="147"/>
      <c r="Z640" s="147"/>
    </row>
    <row r="641" ht="15.75" customHeight="1">
      <c r="A641" s="147"/>
      <c r="B641" s="147"/>
      <c r="C641" s="147"/>
      <c r="D641" s="147"/>
      <c r="E641" s="147"/>
      <c r="F641" s="147"/>
      <c r="G641" s="147"/>
      <c r="H641" s="147"/>
      <c r="I641" s="147"/>
      <c r="J641" s="147"/>
      <c r="K641" s="147"/>
      <c r="L641" s="147"/>
      <c r="M641" s="147"/>
      <c r="N641" s="147"/>
      <c r="O641" s="147"/>
      <c r="P641" s="147"/>
      <c r="Q641" s="147"/>
      <c r="R641" s="147"/>
      <c r="S641" s="147"/>
      <c r="T641" s="147"/>
      <c r="U641" s="147"/>
      <c r="V641" s="147"/>
      <c r="W641" s="147"/>
      <c r="X641" s="147"/>
      <c r="Y641" s="147"/>
      <c r="Z641" s="147"/>
    </row>
    <row r="642" ht="15.75" customHeight="1">
      <c r="A642" s="147"/>
      <c r="B642" s="147"/>
      <c r="C642" s="147"/>
      <c r="D642" s="147"/>
      <c r="E642" s="147"/>
      <c r="F642" s="147"/>
      <c r="G642" s="147"/>
      <c r="H642" s="147"/>
      <c r="I642" s="147"/>
      <c r="J642" s="147"/>
      <c r="K642" s="147"/>
      <c r="L642" s="147"/>
      <c r="M642" s="147"/>
      <c r="N642" s="147"/>
      <c r="O642" s="147"/>
      <c r="P642" s="147"/>
      <c r="Q642" s="147"/>
      <c r="R642" s="147"/>
      <c r="S642" s="147"/>
      <c r="T642" s="147"/>
      <c r="U642" s="147"/>
      <c r="V642" s="147"/>
      <c r="W642" s="147"/>
      <c r="X642" s="147"/>
      <c r="Y642" s="147"/>
      <c r="Z642" s="147"/>
    </row>
    <row r="643" ht="15.75" customHeight="1">
      <c r="A643" s="147"/>
      <c r="B643" s="147"/>
      <c r="C643" s="147"/>
      <c r="D643" s="147"/>
      <c r="E643" s="147"/>
      <c r="F643" s="147"/>
      <c r="G643" s="147"/>
      <c r="H643" s="147"/>
      <c r="I643" s="147"/>
      <c r="J643" s="147"/>
      <c r="K643" s="147"/>
      <c r="L643" s="147"/>
      <c r="M643" s="147"/>
      <c r="N643" s="147"/>
      <c r="O643" s="147"/>
      <c r="P643" s="147"/>
      <c r="Q643" s="147"/>
      <c r="R643" s="147"/>
      <c r="S643" s="147"/>
      <c r="T643" s="147"/>
      <c r="U643" s="147"/>
      <c r="V643" s="147"/>
      <c r="W643" s="147"/>
      <c r="X643" s="147"/>
      <c r="Y643" s="147"/>
      <c r="Z643" s="147"/>
    </row>
    <row r="644" ht="15.75" customHeight="1">
      <c r="A644" s="147"/>
      <c r="B644" s="147"/>
      <c r="C644" s="147"/>
      <c r="D644" s="147"/>
      <c r="E644" s="147"/>
      <c r="F644" s="147"/>
      <c r="G644" s="147"/>
      <c r="H644" s="147"/>
      <c r="I644" s="147"/>
      <c r="J644" s="147"/>
      <c r="K644" s="147"/>
      <c r="L644" s="147"/>
      <c r="M644" s="147"/>
      <c r="N644" s="147"/>
      <c r="O644" s="147"/>
      <c r="P644" s="147"/>
      <c r="Q644" s="147"/>
      <c r="R644" s="147"/>
      <c r="S644" s="147"/>
      <c r="T644" s="147"/>
      <c r="U644" s="147"/>
      <c r="V644" s="147"/>
      <c r="W644" s="147"/>
      <c r="X644" s="147"/>
      <c r="Y644" s="147"/>
      <c r="Z644" s="147"/>
    </row>
    <row r="645" ht="15.75" customHeight="1">
      <c r="A645" s="147"/>
      <c r="B645" s="147"/>
      <c r="C645" s="147"/>
      <c r="D645" s="147"/>
      <c r="E645" s="147"/>
      <c r="F645" s="147"/>
      <c r="G645" s="147"/>
      <c r="H645" s="147"/>
      <c r="I645" s="147"/>
      <c r="J645" s="147"/>
      <c r="K645" s="147"/>
      <c r="L645" s="147"/>
      <c r="M645" s="147"/>
      <c r="N645" s="147"/>
      <c r="O645" s="147"/>
      <c r="P645" s="147"/>
      <c r="Q645" s="147"/>
      <c r="R645" s="147"/>
      <c r="S645" s="147"/>
      <c r="T645" s="147"/>
      <c r="U645" s="147"/>
      <c r="V645" s="147"/>
      <c r="W645" s="147"/>
      <c r="X645" s="147"/>
      <c r="Y645" s="147"/>
      <c r="Z645" s="147"/>
    </row>
    <row r="646" ht="15.75" customHeight="1">
      <c r="A646" s="147"/>
      <c r="B646" s="147"/>
      <c r="C646" s="147"/>
      <c r="D646" s="147"/>
      <c r="E646" s="147"/>
      <c r="F646" s="147"/>
      <c r="G646" s="147"/>
      <c r="H646" s="147"/>
      <c r="I646" s="147"/>
      <c r="J646" s="147"/>
      <c r="K646" s="147"/>
      <c r="L646" s="147"/>
      <c r="M646" s="147"/>
      <c r="N646" s="147"/>
      <c r="O646" s="147"/>
      <c r="P646" s="147"/>
      <c r="Q646" s="147"/>
      <c r="R646" s="147"/>
      <c r="S646" s="147"/>
      <c r="T646" s="147"/>
      <c r="U646" s="147"/>
      <c r="V646" s="147"/>
      <c r="W646" s="147"/>
      <c r="X646" s="147"/>
      <c r="Y646" s="147"/>
      <c r="Z646" s="147"/>
    </row>
    <row r="647" ht="15.75" customHeight="1">
      <c r="A647" s="147"/>
      <c r="B647" s="147"/>
      <c r="C647" s="147"/>
      <c r="D647" s="147"/>
      <c r="E647" s="147"/>
      <c r="F647" s="147"/>
      <c r="G647" s="147"/>
      <c r="H647" s="147"/>
      <c r="I647" s="147"/>
      <c r="J647" s="147"/>
      <c r="K647" s="147"/>
      <c r="L647" s="147"/>
      <c r="M647" s="147"/>
      <c r="N647" s="147"/>
      <c r="O647" s="147"/>
      <c r="P647" s="147"/>
      <c r="Q647" s="147"/>
      <c r="R647" s="147"/>
      <c r="S647" s="147"/>
      <c r="T647" s="147"/>
      <c r="U647" s="147"/>
      <c r="V647" s="147"/>
      <c r="W647" s="147"/>
      <c r="X647" s="147"/>
      <c r="Y647" s="147"/>
      <c r="Z647" s="147"/>
    </row>
    <row r="648" ht="15.75" customHeight="1">
      <c r="A648" s="147"/>
      <c r="B648" s="147"/>
      <c r="C648" s="147"/>
      <c r="D648" s="147"/>
      <c r="E648" s="147"/>
      <c r="F648" s="147"/>
      <c r="G648" s="147"/>
      <c r="H648" s="147"/>
      <c r="I648" s="147"/>
      <c r="J648" s="147"/>
      <c r="K648" s="147"/>
      <c r="L648" s="147"/>
      <c r="M648" s="147"/>
      <c r="N648" s="147"/>
      <c r="O648" s="147"/>
      <c r="P648" s="147"/>
      <c r="Q648" s="147"/>
      <c r="R648" s="147"/>
      <c r="S648" s="147"/>
      <c r="T648" s="147"/>
      <c r="U648" s="147"/>
      <c r="V648" s="147"/>
      <c r="W648" s="147"/>
      <c r="X648" s="147"/>
      <c r="Y648" s="147"/>
      <c r="Z648" s="147"/>
    </row>
    <row r="649" ht="15.75" customHeight="1">
      <c r="A649" s="147"/>
      <c r="B649" s="147"/>
      <c r="C649" s="147"/>
      <c r="D649" s="147"/>
      <c r="E649" s="147"/>
      <c r="F649" s="147"/>
      <c r="G649" s="147"/>
      <c r="H649" s="147"/>
      <c r="I649" s="147"/>
      <c r="J649" s="147"/>
      <c r="K649" s="147"/>
      <c r="L649" s="147"/>
      <c r="M649" s="147"/>
      <c r="N649" s="147"/>
      <c r="O649" s="147"/>
      <c r="P649" s="147"/>
      <c r="Q649" s="147"/>
      <c r="R649" s="147"/>
      <c r="S649" s="147"/>
      <c r="T649" s="147"/>
      <c r="U649" s="147"/>
      <c r="V649" s="147"/>
      <c r="W649" s="147"/>
      <c r="X649" s="147"/>
      <c r="Y649" s="147"/>
      <c r="Z649" s="147"/>
    </row>
    <row r="650" ht="15.75" customHeight="1">
      <c r="A650" s="147"/>
      <c r="B650" s="147"/>
      <c r="C650" s="147"/>
      <c r="D650" s="147"/>
      <c r="E650" s="147"/>
      <c r="F650" s="147"/>
      <c r="G650" s="147"/>
      <c r="H650" s="147"/>
      <c r="I650" s="147"/>
      <c r="J650" s="147"/>
      <c r="K650" s="147"/>
      <c r="L650" s="147"/>
      <c r="M650" s="147"/>
      <c r="N650" s="147"/>
      <c r="O650" s="147"/>
      <c r="P650" s="147"/>
      <c r="Q650" s="147"/>
      <c r="R650" s="147"/>
      <c r="S650" s="147"/>
      <c r="T650" s="147"/>
      <c r="U650" s="147"/>
      <c r="V650" s="147"/>
      <c r="W650" s="147"/>
      <c r="X650" s="147"/>
      <c r="Y650" s="147"/>
      <c r="Z650" s="147"/>
    </row>
    <row r="651" ht="15.75" customHeight="1">
      <c r="A651" s="147"/>
      <c r="B651" s="147"/>
      <c r="C651" s="147"/>
      <c r="D651" s="147"/>
      <c r="E651" s="147"/>
      <c r="F651" s="147"/>
      <c r="G651" s="147"/>
      <c r="H651" s="147"/>
      <c r="I651" s="147"/>
      <c r="J651" s="147"/>
      <c r="K651" s="147"/>
      <c r="L651" s="147"/>
      <c r="M651" s="147"/>
      <c r="N651" s="147"/>
      <c r="O651" s="147"/>
      <c r="P651" s="147"/>
      <c r="Q651" s="147"/>
      <c r="R651" s="147"/>
      <c r="S651" s="147"/>
      <c r="T651" s="147"/>
      <c r="U651" s="147"/>
      <c r="V651" s="147"/>
      <c r="W651" s="147"/>
      <c r="X651" s="147"/>
      <c r="Y651" s="147"/>
      <c r="Z651" s="147"/>
    </row>
    <row r="652" ht="15.75" customHeight="1">
      <c r="A652" s="147"/>
      <c r="B652" s="147"/>
      <c r="C652" s="147"/>
      <c r="D652" s="147"/>
      <c r="E652" s="147"/>
      <c r="F652" s="147"/>
      <c r="G652" s="147"/>
      <c r="H652" s="147"/>
      <c r="I652" s="147"/>
      <c r="J652" s="147"/>
      <c r="K652" s="147"/>
      <c r="L652" s="147"/>
      <c r="M652" s="147"/>
      <c r="N652" s="147"/>
      <c r="O652" s="147"/>
      <c r="P652" s="147"/>
      <c r="Q652" s="147"/>
      <c r="R652" s="147"/>
      <c r="S652" s="147"/>
      <c r="T652" s="147"/>
      <c r="U652" s="147"/>
      <c r="V652" s="147"/>
      <c r="W652" s="147"/>
      <c r="X652" s="147"/>
      <c r="Y652" s="147"/>
      <c r="Z652" s="147"/>
    </row>
    <row r="653" ht="15.75" customHeight="1">
      <c r="A653" s="147"/>
      <c r="B653" s="147"/>
      <c r="C653" s="147"/>
      <c r="D653" s="147"/>
      <c r="E653" s="147"/>
      <c r="F653" s="147"/>
      <c r="G653" s="147"/>
      <c r="H653" s="147"/>
      <c r="I653" s="147"/>
      <c r="J653" s="147"/>
      <c r="K653" s="147"/>
      <c r="L653" s="147"/>
      <c r="M653" s="147"/>
      <c r="N653" s="147"/>
      <c r="O653" s="147"/>
      <c r="P653" s="147"/>
      <c r="Q653" s="147"/>
      <c r="R653" s="147"/>
      <c r="S653" s="147"/>
      <c r="T653" s="147"/>
      <c r="U653" s="147"/>
      <c r="V653" s="147"/>
      <c r="W653" s="147"/>
      <c r="X653" s="147"/>
      <c r="Y653" s="147"/>
      <c r="Z653" s="147"/>
    </row>
    <row r="654" ht="15.75" customHeight="1">
      <c r="A654" s="147"/>
      <c r="B654" s="147"/>
      <c r="C654" s="147"/>
      <c r="D654" s="147"/>
      <c r="E654" s="147"/>
      <c r="F654" s="147"/>
      <c r="G654" s="147"/>
      <c r="H654" s="147"/>
      <c r="I654" s="147"/>
      <c r="J654" s="147"/>
      <c r="K654" s="147"/>
      <c r="L654" s="147"/>
      <c r="M654" s="147"/>
      <c r="N654" s="147"/>
      <c r="O654" s="147"/>
      <c r="P654" s="147"/>
      <c r="Q654" s="147"/>
      <c r="R654" s="147"/>
      <c r="S654" s="147"/>
      <c r="T654" s="147"/>
      <c r="U654" s="147"/>
      <c r="V654" s="147"/>
      <c r="W654" s="147"/>
      <c r="X654" s="147"/>
      <c r="Y654" s="147"/>
      <c r="Z654" s="147"/>
    </row>
    <row r="655" ht="15.75" customHeight="1">
      <c r="A655" s="147"/>
      <c r="B655" s="147"/>
      <c r="C655" s="147"/>
      <c r="D655" s="147"/>
      <c r="E655" s="147"/>
      <c r="F655" s="147"/>
      <c r="G655" s="147"/>
      <c r="H655" s="147"/>
      <c r="I655" s="147"/>
      <c r="J655" s="147"/>
      <c r="K655" s="147"/>
      <c r="L655" s="147"/>
      <c r="M655" s="147"/>
      <c r="N655" s="147"/>
      <c r="O655" s="147"/>
      <c r="P655" s="147"/>
      <c r="Q655" s="147"/>
      <c r="R655" s="147"/>
      <c r="S655" s="147"/>
      <c r="T655" s="147"/>
      <c r="U655" s="147"/>
      <c r="V655" s="147"/>
      <c r="W655" s="147"/>
      <c r="X655" s="147"/>
      <c r="Y655" s="147"/>
      <c r="Z655" s="147"/>
    </row>
    <row r="656" ht="15.75" customHeight="1">
      <c r="A656" s="147"/>
      <c r="B656" s="147"/>
      <c r="C656" s="147"/>
      <c r="D656" s="147"/>
      <c r="E656" s="147"/>
      <c r="F656" s="147"/>
      <c r="G656" s="147"/>
      <c r="H656" s="147"/>
      <c r="I656" s="147"/>
      <c r="J656" s="147"/>
      <c r="K656" s="147"/>
      <c r="L656" s="147"/>
      <c r="M656" s="147"/>
      <c r="N656" s="147"/>
      <c r="O656" s="147"/>
      <c r="P656" s="147"/>
      <c r="Q656" s="147"/>
      <c r="R656" s="147"/>
      <c r="S656" s="147"/>
      <c r="T656" s="147"/>
      <c r="U656" s="147"/>
      <c r="V656" s="147"/>
      <c r="W656" s="147"/>
      <c r="X656" s="147"/>
      <c r="Y656" s="147"/>
      <c r="Z656" s="147"/>
    </row>
    <row r="657" ht="15.75" customHeight="1">
      <c r="A657" s="147"/>
      <c r="B657" s="147"/>
      <c r="C657" s="147"/>
      <c r="D657" s="147"/>
      <c r="E657" s="147"/>
      <c r="F657" s="147"/>
      <c r="G657" s="147"/>
      <c r="H657" s="147"/>
      <c r="I657" s="147"/>
      <c r="J657" s="147"/>
      <c r="K657" s="147"/>
      <c r="L657" s="147"/>
      <c r="M657" s="147"/>
      <c r="N657" s="147"/>
      <c r="O657" s="147"/>
      <c r="P657" s="147"/>
      <c r="Q657" s="147"/>
      <c r="R657" s="147"/>
      <c r="S657" s="147"/>
      <c r="T657" s="147"/>
      <c r="U657" s="147"/>
      <c r="V657" s="147"/>
      <c r="W657" s="147"/>
      <c r="X657" s="147"/>
      <c r="Y657" s="147"/>
      <c r="Z657" s="147"/>
    </row>
    <row r="658" ht="15.75" customHeight="1">
      <c r="A658" s="147"/>
      <c r="B658" s="147"/>
      <c r="C658" s="147"/>
      <c r="D658" s="147"/>
      <c r="E658" s="147"/>
      <c r="F658" s="147"/>
      <c r="G658" s="147"/>
      <c r="H658" s="147"/>
      <c r="I658" s="147"/>
      <c r="J658" s="147"/>
      <c r="K658" s="147"/>
      <c r="L658" s="147"/>
      <c r="M658" s="147"/>
      <c r="N658" s="147"/>
      <c r="O658" s="147"/>
      <c r="P658" s="147"/>
      <c r="Q658" s="147"/>
      <c r="R658" s="147"/>
      <c r="S658" s="147"/>
      <c r="T658" s="147"/>
      <c r="U658" s="147"/>
      <c r="V658" s="147"/>
      <c r="W658" s="147"/>
      <c r="X658" s="147"/>
      <c r="Y658" s="147"/>
      <c r="Z658" s="147"/>
    </row>
    <row r="659" ht="15.75" customHeight="1">
      <c r="A659" s="147"/>
      <c r="B659" s="147"/>
      <c r="C659" s="147"/>
      <c r="D659" s="147"/>
      <c r="E659" s="147"/>
      <c r="F659" s="147"/>
      <c r="G659" s="147"/>
      <c r="H659" s="147"/>
      <c r="I659" s="147"/>
      <c r="J659" s="147"/>
      <c r="K659" s="147"/>
      <c r="L659" s="147"/>
      <c r="M659" s="147"/>
      <c r="N659" s="147"/>
      <c r="O659" s="147"/>
      <c r="P659" s="147"/>
      <c r="Q659" s="147"/>
      <c r="R659" s="147"/>
      <c r="S659" s="147"/>
      <c r="T659" s="147"/>
      <c r="U659" s="147"/>
      <c r="V659" s="147"/>
      <c r="W659" s="147"/>
      <c r="X659" s="147"/>
      <c r="Y659" s="147"/>
      <c r="Z659" s="147"/>
    </row>
    <row r="660" ht="15.75" customHeight="1">
      <c r="A660" s="147"/>
      <c r="B660" s="147"/>
      <c r="C660" s="147"/>
      <c r="D660" s="147"/>
      <c r="E660" s="147"/>
      <c r="F660" s="147"/>
      <c r="G660" s="147"/>
      <c r="H660" s="147"/>
      <c r="I660" s="147"/>
      <c r="J660" s="147"/>
      <c r="K660" s="147"/>
      <c r="L660" s="147"/>
      <c r="M660" s="147"/>
      <c r="N660" s="147"/>
      <c r="O660" s="147"/>
      <c r="P660" s="147"/>
      <c r="Q660" s="147"/>
      <c r="R660" s="147"/>
      <c r="S660" s="147"/>
      <c r="T660" s="147"/>
      <c r="U660" s="147"/>
      <c r="V660" s="147"/>
      <c r="W660" s="147"/>
      <c r="X660" s="147"/>
      <c r="Y660" s="147"/>
      <c r="Z660" s="147"/>
    </row>
    <row r="661" ht="15.75" customHeight="1">
      <c r="A661" s="147"/>
      <c r="B661" s="147"/>
      <c r="C661" s="147"/>
      <c r="D661" s="147"/>
      <c r="E661" s="147"/>
      <c r="F661" s="147"/>
      <c r="G661" s="147"/>
      <c r="H661" s="147"/>
      <c r="I661" s="147"/>
      <c r="J661" s="147"/>
      <c r="K661" s="147"/>
      <c r="L661" s="147"/>
      <c r="M661" s="147"/>
      <c r="N661" s="147"/>
      <c r="O661" s="147"/>
      <c r="P661" s="147"/>
      <c r="Q661" s="147"/>
      <c r="R661" s="147"/>
      <c r="S661" s="147"/>
      <c r="T661" s="147"/>
      <c r="U661" s="147"/>
      <c r="V661" s="147"/>
      <c r="W661" s="147"/>
      <c r="X661" s="147"/>
      <c r="Y661" s="147"/>
      <c r="Z661" s="147"/>
    </row>
    <row r="662" ht="15.75" customHeight="1">
      <c r="A662" s="147"/>
      <c r="B662" s="147"/>
      <c r="C662" s="147"/>
      <c r="D662" s="147"/>
      <c r="E662" s="147"/>
      <c r="F662" s="147"/>
      <c r="G662" s="147"/>
      <c r="H662" s="147"/>
      <c r="I662" s="147"/>
      <c r="J662" s="147"/>
      <c r="K662" s="147"/>
      <c r="L662" s="147"/>
      <c r="M662" s="147"/>
      <c r="N662" s="147"/>
      <c r="O662" s="147"/>
      <c r="P662" s="147"/>
      <c r="Q662" s="147"/>
      <c r="R662" s="147"/>
      <c r="S662" s="147"/>
      <c r="T662" s="147"/>
      <c r="U662" s="147"/>
      <c r="V662" s="147"/>
      <c r="W662" s="147"/>
      <c r="X662" s="147"/>
      <c r="Y662" s="147"/>
      <c r="Z662" s="147"/>
    </row>
    <row r="663" ht="15.75" customHeight="1">
      <c r="A663" s="147"/>
      <c r="B663" s="147"/>
      <c r="C663" s="147"/>
      <c r="D663" s="147"/>
      <c r="E663" s="147"/>
      <c r="F663" s="147"/>
      <c r="G663" s="147"/>
      <c r="H663" s="147"/>
      <c r="I663" s="147"/>
      <c r="J663" s="147"/>
      <c r="K663" s="147"/>
      <c r="L663" s="147"/>
      <c r="M663" s="147"/>
      <c r="N663" s="147"/>
      <c r="O663" s="147"/>
      <c r="P663" s="147"/>
      <c r="Q663" s="147"/>
      <c r="R663" s="147"/>
      <c r="S663" s="147"/>
      <c r="T663" s="147"/>
      <c r="U663" s="147"/>
      <c r="V663" s="147"/>
      <c r="W663" s="147"/>
      <c r="X663" s="147"/>
      <c r="Y663" s="147"/>
      <c r="Z663" s="147"/>
    </row>
    <row r="664" ht="15.75" customHeight="1">
      <c r="A664" s="147"/>
      <c r="B664" s="147"/>
      <c r="C664" s="147"/>
      <c r="D664" s="147"/>
      <c r="E664" s="147"/>
      <c r="F664" s="147"/>
      <c r="G664" s="147"/>
      <c r="H664" s="147"/>
      <c r="I664" s="147"/>
      <c r="J664" s="147"/>
      <c r="K664" s="147"/>
      <c r="L664" s="147"/>
      <c r="M664" s="147"/>
      <c r="N664" s="147"/>
      <c r="O664" s="147"/>
      <c r="P664" s="147"/>
      <c r="Q664" s="147"/>
      <c r="R664" s="147"/>
      <c r="S664" s="147"/>
      <c r="T664" s="147"/>
      <c r="U664" s="147"/>
      <c r="V664" s="147"/>
      <c r="W664" s="147"/>
      <c r="X664" s="147"/>
      <c r="Y664" s="147"/>
      <c r="Z664" s="147"/>
    </row>
    <row r="665" ht="15.75" customHeight="1">
      <c r="A665" s="147"/>
      <c r="B665" s="147"/>
      <c r="C665" s="147"/>
      <c r="D665" s="147"/>
      <c r="E665" s="147"/>
      <c r="F665" s="147"/>
      <c r="G665" s="147"/>
      <c r="H665" s="147"/>
      <c r="I665" s="147"/>
      <c r="J665" s="147"/>
      <c r="K665" s="147"/>
      <c r="L665" s="147"/>
      <c r="M665" s="147"/>
      <c r="N665" s="147"/>
      <c r="O665" s="147"/>
      <c r="P665" s="147"/>
      <c r="Q665" s="147"/>
      <c r="R665" s="147"/>
      <c r="S665" s="147"/>
      <c r="T665" s="147"/>
      <c r="U665" s="147"/>
      <c r="V665" s="147"/>
      <c r="W665" s="147"/>
      <c r="X665" s="147"/>
      <c r="Y665" s="147"/>
      <c r="Z665" s="147"/>
    </row>
    <row r="666" ht="15.75" customHeight="1">
      <c r="A666" s="147"/>
      <c r="B666" s="147"/>
      <c r="C666" s="147"/>
      <c r="D666" s="147"/>
      <c r="E666" s="147"/>
      <c r="F666" s="147"/>
      <c r="G666" s="147"/>
      <c r="H666" s="147"/>
      <c r="I666" s="147"/>
      <c r="J666" s="147"/>
      <c r="K666" s="147"/>
      <c r="L666" s="147"/>
      <c r="M666" s="147"/>
      <c r="N666" s="147"/>
      <c r="O666" s="147"/>
      <c r="P666" s="147"/>
      <c r="Q666" s="147"/>
      <c r="R666" s="147"/>
      <c r="S666" s="147"/>
      <c r="T666" s="147"/>
      <c r="U666" s="147"/>
      <c r="V666" s="147"/>
      <c r="W666" s="147"/>
      <c r="X666" s="147"/>
      <c r="Y666" s="147"/>
      <c r="Z666" s="147"/>
    </row>
    <row r="667" ht="15.75" customHeight="1">
      <c r="A667" s="147"/>
      <c r="B667" s="147"/>
      <c r="C667" s="147"/>
      <c r="D667" s="147"/>
      <c r="E667" s="147"/>
      <c r="F667" s="147"/>
      <c r="G667" s="147"/>
      <c r="H667" s="147"/>
      <c r="I667" s="147"/>
      <c r="J667" s="147"/>
      <c r="K667" s="147"/>
      <c r="L667" s="147"/>
      <c r="M667" s="147"/>
      <c r="N667" s="147"/>
      <c r="O667" s="147"/>
      <c r="P667" s="147"/>
      <c r="Q667" s="147"/>
      <c r="R667" s="147"/>
      <c r="S667" s="147"/>
      <c r="T667" s="147"/>
      <c r="U667" s="147"/>
      <c r="V667" s="147"/>
      <c r="W667" s="147"/>
      <c r="X667" s="147"/>
      <c r="Y667" s="147"/>
      <c r="Z667" s="147"/>
    </row>
    <row r="668" ht="15.75" customHeight="1">
      <c r="A668" s="147"/>
      <c r="B668" s="147"/>
      <c r="C668" s="147"/>
      <c r="D668" s="147"/>
      <c r="E668" s="147"/>
      <c r="F668" s="147"/>
      <c r="G668" s="147"/>
      <c r="H668" s="147"/>
      <c r="I668" s="147"/>
      <c r="J668" s="147"/>
      <c r="K668" s="147"/>
      <c r="L668" s="147"/>
      <c r="M668" s="147"/>
      <c r="N668" s="147"/>
      <c r="O668" s="147"/>
      <c r="P668" s="147"/>
      <c r="Q668" s="147"/>
      <c r="R668" s="147"/>
      <c r="S668" s="147"/>
      <c r="T668" s="147"/>
      <c r="U668" s="147"/>
      <c r="V668" s="147"/>
      <c r="W668" s="147"/>
      <c r="X668" s="147"/>
      <c r="Y668" s="147"/>
      <c r="Z668" s="147"/>
    </row>
    <row r="669" ht="15.75" customHeight="1">
      <c r="A669" s="147"/>
      <c r="B669" s="147"/>
      <c r="C669" s="147"/>
      <c r="D669" s="147"/>
      <c r="E669" s="147"/>
      <c r="F669" s="147"/>
      <c r="G669" s="147"/>
      <c r="H669" s="147"/>
      <c r="I669" s="147"/>
      <c r="J669" s="147"/>
      <c r="K669" s="147"/>
      <c r="L669" s="147"/>
      <c r="M669" s="147"/>
      <c r="N669" s="147"/>
      <c r="O669" s="147"/>
      <c r="P669" s="147"/>
      <c r="Q669" s="147"/>
      <c r="R669" s="147"/>
      <c r="S669" s="147"/>
      <c r="T669" s="147"/>
      <c r="U669" s="147"/>
      <c r="V669" s="147"/>
      <c r="W669" s="147"/>
      <c r="X669" s="147"/>
      <c r="Y669" s="147"/>
      <c r="Z669" s="147"/>
    </row>
    <row r="670" ht="15.75" customHeight="1">
      <c r="A670" s="147"/>
      <c r="B670" s="147"/>
      <c r="C670" s="147"/>
      <c r="D670" s="147"/>
      <c r="E670" s="147"/>
      <c r="F670" s="147"/>
      <c r="G670" s="147"/>
      <c r="H670" s="147"/>
      <c r="I670" s="147"/>
      <c r="J670" s="147"/>
      <c r="K670" s="147"/>
      <c r="L670" s="147"/>
      <c r="M670" s="147"/>
      <c r="N670" s="147"/>
      <c r="O670" s="147"/>
      <c r="P670" s="147"/>
      <c r="Q670" s="147"/>
      <c r="R670" s="147"/>
      <c r="S670" s="147"/>
      <c r="T670" s="147"/>
      <c r="U670" s="147"/>
      <c r="V670" s="147"/>
      <c r="W670" s="147"/>
      <c r="X670" s="147"/>
      <c r="Y670" s="147"/>
      <c r="Z670" s="147"/>
    </row>
    <row r="671" ht="15.75" customHeight="1">
      <c r="A671" s="147"/>
      <c r="B671" s="147"/>
      <c r="C671" s="147"/>
      <c r="D671" s="147"/>
      <c r="E671" s="147"/>
      <c r="F671" s="147"/>
      <c r="G671" s="147"/>
      <c r="H671" s="147"/>
      <c r="I671" s="147"/>
      <c r="J671" s="147"/>
      <c r="K671" s="147"/>
      <c r="L671" s="147"/>
      <c r="M671" s="147"/>
      <c r="N671" s="147"/>
      <c r="O671" s="147"/>
      <c r="P671" s="147"/>
      <c r="Q671" s="147"/>
      <c r="R671" s="147"/>
      <c r="S671" s="147"/>
      <c r="T671" s="147"/>
      <c r="U671" s="147"/>
      <c r="V671" s="147"/>
      <c r="W671" s="147"/>
      <c r="X671" s="147"/>
      <c r="Y671" s="147"/>
      <c r="Z671" s="147"/>
    </row>
    <row r="672" ht="15.75" customHeight="1">
      <c r="A672" s="147"/>
      <c r="B672" s="147"/>
      <c r="C672" s="147"/>
      <c r="D672" s="147"/>
      <c r="E672" s="147"/>
      <c r="F672" s="147"/>
      <c r="G672" s="147"/>
      <c r="H672" s="147"/>
      <c r="I672" s="147"/>
      <c r="J672" s="147"/>
      <c r="K672" s="147"/>
      <c r="L672" s="147"/>
      <c r="M672" s="147"/>
      <c r="N672" s="147"/>
      <c r="O672" s="147"/>
      <c r="P672" s="147"/>
      <c r="Q672" s="147"/>
      <c r="R672" s="147"/>
      <c r="S672" s="147"/>
      <c r="T672" s="147"/>
      <c r="U672" s="147"/>
      <c r="V672" s="147"/>
      <c r="W672" s="147"/>
      <c r="X672" s="147"/>
      <c r="Y672" s="147"/>
      <c r="Z672" s="147"/>
    </row>
    <row r="673" ht="15.75" customHeight="1">
      <c r="A673" s="147"/>
      <c r="B673" s="147"/>
      <c r="C673" s="147"/>
      <c r="D673" s="147"/>
      <c r="E673" s="147"/>
      <c r="F673" s="147"/>
      <c r="G673" s="147"/>
      <c r="H673" s="147"/>
      <c r="I673" s="147"/>
      <c r="J673" s="147"/>
      <c r="K673" s="147"/>
      <c r="L673" s="147"/>
      <c r="M673" s="147"/>
      <c r="N673" s="147"/>
      <c r="O673" s="147"/>
      <c r="P673" s="147"/>
      <c r="Q673" s="147"/>
      <c r="R673" s="147"/>
      <c r="S673" s="147"/>
      <c r="T673" s="147"/>
      <c r="U673" s="147"/>
      <c r="V673" s="147"/>
      <c r="W673" s="147"/>
      <c r="X673" s="147"/>
      <c r="Y673" s="147"/>
      <c r="Z673" s="147"/>
    </row>
    <row r="674" ht="15.75" customHeight="1">
      <c r="A674" s="147"/>
      <c r="B674" s="147"/>
      <c r="C674" s="147"/>
      <c r="D674" s="147"/>
      <c r="E674" s="147"/>
      <c r="F674" s="147"/>
      <c r="G674" s="147"/>
      <c r="H674" s="147"/>
      <c r="I674" s="147"/>
      <c r="J674" s="147"/>
      <c r="K674" s="147"/>
      <c r="L674" s="147"/>
      <c r="M674" s="147"/>
      <c r="N674" s="147"/>
      <c r="O674" s="147"/>
      <c r="P674" s="147"/>
      <c r="Q674" s="147"/>
      <c r="R674" s="147"/>
      <c r="S674" s="147"/>
      <c r="T674" s="147"/>
      <c r="U674" s="147"/>
      <c r="V674" s="147"/>
      <c r="W674" s="147"/>
      <c r="X674" s="147"/>
      <c r="Y674" s="147"/>
      <c r="Z674" s="147"/>
    </row>
    <row r="675" ht="15.75" customHeight="1">
      <c r="A675" s="147"/>
      <c r="B675" s="147"/>
      <c r="C675" s="147"/>
      <c r="D675" s="147"/>
      <c r="E675" s="147"/>
      <c r="F675" s="147"/>
      <c r="G675" s="147"/>
      <c r="H675" s="147"/>
      <c r="I675" s="147"/>
      <c r="J675" s="147"/>
      <c r="K675" s="147"/>
      <c r="L675" s="147"/>
      <c r="M675" s="147"/>
      <c r="N675" s="147"/>
      <c r="O675" s="147"/>
      <c r="P675" s="147"/>
      <c r="Q675" s="147"/>
      <c r="R675" s="147"/>
      <c r="S675" s="147"/>
      <c r="T675" s="147"/>
      <c r="U675" s="147"/>
      <c r="V675" s="147"/>
      <c r="W675" s="147"/>
      <c r="X675" s="147"/>
      <c r="Y675" s="147"/>
      <c r="Z675" s="147"/>
    </row>
    <row r="676" ht="15.75" customHeight="1">
      <c r="A676" s="147"/>
      <c r="B676" s="147"/>
      <c r="C676" s="147"/>
      <c r="D676" s="147"/>
      <c r="E676" s="147"/>
      <c r="F676" s="147"/>
      <c r="G676" s="147"/>
      <c r="H676" s="147"/>
      <c r="I676" s="147"/>
      <c r="J676" s="147"/>
      <c r="K676" s="147"/>
      <c r="L676" s="147"/>
      <c r="M676" s="147"/>
      <c r="N676" s="147"/>
      <c r="O676" s="147"/>
      <c r="P676" s="147"/>
      <c r="Q676" s="147"/>
      <c r="R676" s="147"/>
      <c r="S676" s="147"/>
      <c r="T676" s="147"/>
      <c r="U676" s="147"/>
      <c r="V676" s="147"/>
      <c r="W676" s="147"/>
      <c r="X676" s="147"/>
      <c r="Y676" s="147"/>
      <c r="Z676" s="147"/>
    </row>
    <row r="677" ht="15.75" customHeight="1">
      <c r="A677" s="147"/>
      <c r="B677" s="147"/>
      <c r="C677" s="147"/>
      <c r="D677" s="147"/>
      <c r="E677" s="147"/>
      <c r="F677" s="147"/>
      <c r="G677" s="147"/>
      <c r="H677" s="147"/>
      <c r="I677" s="147"/>
      <c r="J677" s="147"/>
      <c r="K677" s="147"/>
      <c r="L677" s="147"/>
      <c r="M677" s="147"/>
      <c r="N677" s="147"/>
      <c r="O677" s="147"/>
      <c r="P677" s="147"/>
      <c r="Q677" s="147"/>
      <c r="R677" s="147"/>
      <c r="S677" s="147"/>
      <c r="T677" s="147"/>
      <c r="U677" s="147"/>
      <c r="V677" s="147"/>
      <c r="W677" s="147"/>
      <c r="X677" s="147"/>
      <c r="Y677" s="147"/>
      <c r="Z677" s="147"/>
    </row>
    <row r="678" ht="15.75" customHeight="1">
      <c r="A678" s="147"/>
      <c r="B678" s="147"/>
      <c r="C678" s="147"/>
      <c r="D678" s="147"/>
      <c r="E678" s="147"/>
      <c r="F678" s="147"/>
      <c r="G678" s="147"/>
      <c r="H678" s="147"/>
      <c r="I678" s="147"/>
      <c r="J678" s="147"/>
      <c r="K678" s="147"/>
      <c r="L678" s="147"/>
      <c r="M678" s="147"/>
      <c r="N678" s="147"/>
      <c r="O678" s="147"/>
      <c r="P678" s="147"/>
      <c r="Q678" s="147"/>
      <c r="R678" s="147"/>
      <c r="S678" s="147"/>
      <c r="T678" s="147"/>
      <c r="U678" s="147"/>
      <c r="V678" s="147"/>
      <c r="W678" s="147"/>
      <c r="X678" s="147"/>
      <c r="Y678" s="147"/>
      <c r="Z678" s="147"/>
    </row>
    <row r="679" ht="15.75" customHeight="1">
      <c r="A679" s="147"/>
      <c r="B679" s="147"/>
      <c r="C679" s="147"/>
      <c r="D679" s="147"/>
      <c r="E679" s="147"/>
      <c r="F679" s="147"/>
      <c r="G679" s="147"/>
      <c r="H679" s="147"/>
      <c r="I679" s="147"/>
      <c r="J679" s="147"/>
      <c r="K679" s="147"/>
      <c r="L679" s="147"/>
      <c r="M679" s="147"/>
      <c r="N679" s="147"/>
      <c r="O679" s="147"/>
      <c r="P679" s="147"/>
      <c r="Q679" s="147"/>
      <c r="R679" s="147"/>
      <c r="S679" s="147"/>
      <c r="T679" s="147"/>
      <c r="U679" s="147"/>
      <c r="V679" s="147"/>
      <c r="W679" s="147"/>
      <c r="X679" s="147"/>
      <c r="Y679" s="147"/>
      <c r="Z679" s="147"/>
    </row>
    <row r="680" ht="15.75" customHeight="1">
      <c r="A680" s="147"/>
      <c r="B680" s="147"/>
      <c r="C680" s="147"/>
      <c r="D680" s="147"/>
      <c r="E680" s="147"/>
      <c r="F680" s="147"/>
      <c r="G680" s="147"/>
      <c r="H680" s="147"/>
      <c r="I680" s="147"/>
      <c r="J680" s="147"/>
      <c r="K680" s="147"/>
      <c r="L680" s="147"/>
      <c r="M680" s="147"/>
      <c r="N680" s="147"/>
      <c r="O680" s="147"/>
      <c r="P680" s="147"/>
      <c r="Q680" s="147"/>
      <c r="R680" s="147"/>
      <c r="S680" s="147"/>
      <c r="T680" s="147"/>
      <c r="U680" s="147"/>
      <c r="V680" s="147"/>
      <c r="W680" s="147"/>
      <c r="X680" s="147"/>
      <c r="Y680" s="147"/>
      <c r="Z680" s="147"/>
    </row>
    <row r="681" ht="15.75" customHeight="1">
      <c r="A681" s="147"/>
      <c r="B681" s="147"/>
      <c r="C681" s="147"/>
      <c r="D681" s="147"/>
      <c r="E681" s="147"/>
      <c r="F681" s="147"/>
      <c r="G681" s="147"/>
      <c r="H681" s="147"/>
      <c r="I681" s="147"/>
      <c r="J681" s="147"/>
      <c r="K681" s="147"/>
      <c r="L681" s="147"/>
      <c r="M681" s="147"/>
      <c r="N681" s="147"/>
      <c r="O681" s="147"/>
      <c r="P681" s="147"/>
      <c r="Q681" s="147"/>
      <c r="R681" s="147"/>
      <c r="S681" s="147"/>
      <c r="T681" s="147"/>
      <c r="U681" s="147"/>
      <c r="V681" s="147"/>
      <c r="W681" s="147"/>
      <c r="X681" s="147"/>
      <c r="Y681" s="147"/>
      <c r="Z681" s="147"/>
    </row>
    <row r="682" ht="15.75" customHeight="1">
      <c r="A682" s="147"/>
      <c r="B682" s="147"/>
      <c r="C682" s="147"/>
      <c r="D682" s="147"/>
      <c r="E682" s="147"/>
      <c r="F682" s="147"/>
      <c r="G682" s="147"/>
      <c r="H682" s="147"/>
      <c r="I682" s="147"/>
      <c r="J682" s="147"/>
      <c r="K682" s="147"/>
      <c r="L682" s="147"/>
      <c r="M682" s="147"/>
      <c r="N682" s="147"/>
      <c r="O682" s="147"/>
      <c r="P682" s="147"/>
      <c r="Q682" s="147"/>
      <c r="R682" s="147"/>
      <c r="S682" s="147"/>
      <c r="T682" s="147"/>
      <c r="U682" s="147"/>
      <c r="V682" s="147"/>
      <c r="W682" s="147"/>
      <c r="X682" s="147"/>
      <c r="Y682" s="147"/>
      <c r="Z682" s="147"/>
    </row>
    <row r="683" ht="15.75" customHeight="1">
      <c r="A683" s="147"/>
      <c r="B683" s="147"/>
      <c r="C683" s="147"/>
      <c r="D683" s="147"/>
      <c r="E683" s="147"/>
      <c r="F683" s="147"/>
      <c r="G683" s="147"/>
      <c r="H683" s="147"/>
      <c r="I683" s="147"/>
      <c r="J683" s="147"/>
      <c r="K683" s="147"/>
      <c r="L683" s="147"/>
      <c r="M683" s="147"/>
      <c r="N683" s="147"/>
      <c r="O683" s="147"/>
      <c r="P683" s="147"/>
      <c r="Q683" s="147"/>
      <c r="R683" s="147"/>
      <c r="S683" s="147"/>
      <c r="T683" s="147"/>
      <c r="U683" s="147"/>
      <c r="V683" s="147"/>
      <c r="W683" s="147"/>
      <c r="X683" s="147"/>
      <c r="Y683" s="147"/>
      <c r="Z683" s="147"/>
    </row>
    <row r="684" ht="15.75" customHeight="1">
      <c r="A684" s="147"/>
      <c r="B684" s="147"/>
      <c r="C684" s="147"/>
      <c r="D684" s="147"/>
      <c r="E684" s="147"/>
      <c r="F684" s="147"/>
      <c r="G684" s="147"/>
      <c r="H684" s="147"/>
      <c r="I684" s="147"/>
      <c r="J684" s="147"/>
      <c r="K684" s="147"/>
      <c r="L684" s="147"/>
      <c r="M684" s="147"/>
      <c r="N684" s="147"/>
      <c r="O684" s="147"/>
      <c r="P684" s="147"/>
      <c r="Q684" s="147"/>
      <c r="R684" s="147"/>
      <c r="S684" s="147"/>
      <c r="T684" s="147"/>
      <c r="U684" s="147"/>
      <c r="V684" s="147"/>
      <c r="W684" s="147"/>
      <c r="X684" s="147"/>
      <c r="Y684" s="147"/>
      <c r="Z684" s="147"/>
    </row>
    <row r="685" ht="15.75" customHeight="1">
      <c r="A685" s="147"/>
      <c r="B685" s="147"/>
      <c r="C685" s="147"/>
      <c r="D685" s="147"/>
      <c r="E685" s="147"/>
      <c r="F685" s="147"/>
      <c r="G685" s="147"/>
      <c r="H685" s="147"/>
      <c r="I685" s="147"/>
      <c r="J685" s="147"/>
      <c r="K685" s="147"/>
      <c r="L685" s="147"/>
      <c r="M685" s="147"/>
      <c r="N685" s="147"/>
      <c r="O685" s="147"/>
      <c r="P685" s="147"/>
      <c r="Q685" s="147"/>
      <c r="R685" s="147"/>
      <c r="S685" s="147"/>
      <c r="T685" s="147"/>
      <c r="U685" s="147"/>
      <c r="V685" s="147"/>
      <c r="W685" s="147"/>
      <c r="X685" s="147"/>
      <c r="Y685" s="147"/>
      <c r="Z685" s="147"/>
    </row>
    <row r="686" ht="15.75" customHeight="1">
      <c r="A686" s="147"/>
      <c r="B686" s="147"/>
      <c r="C686" s="147"/>
      <c r="D686" s="147"/>
      <c r="E686" s="147"/>
      <c r="F686" s="147"/>
      <c r="G686" s="147"/>
      <c r="H686" s="147"/>
      <c r="I686" s="147"/>
      <c r="J686" s="147"/>
      <c r="K686" s="147"/>
      <c r="L686" s="147"/>
      <c r="M686" s="147"/>
      <c r="N686" s="147"/>
      <c r="O686" s="147"/>
      <c r="P686" s="147"/>
      <c r="Q686" s="147"/>
      <c r="R686" s="147"/>
      <c r="S686" s="147"/>
      <c r="T686" s="147"/>
      <c r="U686" s="147"/>
      <c r="V686" s="147"/>
      <c r="W686" s="147"/>
      <c r="X686" s="147"/>
      <c r="Y686" s="147"/>
      <c r="Z686" s="147"/>
    </row>
    <row r="687" ht="15.75" customHeight="1">
      <c r="A687" s="147"/>
      <c r="B687" s="147"/>
      <c r="C687" s="147"/>
      <c r="D687" s="147"/>
      <c r="E687" s="147"/>
      <c r="F687" s="147"/>
      <c r="G687" s="147"/>
      <c r="H687" s="147"/>
      <c r="I687" s="147"/>
      <c r="J687" s="147"/>
      <c r="K687" s="147"/>
      <c r="L687" s="147"/>
      <c r="M687" s="147"/>
      <c r="N687" s="147"/>
      <c r="O687" s="147"/>
      <c r="P687" s="147"/>
      <c r="Q687" s="147"/>
      <c r="R687" s="147"/>
      <c r="S687" s="147"/>
      <c r="T687" s="147"/>
      <c r="U687" s="147"/>
      <c r="V687" s="147"/>
      <c r="W687" s="147"/>
      <c r="X687" s="147"/>
      <c r="Y687" s="147"/>
      <c r="Z687" s="147"/>
    </row>
    <row r="688" ht="15.75" customHeight="1">
      <c r="A688" s="147"/>
      <c r="B688" s="147"/>
      <c r="C688" s="147"/>
      <c r="D688" s="147"/>
      <c r="E688" s="147"/>
      <c r="F688" s="147"/>
      <c r="G688" s="147"/>
      <c r="H688" s="147"/>
      <c r="I688" s="147"/>
      <c r="J688" s="147"/>
      <c r="K688" s="147"/>
      <c r="L688" s="147"/>
      <c r="M688" s="147"/>
      <c r="N688" s="147"/>
      <c r="O688" s="147"/>
      <c r="P688" s="147"/>
      <c r="Q688" s="147"/>
      <c r="R688" s="147"/>
      <c r="S688" s="147"/>
      <c r="T688" s="147"/>
      <c r="U688" s="147"/>
      <c r="V688" s="147"/>
      <c r="W688" s="147"/>
      <c r="X688" s="147"/>
      <c r="Y688" s="147"/>
      <c r="Z688" s="147"/>
    </row>
    <row r="689" ht="15.75" customHeight="1">
      <c r="A689" s="147"/>
      <c r="B689" s="147"/>
      <c r="C689" s="147"/>
      <c r="D689" s="147"/>
      <c r="E689" s="147"/>
      <c r="F689" s="147"/>
      <c r="G689" s="147"/>
      <c r="H689" s="147"/>
      <c r="I689" s="147"/>
      <c r="J689" s="147"/>
      <c r="K689" s="147"/>
      <c r="L689" s="147"/>
      <c r="M689" s="147"/>
      <c r="N689" s="147"/>
      <c r="O689" s="147"/>
      <c r="P689" s="147"/>
      <c r="Q689" s="147"/>
      <c r="R689" s="147"/>
      <c r="S689" s="147"/>
      <c r="T689" s="147"/>
      <c r="U689" s="147"/>
      <c r="V689" s="147"/>
      <c r="W689" s="147"/>
      <c r="X689" s="147"/>
      <c r="Y689" s="147"/>
      <c r="Z689" s="147"/>
    </row>
    <row r="690" ht="15.75" customHeight="1">
      <c r="A690" s="147"/>
      <c r="B690" s="147"/>
      <c r="C690" s="147"/>
      <c r="D690" s="147"/>
      <c r="E690" s="147"/>
      <c r="F690" s="147"/>
      <c r="G690" s="147"/>
      <c r="H690" s="147"/>
      <c r="I690" s="147"/>
      <c r="J690" s="147"/>
      <c r="K690" s="147"/>
      <c r="L690" s="147"/>
      <c r="M690" s="147"/>
      <c r="N690" s="147"/>
      <c r="O690" s="147"/>
      <c r="P690" s="147"/>
      <c r="Q690" s="147"/>
      <c r="R690" s="147"/>
      <c r="S690" s="147"/>
      <c r="T690" s="147"/>
      <c r="U690" s="147"/>
      <c r="V690" s="147"/>
      <c r="W690" s="147"/>
      <c r="X690" s="147"/>
      <c r="Y690" s="147"/>
      <c r="Z690" s="147"/>
    </row>
    <row r="691" ht="15.75" customHeight="1">
      <c r="A691" s="147"/>
      <c r="B691" s="147"/>
      <c r="C691" s="147"/>
      <c r="D691" s="147"/>
      <c r="E691" s="147"/>
      <c r="F691" s="147"/>
      <c r="G691" s="147"/>
      <c r="H691" s="147"/>
      <c r="I691" s="147"/>
      <c r="J691" s="147"/>
      <c r="K691" s="147"/>
      <c r="L691" s="147"/>
      <c r="M691" s="147"/>
      <c r="N691" s="147"/>
      <c r="O691" s="147"/>
      <c r="P691" s="147"/>
      <c r="Q691" s="147"/>
      <c r="R691" s="147"/>
      <c r="S691" s="147"/>
      <c r="T691" s="147"/>
      <c r="U691" s="147"/>
      <c r="V691" s="147"/>
      <c r="W691" s="147"/>
      <c r="X691" s="147"/>
      <c r="Y691" s="147"/>
      <c r="Z691" s="147"/>
    </row>
    <row r="692" ht="15.75" customHeight="1">
      <c r="A692" s="147"/>
      <c r="B692" s="147"/>
      <c r="C692" s="147"/>
      <c r="D692" s="147"/>
      <c r="E692" s="147"/>
      <c r="F692" s="147"/>
      <c r="G692" s="147"/>
      <c r="H692" s="147"/>
      <c r="I692" s="147"/>
      <c r="J692" s="147"/>
      <c r="K692" s="147"/>
      <c r="L692" s="147"/>
      <c r="M692" s="147"/>
      <c r="N692" s="147"/>
      <c r="O692" s="147"/>
      <c r="P692" s="147"/>
      <c r="Q692" s="147"/>
      <c r="R692" s="147"/>
      <c r="S692" s="147"/>
      <c r="T692" s="147"/>
      <c r="U692" s="147"/>
      <c r="V692" s="147"/>
      <c r="W692" s="147"/>
      <c r="X692" s="147"/>
      <c r="Y692" s="147"/>
      <c r="Z692" s="147"/>
    </row>
    <row r="693" ht="15.75" customHeight="1">
      <c r="A693" s="147"/>
      <c r="B693" s="147"/>
      <c r="C693" s="147"/>
      <c r="D693" s="147"/>
      <c r="E693" s="147"/>
      <c r="F693" s="147"/>
      <c r="G693" s="147"/>
      <c r="H693" s="147"/>
      <c r="I693" s="147"/>
      <c r="J693" s="147"/>
      <c r="K693" s="147"/>
      <c r="L693" s="147"/>
      <c r="M693" s="147"/>
      <c r="N693" s="147"/>
      <c r="O693" s="147"/>
      <c r="P693" s="147"/>
      <c r="Q693" s="147"/>
      <c r="R693" s="147"/>
      <c r="S693" s="147"/>
      <c r="T693" s="147"/>
      <c r="U693" s="147"/>
      <c r="V693" s="147"/>
      <c r="W693" s="147"/>
      <c r="X693" s="147"/>
      <c r="Y693" s="147"/>
      <c r="Z693" s="147"/>
    </row>
    <row r="694" ht="15.75" customHeight="1">
      <c r="A694" s="147"/>
      <c r="B694" s="147"/>
      <c r="C694" s="147"/>
      <c r="D694" s="147"/>
      <c r="E694" s="147"/>
      <c r="F694" s="147"/>
      <c r="G694" s="147"/>
      <c r="H694" s="147"/>
      <c r="I694" s="147"/>
      <c r="J694" s="147"/>
      <c r="K694" s="147"/>
      <c r="L694" s="147"/>
      <c r="M694" s="147"/>
      <c r="N694" s="147"/>
      <c r="O694" s="147"/>
      <c r="P694" s="147"/>
      <c r="Q694" s="147"/>
      <c r="R694" s="147"/>
      <c r="S694" s="147"/>
      <c r="T694" s="147"/>
      <c r="U694" s="147"/>
      <c r="V694" s="147"/>
      <c r="W694" s="147"/>
      <c r="X694" s="147"/>
      <c r="Y694" s="147"/>
      <c r="Z694" s="147"/>
    </row>
    <row r="695" ht="15.75" customHeight="1">
      <c r="A695" s="147"/>
      <c r="B695" s="147"/>
      <c r="C695" s="147"/>
      <c r="D695" s="147"/>
      <c r="E695" s="147"/>
      <c r="F695" s="147"/>
      <c r="G695" s="147"/>
      <c r="H695" s="147"/>
      <c r="I695" s="147"/>
      <c r="J695" s="147"/>
      <c r="K695" s="147"/>
      <c r="L695" s="147"/>
      <c r="M695" s="147"/>
      <c r="N695" s="147"/>
      <c r="O695" s="147"/>
      <c r="P695" s="147"/>
      <c r="Q695" s="147"/>
      <c r="R695" s="147"/>
      <c r="S695" s="147"/>
      <c r="T695" s="147"/>
      <c r="U695" s="147"/>
      <c r="V695" s="147"/>
      <c r="W695" s="147"/>
      <c r="X695" s="147"/>
      <c r="Y695" s="147"/>
      <c r="Z695" s="147"/>
    </row>
    <row r="696" ht="15.75" customHeight="1">
      <c r="A696" s="147"/>
      <c r="B696" s="147"/>
      <c r="C696" s="147"/>
      <c r="D696" s="147"/>
      <c r="E696" s="147"/>
      <c r="F696" s="147"/>
      <c r="G696" s="147"/>
      <c r="H696" s="147"/>
      <c r="I696" s="147"/>
      <c r="J696" s="147"/>
      <c r="K696" s="147"/>
      <c r="L696" s="147"/>
      <c r="M696" s="147"/>
      <c r="N696" s="147"/>
      <c r="O696" s="147"/>
      <c r="P696" s="147"/>
      <c r="Q696" s="147"/>
      <c r="R696" s="147"/>
      <c r="S696" s="147"/>
      <c r="T696" s="147"/>
      <c r="U696" s="147"/>
      <c r="V696" s="147"/>
      <c r="W696" s="147"/>
      <c r="X696" s="147"/>
      <c r="Y696" s="147"/>
      <c r="Z696" s="147"/>
    </row>
    <row r="697" ht="15.75" customHeight="1">
      <c r="A697" s="147"/>
      <c r="B697" s="147"/>
      <c r="C697" s="147"/>
      <c r="D697" s="147"/>
      <c r="E697" s="147"/>
      <c r="F697" s="147"/>
      <c r="G697" s="147"/>
      <c r="H697" s="147"/>
      <c r="I697" s="147"/>
      <c r="J697" s="147"/>
      <c r="K697" s="147"/>
      <c r="L697" s="147"/>
      <c r="M697" s="147"/>
      <c r="N697" s="147"/>
      <c r="O697" s="147"/>
      <c r="P697" s="147"/>
      <c r="Q697" s="147"/>
      <c r="R697" s="147"/>
      <c r="S697" s="147"/>
      <c r="T697" s="147"/>
      <c r="U697" s="147"/>
      <c r="V697" s="147"/>
      <c r="W697" s="147"/>
      <c r="X697" s="147"/>
      <c r="Y697" s="147"/>
      <c r="Z697" s="147"/>
    </row>
    <row r="698" ht="15.75" customHeight="1">
      <c r="A698" s="147"/>
      <c r="B698" s="147"/>
      <c r="C698" s="147"/>
      <c r="D698" s="147"/>
      <c r="E698" s="147"/>
      <c r="F698" s="147"/>
      <c r="G698" s="147"/>
      <c r="H698" s="147"/>
      <c r="I698" s="147"/>
      <c r="J698" s="147"/>
      <c r="K698" s="147"/>
      <c r="L698" s="147"/>
      <c r="M698" s="147"/>
      <c r="N698" s="147"/>
      <c r="O698" s="147"/>
      <c r="P698" s="147"/>
      <c r="Q698" s="147"/>
      <c r="R698" s="147"/>
      <c r="S698" s="147"/>
      <c r="T698" s="147"/>
      <c r="U698" s="147"/>
      <c r="V698" s="147"/>
      <c r="W698" s="147"/>
      <c r="X698" s="147"/>
      <c r="Y698" s="147"/>
      <c r="Z698" s="147"/>
    </row>
    <row r="699" ht="15.75" customHeight="1">
      <c r="A699" s="147"/>
      <c r="B699" s="147"/>
      <c r="C699" s="147"/>
      <c r="D699" s="147"/>
      <c r="E699" s="147"/>
      <c r="F699" s="147"/>
      <c r="G699" s="147"/>
      <c r="H699" s="147"/>
      <c r="I699" s="147"/>
      <c r="J699" s="147"/>
      <c r="K699" s="147"/>
      <c r="L699" s="147"/>
      <c r="M699" s="147"/>
      <c r="N699" s="147"/>
      <c r="O699" s="147"/>
      <c r="P699" s="147"/>
      <c r="Q699" s="147"/>
      <c r="R699" s="147"/>
      <c r="S699" s="147"/>
      <c r="T699" s="147"/>
      <c r="U699" s="147"/>
      <c r="V699" s="147"/>
      <c r="W699" s="147"/>
      <c r="X699" s="147"/>
      <c r="Y699" s="147"/>
      <c r="Z699" s="147"/>
    </row>
    <row r="700" ht="15.75" customHeight="1">
      <c r="A700" s="147"/>
      <c r="B700" s="147"/>
      <c r="C700" s="147"/>
      <c r="D700" s="147"/>
      <c r="E700" s="147"/>
      <c r="F700" s="147"/>
      <c r="G700" s="147"/>
      <c r="H700" s="147"/>
      <c r="I700" s="147"/>
      <c r="J700" s="147"/>
      <c r="K700" s="147"/>
      <c r="L700" s="147"/>
      <c r="M700" s="147"/>
      <c r="N700" s="147"/>
      <c r="O700" s="147"/>
      <c r="P700" s="147"/>
      <c r="Q700" s="147"/>
      <c r="R700" s="147"/>
      <c r="S700" s="147"/>
      <c r="T700" s="147"/>
      <c r="U700" s="147"/>
      <c r="V700" s="147"/>
      <c r="W700" s="147"/>
      <c r="X700" s="147"/>
      <c r="Y700" s="147"/>
      <c r="Z700" s="147"/>
    </row>
    <row r="701" ht="15.75" customHeight="1">
      <c r="A701" s="147"/>
      <c r="B701" s="147"/>
      <c r="C701" s="147"/>
      <c r="D701" s="147"/>
      <c r="E701" s="147"/>
      <c r="F701" s="147"/>
      <c r="G701" s="147"/>
      <c r="H701" s="147"/>
      <c r="I701" s="147"/>
      <c r="J701" s="147"/>
      <c r="K701" s="147"/>
      <c r="L701" s="147"/>
      <c r="M701" s="147"/>
      <c r="N701" s="147"/>
      <c r="O701" s="147"/>
      <c r="P701" s="147"/>
      <c r="Q701" s="147"/>
      <c r="R701" s="147"/>
      <c r="S701" s="147"/>
      <c r="T701" s="147"/>
      <c r="U701" s="147"/>
      <c r="V701" s="147"/>
      <c r="W701" s="147"/>
      <c r="X701" s="147"/>
      <c r="Y701" s="147"/>
      <c r="Z701" s="147"/>
    </row>
    <row r="702" ht="15.75" customHeight="1">
      <c r="A702" s="147"/>
      <c r="B702" s="147"/>
      <c r="C702" s="147"/>
      <c r="D702" s="147"/>
      <c r="E702" s="147"/>
      <c r="F702" s="147"/>
      <c r="G702" s="147"/>
      <c r="H702" s="147"/>
      <c r="I702" s="147"/>
      <c r="J702" s="147"/>
      <c r="K702" s="147"/>
      <c r="L702" s="147"/>
      <c r="M702" s="147"/>
      <c r="N702" s="147"/>
      <c r="O702" s="147"/>
      <c r="P702" s="147"/>
      <c r="Q702" s="147"/>
      <c r="R702" s="147"/>
      <c r="S702" s="147"/>
      <c r="T702" s="147"/>
      <c r="U702" s="147"/>
      <c r="V702" s="147"/>
      <c r="W702" s="147"/>
      <c r="X702" s="147"/>
      <c r="Y702" s="147"/>
      <c r="Z702" s="147"/>
    </row>
    <row r="703" ht="15.75" customHeight="1">
      <c r="A703" s="147"/>
      <c r="B703" s="147"/>
      <c r="C703" s="147"/>
      <c r="D703" s="147"/>
      <c r="E703" s="147"/>
      <c r="F703" s="147"/>
      <c r="G703" s="147"/>
      <c r="H703" s="147"/>
      <c r="I703" s="147"/>
      <c r="J703" s="147"/>
      <c r="K703" s="147"/>
      <c r="L703" s="147"/>
      <c r="M703" s="147"/>
      <c r="N703" s="147"/>
      <c r="O703" s="147"/>
      <c r="P703" s="147"/>
      <c r="Q703" s="147"/>
      <c r="R703" s="147"/>
      <c r="S703" s="147"/>
      <c r="T703" s="147"/>
      <c r="U703" s="147"/>
      <c r="V703" s="147"/>
      <c r="W703" s="147"/>
      <c r="X703" s="147"/>
      <c r="Y703" s="147"/>
      <c r="Z703" s="147"/>
    </row>
    <row r="704" ht="15.75" customHeight="1">
      <c r="A704" s="147"/>
      <c r="B704" s="147"/>
      <c r="C704" s="147"/>
      <c r="D704" s="147"/>
      <c r="E704" s="147"/>
      <c r="F704" s="147"/>
      <c r="G704" s="147"/>
      <c r="H704" s="147"/>
      <c r="I704" s="147"/>
      <c r="J704" s="147"/>
      <c r="K704" s="147"/>
      <c r="L704" s="147"/>
      <c r="M704" s="147"/>
      <c r="N704" s="147"/>
      <c r="O704" s="147"/>
      <c r="P704" s="147"/>
      <c r="Q704" s="147"/>
      <c r="R704" s="147"/>
      <c r="S704" s="147"/>
      <c r="T704" s="147"/>
      <c r="U704" s="147"/>
      <c r="V704" s="147"/>
      <c r="W704" s="147"/>
      <c r="X704" s="147"/>
      <c r="Y704" s="147"/>
      <c r="Z704" s="147"/>
    </row>
    <row r="705" ht="15.75" customHeight="1">
      <c r="A705" s="147"/>
      <c r="B705" s="147"/>
      <c r="C705" s="147"/>
      <c r="D705" s="147"/>
      <c r="E705" s="147"/>
      <c r="F705" s="147"/>
      <c r="G705" s="147"/>
      <c r="H705" s="147"/>
      <c r="I705" s="147"/>
      <c r="J705" s="147"/>
      <c r="K705" s="147"/>
      <c r="L705" s="147"/>
      <c r="M705" s="147"/>
      <c r="N705" s="147"/>
      <c r="O705" s="147"/>
      <c r="P705" s="147"/>
      <c r="Q705" s="147"/>
      <c r="R705" s="147"/>
      <c r="S705" s="147"/>
      <c r="T705" s="147"/>
      <c r="U705" s="147"/>
      <c r="V705" s="147"/>
      <c r="W705" s="147"/>
      <c r="X705" s="147"/>
      <c r="Y705" s="147"/>
      <c r="Z705" s="147"/>
    </row>
    <row r="706" ht="15.75" customHeight="1">
      <c r="A706" s="147"/>
      <c r="B706" s="147"/>
      <c r="C706" s="147"/>
      <c r="D706" s="147"/>
      <c r="E706" s="147"/>
      <c r="F706" s="147"/>
      <c r="G706" s="147"/>
      <c r="H706" s="147"/>
      <c r="I706" s="147"/>
      <c r="J706" s="147"/>
      <c r="K706" s="147"/>
      <c r="L706" s="147"/>
      <c r="M706" s="147"/>
      <c r="N706" s="147"/>
      <c r="O706" s="147"/>
      <c r="P706" s="147"/>
      <c r="Q706" s="147"/>
      <c r="R706" s="147"/>
      <c r="S706" s="147"/>
      <c r="T706" s="147"/>
      <c r="U706" s="147"/>
      <c r="V706" s="147"/>
      <c r="W706" s="147"/>
      <c r="X706" s="147"/>
      <c r="Y706" s="147"/>
      <c r="Z706" s="147"/>
    </row>
    <row r="707" ht="15.75" customHeight="1">
      <c r="A707" s="147"/>
      <c r="B707" s="147"/>
      <c r="C707" s="147"/>
      <c r="D707" s="147"/>
      <c r="E707" s="147"/>
      <c r="F707" s="147"/>
      <c r="G707" s="147"/>
      <c r="H707" s="147"/>
      <c r="I707" s="147"/>
      <c r="J707" s="147"/>
      <c r="K707" s="147"/>
      <c r="L707" s="147"/>
      <c r="M707" s="147"/>
      <c r="N707" s="147"/>
      <c r="O707" s="147"/>
      <c r="P707" s="147"/>
      <c r="Q707" s="147"/>
      <c r="R707" s="147"/>
      <c r="S707" s="147"/>
      <c r="T707" s="147"/>
      <c r="U707" s="147"/>
      <c r="V707" s="147"/>
      <c r="W707" s="147"/>
      <c r="X707" s="147"/>
      <c r="Y707" s="147"/>
      <c r="Z707" s="147"/>
    </row>
    <row r="708" ht="15.75" customHeight="1">
      <c r="A708" s="147"/>
      <c r="B708" s="147"/>
      <c r="C708" s="147"/>
      <c r="D708" s="147"/>
      <c r="E708" s="147"/>
      <c r="F708" s="147"/>
      <c r="G708" s="147"/>
      <c r="H708" s="147"/>
      <c r="I708" s="147"/>
      <c r="J708" s="147"/>
      <c r="K708" s="147"/>
      <c r="L708" s="147"/>
      <c r="M708" s="147"/>
      <c r="N708" s="147"/>
      <c r="O708" s="147"/>
      <c r="P708" s="147"/>
      <c r="Q708" s="147"/>
      <c r="R708" s="147"/>
      <c r="S708" s="147"/>
      <c r="T708" s="147"/>
      <c r="U708" s="147"/>
      <c r="V708" s="147"/>
      <c r="W708" s="147"/>
      <c r="X708" s="147"/>
      <c r="Y708" s="147"/>
      <c r="Z708" s="147"/>
    </row>
    <row r="709" ht="15.75" customHeight="1">
      <c r="A709" s="147"/>
      <c r="B709" s="147"/>
      <c r="C709" s="147"/>
      <c r="D709" s="147"/>
      <c r="E709" s="147"/>
      <c r="F709" s="147"/>
      <c r="G709" s="147"/>
      <c r="H709" s="147"/>
      <c r="I709" s="147"/>
      <c r="J709" s="147"/>
      <c r="K709" s="147"/>
      <c r="L709" s="147"/>
      <c r="M709" s="147"/>
      <c r="N709" s="147"/>
      <c r="O709" s="147"/>
      <c r="P709" s="147"/>
      <c r="Q709" s="147"/>
      <c r="R709" s="147"/>
      <c r="S709" s="147"/>
      <c r="T709" s="147"/>
      <c r="U709" s="147"/>
      <c r="V709" s="147"/>
      <c r="W709" s="147"/>
      <c r="X709" s="147"/>
      <c r="Y709" s="147"/>
      <c r="Z709" s="147"/>
    </row>
    <row r="710" ht="15.75" customHeight="1">
      <c r="A710" s="147"/>
      <c r="B710" s="147"/>
      <c r="C710" s="147"/>
      <c r="D710" s="147"/>
      <c r="E710" s="147"/>
      <c r="F710" s="147"/>
      <c r="G710" s="147"/>
      <c r="H710" s="147"/>
      <c r="I710" s="147"/>
      <c r="J710" s="147"/>
      <c r="K710" s="147"/>
      <c r="L710" s="147"/>
      <c r="M710" s="147"/>
      <c r="N710" s="147"/>
      <c r="O710" s="147"/>
      <c r="P710" s="147"/>
      <c r="Q710" s="147"/>
      <c r="R710" s="147"/>
      <c r="S710" s="147"/>
      <c r="T710" s="147"/>
      <c r="U710" s="147"/>
      <c r="V710" s="147"/>
      <c r="W710" s="147"/>
      <c r="X710" s="147"/>
      <c r="Y710" s="147"/>
      <c r="Z710" s="147"/>
    </row>
    <row r="711" ht="15.75" customHeight="1">
      <c r="A711" s="147"/>
      <c r="B711" s="147"/>
      <c r="C711" s="147"/>
      <c r="D711" s="147"/>
      <c r="E711" s="147"/>
      <c r="F711" s="147"/>
      <c r="G711" s="147"/>
      <c r="H711" s="147"/>
      <c r="I711" s="147"/>
      <c r="J711" s="147"/>
      <c r="K711" s="147"/>
      <c r="L711" s="147"/>
      <c r="M711" s="147"/>
      <c r="N711" s="147"/>
      <c r="O711" s="147"/>
      <c r="P711" s="147"/>
      <c r="Q711" s="147"/>
      <c r="R711" s="147"/>
      <c r="S711" s="147"/>
      <c r="T711" s="147"/>
      <c r="U711" s="147"/>
      <c r="V711" s="147"/>
      <c r="W711" s="147"/>
      <c r="X711" s="147"/>
      <c r="Y711" s="147"/>
      <c r="Z711" s="147"/>
    </row>
    <row r="712" ht="15.75" customHeight="1">
      <c r="A712" s="147"/>
      <c r="B712" s="147"/>
      <c r="C712" s="147"/>
      <c r="D712" s="147"/>
      <c r="E712" s="147"/>
      <c r="F712" s="147"/>
      <c r="G712" s="147"/>
      <c r="H712" s="147"/>
      <c r="I712" s="147"/>
      <c r="J712" s="147"/>
      <c r="K712" s="147"/>
      <c r="L712" s="147"/>
      <c r="M712" s="147"/>
      <c r="N712" s="147"/>
      <c r="O712" s="147"/>
      <c r="P712" s="147"/>
      <c r="Q712" s="147"/>
      <c r="R712" s="147"/>
      <c r="S712" s="147"/>
      <c r="T712" s="147"/>
      <c r="U712" s="147"/>
      <c r="V712" s="147"/>
      <c r="W712" s="147"/>
      <c r="X712" s="147"/>
      <c r="Y712" s="147"/>
      <c r="Z712" s="147"/>
    </row>
    <row r="713" ht="15.75" customHeight="1">
      <c r="A713" s="147"/>
      <c r="B713" s="147"/>
      <c r="C713" s="147"/>
      <c r="D713" s="147"/>
      <c r="E713" s="147"/>
      <c r="F713" s="147"/>
      <c r="G713" s="147"/>
      <c r="H713" s="147"/>
      <c r="I713" s="147"/>
      <c r="J713" s="147"/>
      <c r="K713" s="147"/>
      <c r="L713" s="147"/>
      <c r="M713" s="147"/>
      <c r="N713" s="147"/>
      <c r="O713" s="147"/>
      <c r="P713" s="147"/>
      <c r="Q713" s="147"/>
      <c r="R713" s="147"/>
      <c r="S713" s="147"/>
      <c r="T713" s="147"/>
      <c r="U713" s="147"/>
      <c r="V713" s="147"/>
      <c r="W713" s="147"/>
      <c r="X713" s="147"/>
      <c r="Y713" s="147"/>
      <c r="Z713" s="147"/>
    </row>
    <row r="714" ht="15.75" customHeight="1">
      <c r="A714" s="147"/>
      <c r="B714" s="147"/>
      <c r="C714" s="147"/>
      <c r="D714" s="147"/>
      <c r="E714" s="147"/>
      <c r="F714" s="147"/>
      <c r="G714" s="147"/>
      <c r="H714" s="147"/>
      <c r="I714" s="147"/>
      <c r="J714" s="147"/>
      <c r="K714" s="147"/>
      <c r="L714" s="147"/>
      <c r="M714" s="147"/>
      <c r="N714" s="147"/>
      <c r="O714" s="147"/>
      <c r="P714" s="147"/>
      <c r="Q714" s="147"/>
      <c r="R714" s="147"/>
      <c r="S714" s="147"/>
      <c r="T714" s="147"/>
      <c r="U714" s="147"/>
      <c r="V714" s="147"/>
      <c r="W714" s="147"/>
      <c r="X714" s="147"/>
      <c r="Y714" s="147"/>
      <c r="Z714" s="147"/>
    </row>
    <row r="715" ht="15.75" customHeight="1">
      <c r="A715" s="147"/>
      <c r="B715" s="147"/>
      <c r="C715" s="147"/>
      <c r="D715" s="147"/>
      <c r="E715" s="147"/>
      <c r="F715" s="147"/>
      <c r="G715" s="147"/>
      <c r="H715" s="147"/>
      <c r="I715" s="147"/>
      <c r="J715" s="147"/>
      <c r="K715" s="147"/>
      <c r="L715" s="147"/>
      <c r="M715" s="147"/>
      <c r="N715" s="147"/>
      <c r="O715" s="147"/>
      <c r="P715" s="147"/>
      <c r="Q715" s="147"/>
      <c r="R715" s="147"/>
      <c r="S715" s="147"/>
      <c r="T715" s="147"/>
      <c r="U715" s="147"/>
      <c r="V715" s="147"/>
      <c r="W715" s="147"/>
      <c r="X715" s="147"/>
      <c r="Y715" s="147"/>
      <c r="Z715" s="147"/>
    </row>
    <row r="716" ht="15.75" customHeight="1">
      <c r="A716" s="147"/>
      <c r="B716" s="147"/>
      <c r="C716" s="147"/>
      <c r="D716" s="147"/>
      <c r="E716" s="147"/>
      <c r="F716" s="147"/>
      <c r="G716" s="147"/>
      <c r="H716" s="147"/>
      <c r="I716" s="147"/>
      <c r="J716" s="147"/>
      <c r="K716" s="147"/>
      <c r="L716" s="147"/>
      <c r="M716" s="147"/>
      <c r="N716" s="147"/>
      <c r="O716" s="147"/>
      <c r="P716" s="147"/>
      <c r="Q716" s="147"/>
      <c r="R716" s="147"/>
      <c r="S716" s="147"/>
      <c r="T716" s="147"/>
      <c r="U716" s="147"/>
      <c r="V716" s="147"/>
      <c r="W716" s="147"/>
      <c r="X716" s="147"/>
      <c r="Y716" s="147"/>
      <c r="Z716" s="147"/>
    </row>
    <row r="717" ht="15.75" customHeight="1">
      <c r="A717" s="147"/>
      <c r="B717" s="147"/>
      <c r="C717" s="147"/>
      <c r="D717" s="147"/>
      <c r="E717" s="147"/>
      <c r="F717" s="147"/>
      <c r="G717" s="147"/>
      <c r="H717" s="147"/>
      <c r="I717" s="147"/>
      <c r="J717" s="147"/>
      <c r="K717" s="147"/>
      <c r="L717" s="147"/>
      <c r="M717" s="147"/>
      <c r="N717" s="147"/>
      <c r="O717" s="147"/>
      <c r="P717" s="147"/>
      <c r="Q717" s="147"/>
      <c r="R717" s="147"/>
      <c r="S717" s="147"/>
      <c r="T717" s="147"/>
      <c r="U717" s="147"/>
      <c r="V717" s="147"/>
      <c r="W717" s="147"/>
      <c r="X717" s="147"/>
      <c r="Y717" s="147"/>
      <c r="Z717" s="147"/>
    </row>
    <row r="718" ht="15.75" customHeight="1">
      <c r="A718" s="147"/>
      <c r="B718" s="147"/>
      <c r="C718" s="147"/>
      <c r="D718" s="147"/>
      <c r="E718" s="147"/>
      <c r="F718" s="147"/>
      <c r="G718" s="147"/>
      <c r="H718" s="147"/>
      <c r="I718" s="147"/>
      <c r="J718" s="147"/>
      <c r="K718" s="147"/>
      <c r="L718" s="147"/>
      <c r="M718" s="147"/>
      <c r="N718" s="147"/>
      <c r="O718" s="147"/>
      <c r="P718" s="147"/>
      <c r="Q718" s="147"/>
      <c r="R718" s="147"/>
      <c r="S718" s="147"/>
      <c r="T718" s="147"/>
      <c r="U718" s="147"/>
      <c r="V718" s="147"/>
      <c r="W718" s="147"/>
      <c r="X718" s="147"/>
      <c r="Y718" s="147"/>
      <c r="Z718" s="147"/>
    </row>
    <row r="719" ht="15.75" customHeight="1">
      <c r="A719" s="147"/>
      <c r="B719" s="147"/>
      <c r="C719" s="147"/>
      <c r="D719" s="147"/>
      <c r="E719" s="147"/>
      <c r="F719" s="147"/>
      <c r="G719" s="147"/>
      <c r="H719" s="147"/>
      <c r="I719" s="147"/>
      <c r="J719" s="147"/>
      <c r="K719" s="147"/>
      <c r="L719" s="147"/>
      <c r="M719" s="147"/>
      <c r="N719" s="147"/>
      <c r="O719" s="147"/>
      <c r="P719" s="147"/>
      <c r="Q719" s="147"/>
      <c r="R719" s="147"/>
      <c r="S719" s="147"/>
      <c r="T719" s="147"/>
      <c r="U719" s="147"/>
      <c r="V719" s="147"/>
      <c r="W719" s="147"/>
      <c r="X719" s="147"/>
      <c r="Y719" s="147"/>
      <c r="Z719" s="147"/>
    </row>
    <row r="720" ht="15.75" customHeight="1">
      <c r="A720" s="147"/>
      <c r="B720" s="147"/>
      <c r="C720" s="147"/>
      <c r="D720" s="147"/>
      <c r="E720" s="147"/>
      <c r="F720" s="147"/>
      <c r="G720" s="147"/>
      <c r="H720" s="147"/>
      <c r="I720" s="147"/>
      <c r="J720" s="147"/>
      <c r="K720" s="147"/>
      <c r="L720" s="147"/>
      <c r="M720" s="147"/>
      <c r="N720" s="147"/>
      <c r="O720" s="147"/>
      <c r="P720" s="147"/>
      <c r="Q720" s="147"/>
      <c r="R720" s="147"/>
      <c r="S720" s="147"/>
      <c r="T720" s="147"/>
      <c r="U720" s="147"/>
      <c r="V720" s="147"/>
      <c r="W720" s="147"/>
      <c r="X720" s="147"/>
      <c r="Y720" s="147"/>
      <c r="Z720" s="147"/>
    </row>
    <row r="721" ht="15.75" customHeight="1">
      <c r="A721" s="147"/>
      <c r="B721" s="147"/>
      <c r="C721" s="147"/>
      <c r="D721" s="147"/>
      <c r="E721" s="147"/>
      <c r="F721" s="147"/>
      <c r="G721" s="147"/>
      <c r="H721" s="147"/>
      <c r="I721" s="147"/>
      <c r="J721" s="147"/>
      <c r="K721" s="147"/>
      <c r="L721" s="147"/>
      <c r="M721" s="147"/>
      <c r="N721" s="147"/>
      <c r="O721" s="147"/>
      <c r="P721" s="147"/>
      <c r="Q721" s="147"/>
      <c r="R721" s="147"/>
      <c r="S721" s="147"/>
      <c r="T721" s="147"/>
      <c r="U721" s="147"/>
      <c r="V721" s="147"/>
      <c r="W721" s="147"/>
      <c r="X721" s="147"/>
      <c r="Y721" s="147"/>
      <c r="Z721" s="147"/>
    </row>
    <row r="722" ht="15.75" customHeight="1">
      <c r="A722" s="147"/>
      <c r="B722" s="147"/>
      <c r="C722" s="147"/>
      <c r="D722" s="147"/>
      <c r="E722" s="147"/>
      <c r="F722" s="147"/>
      <c r="G722" s="147"/>
      <c r="H722" s="147"/>
      <c r="I722" s="147"/>
      <c r="J722" s="147"/>
      <c r="K722" s="147"/>
      <c r="L722" s="147"/>
      <c r="M722" s="147"/>
      <c r="N722" s="147"/>
      <c r="O722" s="147"/>
      <c r="P722" s="147"/>
      <c r="Q722" s="147"/>
      <c r="R722" s="147"/>
      <c r="S722" s="147"/>
      <c r="T722" s="147"/>
      <c r="U722" s="147"/>
      <c r="V722" s="147"/>
      <c r="W722" s="147"/>
      <c r="X722" s="147"/>
      <c r="Y722" s="147"/>
      <c r="Z722" s="147"/>
    </row>
    <row r="723" ht="15.75" customHeight="1">
      <c r="A723" s="147"/>
      <c r="B723" s="147"/>
      <c r="C723" s="147"/>
      <c r="D723" s="147"/>
      <c r="E723" s="147"/>
      <c r="F723" s="147"/>
      <c r="G723" s="147"/>
      <c r="H723" s="147"/>
      <c r="I723" s="147"/>
      <c r="J723" s="147"/>
      <c r="K723" s="147"/>
      <c r="L723" s="147"/>
      <c r="M723" s="147"/>
      <c r="N723" s="147"/>
      <c r="O723" s="147"/>
      <c r="P723" s="147"/>
      <c r="Q723" s="147"/>
      <c r="R723" s="147"/>
      <c r="S723" s="147"/>
      <c r="T723" s="147"/>
      <c r="U723" s="147"/>
      <c r="V723" s="147"/>
      <c r="W723" s="147"/>
      <c r="X723" s="147"/>
      <c r="Y723" s="147"/>
      <c r="Z723" s="147"/>
    </row>
    <row r="724" ht="15.75" customHeight="1">
      <c r="A724" s="147"/>
      <c r="B724" s="147"/>
      <c r="C724" s="147"/>
      <c r="D724" s="147"/>
      <c r="E724" s="147"/>
      <c r="F724" s="147"/>
      <c r="G724" s="147"/>
      <c r="H724" s="147"/>
      <c r="I724" s="147"/>
      <c r="J724" s="147"/>
      <c r="K724" s="147"/>
      <c r="L724" s="147"/>
      <c r="M724" s="147"/>
      <c r="N724" s="147"/>
      <c r="O724" s="147"/>
      <c r="P724" s="147"/>
      <c r="Q724" s="147"/>
      <c r="R724" s="147"/>
      <c r="S724" s="147"/>
      <c r="T724" s="147"/>
      <c r="U724" s="147"/>
      <c r="V724" s="147"/>
      <c r="W724" s="147"/>
      <c r="X724" s="147"/>
      <c r="Y724" s="147"/>
      <c r="Z724" s="147"/>
    </row>
    <row r="725" ht="15.75" customHeight="1">
      <c r="A725" s="147"/>
      <c r="B725" s="147"/>
      <c r="C725" s="147"/>
      <c r="D725" s="147"/>
      <c r="E725" s="147"/>
      <c r="F725" s="147"/>
      <c r="G725" s="147"/>
      <c r="H725" s="147"/>
      <c r="I725" s="147"/>
      <c r="J725" s="147"/>
      <c r="K725" s="147"/>
      <c r="L725" s="147"/>
      <c r="M725" s="147"/>
      <c r="N725" s="147"/>
      <c r="O725" s="147"/>
      <c r="P725" s="147"/>
      <c r="Q725" s="147"/>
      <c r="R725" s="147"/>
      <c r="S725" s="147"/>
      <c r="T725" s="147"/>
      <c r="U725" s="147"/>
      <c r="V725" s="147"/>
      <c r="W725" s="147"/>
      <c r="X725" s="147"/>
      <c r="Y725" s="147"/>
      <c r="Z725" s="147"/>
    </row>
    <row r="726" ht="15.75" customHeight="1">
      <c r="A726" s="147"/>
      <c r="B726" s="147"/>
      <c r="C726" s="147"/>
      <c r="D726" s="147"/>
      <c r="E726" s="147"/>
      <c r="F726" s="147"/>
      <c r="G726" s="147"/>
      <c r="H726" s="147"/>
      <c r="I726" s="147"/>
      <c r="J726" s="147"/>
      <c r="K726" s="147"/>
      <c r="L726" s="147"/>
      <c r="M726" s="147"/>
      <c r="N726" s="147"/>
      <c r="O726" s="147"/>
      <c r="P726" s="147"/>
      <c r="Q726" s="147"/>
      <c r="R726" s="147"/>
      <c r="S726" s="147"/>
      <c r="T726" s="147"/>
      <c r="U726" s="147"/>
      <c r="V726" s="147"/>
      <c r="W726" s="147"/>
      <c r="X726" s="147"/>
      <c r="Y726" s="147"/>
      <c r="Z726" s="147"/>
    </row>
    <row r="727" ht="15.75" customHeight="1">
      <c r="A727" s="147"/>
      <c r="B727" s="147"/>
      <c r="C727" s="147"/>
      <c r="D727" s="147"/>
      <c r="E727" s="147"/>
      <c r="F727" s="147"/>
      <c r="G727" s="147"/>
      <c r="H727" s="147"/>
      <c r="I727" s="147"/>
      <c r="J727" s="147"/>
      <c r="K727" s="147"/>
      <c r="L727" s="147"/>
      <c r="M727" s="147"/>
      <c r="N727" s="147"/>
      <c r="O727" s="147"/>
      <c r="P727" s="147"/>
      <c r="Q727" s="147"/>
      <c r="R727" s="147"/>
      <c r="S727" s="147"/>
      <c r="T727" s="147"/>
      <c r="U727" s="147"/>
      <c r="V727" s="147"/>
      <c r="W727" s="147"/>
      <c r="X727" s="147"/>
      <c r="Y727" s="147"/>
      <c r="Z727" s="147"/>
    </row>
    <row r="728" ht="15.75" customHeight="1">
      <c r="A728" s="147"/>
      <c r="B728" s="147"/>
      <c r="C728" s="147"/>
      <c r="D728" s="147"/>
      <c r="E728" s="147"/>
      <c r="F728" s="147"/>
      <c r="G728" s="147"/>
      <c r="H728" s="147"/>
      <c r="I728" s="147"/>
      <c r="J728" s="147"/>
      <c r="K728" s="147"/>
      <c r="L728" s="147"/>
      <c r="M728" s="147"/>
      <c r="N728" s="147"/>
      <c r="O728" s="147"/>
      <c r="P728" s="147"/>
      <c r="Q728" s="147"/>
      <c r="R728" s="147"/>
      <c r="S728" s="147"/>
      <c r="T728" s="147"/>
      <c r="U728" s="147"/>
      <c r="V728" s="147"/>
      <c r="W728" s="147"/>
      <c r="X728" s="147"/>
      <c r="Y728" s="147"/>
      <c r="Z728" s="147"/>
    </row>
    <row r="729" ht="15.75" customHeight="1">
      <c r="A729" s="147"/>
      <c r="B729" s="147"/>
      <c r="C729" s="147"/>
      <c r="D729" s="147"/>
      <c r="E729" s="147"/>
      <c r="F729" s="147"/>
      <c r="G729" s="147"/>
      <c r="H729" s="147"/>
      <c r="I729" s="147"/>
      <c r="J729" s="147"/>
      <c r="K729" s="147"/>
      <c r="L729" s="147"/>
      <c r="M729" s="147"/>
      <c r="N729" s="147"/>
      <c r="O729" s="147"/>
      <c r="P729" s="147"/>
      <c r="Q729" s="147"/>
      <c r="R729" s="147"/>
      <c r="S729" s="147"/>
      <c r="T729" s="147"/>
      <c r="U729" s="147"/>
      <c r="V729" s="147"/>
      <c r="W729" s="147"/>
      <c r="X729" s="147"/>
      <c r="Y729" s="147"/>
      <c r="Z729" s="147"/>
    </row>
    <row r="730" ht="15.75" customHeight="1">
      <c r="A730" s="147"/>
      <c r="B730" s="147"/>
      <c r="C730" s="147"/>
      <c r="D730" s="147"/>
      <c r="E730" s="147"/>
      <c r="F730" s="147"/>
      <c r="G730" s="147"/>
      <c r="H730" s="147"/>
      <c r="I730" s="147"/>
      <c r="J730" s="147"/>
      <c r="K730" s="147"/>
      <c r="L730" s="147"/>
      <c r="M730" s="147"/>
      <c r="N730" s="147"/>
      <c r="O730" s="147"/>
      <c r="P730" s="147"/>
      <c r="Q730" s="147"/>
      <c r="R730" s="147"/>
      <c r="S730" s="147"/>
      <c r="T730" s="147"/>
      <c r="U730" s="147"/>
      <c r="V730" s="147"/>
      <c r="W730" s="147"/>
      <c r="X730" s="147"/>
      <c r="Y730" s="147"/>
      <c r="Z730" s="147"/>
    </row>
    <row r="731" ht="15.75" customHeight="1">
      <c r="A731" s="147"/>
      <c r="B731" s="147"/>
      <c r="C731" s="147"/>
      <c r="D731" s="147"/>
      <c r="E731" s="147"/>
      <c r="F731" s="147"/>
      <c r="G731" s="147"/>
      <c r="H731" s="147"/>
      <c r="I731" s="147"/>
      <c r="J731" s="147"/>
      <c r="K731" s="147"/>
      <c r="L731" s="147"/>
      <c r="M731" s="147"/>
      <c r="N731" s="147"/>
      <c r="O731" s="147"/>
      <c r="P731" s="147"/>
      <c r="Q731" s="147"/>
      <c r="R731" s="147"/>
      <c r="S731" s="147"/>
      <c r="T731" s="147"/>
      <c r="U731" s="147"/>
      <c r="V731" s="147"/>
      <c r="W731" s="147"/>
      <c r="X731" s="147"/>
      <c r="Y731" s="147"/>
      <c r="Z731" s="147"/>
    </row>
    <row r="732" ht="15.75" customHeight="1">
      <c r="A732" s="147"/>
      <c r="B732" s="147"/>
      <c r="C732" s="147"/>
      <c r="D732" s="147"/>
      <c r="E732" s="147"/>
      <c r="F732" s="147"/>
      <c r="G732" s="147"/>
      <c r="H732" s="147"/>
      <c r="I732" s="147"/>
      <c r="J732" s="147"/>
      <c r="K732" s="147"/>
      <c r="L732" s="147"/>
      <c r="M732" s="147"/>
      <c r="N732" s="147"/>
      <c r="O732" s="147"/>
      <c r="P732" s="147"/>
      <c r="Q732" s="147"/>
      <c r="R732" s="147"/>
      <c r="S732" s="147"/>
      <c r="T732" s="147"/>
      <c r="U732" s="147"/>
      <c r="V732" s="147"/>
      <c r="W732" s="147"/>
      <c r="X732" s="147"/>
      <c r="Y732" s="147"/>
      <c r="Z732" s="147"/>
    </row>
    <row r="733" ht="15.75" customHeight="1">
      <c r="A733" s="147"/>
      <c r="B733" s="147"/>
      <c r="C733" s="147"/>
      <c r="D733" s="147"/>
      <c r="E733" s="147"/>
      <c r="F733" s="147"/>
      <c r="G733" s="147"/>
      <c r="H733" s="147"/>
      <c r="I733" s="147"/>
      <c r="J733" s="147"/>
      <c r="K733" s="147"/>
      <c r="L733" s="147"/>
      <c r="M733" s="147"/>
      <c r="N733" s="147"/>
      <c r="O733" s="147"/>
      <c r="P733" s="147"/>
      <c r="Q733" s="147"/>
      <c r="R733" s="147"/>
      <c r="S733" s="147"/>
      <c r="T733" s="147"/>
      <c r="U733" s="147"/>
      <c r="V733" s="147"/>
      <c r="W733" s="147"/>
      <c r="X733" s="147"/>
      <c r="Y733" s="147"/>
      <c r="Z733" s="147"/>
    </row>
    <row r="734" ht="15.75" customHeight="1">
      <c r="A734" s="147"/>
      <c r="B734" s="147"/>
      <c r="C734" s="147"/>
      <c r="D734" s="147"/>
      <c r="E734" s="147"/>
      <c r="F734" s="147"/>
      <c r="G734" s="147"/>
      <c r="H734" s="147"/>
      <c r="I734" s="147"/>
      <c r="J734" s="147"/>
      <c r="K734" s="147"/>
      <c r="L734" s="147"/>
      <c r="M734" s="147"/>
      <c r="N734" s="147"/>
      <c r="O734" s="147"/>
      <c r="P734" s="147"/>
      <c r="Q734" s="147"/>
      <c r="R734" s="147"/>
      <c r="S734" s="147"/>
      <c r="T734" s="147"/>
      <c r="U734" s="147"/>
      <c r="V734" s="147"/>
      <c r="W734" s="147"/>
      <c r="X734" s="147"/>
      <c r="Y734" s="147"/>
      <c r="Z734" s="147"/>
    </row>
    <row r="735" ht="15.75" customHeight="1">
      <c r="A735" s="147"/>
      <c r="B735" s="147"/>
      <c r="C735" s="147"/>
      <c r="D735" s="147"/>
      <c r="E735" s="147"/>
      <c r="F735" s="147"/>
      <c r="G735" s="147"/>
      <c r="H735" s="147"/>
      <c r="I735" s="147"/>
      <c r="J735" s="147"/>
      <c r="K735" s="147"/>
      <c r="L735" s="147"/>
      <c r="M735" s="147"/>
      <c r="N735" s="147"/>
      <c r="O735" s="147"/>
      <c r="P735" s="147"/>
      <c r="Q735" s="147"/>
      <c r="R735" s="147"/>
      <c r="S735" s="147"/>
      <c r="T735" s="147"/>
      <c r="U735" s="147"/>
      <c r="V735" s="147"/>
      <c r="W735" s="147"/>
      <c r="X735" s="147"/>
      <c r="Y735" s="147"/>
      <c r="Z735" s="147"/>
    </row>
    <row r="736" ht="15.75" customHeight="1">
      <c r="A736" s="147"/>
      <c r="B736" s="147"/>
      <c r="C736" s="147"/>
      <c r="D736" s="147"/>
      <c r="E736" s="147"/>
      <c r="F736" s="147"/>
      <c r="G736" s="147"/>
      <c r="H736" s="147"/>
      <c r="I736" s="147"/>
      <c r="J736" s="147"/>
      <c r="K736" s="147"/>
      <c r="L736" s="147"/>
      <c r="M736" s="147"/>
      <c r="N736" s="147"/>
      <c r="O736" s="147"/>
      <c r="P736" s="147"/>
      <c r="Q736" s="147"/>
      <c r="R736" s="147"/>
      <c r="S736" s="147"/>
      <c r="T736" s="147"/>
      <c r="U736" s="147"/>
      <c r="V736" s="147"/>
      <c r="W736" s="147"/>
      <c r="X736" s="147"/>
      <c r="Y736" s="147"/>
      <c r="Z736" s="147"/>
    </row>
    <row r="737" ht="15.75" customHeight="1">
      <c r="A737" s="147"/>
      <c r="B737" s="147"/>
      <c r="C737" s="147"/>
      <c r="D737" s="147"/>
      <c r="E737" s="147"/>
      <c r="F737" s="147"/>
      <c r="G737" s="147"/>
      <c r="H737" s="147"/>
      <c r="I737" s="147"/>
      <c r="J737" s="147"/>
      <c r="K737" s="147"/>
      <c r="L737" s="147"/>
      <c r="M737" s="147"/>
      <c r="N737" s="147"/>
      <c r="O737" s="147"/>
      <c r="P737" s="147"/>
      <c r="Q737" s="147"/>
      <c r="R737" s="147"/>
      <c r="S737" s="147"/>
      <c r="T737" s="147"/>
      <c r="U737" s="147"/>
      <c r="V737" s="147"/>
      <c r="W737" s="147"/>
      <c r="X737" s="147"/>
      <c r="Y737" s="147"/>
      <c r="Z737" s="147"/>
    </row>
    <row r="738" ht="15.75" customHeight="1">
      <c r="A738" s="147"/>
      <c r="B738" s="147"/>
      <c r="C738" s="147"/>
      <c r="D738" s="147"/>
      <c r="E738" s="147"/>
      <c r="F738" s="147"/>
      <c r="G738" s="147"/>
      <c r="H738" s="147"/>
      <c r="I738" s="147"/>
      <c r="J738" s="147"/>
      <c r="K738" s="147"/>
      <c r="L738" s="147"/>
      <c r="M738" s="147"/>
      <c r="N738" s="147"/>
      <c r="O738" s="147"/>
      <c r="P738" s="147"/>
      <c r="Q738" s="147"/>
      <c r="R738" s="147"/>
      <c r="S738" s="147"/>
      <c r="T738" s="147"/>
      <c r="U738" s="147"/>
      <c r="V738" s="147"/>
      <c r="W738" s="147"/>
      <c r="X738" s="147"/>
      <c r="Y738" s="147"/>
      <c r="Z738" s="147"/>
    </row>
    <row r="739" ht="15.75" customHeight="1">
      <c r="A739" s="147"/>
      <c r="B739" s="147"/>
      <c r="C739" s="147"/>
      <c r="D739" s="147"/>
      <c r="E739" s="147"/>
      <c r="F739" s="147"/>
      <c r="G739" s="147"/>
      <c r="H739" s="147"/>
      <c r="I739" s="147"/>
      <c r="J739" s="147"/>
      <c r="K739" s="147"/>
      <c r="L739" s="147"/>
      <c r="M739" s="147"/>
      <c r="N739" s="147"/>
      <c r="O739" s="147"/>
      <c r="P739" s="147"/>
      <c r="Q739" s="147"/>
      <c r="R739" s="147"/>
      <c r="S739" s="147"/>
      <c r="T739" s="147"/>
      <c r="U739" s="147"/>
      <c r="V739" s="147"/>
      <c r="W739" s="147"/>
      <c r="X739" s="147"/>
      <c r="Y739" s="147"/>
      <c r="Z739" s="147"/>
    </row>
    <row r="740" ht="15.75" customHeight="1">
      <c r="A740" s="147"/>
      <c r="B740" s="147"/>
      <c r="C740" s="147"/>
      <c r="D740" s="147"/>
      <c r="E740" s="147"/>
      <c r="F740" s="147"/>
      <c r="G740" s="147"/>
      <c r="H740" s="147"/>
      <c r="I740" s="147"/>
      <c r="J740" s="147"/>
      <c r="K740" s="147"/>
      <c r="L740" s="147"/>
      <c r="M740" s="147"/>
      <c r="N740" s="147"/>
      <c r="O740" s="147"/>
      <c r="P740" s="147"/>
      <c r="Q740" s="147"/>
      <c r="R740" s="147"/>
      <c r="S740" s="147"/>
      <c r="T740" s="147"/>
      <c r="U740" s="147"/>
      <c r="V740" s="147"/>
      <c r="W740" s="147"/>
      <c r="X740" s="147"/>
      <c r="Y740" s="147"/>
      <c r="Z740" s="147"/>
    </row>
    <row r="741" ht="15.75" customHeight="1">
      <c r="A741" s="147"/>
      <c r="B741" s="147"/>
      <c r="C741" s="147"/>
      <c r="D741" s="147"/>
      <c r="E741" s="147"/>
      <c r="F741" s="147"/>
      <c r="G741" s="147"/>
      <c r="H741" s="147"/>
      <c r="I741" s="147"/>
      <c r="J741" s="147"/>
      <c r="K741" s="147"/>
      <c r="L741" s="147"/>
      <c r="M741" s="147"/>
      <c r="N741" s="147"/>
      <c r="O741" s="147"/>
      <c r="P741" s="147"/>
      <c r="Q741" s="147"/>
      <c r="R741" s="147"/>
      <c r="S741" s="147"/>
      <c r="T741" s="147"/>
      <c r="U741" s="147"/>
      <c r="V741" s="147"/>
      <c r="W741" s="147"/>
      <c r="X741" s="147"/>
      <c r="Y741" s="147"/>
      <c r="Z741" s="147"/>
    </row>
    <row r="742" ht="15.75" customHeight="1">
      <c r="A742" s="147"/>
      <c r="B742" s="147"/>
      <c r="C742" s="147"/>
      <c r="D742" s="147"/>
      <c r="E742" s="147"/>
      <c r="F742" s="147"/>
      <c r="G742" s="147"/>
      <c r="H742" s="147"/>
      <c r="I742" s="147"/>
      <c r="J742" s="147"/>
      <c r="K742" s="147"/>
      <c r="L742" s="147"/>
      <c r="M742" s="147"/>
      <c r="N742" s="147"/>
      <c r="O742" s="147"/>
      <c r="P742" s="147"/>
      <c r="Q742" s="147"/>
      <c r="R742" s="147"/>
      <c r="S742" s="147"/>
      <c r="T742" s="147"/>
      <c r="U742" s="147"/>
      <c r="V742" s="147"/>
      <c r="W742" s="147"/>
      <c r="X742" s="147"/>
      <c r="Y742" s="147"/>
      <c r="Z742" s="147"/>
    </row>
    <row r="743" ht="15.75" customHeight="1">
      <c r="A743" s="147"/>
      <c r="B743" s="147"/>
      <c r="C743" s="147"/>
      <c r="D743" s="147"/>
      <c r="E743" s="147"/>
      <c r="F743" s="147"/>
      <c r="G743" s="147"/>
      <c r="H743" s="147"/>
      <c r="I743" s="147"/>
      <c r="J743" s="147"/>
      <c r="K743" s="147"/>
      <c r="L743" s="147"/>
      <c r="M743" s="147"/>
      <c r="N743" s="147"/>
      <c r="O743" s="147"/>
      <c r="P743" s="147"/>
      <c r="Q743" s="147"/>
      <c r="R743" s="147"/>
      <c r="S743" s="147"/>
      <c r="T743" s="147"/>
      <c r="U743" s="147"/>
      <c r="V743" s="147"/>
      <c r="W743" s="147"/>
      <c r="X743" s="147"/>
      <c r="Y743" s="147"/>
      <c r="Z743" s="147"/>
    </row>
    <row r="744" ht="15.75" customHeight="1">
      <c r="A744" s="147"/>
      <c r="B744" s="147"/>
      <c r="C744" s="147"/>
      <c r="D744" s="147"/>
      <c r="E744" s="147"/>
      <c r="F744" s="147"/>
      <c r="G744" s="147"/>
      <c r="H744" s="147"/>
      <c r="I744" s="147"/>
      <c r="J744" s="147"/>
      <c r="K744" s="147"/>
      <c r="L744" s="147"/>
      <c r="M744" s="147"/>
      <c r="N744" s="147"/>
      <c r="O744" s="147"/>
      <c r="P744" s="147"/>
      <c r="Q744" s="147"/>
      <c r="R744" s="147"/>
      <c r="S744" s="147"/>
      <c r="T744" s="147"/>
      <c r="U744" s="147"/>
      <c r="V744" s="147"/>
      <c r="W744" s="147"/>
      <c r="X744" s="147"/>
      <c r="Y744" s="147"/>
      <c r="Z744" s="147"/>
    </row>
    <row r="745" ht="15.75" customHeight="1">
      <c r="A745" s="147"/>
      <c r="B745" s="147"/>
      <c r="C745" s="147"/>
      <c r="D745" s="147"/>
      <c r="E745" s="147"/>
      <c r="F745" s="147"/>
      <c r="G745" s="147"/>
      <c r="H745" s="147"/>
      <c r="I745" s="147"/>
      <c r="J745" s="147"/>
      <c r="K745" s="147"/>
      <c r="L745" s="147"/>
      <c r="M745" s="147"/>
      <c r="N745" s="147"/>
      <c r="O745" s="147"/>
      <c r="P745" s="147"/>
      <c r="Q745" s="147"/>
      <c r="R745" s="147"/>
      <c r="S745" s="147"/>
      <c r="T745" s="147"/>
      <c r="U745" s="147"/>
      <c r="V745" s="147"/>
      <c r="W745" s="147"/>
      <c r="X745" s="147"/>
      <c r="Y745" s="147"/>
      <c r="Z745" s="147"/>
    </row>
    <row r="746" ht="15.75" customHeight="1">
      <c r="A746" s="147"/>
      <c r="B746" s="147"/>
      <c r="C746" s="147"/>
      <c r="D746" s="147"/>
      <c r="E746" s="147"/>
      <c r="F746" s="147"/>
      <c r="G746" s="147"/>
      <c r="H746" s="147"/>
      <c r="I746" s="147"/>
      <c r="J746" s="147"/>
      <c r="K746" s="147"/>
      <c r="L746" s="147"/>
      <c r="M746" s="147"/>
      <c r="N746" s="147"/>
      <c r="O746" s="147"/>
      <c r="P746" s="147"/>
      <c r="Q746" s="147"/>
      <c r="R746" s="147"/>
      <c r="S746" s="147"/>
      <c r="T746" s="147"/>
      <c r="U746" s="147"/>
      <c r="V746" s="147"/>
      <c r="W746" s="147"/>
      <c r="X746" s="147"/>
      <c r="Y746" s="147"/>
      <c r="Z746" s="147"/>
    </row>
    <row r="747" ht="15.75" customHeight="1">
      <c r="A747" s="147"/>
      <c r="B747" s="147"/>
      <c r="C747" s="147"/>
      <c r="D747" s="147"/>
      <c r="E747" s="147"/>
      <c r="F747" s="147"/>
      <c r="G747" s="147"/>
      <c r="H747" s="147"/>
      <c r="I747" s="147"/>
      <c r="J747" s="147"/>
      <c r="K747" s="147"/>
      <c r="L747" s="147"/>
      <c r="M747" s="147"/>
      <c r="N747" s="147"/>
      <c r="O747" s="147"/>
      <c r="P747" s="147"/>
      <c r="Q747" s="147"/>
      <c r="R747" s="147"/>
      <c r="S747" s="147"/>
      <c r="T747" s="147"/>
      <c r="U747" s="147"/>
      <c r="V747" s="147"/>
      <c r="W747" s="147"/>
      <c r="X747" s="147"/>
      <c r="Y747" s="147"/>
      <c r="Z747" s="147"/>
    </row>
    <row r="748" ht="15.75" customHeight="1">
      <c r="A748" s="147"/>
      <c r="B748" s="147"/>
      <c r="C748" s="147"/>
      <c r="D748" s="147"/>
      <c r="E748" s="147"/>
      <c r="F748" s="147"/>
      <c r="G748" s="147"/>
      <c r="H748" s="147"/>
      <c r="I748" s="147"/>
      <c r="J748" s="147"/>
      <c r="K748" s="147"/>
      <c r="L748" s="147"/>
      <c r="M748" s="147"/>
      <c r="N748" s="147"/>
      <c r="O748" s="147"/>
      <c r="P748" s="147"/>
      <c r="Q748" s="147"/>
      <c r="R748" s="147"/>
      <c r="S748" s="147"/>
      <c r="T748" s="147"/>
      <c r="U748" s="147"/>
      <c r="V748" s="147"/>
      <c r="W748" s="147"/>
      <c r="X748" s="147"/>
      <c r="Y748" s="147"/>
      <c r="Z748" s="147"/>
    </row>
    <row r="749" ht="15.75" customHeight="1">
      <c r="A749" s="147"/>
      <c r="B749" s="147"/>
      <c r="C749" s="147"/>
      <c r="D749" s="147"/>
      <c r="E749" s="147"/>
      <c r="F749" s="147"/>
      <c r="G749" s="147"/>
      <c r="H749" s="147"/>
      <c r="I749" s="147"/>
      <c r="J749" s="147"/>
      <c r="K749" s="147"/>
      <c r="L749" s="147"/>
      <c r="M749" s="147"/>
      <c r="N749" s="147"/>
      <c r="O749" s="147"/>
      <c r="P749" s="147"/>
      <c r="Q749" s="147"/>
      <c r="R749" s="147"/>
      <c r="S749" s="147"/>
      <c r="T749" s="147"/>
      <c r="U749" s="147"/>
      <c r="V749" s="147"/>
      <c r="W749" s="147"/>
      <c r="X749" s="147"/>
      <c r="Y749" s="147"/>
      <c r="Z749" s="147"/>
    </row>
    <row r="750" ht="15.75" customHeight="1">
      <c r="A750" s="147"/>
      <c r="B750" s="147"/>
      <c r="C750" s="147"/>
      <c r="D750" s="147"/>
      <c r="E750" s="147"/>
      <c r="F750" s="147"/>
      <c r="G750" s="147"/>
      <c r="H750" s="147"/>
      <c r="I750" s="147"/>
      <c r="J750" s="147"/>
      <c r="K750" s="147"/>
      <c r="L750" s="147"/>
      <c r="M750" s="147"/>
      <c r="N750" s="147"/>
      <c r="O750" s="147"/>
      <c r="P750" s="147"/>
      <c r="Q750" s="147"/>
      <c r="R750" s="147"/>
      <c r="S750" s="147"/>
      <c r="T750" s="147"/>
      <c r="U750" s="147"/>
      <c r="V750" s="147"/>
      <c r="W750" s="147"/>
      <c r="X750" s="147"/>
      <c r="Y750" s="147"/>
      <c r="Z750" s="147"/>
    </row>
    <row r="751" ht="15.75" customHeight="1">
      <c r="A751" s="147"/>
      <c r="B751" s="147"/>
      <c r="C751" s="147"/>
      <c r="D751" s="147"/>
      <c r="E751" s="147"/>
      <c r="F751" s="147"/>
      <c r="G751" s="147"/>
      <c r="H751" s="147"/>
      <c r="I751" s="147"/>
      <c r="J751" s="147"/>
      <c r="K751" s="147"/>
      <c r="L751" s="147"/>
      <c r="M751" s="147"/>
      <c r="N751" s="147"/>
      <c r="O751" s="147"/>
      <c r="P751" s="147"/>
      <c r="Q751" s="147"/>
      <c r="R751" s="147"/>
      <c r="S751" s="147"/>
      <c r="T751" s="147"/>
      <c r="U751" s="147"/>
      <c r="V751" s="147"/>
      <c r="W751" s="147"/>
      <c r="X751" s="147"/>
      <c r="Y751" s="147"/>
      <c r="Z751" s="147"/>
    </row>
    <row r="752" ht="15.75" customHeight="1">
      <c r="A752" s="147"/>
      <c r="B752" s="147"/>
      <c r="C752" s="147"/>
      <c r="D752" s="147"/>
      <c r="E752" s="147"/>
      <c r="F752" s="147"/>
      <c r="G752" s="147"/>
      <c r="H752" s="147"/>
      <c r="I752" s="147"/>
      <c r="J752" s="147"/>
      <c r="K752" s="147"/>
      <c r="L752" s="147"/>
      <c r="M752" s="147"/>
      <c r="N752" s="147"/>
      <c r="O752" s="147"/>
      <c r="P752" s="147"/>
      <c r="Q752" s="147"/>
      <c r="R752" s="147"/>
      <c r="S752" s="147"/>
      <c r="T752" s="147"/>
      <c r="U752" s="147"/>
      <c r="V752" s="147"/>
      <c r="W752" s="147"/>
      <c r="X752" s="147"/>
      <c r="Y752" s="147"/>
      <c r="Z752" s="147"/>
    </row>
    <row r="753" ht="15.75" customHeight="1">
      <c r="A753" s="147"/>
      <c r="B753" s="147"/>
      <c r="C753" s="147"/>
      <c r="D753" s="147"/>
      <c r="E753" s="147"/>
      <c r="F753" s="147"/>
      <c r="G753" s="147"/>
      <c r="H753" s="147"/>
      <c r="I753" s="147"/>
      <c r="J753" s="147"/>
      <c r="K753" s="147"/>
      <c r="L753" s="147"/>
      <c r="M753" s="147"/>
      <c r="N753" s="147"/>
      <c r="O753" s="147"/>
      <c r="P753" s="147"/>
      <c r="Q753" s="147"/>
      <c r="R753" s="147"/>
      <c r="S753" s="147"/>
      <c r="T753" s="147"/>
      <c r="U753" s="147"/>
      <c r="V753" s="147"/>
      <c r="W753" s="147"/>
      <c r="X753" s="147"/>
      <c r="Y753" s="147"/>
      <c r="Z753" s="147"/>
    </row>
    <row r="754" ht="15.75" customHeight="1">
      <c r="A754" s="147"/>
      <c r="B754" s="147"/>
      <c r="C754" s="147"/>
      <c r="D754" s="147"/>
      <c r="E754" s="147"/>
      <c r="F754" s="147"/>
      <c r="G754" s="147"/>
      <c r="H754" s="147"/>
      <c r="I754" s="147"/>
      <c r="J754" s="147"/>
      <c r="K754" s="147"/>
      <c r="L754" s="147"/>
      <c r="M754" s="147"/>
      <c r="N754" s="147"/>
      <c r="O754" s="147"/>
      <c r="P754" s="147"/>
      <c r="Q754" s="147"/>
      <c r="R754" s="147"/>
      <c r="S754" s="147"/>
      <c r="T754" s="147"/>
      <c r="U754" s="147"/>
      <c r="V754" s="147"/>
      <c r="W754" s="147"/>
      <c r="X754" s="147"/>
      <c r="Y754" s="147"/>
      <c r="Z754" s="147"/>
    </row>
    <row r="755" ht="15.75" customHeight="1">
      <c r="A755" s="147"/>
      <c r="B755" s="147"/>
      <c r="C755" s="147"/>
      <c r="D755" s="147"/>
      <c r="E755" s="147"/>
      <c r="F755" s="147"/>
      <c r="G755" s="147"/>
      <c r="H755" s="147"/>
      <c r="I755" s="147"/>
      <c r="J755" s="147"/>
      <c r="K755" s="147"/>
      <c r="L755" s="147"/>
      <c r="M755" s="147"/>
      <c r="N755" s="147"/>
      <c r="O755" s="147"/>
      <c r="P755" s="147"/>
      <c r="Q755" s="147"/>
      <c r="R755" s="147"/>
      <c r="S755" s="147"/>
      <c r="T755" s="147"/>
      <c r="U755" s="147"/>
      <c r="V755" s="147"/>
      <c r="W755" s="147"/>
      <c r="X755" s="147"/>
      <c r="Y755" s="147"/>
      <c r="Z755" s="147"/>
    </row>
    <row r="756" ht="15.75" customHeight="1">
      <c r="A756" s="147"/>
      <c r="B756" s="147"/>
      <c r="C756" s="147"/>
      <c r="D756" s="147"/>
      <c r="E756" s="147"/>
      <c r="F756" s="147"/>
      <c r="G756" s="147"/>
      <c r="H756" s="147"/>
      <c r="I756" s="147"/>
      <c r="J756" s="147"/>
      <c r="K756" s="147"/>
      <c r="L756" s="147"/>
      <c r="M756" s="147"/>
      <c r="N756" s="147"/>
      <c r="O756" s="147"/>
      <c r="P756" s="147"/>
      <c r="Q756" s="147"/>
      <c r="R756" s="147"/>
      <c r="S756" s="147"/>
      <c r="T756" s="147"/>
      <c r="U756" s="147"/>
      <c r="V756" s="147"/>
      <c r="W756" s="147"/>
      <c r="X756" s="147"/>
      <c r="Y756" s="147"/>
      <c r="Z756" s="147"/>
    </row>
    <row r="757" ht="15.75" customHeight="1">
      <c r="A757" s="147"/>
      <c r="B757" s="147"/>
      <c r="C757" s="147"/>
      <c r="D757" s="147"/>
      <c r="E757" s="147"/>
      <c r="F757" s="147"/>
      <c r="G757" s="147"/>
      <c r="H757" s="147"/>
      <c r="I757" s="147"/>
      <c r="J757" s="147"/>
      <c r="K757" s="147"/>
      <c r="L757" s="147"/>
      <c r="M757" s="147"/>
      <c r="N757" s="147"/>
      <c r="O757" s="147"/>
      <c r="P757" s="147"/>
      <c r="Q757" s="147"/>
      <c r="R757" s="147"/>
      <c r="S757" s="147"/>
      <c r="T757" s="147"/>
      <c r="U757" s="147"/>
      <c r="V757" s="147"/>
      <c r="W757" s="147"/>
      <c r="X757" s="147"/>
      <c r="Y757" s="147"/>
      <c r="Z757" s="147"/>
    </row>
    <row r="758" ht="15.75" customHeight="1">
      <c r="A758" s="147"/>
      <c r="B758" s="147"/>
      <c r="C758" s="147"/>
      <c r="D758" s="147"/>
      <c r="E758" s="147"/>
      <c r="F758" s="147"/>
      <c r="G758" s="147"/>
      <c r="H758" s="147"/>
      <c r="I758" s="147"/>
      <c r="J758" s="147"/>
      <c r="K758" s="147"/>
      <c r="L758" s="147"/>
      <c r="M758" s="147"/>
      <c r="N758" s="147"/>
      <c r="O758" s="147"/>
      <c r="P758" s="147"/>
      <c r="Q758" s="147"/>
      <c r="R758" s="147"/>
      <c r="S758" s="147"/>
      <c r="T758" s="147"/>
      <c r="U758" s="147"/>
      <c r="V758" s="147"/>
      <c r="W758" s="147"/>
      <c r="X758" s="147"/>
      <c r="Y758" s="147"/>
      <c r="Z758" s="147"/>
    </row>
    <row r="759" ht="15.75" customHeight="1">
      <c r="A759" s="147"/>
      <c r="B759" s="147"/>
      <c r="C759" s="147"/>
      <c r="D759" s="147"/>
      <c r="E759" s="147"/>
      <c r="F759" s="147"/>
      <c r="G759" s="147"/>
      <c r="H759" s="147"/>
      <c r="I759" s="147"/>
      <c r="J759" s="147"/>
      <c r="K759" s="147"/>
      <c r="L759" s="147"/>
      <c r="M759" s="147"/>
      <c r="N759" s="147"/>
      <c r="O759" s="147"/>
      <c r="P759" s="147"/>
      <c r="Q759" s="147"/>
      <c r="R759" s="147"/>
      <c r="S759" s="147"/>
      <c r="T759" s="147"/>
      <c r="U759" s="147"/>
      <c r="V759" s="147"/>
      <c r="W759" s="147"/>
      <c r="X759" s="147"/>
      <c r="Y759" s="147"/>
      <c r="Z759" s="147"/>
    </row>
    <row r="760" ht="15.75" customHeight="1">
      <c r="A760" s="147"/>
      <c r="B760" s="147"/>
      <c r="C760" s="147"/>
      <c r="D760" s="147"/>
      <c r="E760" s="147"/>
      <c r="F760" s="147"/>
      <c r="G760" s="147"/>
      <c r="H760" s="147"/>
      <c r="I760" s="147"/>
      <c r="J760" s="147"/>
      <c r="K760" s="147"/>
      <c r="L760" s="147"/>
      <c r="M760" s="147"/>
      <c r="N760" s="147"/>
      <c r="O760" s="147"/>
      <c r="P760" s="147"/>
      <c r="Q760" s="147"/>
      <c r="R760" s="147"/>
      <c r="S760" s="147"/>
      <c r="T760" s="147"/>
      <c r="U760" s="147"/>
      <c r="V760" s="147"/>
      <c r="W760" s="147"/>
      <c r="X760" s="147"/>
      <c r="Y760" s="147"/>
      <c r="Z760" s="147"/>
    </row>
    <row r="761" ht="15.75" customHeight="1">
      <c r="A761" s="147"/>
      <c r="B761" s="147"/>
      <c r="C761" s="147"/>
      <c r="D761" s="147"/>
      <c r="E761" s="147"/>
      <c r="F761" s="147"/>
      <c r="G761" s="147"/>
      <c r="H761" s="147"/>
      <c r="I761" s="147"/>
      <c r="J761" s="147"/>
      <c r="K761" s="147"/>
      <c r="L761" s="147"/>
      <c r="M761" s="147"/>
      <c r="N761" s="147"/>
      <c r="O761" s="147"/>
      <c r="P761" s="147"/>
      <c r="Q761" s="147"/>
      <c r="R761" s="147"/>
      <c r="S761" s="147"/>
      <c r="T761" s="147"/>
      <c r="U761" s="147"/>
      <c r="V761" s="147"/>
      <c r="W761" s="147"/>
      <c r="X761" s="147"/>
      <c r="Y761" s="147"/>
      <c r="Z761" s="147"/>
    </row>
    <row r="762" ht="15.75" customHeight="1">
      <c r="A762" s="147"/>
      <c r="B762" s="147"/>
      <c r="C762" s="147"/>
      <c r="D762" s="147"/>
      <c r="E762" s="147"/>
      <c r="F762" s="147"/>
      <c r="G762" s="147"/>
      <c r="H762" s="147"/>
      <c r="I762" s="147"/>
      <c r="J762" s="147"/>
      <c r="K762" s="147"/>
      <c r="L762" s="147"/>
      <c r="M762" s="147"/>
      <c r="N762" s="147"/>
      <c r="O762" s="147"/>
      <c r="P762" s="147"/>
      <c r="Q762" s="147"/>
      <c r="R762" s="147"/>
      <c r="S762" s="147"/>
      <c r="T762" s="147"/>
      <c r="U762" s="147"/>
      <c r="V762" s="147"/>
      <c r="W762" s="147"/>
      <c r="X762" s="147"/>
      <c r="Y762" s="147"/>
      <c r="Z762" s="147"/>
    </row>
    <row r="763" ht="15.75" customHeight="1">
      <c r="A763" s="147"/>
      <c r="B763" s="147"/>
      <c r="C763" s="147"/>
      <c r="D763" s="147"/>
      <c r="E763" s="147"/>
      <c r="F763" s="147"/>
      <c r="G763" s="147"/>
      <c r="H763" s="147"/>
      <c r="I763" s="147"/>
      <c r="J763" s="147"/>
      <c r="K763" s="147"/>
      <c r="L763" s="147"/>
      <c r="M763" s="147"/>
      <c r="N763" s="147"/>
      <c r="O763" s="147"/>
      <c r="P763" s="147"/>
      <c r="Q763" s="147"/>
      <c r="R763" s="147"/>
      <c r="S763" s="147"/>
      <c r="T763" s="147"/>
      <c r="U763" s="147"/>
      <c r="V763" s="147"/>
      <c r="W763" s="147"/>
      <c r="X763" s="147"/>
      <c r="Y763" s="147"/>
      <c r="Z763" s="147"/>
    </row>
    <row r="764" ht="15.75" customHeight="1">
      <c r="A764" s="147"/>
      <c r="B764" s="147"/>
      <c r="C764" s="147"/>
      <c r="D764" s="147"/>
      <c r="E764" s="147"/>
      <c r="F764" s="147"/>
      <c r="G764" s="147"/>
      <c r="H764" s="147"/>
      <c r="I764" s="147"/>
      <c r="J764" s="147"/>
      <c r="K764" s="147"/>
      <c r="L764" s="147"/>
      <c r="M764" s="147"/>
      <c r="N764" s="147"/>
      <c r="O764" s="147"/>
      <c r="P764" s="147"/>
      <c r="Q764" s="147"/>
      <c r="R764" s="147"/>
      <c r="S764" s="147"/>
      <c r="T764" s="147"/>
      <c r="U764" s="147"/>
      <c r="V764" s="147"/>
      <c r="W764" s="147"/>
      <c r="X764" s="147"/>
      <c r="Y764" s="147"/>
      <c r="Z764" s="147"/>
    </row>
    <row r="765" ht="15.75" customHeight="1">
      <c r="A765" s="147"/>
      <c r="B765" s="147"/>
      <c r="C765" s="147"/>
      <c r="D765" s="147"/>
      <c r="E765" s="147"/>
      <c r="F765" s="147"/>
      <c r="G765" s="147"/>
      <c r="H765" s="147"/>
      <c r="I765" s="147"/>
      <c r="J765" s="147"/>
      <c r="K765" s="147"/>
      <c r="L765" s="147"/>
      <c r="M765" s="147"/>
      <c r="N765" s="147"/>
      <c r="O765" s="147"/>
      <c r="P765" s="147"/>
      <c r="Q765" s="147"/>
      <c r="R765" s="147"/>
      <c r="S765" s="147"/>
      <c r="T765" s="147"/>
      <c r="U765" s="147"/>
      <c r="V765" s="147"/>
      <c r="W765" s="147"/>
      <c r="X765" s="147"/>
      <c r="Y765" s="147"/>
      <c r="Z765" s="147"/>
    </row>
    <row r="766" ht="15.75" customHeight="1">
      <c r="A766" s="147"/>
      <c r="B766" s="147"/>
      <c r="C766" s="147"/>
      <c r="D766" s="147"/>
      <c r="E766" s="147"/>
      <c r="F766" s="147"/>
      <c r="G766" s="147"/>
      <c r="H766" s="147"/>
      <c r="I766" s="147"/>
      <c r="J766" s="147"/>
      <c r="K766" s="147"/>
      <c r="L766" s="147"/>
      <c r="M766" s="147"/>
      <c r="N766" s="147"/>
      <c r="O766" s="147"/>
      <c r="P766" s="147"/>
      <c r="Q766" s="147"/>
      <c r="R766" s="147"/>
      <c r="S766" s="147"/>
      <c r="T766" s="147"/>
      <c r="U766" s="147"/>
      <c r="V766" s="147"/>
      <c r="W766" s="147"/>
      <c r="X766" s="147"/>
      <c r="Y766" s="147"/>
      <c r="Z766" s="147"/>
    </row>
    <row r="767" ht="15.75" customHeight="1">
      <c r="A767" s="147"/>
      <c r="B767" s="147"/>
      <c r="C767" s="147"/>
      <c r="D767" s="147"/>
      <c r="E767" s="147"/>
      <c r="F767" s="147"/>
      <c r="G767" s="147"/>
      <c r="H767" s="147"/>
      <c r="I767" s="147"/>
      <c r="J767" s="147"/>
      <c r="K767" s="147"/>
      <c r="L767" s="147"/>
      <c r="M767" s="147"/>
      <c r="N767" s="147"/>
      <c r="O767" s="147"/>
      <c r="P767" s="147"/>
      <c r="Q767" s="147"/>
      <c r="R767" s="147"/>
      <c r="S767" s="147"/>
      <c r="T767" s="147"/>
      <c r="U767" s="147"/>
      <c r="V767" s="147"/>
      <c r="W767" s="147"/>
      <c r="X767" s="147"/>
      <c r="Y767" s="147"/>
      <c r="Z767" s="147"/>
    </row>
    <row r="768" ht="15.75" customHeight="1">
      <c r="A768" s="147"/>
      <c r="B768" s="147"/>
      <c r="C768" s="147"/>
      <c r="D768" s="147"/>
      <c r="E768" s="147"/>
      <c r="F768" s="147"/>
      <c r="G768" s="147"/>
      <c r="H768" s="147"/>
      <c r="I768" s="147"/>
      <c r="J768" s="147"/>
      <c r="K768" s="147"/>
      <c r="L768" s="147"/>
      <c r="M768" s="147"/>
      <c r="N768" s="147"/>
      <c r="O768" s="147"/>
      <c r="P768" s="147"/>
      <c r="Q768" s="147"/>
      <c r="R768" s="147"/>
      <c r="S768" s="147"/>
      <c r="T768" s="147"/>
      <c r="U768" s="147"/>
      <c r="V768" s="147"/>
      <c r="W768" s="147"/>
      <c r="X768" s="147"/>
      <c r="Y768" s="147"/>
      <c r="Z768" s="147"/>
    </row>
    <row r="769" ht="15.75" customHeight="1">
      <c r="A769" s="147"/>
      <c r="B769" s="147"/>
      <c r="C769" s="147"/>
      <c r="D769" s="147"/>
      <c r="E769" s="147"/>
      <c r="F769" s="147"/>
      <c r="G769" s="147"/>
      <c r="H769" s="147"/>
      <c r="I769" s="147"/>
      <c r="J769" s="147"/>
      <c r="K769" s="147"/>
      <c r="L769" s="147"/>
      <c r="M769" s="147"/>
      <c r="N769" s="147"/>
      <c r="O769" s="147"/>
      <c r="P769" s="147"/>
      <c r="Q769" s="147"/>
      <c r="R769" s="147"/>
      <c r="S769" s="147"/>
      <c r="T769" s="147"/>
      <c r="U769" s="147"/>
      <c r="V769" s="147"/>
      <c r="W769" s="147"/>
      <c r="X769" s="147"/>
      <c r="Y769" s="147"/>
      <c r="Z769" s="147"/>
    </row>
    <row r="770" ht="15.75" customHeight="1">
      <c r="A770" s="147"/>
      <c r="B770" s="147"/>
      <c r="C770" s="147"/>
      <c r="D770" s="147"/>
      <c r="E770" s="147"/>
      <c r="F770" s="147"/>
      <c r="G770" s="147"/>
      <c r="H770" s="147"/>
      <c r="I770" s="147"/>
      <c r="J770" s="147"/>
      <c r="K770" s="147"/>
      <c r="L770" s="147"/>
      <c r="M770" s="147"/>
      <c r="N770" s="147"/>
      <c r="O770" s="147"/>
      <c r="P770" s="147"/>
      <c r="Q770" s="147"/>
      <c r="R770" s="147"/>
      <c r="S770" s="147"/>
      <c r="T770" s="147"/>
      <c r="U770" s="147"/>
      <c r="V770" s="147"/>
      <c r="W770" s="147"/>
      <c r="X770" s="147"/>
      <c r="Y770" s="147"/>
      <c r="Z770" s="147"/>
    </row>
    <row r="771" ht="15.75" customHeight="1">
      <c r="A771" s="147"/>
      <c r="B771" s="147"/>
      <c r="C771" s="147"/>
      <c r="D771" s="147"/>
      <c r="E771" s="147"/>
      <c r="F771" s="147"/>
      <c r="G771" s="147"/>
      <c r="H771" s="147"/>
      <c r="I771" s="147"/>
      <c r="J771" s="147"/>
      <c r="K771" s="147"/>
      <c r="L771" s="147"/>
      <c r="M771" s="147"/>
      <c r="N771" s="147"/>
      <c r="O771" s="147"/>
      <c r="P771" s="147"/>
      <c r="Q771" s="147"/>
      <c r="R771" s="147"/>
      <c r="S771" s="147"/>
      <c r="T771" s="147"/>
      <c r="U771" s="147"/>
      <c r="V771" s="147"/>
      <c r="W771" s="147"/>
      <c r="X771" s="147"/>
      <c r="Y771" s="147"/>
      <c r="Z771" s="147"/>
    </row>
    <row r="772" ht="15.75" customHeight="1">
      <c r="A772" s="147"/>
      <c r="B772" s="147"/>
      <c r="C772" s="147"/>
      <c r="D772" s="147"/>
      <c r="E772" s="147"/>
      <c r="F772" s="147"/>
      <c r="G772" s="147"/>
      <c r="H772" s="147"/>
      <c r="I772" s="147"/>
      <c r="J772" s="147"/>
      <c r="K772" s="147"/>
      <c r="L772" s="147"/>
      <c r="M772" s="147"/>
      <c r="N772" s="147"/>
      <c r="O772" s="147"/>
      <c r="P772" s="147"/>
      <c r="Q772" s="147"/>
      <c r="R772" s="147"/>
      <c r="S772" s="147"/>
      <c r="T772" s="147"/>
      <c r="U772" s="147"/>
      <c r="V772" s="147"/>
      <c r="W772" s="147"/>
      <c r="X772" s="147"/>
      <c r="Y772" s="147"/>
      <c r="Z772" s="147"/>
    </row>
    <row r="773" ht="15.75" customHeight="1">
      <c r="A773" s="147"/>
      <c r="B773" s="147"/>
      <c r="C773" s="147"/>
      <c r="D773" s="147"/>
      <c r="E773" s="147"/>
      <c r="F773" s="147"/>
      <c r="G773" s="147"/>
      <c r="H773" s="147"/>
      <c r="I773" s="147"/>
      <c r="J773" s="147"/>
      <c r="K773" s="147"/>
      <c r="L773" s="147"/>
      <c r="M773" s="147"/>
      <c r="N773" s="147"/>
      <c r="O773" s="147"/>
      <c r="P773" s="147"/>
      <c r="Q773" s="147"/>
      <c r="R773" s="147"/>
      <c r="S773" s="147"/>
      <c r="T773" s="147"/>
      <c r="U773" s="147"/>
      <c r="V773" s="147"/>
      <c r="W773" s="147"/>
      <c r="X773" s="147"/>
      <c r="Y773" s="147"/>
      <c r="Z773" s="147"/>
    </row>
    <row r="774" ht="15.75" customHeight="1">
      <c r="A774" s="147"/>
      <c r="B774" s="147"/>
      <c r="C774" s="147"/>
      <c r="D774" s="147"/>
      <c r="E774" s="147"/>
      <c r="F774" s="147"/>
      <c r="G774" s="147"/>
      <c r="H774" s="147"/>
      <c r="I774" s="147"/>
      <c r="J774" s="147"/>
      <c r="K774" s="147"/>
      <c r="L774" s="147"/>
      <c r="M774" s="147"/>
      <c r="N774" s="147"/>
      <c r="O774" s="147"/>
      <c r="P774" s="147"/>
      <c r="Q774" s="147"/>
      <c r="R774" s="147"/>
      <c r="S774" s="147"/>
      <c r="T774" s="147"/>
      <c r="U774" s="147"/>
      <c r="V774" s="147"/>
      <c r="W774" s="147"/>
      <c r="X774" s="147"/>
      <c r="Y774" s="147"/>
      <c r="Z774" s="147"/>
    </row>
    <row r="775" ht="15.75" customHeight="1">
      <c r="A775" s="147"/>
      <c r="B775" s="147"/>
      <c r="C775" s="147"/>
      <c r="D775" s="147"/>
      <c r="E775" s="147"/>
      <c r="F775" s="147"/>
      <c r="G775" s="147"/>
      <c r="H775" s="147"/>
      <c r="I775" s="147"/>
      <c r="J775" s="147"/>
      <c r="K775" s="147"/>
      <c r="L775" s="147"/>
      <c r="M775" s="147"/>
      <c r="N775" s="147"/>
      <c r="O775" s="147"/>
      <c r="P775" s="147"/>
      <c r="Q775" s="147"/>
      <c r="R775" s="147"/>
      <c r="S775" s="147"/>
      <c r="T775" s="147"/>
      <c r="U775" s="147"/>
      <c r="V775" s="147"/>
      <c r="W775" s="147"/>
      <c r="X775" s="147"/>
      <c r="Y775" s="147"/>
      <c r="Z775" s="147"/>
    </row>
    <row r="776" ht="15.75" customHeight="1">
      <c r="A776" s="147"/>
      <c r="B776" s="147"/>
      <c r="C776" s="147"/>
      <c r="D776" s="147"/>
      <c r="E776" s="147"/>
      <c r="F776" s="147"/>
      <c r="G776" s="147"/>
      <c r="H776" s="147"/>
      <c r="I776" s="147"/>
      <c r="J776" s="147"/>
      <c r="K776" s="147"/>
      <c r="L776" s="147"/>
      <c r="M776" s="147"/>
      <c r="N776" s="147"/>
      <c r="O776" s="147"/>
      <c r="P776" s="147"/>
      <c r="Q776" s="147"/>
      <c r="R776" s="147"/>
      <c r="S776" s="147"/>
      <c r="T776" s="147"/>
      <c r="U776" s="147"/>
      <c r="V776" s="147"/>
      <c r="W776" s="147"/>
      <c r="X776" s="147"/>
      <c r="Y776" s="147"/>
      <c r="Z776" s="147"/>
    </row>
    <row r="777" ht="15.75" customHeight="1">
      <c r="A777" s="147"/>
      <c r="B777" s="147"/>
      <c r="C777" s="147"/>
      <c r="D777" s="147"/>
      <c r="E777" s="147"/>
      <c r="F777" s="147"/>
      <c r="G777" s="147"/>
      <c r="H777" s="147"/>
      <c r="I777" s="147"/>
      <c r="J777" s="147"/>
      <c r="K777" s="147"/>
      <c r="L777" s="147"/>
      <c r="M777" s="147"/>
      <c r="N777" s="147"/>
      <c r="O777" s="147"/>
      <c r="P777" s="147"/>
      <c r="Q777" s="147"/>
      <c r="R777" s="147"/>
      <c r="S777" s="147"/>
      <c r="T777" s="147"/>
      <c r="U777" s="147"/>
      <c r="V777" s="147"/>
      <c r="W777" s="147"/>
      <c r="X777" s="147"/>
      <c r="Y777" s="147"/>
      <c r="Z777" s="147"/>
    </row>
    <row r="778" ht="15.75" customHeight="1">
      <c r="A778" s="147"/>
      <c r="B778" s="147"/>
      <c r="C778" s="147"/>
      <c r="D778" s="147"/>
      <c r="E778" s="147"/>
      <c r="F778" s="147"/>
      <c r="G778" s="147"/>
      <c r="H778" s="147"/>
      <c r="I778" s="147"/>
      <c r="J778" s="147"/>
      <c r="K778" s="147"/>
      <c r="L778" s="147"/>
      <c r="M778" s="147"/>
      <c r="N778" s="147"/>
      <c r="O778" s="147"/>
      <c r="P778" s="147"/>
      <c r="Q778" s="147"/>
      <c r="R778" s="147"/>
      <c r="S778" s="147"/>
      <c r="T778" s="147"/>
      <c r="U778" s="147"/>
      <c r="V778" s="147"/>
      <c r="W778" s="147"/>
      <c r="X778" s="147"/>
      <c r="Y778" s="147"/>
      <c r="Z778" s="147"/>
    </row>
    <row r="779" ht="15.75" customHeight="1">
      <c r="A779" s="147"/>
      <c r="B779" s="147"/>
      <c r="C779" s="147"/>
      <c r="D779" s="147"/>
      <c r="E779" s="147"/>
      <c r="F779" s="147"/>
      <c r="G779" s="147"/>
      <c r="H779" s="147"/>
      <c r="I779" s="147"/>
      <c r="J779" s="147"/>
      <c r="K779" s="147"/>
      <c r="L779" s="147"/>
      <c r="M779" s="147"/>
      <c r="N779" s="147"/>
      <c r="O779" s="147"/>
      <c r="P779" s="147"/>
      <c r="Q779" s="147"/>
      <c r="R779" s="147"/>
      <c r="S779" s="147"/>
      <c r="T779" s="147"/>
      <c r="U779" s="147"/>
      <c r="V779" s="147"/>
      <c r="W779" s="147"/>
      <c r="X779" s="147"/>
      <c r="Y779" s="147"/>
      <c r="Z779" s="147"/>
    </row>
    <row r="780" ht="15.75" customHeight="1">
      <c r="A780" s="147"/>
      <c r="B780" s="147"/>
      <c r="C780" s="147"/>
      <c r="D780" s="147"/>
      <c r="E780" s="147"/>
      <c r="F780" s="147"/>
      <c r="G780" s="147"/>
      <c r="H780" s="147"/>
      <c r="I780" s="147"/>
      <c r="J780" s="147"/>
      <c r="K780" s="147"/>
      <c r="L780" s="147"/>
      <c r="M780" s="147"/>
      <c r="N780" s="147"/>
      <c r="O780" s="147"/>
      <c r="P780" s="147"/>
      <c r="Q780" s="147"/>
      <c r="R780" s="147"/>
      <c r="S780" s="147"/>
      <c r="T780" s="147"/>
      <c r="U780" s="147"/>
      <c r="V780" s="147"/>
      <c r="W780" s="147"/>
      <c r="X780" s="147"/>
      <c r="Y780" s="147"/>
      <c r="Z780" s="147"/>
    </row>
    <row r="781" ht="15.75" customHeight="1">
      <c r="A781" s="147"/>
      <c r="B781" s="147"/>
      <c r="C781" s="147"/>
      <c r="D781" s="147"/>
      <c r="E781" s="147"/>
      <c r="F781" s="147"/>
      <c r="G781" s="147"/>
      <c r="H781" s="147"/>
      <c r="I781" s="147"/>
      <c r="J781" s="147"/>
      <c r="K781" s="147"/>
      <c r="L781" s="147"/>
      <c r="M781" s="147"/>
      <c r="N781" s="147"/>
      <c r="O781" s="147"/>
      <c r="P781" s="147"/>
      <c r="Q781" s="147"/>
      <c r="R781" s="147"/>
      <c r="S781" s="147"/>
      <c r="T781" s="147"/>
      <c r="U781" s="147"/>
      <c r="V781" s="147"/>
      <c r="W781" s="147"/>
      <c r="X781" s="147"/>
      <c r="Y781" s="147"/>
      <c r="Z781" s="147"/>
    </row>
    <row r="782" ht="15.75" customHeight="1">
      <c r="A782" s="147"/>
      <c r="B782" s="147"/>
      <c r="C782" s="147"/>
      <c r="D782" s="147"/>
      <c r="E782" s="147"/>
      <c r="F782" s="147"/>
      <c r="G782" s="147"/>
      <c r="H782" s="147"/>
      <c r="I782" s="147"/>
      <c r="J782" s="147"/>
      <c r="K782" s="147"/>
      <c r="L782" s="147"/>
      <c r="M782" s="147"/>
      <c r="N782" s="147"/>
      <c r="O782" s="147"/>
      <c r="P782" s="147"/>
      <c r="Q782" s="147"/>
      <c r="R782" s="147"/>
      <c r="S782" s="147"/>
      <c r="T782" s="147"/>
      <c r="U782" s="147"/>
      <c r="V782" s="147"/>
      <c r="W782" s="147"/>
      <c r="X782" s="147"/>
      <c r="Y782" s="147"/>
      <c r="Z782" s="147"/>
    </row>
    <row r="783" ht="15.75" customHeight="1">
      <c r="A783" s="147"/>
      <c r="B783" s="147"/>
      <c r="C783" s="147"/>
      <c r="D783" s="147"/>
      <c r="E783" s="147"/>
      <c r="F783" s="147"/>
      <c r="G783" s="147"/>
      <c r="H783" s="147"/>
      <c r="I783" s="147"/>
      <c r="J783" s="147"/>
      <c r="K783" s="147"/>
      <c r="L783" s="147"/>
      <c r="M783" s="147"/>
      <c r="N783" s="147"/>
      <c r="O783" s="147"/>
      <c r="P783" s="147"/>
      <c r="Q783" s="147"/>
      <c r="R783" s="147"/>
      <c r="S783" s="147"/>
      <c r="T783" s="147"/>
      <c r="U783" s="147"/>
      <c r="V783" s="147"/>
      <c r="W783" s="147"/>
      <c r="X783" s="147"/>
      <c r="Y783" s="147"/>
      <c r="Z783" s="147"/>
    </row>
    <row r="784" ht="15.75" customHeight="1">
      <c r="A784" s="147"/>
      <c r="B784" s="147"/>
      <c r="C784" s="147"/>
      <c r="D784" s="147"/>
      <c r="E784" s="147"/>
      <c r="F784" s="147"/>
      <c r="G784" s="147"/>
      <c r="H784" s="147"/>
      <c r="I784" s="147"/>
      <c r="J784" s="147"/>
      <c r="K784" s="147"/>
      <c r="L784" s="147"/>
      <c r="M784" s="147"/>
      <c r="N784" s="147"/>
      <c r="O784" s="147"/>
      <c r="P784" s="147"/>
      <c r="Q784" s="147"/>
      <c r="R784" s="147"/>
      <c r="S784" s="147"/>
      <c r="T784" s="147"/>
      <c r="U784" s="147"/>
      <c r="V784" s="147"/>
      <c r="W784" s="147"/>
      <c r="X784" s="147"/>
      <c r="Y784" s="147"/>
      <c r="Z784" s="147"/>
    </row>
    <row r="785" ht="15.75" customHeight="1">
      <c r="A785" s="147"/>
      <c r="B785" s="147"/>
      <c r="C785" s="147"/>
      <c r="D785" s="147"/>
      <c r="E785" s="147"/>
      <c r="F785" s="147"/>
      <c r="G785" s="147"/>
      <c r="H785" s="147"/>
      <c r="I785" s="147"/>
      <c r="J785" s="147"/>
      <c r="K785" s="147"/>
      <c r="L785" s="147"/>
      <c r="M785" s="147"/>
      <c r="N785" s="147"/>
      <c r="O785" s="147"/>
      <c r="P785" s="147"/>
      <c r="Q785" s="147"/>
      <c r="R785" s="147"/>
      <c r="S785" s="147"/>
      <c r="T785" s="147"/>
      <c r="U785" s="147"/>
      <c r="V785" s="147"/>
      <c r="W785" s="147"/>
      <c r="X785" s="147"/>
      <c r="Y785" s="147"/>
      <c r="Z785" s="147"/>
    </row>
    <row r="786" ht="15.75" customHeight="1">
      <c r="A786" s="147"/>
      <c r="B786" s="147"/>
      <c r="C786" s="147"/>
      <c r="D786" s="147"/>
      <c r="E786" s="147"/>
      <c r="F786" s="147"/>
      <c r="G786" s="147"/>
      <c r="H786" s="147"/>
      <c r="I786" s="147"/>
      <c r="J786" s="147"/>
      <c r="K786" s="147"/>
      <c r="L786" s="147"/>
      <c r="M786" s="147"/>
      <c r="N786" s="147"/>
      <c r="O786" s="147"/>
      <c r="P786" s="147"/>
      <c r="Q786" s="147"/>
      <c r="R786" s="147"/>
      <c r="S786" s="147"/>
      <c r="T786" s="147"/>
      <c r="U786" s="147"/>
      <c r="V786" s="147"/>
      <c r="W786" s="147"/>
      <c r="X786" s="147"/>
      <c r="Y786" s="147"/>
      <c r="Z786" s="147"/>
    </row>
    <row r="787" ht="15.75" customHeight="1">
      <c r="A787" s="147"/>
      <c r="B787" s="147"/>
      <c r="C787" s="147"/>
      <c r="D787" s="147"/>
      <c r="E787" s="147"/>
      <c r="F787" s="147"/>
      <c r="G787" s="147"/>
      <c r="H787" s="147"/>
      <c r="I787" s="147"/>
      <c r="J787" s="147"/>
      <c r="K787" s="147"/>
      <c r="L787" s="147"/>
      <c r="M787" s="147"/>
      <c r="N787" s="147"/>
      <c r="O787" s="147"/>
      <c r="P787" s="147"/>
      <c r="Q787" s="147"/>
      <c r="R787" s="147"/>
      <c r="S787" s="147"/>
      <c r="T787" s="147"/>
      <c r="U787" s="147"/>
      <c r="V787" s="147"/>
      <c r="W787" s="147"/>
      <c r="X787" s="147"/>
      <c r="Y787" s="147"/>
      <c r="Z787" s="147"/>
    </row>
    <row r="788" ht="15.75" customHeight="1">
      <c r="A788" s="147"/>
      <c r="B788" s="147"/>
      <c r="C788" s="147"/>
      <c r="D788" s="147"/>
      <c r="E788" s="147"/>
      <c r="F788" s="147"/>
      <c r="G788" s="147"/>
      <c r="H788" s="147"/>
      <c r="I788" s="147"/>
      <c r="J788" s="147"/>
      <c r="K788" s="147"/>
      <c r="L788" s="147"/>
      <c r="M788" s="147"/>
      <c r="N788" s="147"/>
      <c r="O788" s="147"/>
      <c r="P788" s="147"/>
      <c r="Q788" s="147"/>
      <c r="R788" s="147"/>
      <c r="S788" s="147"/>
      <c r="T788" s="147"/>
      <c r="U788" s="147"/>
      <c r="V788" s="147"/>
      <c r="W788" s="147"/>
      <c r="X788" s="147"/>
      <c r="Y788" s="147"/>
      <c r="Z788" s="147"/>
    </row>
    <row r="789" ht="15.75" customHeight="1">
      <c r="A789" s="147"/>
      <c r="B789" s="147"/>
      <c r="C789" s="147"/>
      <c r="D789" s="147"/>
      <c r="E789" s="147"/>
      <c r="F789" s="147"/>
      <c r="G789" s="147"/>
      <c r="H789" s="147"/>
      <c r="I789" s="147"/>
      <c r="J789" s="147"/>
      <c r="K789" s="147"/>
      <c r="L789" s="147"/>
      <c r="M789" s="147"/>
      <c r="N789" s="147"/>
      <c r="O789" s="147"/>
      <c r="P789" s="147"/>
      <c r="Q789" s="147"/>
      <c r="R789" s="147"/>
      <c r="S789" s="147"/>
      <c r="T789" s="147"/>
      <c r="U789" s="147"/>
      <c r="V789" s="147"/>
      <c r="W789" s="147"/>
      <c r="X789" s="147"/>
      <c r="Y789" s="147"/>
      <c r="Z789" s="147"/>
    </row>
    <row r="790" ht="15.75" customHeight="1">
      <c r="A790" s="147"/>
      <c r="B790" s="147"/>
      <c r="C790" s="147"/>
      <c r="D790" s="147"/>
      <c r="E790" s="147"/>
      <c r="F790" s="147"/>
      <c r="G790" s="147"/>
      <c r="H790" s="147"/>
      <c r="I790" s="147"/>
      <c r="J790" s="147"/>
      <c r="K790" s="147"/>
      <c r="L790" s="147"/>
      <c r="M790" s="147"/>
      <c r="N790" s="147"/>
      <c r="O790" s="147"/>
      <c r="P790" s="147"/>
      <c r="Q790" s="147"/>
      <c r="R790" s="147"/>
      <c r="S790" s="147"/>
      <c r="T790" s="147"/>
      <c r="U790" s="147"/>
      <c r="V790" s="147"/>
      <c r="W790" s="147"/>
      <c r="X790" s="147"/>
      <c r="Y790" s="147"/>
      <c r="Z790" s="147"/>
    </row>
    <row r="791" ht="15.75" customHeight="1">
      <c r="A791" s="147"/>
      <c r="B791" s="147"/>
      <c r="C791" s="147"/>
      <c r="D791" s="147"/>
      <c r="E791" s="147"/>
      <c r="F791" s="147"/>
      <c r="G791" s="147"/>
      <c r="H791" s="147"/>
      <c r="I791" s="147"/>
      <c r="J791" s="147"/>
      <c r="K791" s="147"/>
      <c r="L791" s="147"/>
      <c r="M791" s="147"/>
      <c r="N791" s="147"/>
      <c r="O791" s="147"/>
      <c r="P791" s="147"/>
      <c r="Q791" s="147"/>
      <c r="R791" s="147"/>
      <c r="S791" s="147"/>
      <c r="T791" s="147"/>
      <c r="U791" s="147"/>
      <c r="V791" s="147"/>
      <c r="W791" s="147"/>
      <c r="X791" s="147"/>
      <c r="Y791" s="147"/>
      <c r="Z791" s="147"/>
    </row>
    <row r="792" ht="15.75" customHeight="1">
      <c r="A792" s="147"/>
      <c r="B792" s="147"/>
      <c r="C792" s="147"/>
      <c r="D792" s="147"/>
      <c r="E792" s="147"/>
      <c r="F792" s="147"/>
      <c r="G792" s="147"/>
      <c r="H792" s="147"/>
      <c r="I792" s="147"/>
      <c r="J792" s="147"/>
      <c r="K792" s="147"/>
      <c r="L792" s="147"/>
      <c r="M792" s="147"/>
      <c r="N792" s="147"/>
      <c r="O792" s="147"/>
      <c r="P792" s="147"/>
      <c r="Q792" s="147"/>
      <c r="R792" s="147"/>
      <c r="S792" s="147"/>
      <c r="T792" s="147"/>
      <c r="U792" s="147"/>
      <c r="V792" s="147"/>
      <c r="W792" s="147"/>
      <c r="X792" s="147"/>
      <c r="Y792" s="147"/>
      <c r="Z792" s="147"/>
    </row>
    <row r="793" ht="15.75" customHeight="1">
      <c r="A793" s="147"/>
      <c r="B793" s="147"/>
      <c r="C793" s="147"/>
      <c r="D793" s="147"/>
      <c r="E793" s="147"/>
      <c r="F793" s="147"/>
      <c r="G793" s="147"/>
      <c r="H793" s="147"/>
      <c r="I793" s="147"/>
      <c r="J793" s="147"/>
      <c r="K793" s="147"/>
      <c r="L793" s="147"/>
      <c r="M793" s="147"/>
      <c r="N793" s="147"/>
      <c r="O793" s="147"/>
      <c r="P793" s="147"/>
      <c r="Q793" s="147"/>
      <c r="R793" s="147"/>
      <c r="S793" s="147"/>
      <c r="T793" s="147"/>
      <c r="U793" s="147"/>
      <c r="V793" s="147"/>
      <c r="W793" s="147"/>
      <c r="X793" s="147"/>
      <c r="Y793" s="147"/>
      <c r="Z793" s="147"/>
    </row>
    <row r="794" ht="15.75" customHeight="1">
      <c r="A794" s="147"/>
      <c r="B794" s="147"/>
      <c r="C794" s="147"/>
      <c r="D794" s="147"/>
      <c r="E794" s="147"/>
      <c r="F794" s="147"/>
      <c r="G794" s="147"/>
      <c r="H794" s="147"/>
      <c r="I794" s="147"/>
      <c r="J794" s="147"/>
      <c r="K794" s="147"/>
      <c r="L794" s="147"/>
      <c r="M794" s="147"/>
      <c r="N794" s="147"/>
      <c r="O794" s="147"/>
      <c r="P794" s="147"/>
      <c r="Q794" s="147"/>
      <c r="R794" s="147"/>
      <c r="S794" s="147"/>
      <c r="T794" s="147"/>
      <c r="U794" s="147"/>
      <c r="V794" s="147"/>
      <c r="W794" s="147"/>
      <c r="X794" s="147"/>
      <c r="Y794" s="147"/>
      <c r="Z794" s="147"/>
    </row>
    <row r="795" ht="15.75" customHeight="1">
      <c r="A795" s="147"/>
      <c r="B795" s="147"/>
      <c r="C795" s="147"/>
      <c r="D795" s="147"/>
      <c r="E795" s="147"/>
      <c r="F795" s="147"/>
      <c r="G795" s="147"/>
      <c r="H795" s="147"/>
      <c r="I795" s="147"/>
      <c r="J795" s="147"/>
      <c r="K795" s="147"/>
      <c r="L795" s="147"/>
      <c r="M795" s="147"/>
      <c r="N795" s="147"/>
      <c r="O795" s="147"/>
      <c r="P795" s="147"/>
      <c r="Q795" s="147"/>
      <c r="R795" s="147"/>
      <c r="S795" s="147"/>
      <c r="T795" s="147"/>
      <c r="U795" s="147"/>
      <c r="V795" s="147"/>
      <c r="W795" s="147"/>
      <c r="X795" s="147"/>
      <c r="Y795" s="147"/>
      <c r="Z795" s="147"/>
    </row>
    <row r="796" ht="15.75" customHeight="1">
      <c r="A796" s="147"/>
      <c r="B796" s="147"/>
      <c r="C796" s="147"/>
      <c r="D796" s="147"/>
      <c r="E796" s="147"/>
      <c r="F796" s="147"/>
      <c r="G796" s="147"/>
      <c r="H796" s="147"/>
      <c r="I796" s="147"/>
      <c r="J796" s="147"/>
      <c r="K796" s="147"/>
      <c r="L796" s="147"/>
      <c r="M796" s="147"/>
      <c r="N796" s="147"/>
      <c r="O796" s="147"/>
      <c r="P796" s="147"/>
      <c r="Q796" s="147"/>
      <c r="R796" s="147"/>
      <c r="S796" s="147"/>
      <c r="T796" s="147"/>
      <c r="U796" s="147"/>
      <c r="V796" s="147"/>
      <c r="W796" s="147"/>
      <c r="X796" s="147"/>
      <c r="Y796" s="147"/>
      <c r="Z796" s="147"/>
    </row>
    <row r="797" ht="15.75" customHeight="1">
      <c r="A797" s="147"/>
      <c r="B797" s="147"/>
      <c r="C797" s="147"/>
      <c r="D797" s="147"/>
      <c r="E797" s="147"/>
      <c r="F797" s="147"/>
      <c r="G797" s="147"/>
      <c r="H797" s="147"/>
      <c r="I797" s="147"/>
      <c r="J797" s="147"/>
      <c r="K797" s="147"/>
      <c r="L797" s="147"/>
      <c r="M797" s="147"/>
      <c r="N797" s="147"/>
      <c r="O797" s="147"/>
      <c r="P797" s="147"/>
      <c r="Q797" s="147"/>
      <c r="R797" s="147"/>
      <c r="S797" s="147"/>
      <c r="T797" s="147"/>
      <c r="U797" s="147"/>
      <c r="V797" s="147"/>
      <c r="W797" s="147"/>
      <c r="X797" s="147"/>
      <c r="Y797" s="147"/>
      <c r="Z797" s="147"/>
    </row>
    <row r="798" ht="15.75" customHeight="1">
      <c r="A798" s="147"/>
      <c r="B798" s="147"/>
      <c r="C798" s="147"/>
      <c r="D798" s="147"/>
      <c r="E798" s="147"/>
      <c r="F798" s="147"/>
      <c r="G798" s="147"/>
      <c r="H798" s="147"/>
      <c r="I798" s="147"/>
      <c r="J798" s="147"/>
      <c r="K798" s="147"/>
      <c r="L798" s="147"/>
      <c r="M798" s="147"/>
      <c r="N798" s="147"/>
      <c r="O798" s="147"/>
      <c r="P798" s="147"/>
      <c r="Q798" s="147"/>
      <c r="R798" s="147"/>
      <c r="S798" s="147"/>
      <c r="T798" s="147"/>
      <c r="U798" s="147"/>
      <c r="V798" s="147"/>
      <c r="W798" s="147"/>
      <c r="X798" s="147"/>
      <c r="Y798" s="147"/>
      <c r="Z798" s="147"/>
    </row>
    <row r="799" ht="15.75" customHeight="1">
      <c r="A799" s="147"/>
      <c r="B799" s="147"/>
      <c r="C799" s="147"/>
      <c r="D799" s="147"/>
      <c r="E799" s="147"/>
      <c r="F799" s="147"/>
      <c r="G799" s="147"/>
      <c r="H799" s="147"/>
      <c r="I799" s="147"/>
      <c r="J799" s="147"/>
      <c r="K799" s="147"/>
      <c r="L799" s="147"/>
      <c r="M799" s="147"/>
      <c r="N799" s="147"/>
      <c r="O799" s="147"/>
      <c r="P799" s="147"/>
      <c r="Q799" s="147"/>
      <c r="R799" s="147"/>
      <c r="S799" s="147"/>
      <c r="T799" s="147"/>
      <c r="U799" s="147"/>
      <c r="V799" s="147"/>
      <c r="W799" s="147"/>
      <c r="X799" s="147"/>
      <c r="Y799" s="147"/>
      <c r="Z799" s="147"/>
    </row>
    <row r="800" ht="15.75" customHeight="1">
      <c r="A800" s="147"/>
      <c r="B800" s="147"/>
      <c r="C800" s="147"/>
      <c r="D800" s="147"/>
      <c r="E800" s="147"/>
      <c r="F800" s="147"/>
      <c r="G800" s="147"/>
      <c r="H800" s="147"/>
      <c r="I800" s="147"/>
      <c r="J800" s="147"/>
      <c r="K800" s="147"/>
      <c r="L800" s="147"/>
      <c r="M800" s="147"/>
      <c r="N800" s="147"/>
      <c r="O800" s="147"/>
      <c r="P800" s="147"/>
      <c r="Q800" s="147"/>
      <c r="R800" s="147"/>
      <c r="S800" s="147"/>
      <c r="T800" s="147"/>
      <c r="U800" s="147"/>
      <c r="V800" s="147"/>
      <c r="W800" s="147"/>
      <c r="X800" s="147"/>
      <c r="Y800" s="147"/>
      <c r="Z800" s="147"/>
    </row>
    <row r="801" ht="15.75" customHeight="1">
      <c r="A801" s="147"/>
      <c r="B801" s="147"/>
      <c r="C801" s="147"/>
      <c r="D801" s="147"/>
      <c r="E801" s="147"/>
      <c r="F801" s="147"/>
      <c r="G801" s="147"/>
      <c r="H801" s="147"/>
      <c r="I801" s="147"/>
      <c r="J801" s="147"/>
      <c r="K801" s="147"/>
      <c r="L801" s="147"/>
      <c r="M801" s="147"/>
      <c r="N801" s="147"/>
      <c r="O801" s="147"/>
      <c r="P801" s="147"/>
      <c r="Q801" s="147"/>
      <c r="R801" s="147"/>
      <c r="S801" s="147"/>
      <c r="T801" s="147"/>
      <c r="U801" s="147"/>
      <c r="V801" s="147"/>
      <c r="W801" s="147"/>
      <c r="X801" s="147"/>
      <c r="Y801" s="147"/>
      <c r="Z801" s="147"/>
    </row>
    <row r="802" ht="15.75" customHeight="1">
      <c r="A802" s="147"/>
      <c r="B802" s="147"/>
      <c r="C802" s="147"/>
      <c r="D802" s="147"/>
      <c r="E802" s="147"/>
      <c r="F802" s="147"/>
      <c r="G802" s="147"/>
      <c r="H802" s="147"/>
      <c r="I802" s="147"/>
      <c r="J802" s="147"/>
      <c r="K802" s="147"/>
      <c r="L802" s="147"/>
      <c r="M802" s="147"/>
      <c r="N802" s="147"/>
      <c r="O802" s="147"/>
      <c r="P802" s="147"/>
      <c r="Q802" s="147"/>
      <c r="R802" s="147"/>
      <c r="S802" s="147"/>
      <c r="T802" s="147"/>
      <c r="U802" s="147"/>
      <c r="V802" s="147"/>
      <c r="W802" s="147"/>
      <c r="X802" s="147"/>
      <c r="Y802" s="147"/>
      <c r="Z802" s="147"/>
    </row>
    <row r="803" ht="15.75" customHeight="1">
      <c r="A803" s="147"/>
      <c r="B803" s="147"/>
      <c r="C803" s="147"/>
      <c r="D803" s="147"/>
      <c r="E803" s="147"/>
      <c r="F803" s="147"/>
      <c r="G803" s="147"/>
      <c r="H803" s="147"/>
      <c r="I803" s="147"/>
      <c r="J803" s="147"/>
      <c r="K803" s="147"/>
      <c r="L803" s="147"/>
      <c r="M803" s="147"/>
      <c r="N803" s="147"/>
      <c r="O803" s="147"/>
      <c r="P803" s="147"/>
      <c r="Q803" s="147"/>
      <c r="R803" s="147"/>
      <c r="S803" s="147"/>
      <c r="T803" s="147"/>
      <c r="U803" s="147"/>
      <c r="V803" s="147"/>
      <c r="W803" s="147"/>
      <c r="X803" s="147"/>
      <c r="Y803" s="147"/>
      <c r="Z803" s="147"/>
    </row>
    <row r="804" ht="15.75" customHeight="1">
      <c r="A804" s="147"/>
      <c r="B804" s="147"/>
      <c r="C804" s="147"/>
      <c r="D804" s="147"/>
      <c r="E804" s="147"/>
      <c r="F804" s="147"/>
      <c r="G804" s="147"/>
      <c r="H804" s="147"/>
      <c r="I804" s="147"/>
      <c r="J804" s="147"/>
      <c r="K804" s="147"/>
      <c r="L804" s="147"/>
      <c r="M804" s="147"/>
      <c r="N804" s="147"/>
      <c r="O804" s="147"/>
      <c r="P804" s="147"/>
      <c r="Q804" s="147"/>
      <c r="R804" s="147"/>
      <c r="S804" s="147"/>
      <c r="T804" s="147"/>
      <c r="U804" s="147"/>
      <c r="V804" s="147"/>
      <c r="W804" s="147"/>
      <c r="X804" s="147"/>
      <c r="Y804" s="147"/>
      <c r="Z804" s="147"/>
    </row>
    <row r="805" ht="15.75" customHeight="1">
      <c r="A805" s="147"/>
      <c r="B805" s="147"/>
      <c r="C805" s="147"/>
      <c r="D805" s="147"/>
      <c r="E805" s="147"/>
      <c r="F805" s="147"/>
      <c r="G805" s="147"/>
      <c r="H805" s="147"/>
      <c r="I805" s="147"/>
      <c r="J805" s="147"/>
      <c r="K805" s="147"/>
      <c r="L805" s="147"/>
      <c r="M805" s="147"/>
      <c r="N805" s="147"/>
      <c r="O805" s="147"/>
      <c r="P805" s="147"/>
      <c r="Q805" s="147"/>
      <c r="R805" s="147"/>
      <c r="S805" s="147"/>
      <c r="T805" s="147"/>
      <c r="U805" s="147"/>
      <c r="V805" s="147"/>
      <c r="W805" s="147"/>
      <c r="X805" s="147"/>
      <c r="Y805" s="147"/>
      <c r="Z805" s="147"/>
    </row>
    <row r="806" ht="15.75" customHeight="1">
      <c r="A806" s="147"/>
      <c r="B806" s="147"/>
      <c r="C806" s="147"/>
      <c r="D806" s="147"/>
      <c r="E806" s="147"/>
      <c r="F806" s="147"/>
      <c r="G806" s="147"/>
      <c r="H806" s="147"/>
      <c r="I806" s="147"/>
      <c r="J806" s="147"/>
      <c r="K806" s="147"/>
      <c r="L806" s="147"/>
      <c r="M806" s="147"/>
      <c r="N806" s="147"/>
      <c r="O806" s="147"/>
      <c r="P806" s="147"/>
      <c r="Q806" s="147"/>
      <c r="R806" s="147"/>
      <c r="S806" s="147"/>
      <c r="T806" s="147"/>
      <c r="U806" s="147"/>
      <c r="V806" s="147"/>
      <c r="W806" s="147"/>
      <c r="X806" s="147"/>
      <c r="Y806" s="147"/>
      <c r="Z806" s="147"/>
    </row>
    <row r="807" ht="15.75" customHeight="1">
      <c r="A807" s="147"/>
      <c r="B807" s="147"/>
      <c r="C807" s="147"/>
      <c r="D807" s="147"/>
      <c r="E807" s="147"/>
      <c r="F807" s="147"/>
      <c r="G807" s="147"/>
      <c r="H807" s="147"/>
      <c r="I807" s="147"/>
      <c r="J807" s="147"/>
      <c r="K807" s="147"/>
      <c r="L807" s="147"/>
      <c r="M807" s="147"/>
      <c r="N807" s="147"/>
      <c r="O807" s="147"/>
      <c r="P807" s="147"/>
      <c r="Q807" s="147"/>
      <c r="R807" s="147"/>
      <c r="S807" s="147"/>
      <c r="T807" s="147"/>
      <c r="U807" s="147"/>
      <c r="V807" s="147"/>
      <c r="W807" s="147"/>
      <c r="X807" s="147"/>
      <c r="Y807" s="147"/>
      <c r="Z807" s="147"/>
    </row>
    <row r="808" ht="15.75" customHeight="1">
      <c r="A808" s="147"/>
      <c r="B808" s="147"/>
      <c r="C808" s="147"/>
      <c r="D808" s="147"/>
      <c r="E808" s="147"/>
      <c r="F808" s="147"/>
      <c r="G808" s="147"/>
      <c r="H808" s="147"/>
      <c r="I808" s="147"/>
      <c r="J808" s="147"/>
      <c r="K808" s="147"/>
      <c r="L808" s="147"/>
      <c r="M808" s="147"/>
      <c r="N808" s="147"/>
      <c r="O808" s="147"/>
      <c r="P808" s="147"/>
      <c r="Q808" s="147"/>
      <c r="R808" s="147"/>
      <c r="S808" s="147"/>
      <c r="T808" s="147"/>
      <c r="U808" s="147"/>
      <c r="V808" s="147"/>
      <c r="W808" s="147"/>
      <c r="X808" s="147"/>
      <c r="Y808" s="147"/>
      <c r="Z808" s="147"/>
    </row>
    <row r="809" ht="15.75" customHeight="1">
      <c r="A809" s="147"/>
      <c r="B809" s="147"/>
      <c r="C809" s="147"/>
      <c r="D809" s="147"/>
      <c r="E809" s="147"/>
      <c r="F809" s="147"/>
      <c r="G809" s="147"/>
      <c r="H809" s="147"/>
      <c r="I809" s="147"/>
      <c r="J809" s="147"/>
      <c r="K809" s="147"/>
      <c r="L809" s="147"/>
      <c r="M809" s="147"/>
      <c r="N809" s="147"/>
      <c r="O809" s="147"/>
      <c r="P809" s="147"/>
      <c r="Q809" s="147"/>
      <c r="R809" s="147"/>
      <c r="S809" s="147"/>
      <c r="T809" s="147"/>
      <c r="U809" s="147"/>
      <c r="V809" s="147"/>
      <c r="W809" s="147"/>
      <c r="X809" s="147"/>
      <c r="Y809" s="147"/>
      <c r="Z809" s="147"/>
    </row>
    <row r="810" ht="15.75" customHeight="1">
      <c r="A810" s="147"/>
      <c r="B810" s="147"/>
      <c r="C810" s="147"/>
      <c r="D810" s="147"/>
      <c r="E810" s="147"/>
      <c r="F810" s="147"/>
      <c r="G810" s="147"/>
      <c r="H810" s="147"/>
      <c r="I810" s="147"/>
      <c r="J810" s="147"/>
      <c r="K810" s="147"/>
      <c r="L810" s="147"/>
      <c r="M810" s="147"/>
      <c r="N810" s="147"/>
      <c r="O810" s="147"/>
      <c r="P810" s="147"/>
      <c r="Q810" s="147"/>
      <c r="R810" s="147"/>
      <c r="S810" s="147"/>
      <c r="T810" s="147"/>
      <c r="U810" s="147"/>
      <c r="V810" s="147"/>
      <c r="W810" s="147"/>
      <c r="X810" s="147"/>
      <c r="Y810" s="147"/>
      <c r="Z810" s="147"/>
    </row>
    <row r="811" ht="15.75" customHeight="1">
      <c r="A811" s="147"/>
      <c r="B811" s="147"/>
      <c r="C811" s="147"/>
      <c r="D811" s="147"/>
      <c r="E811" s="147"/>
      <c r="F811" s="147"/>
      <c r="G811" s="147"/>
      <c r="H811" s="147"/>
      <c r="I811" s="147"/>
      <c r="J811" s="147"/>
      <c r="K811" s="147"/>
      <c r="L811" s="147"/>
      <c r="M811" s="147"/>
      <c r="N811" s="147"/>
      <c r="O811" s="147"/>
      <c r="P811" s="147"/>
      <c r="Q811" s="147"/>
      <c r="R811" s="147"/>
      <c r="S811" s="147"/>
      <c r="T811" s="147"/>
      <c r="U811" s="147"/>
      <c r="V811" s="147"/>
      <c r="W811" s="147"/>
      <c r="X811" s="147"/>
      <c r="Y811" s="147"/>
      <c r="Z811" s="147"/>
    </row>
    <row r="812" ht="15.75" customHeight="1">
      <c r="A812" s="147"/>
      <c r="B812" s="147"/>
      <c r="C812" s="147"/>
      <c r="D812" s="147"/>
      <c r="E812" s="147"/>
      <c r="F812" s="147"/>
      <c r="G812" s="147"/>
      <c r="H812" s="147"/>
      <c r="I812" s="147"/>
      <c r="J812" s="147"/>
      <c r="K812" s="147"/>
      <c r="L812" s="147"/>
      <c r="M812" s="147"/>
      <c r="N812" s="147"/>
      <c r="O812" s="147"/>
      <c r="P812" s="147"/>
      <c r="Q812" s="147"/>
      <c r="R812" s="147"/>
      <c r="S812" s="147"/>
      <c r="T812" s="147"/>
      <c r="U812" s="147"/>
      <c r="V812" s="147"/>
      <c r="W812" s="147"/>
      <c r="X812" s="147"/>
      <c r="Y812" s="147"/>
      <c r="Z812" s="147"/>
    </row>
    <row r="813" ht="15.75" customHeight="1">
      <c r="A813" s="147"/>
      <c r="B813" s="147"/>
      <c r="C813" s="147"/>
      <c r="D813" s="147"/>
      <c r="E813" s="147"/>
      <c r="F813" s="147"/>
      <c r="G813" s="147"/>
      <c r="H813" s="147"/>
      <c r="I813" s="147"/>
      <c r="J813" s="147"/>
      <c r="K813" s="147"/>
      <c r="L813" s="147"/>
      <c r="M813" s="147"/>
      <c r="N813" s="147"/>
      <c r="O813" s="147"/>
      <c r="P813" s="147"/>
      <c r="Q813" s="147"/>
      <c r="R813" s="147"/>
      <c r="S813" s="147"/>
      <c r="T813" s="147"/>
      <c r="U813" s="147"/>
      <c r="V813" s="147"/>
      <c r="W813" s="147"/>
      <c r="X813" s="147"/>
      <c r="Y813" s="147"/>
      <c r="Z813" s="147"/>
    </row>
    <row r="814" ht="15.75" customHeight="1">
      <c r="A814" s="147"/>
      <c r="B814" s="147"/>
      <c r="C814" s="147"/>
      <c r="D814" s="147"/>
      <c r="E814" s="147"/>
      <c r="F814" s="147"/>
      <c r="G814" s="147"/>
      <c r="H814" s="147"/>
      <c r="I814" s="147"/>
      <c r="J814" s="147"/>
      <c r="K814" s="147"/>
      <c r="L814" s="147"/>
      <c r="M814" s="147"/>
      <c r="N814" s="147"/>
      <c r="O814" s="147"/>
      <c r="P814" s="147"/>
      <c r="Q814" s="147"/>
      <c r="R814" s="147"/>
      <c r="S814" s="147"/>
      <c r="T814" s="147"/>
      <c r="U814" s="147"/>
      <c r="V814" s="147"/>
      <c r="W814" s="147"/>
      <c r="X814" s="147"/>
      <c r="Y814" s="147"/>
      <c r="Z814" s="147"/>
    </row>
    <row r="815" ht="15.75" customHeight="1">
      <c r="A815" s="147"/>
      <c r="B815" s="147"/>
      <c r="C815" s="147"/>
      <c r="D815" s="147"/>
      <c r="E815" s="147"/>
      <c r="F815" s="147"/>
      <c r="G815" s="147"/>
      <c r="H815" s="147"/>
      <c r="I815" s="147"/>
      <c r="J815" s="147"/>
      <c r="K815" s="147"/>
      <c r="L815" s="147"/>
      <c r="M815" s="147"/>
      <c r="N815" s="147"/>
      <c r="O815" s="147"/>
      <c r="P815" s="147"/>
      <c r="Q815" s="147"/>
      <c r="R815" s="147"/>
      <c r="S815" s="147"/>
      <c r="T815" s="147"/>
      <c r="U815" s="147"/>
      <c r="V815" s="147"/>
      <c r="W815" s="147"/>
      <c r="X815" s="147"/>
      <c r="Y815" s="147"/>
      <c r="Z815" s="147"/>
    </row>
    <row r="816" ht="15.75" customHeight="1">
      <c r="A816" s="147"/>
      <c r="B816" s="147"/>
      <c r="C816" s="147"/>
      <c r="D816" s="147"/>
      <c r="E816" s="147"/>
      <c r="F816" s="147"/>
      <c r="G816" s="147"/>
      <c r="H816" s="147"/>
      <c r="I816" s="147"/>
      <c r="J816" s="147"/>
      <c r="K816" s="147"/>
      <c r="L816" s="147"/>
      <c r="M816" s="147"/>
      <c r="N816" s="147"/>
      <c r="O816" s="147"/>
      <c r="P816" s="147"/>
      <c r="Q816" s="147"/>
      <c r="R816" s="147"/>
      <c r="S816" s="147"/>
      <c r="T816" s="147"/>
      <c r="U816" s="147"/>
      <c r="V816" s="147"/>
      <c r="W816" s="147"/>
      <c r="X816" s="147"/>
      <c r="Y816" s="147"/>
      <c r="Z816" s="147"/>
    </row>
    <row r="817" ht="15.75" customHeight="1">
      <c r="A817" s="147"/>
      <c r="B817" s="147"/>
      <c r="C817" s="147"/>
      <c r="D817" s="147"/>
      <c r="E817" s="147"/>
      <c r="F817" s="147"/>
      <c r="G817" s="147"/>
      <c r="H817" s="147"/>
      <c r="I817" s="147"/>
      <c r="J817" s="147"/>
      <c r="K817" s="147"/>
      <c r="L817" s="147"/>
      <c r="M817" s="147"/>
      <c r="N817" s="147"/>
      <c r="O817" s="147"/>
      <c r="P817" s="147"/>
      <c r="Q817" s="147"/>
      <c r="R817" s="147"/>
      <c r="S817" s="147"/>
      <c r="T817" s="147"/>
      <c r="U817" s="147"/>
      <c r="V817" s="147"/>
      <c r="W817" s="147"/>
      <c r="X817" s="147"/>
      <c r="Y817" s="147"/>
      <c r="Z817" s="147"/>
    </row>
    <row r="818" ht="15.75" customHeight="1">
      <c r="A818" s="147"/>
      <c r="B818" s="147"/>
      <c r="C818" s="147"/>
      <c r="D818" s="147"/>
      <c r="E818" s="147"/>
      <c r="F818" s="147"/>
      <c r="G818" s="147"/>
      <c r="H818" s="147"/>
      <c r="I818" s="147"/>
      <c r="J818" s="147"/>
      <c r="K818" s="147"/>
      <c r="L818" s="147"/>
      <c r="M818" s="147"/>
      <c r="N818" s="147"/>
      <c r="O818" s="147"/>
      <c r="P818" s="147"/>
      <c r="Q818" s="147"/>
      <c r="R818" s="147"/>
      <c r="S818" s="147"/>
      <c r="T818" s="147"/>
      <c r="U818" s="147"/>
      <c r="V818" s="147"/>
      <c r="W818" s="147"/>
      <c r="X818" s="147"/>
      <c r="Y818" s="147"/>
      <c r="Z818" s="147"/>
    </row>
    <row r="819" ht="15.75" customHeight="1">
      <c r="A819" s="147"/>
      <c r="B819" s="147"/>
      <c r="C819" s="147"/>
      <c r="D819" s="147"/>
      <c r="E819" s="147"/>
      <c r="F819" s="147"/>
      <c r="G819" s="147"/>
      <c r="H819" s="147"/>
      <c r="I819" s="147"/>
      <c r="J819" s="147"/>
      <c r="K819" s="147"/>
      <c r="L819" s="147"/>
      <c r="M819" s="147"/>
      <c r="N819" s="147"/>
      <c r="O819" s="147"/>
      <c r="P819" s="147"/>
      <c r="Q819" s="147"/>
      <c r="R819" s="147"/>
      <c r="S819" s="147"/>
      <c r="T819" s="147"/>
      <c r="U819" s="147"/>
      <c r="V819" s="147"/>
      <c r="W819" s="147"/>
      <c r="X819" s="147"/>
      <c r="Y819" s="147"/>
      <c r="Z819" s="147"/>
    </row>
    <row r="820" ht="15.75" customHeight="1">
      <c r="A820" s="147"/>
      <c r="B820" s="147"/>
      <c r="C820" s="147"/>
      <c r="D820" s="147"/>
      <c r="E820" s="147"/>
      <c r="F820" s="147"/>
      <c r="G820" s="147"/>
      <c r="H820" s="147"/>
      <c r="I820" s="147"/>
      <c r="J820" s="147"/>
      <c r="K820" s="147"/>
      <c r="L820" s="147"/>
      <c r="M820" s="147"/>
      <c r="N820" s="147"/>
      <c r="O820" s="147"/>
      <c r="P820" s="147"/>
      <c r="Q820" s="147"/>
      <c r="R820" s="147"/>
      <c r="S820" s="147"/>
      <c r="T820" s="147"/>
      <c r="U820" s="147"/>
      <c r="V820" s="147"/>
      <c r="W820" s="147"/>
      <c r="X820" s="147"/>
      <c r="Y820" s="147"/>
      <c r="Z820" s="147"/>
    </row>
    <row r="821" ht="15.75" customHeight="1">
      <c r="A821" s="147"/>
      <c r="B821" s="147"/>
      <c r="C821" s="147"/>
      <c r="D821" s="147"/>
      <c r="E821" s="147"/>
      <c r="F821" s="147"/>
      <c r="G821" s="147"/>
      <c r="H821" s="147"/>
      <c r="I821" s="147"/>
      <c r="J821" s="147"/>
      <c r="K821" s="147"/>
      <c r="L821" s="147"/>
      <c r="M821" s="147"/>
      <c r="N821" s="147"/>
      <c r="O821" s="147"/>
      <c r="P821" s="147"/>
      <c r="Q821" s="147"/>
      <c r="R821" s="147"/>
      <c r="S821" s="147"/>
      <c r="T821" s="147"/>
      <c r="U821" s="147"/>
      <c r="V821" s="147"/>
      <c r="W821" s="147"/>
      <c r="X821" s="147"/>
      <c r="Y821" s="147"/>
      <c r="Z821" s="147"/>
    </row>
    <row r="822" ht="15.75" customHeight="1">
      <c r="A822" s="147"/>
      <c r="B822" s="147"/>
      <c r="C822" s="147"/>
      <c r="D822" s="147"/>
      <c r="E822" s="147"/>
      <c r="F822" s="147"/>
      <c r="G822" s="147"/>
      <c r="H822" s="147"/>
      <c r="I822" s="147"/>
      <c r="J822" s="147"/>
      <c r="K822" s="147"/>
      <c r="L822" s="147"/>
      <c r="M822" s="147"/>
      <c r="N822" s="147"/>
      <c r="O822" s="147"/>
      <c r="P822" s="147"/>
      <c r="Q822" s="147"/>
      <c r="R822" s="147"/>
      <c r="S822" s="147"/>
      <c r="T822" s="147"/>
      <c r="U822" s="147"/>
      <c r="V822" s="147"/>
      <c r="W822" s="147"/>
      <c r="X822" s="147"/>
      <c r="Y822" s="147"/>
      <c r="Z822" s="147"/>
    </row>
    <row r="823" ht="15.75" customHeight="1">
      <c r="A823" s="147"/>
      <c r="B823" s="147"/>
      <c r="C823" s="147"/>
      <c r="D823" s="147"/>
      <c r="E823" s="147"/>
      <c r="F823" s="147"/>
      <c r="G823" s="147"/>
      <c r="H823" s="147"/>
      <c r="I823" s="147"/>
      <c r="J823" s="147"/>
      <c r="K823" s="147"/>
      <c r="L823" s="147"/>
      <c r="M823" s="147"/>
      <c r="N823" s="147"/>
      <c r="O823" s="147"/>
      <c r="P823" s="147"/>
      <c r="Q823" s="147"/>
      <c r="R823" s="147"/>
      <c r="S823" s="147"/>
      <c r="T823" s="147"/>
      <c r="U823" s="147"/>
      <c r="V823" s="147"/>
      <c r="W823" s="147"/>
      <c r="X823" s="147"/>
      <c r="Y823" s="147"/>
      <c r="Z823" s="147"/>
    </row>
    <row r="824" ht="15.75" customHeight="1">
      <c r="A824" s="147"/>
      <c r="B824" s="147"/>
      <c r="C824" s="147"/>
      <c r="D824" s="147"/>
      <c r="E824" s="147"/>
      <c r="F824" s="147"/>
      <c r="G824" s="147"/>
      <c r="H824" s="147"/>
      <c r="I824" s="147"/>
      <c r="J824" s="147"/>
      <c r="K824" s="147"/>
      <c r="L824" s="147"/>
      <c r="M824" s="147"/>
      <c r="N824" s="147"/>
      <c r="O824" s="147"/>
      <c r="P824" s="147"/>
      <c r="Q824" s="147"/>
      <c r="R824" s="147"/>
      <c r="S824" s="147"/>
      <c r="T824" s="147"/>
      <c r="U824" s="147"/>
      <c r="V824" s="147"/>
      <c r="W824" s="147"/>
      <c r="X824" s="147"/>
      <c r="Y824" s="147"/>
      <c r="Z824" s="147"/>
    </row>
    <row r="825" ht="15.75" customHeight="1">
      <c r="A825" s="147"/>
      <c r="B825" s="147"/>
      <c r="C825" s="147"/>
      <c r="D825" s="147"/>
      <c r="E825" s="147"/>
      <c r="F825" s="147"/>
      <c r="G825" s="147"/>
      <c r="H825" s="147"/>
      <c r="I825" s="147"/>
      <c r="J825" s="147"/>
      <c r="K825" s="147"/>
      <c r="L825" s="147"/>
      <c r="M825" s="147"/>
      <c r="N825" s="147"/>
      <c r="O825" s="147"/>
      <c r="P825" s="147"/>
      <c r="Q825" s="147"/>
      <c r="R825" s="147"/>
      <c r="S825" s="147"/>
      <c r="T825" s="147"/>
      <c r="U825" s="147"/>
      <c r="V825" s="147"/>
      <c r="W825" s="147"/>
      <c r="X825" s="147"/>
      <c r="Y825" s="147"/>
      <c r="Z825" s="147"/>
    </row>
    <row r="826" ht="15.75" customHeight="1">
      <c r="A826" s="147"/>
      <c r="B826" s="147"/>
      <c r="C826" s="147"/>
      <c r="D826" s="147"/>
      <c r="E826" s="147"/>
      <c r="F826" s="147"/>
      <c r="G826" s="147"/>
      <c r="H826" s="147"/>
      <c r="I826" s="147"/>
      <c r="J826" s="147"/>
      <c r="K826" s="147"/>
      <c r="L826" s="147"/>
      <c r="M826" s="147"/>
      <c r="N826" s="147"/>
      <c r="O826" s="147"/>
      <c r="P826" s="147"/>
      <c r="Q826" s="147"/>
      <c r="R826" s="147"/>
      <c r="S826" s="147"/>
      <c r="T826" s="147"/>
      <c r="U826" s="147"/>
      <c r="V826" s="147"/>
      <c r="W826" s="147"/>
      <c r="X826" s="147"/>
      <c r="Y826" s="147"/>
      <c r="Z826" s="147"/>
    </row>
    <row r="827" ht="15.75" customHeight="1">
      <c r="A827" s="147"/>
      <c r="B827" s="147"/>
      <c r="C827" s="147"/>
      <c r="D827" s="147"/>
      <c r="E827" s="147"/>
      <c r="F827" s="147"/>
      <c r="G827" s="147"/>
      <c r="H827" s="147"/>
      <c r="I827" s="147"/>
      <c r="J827" s="147"/>
      <c r="K827" s="147"/>
      <c r="L827" s="147"/>
      <c r="M827" s="147"/>
      <c r="N827" s="147"/>
      <c r="O827" s="147"/>
      <c r="P827" s="147"/>
      <c r="Q827" s="147"/>
      <c r="R827" s="147"/>
      <c r="S827" s="147"/>
      <c r="T827" s="147"/>
      <c r="U827" s="147"/>
      <c r="V827" s="147"/>
      <c r="W827" s="147"/>
      <c r="X827" s="147"/>
      <c r="Y827" s="147"/>
      <c r="Z827" s="147"/>
    </row>
    <row r="828" ht="15.75" customHeight="1">
      <c r="A828" s="147"/>
      <c r="B828" s="147"/>
      <c r="C828" s="147"/>
      <c r="D828" s="147"/>
      <c r="E828" s="147"/>
      <c r="F828" s="147"/>
      <c r="G828" s="147"/>
      <c r="H828" s="147"/>
      <c r="I828" s="147"/>
      <c r="J828" s="147"/>
      <c r="K828" s="147"/>
      <c r="L828" s="147"/>
      <c r="M828" s="147"/>
      <c r="N828" s="147"/>
      <c r="O828" s="147"/>
      <c r="P828" s="147"/>
      <c r="Q828" s="147"/>
      <c r="R828" s="147"/>
      <c r="S828" s="147"/>
      <c r="T828" s="147"/>
      <c r="U828" s="147"/>
      <c r="V828" s="147"/>
      <c r="W828" s="147"/>
      <c r="X828" s="147"/>
      <c r="Y828" s="147"/>
      <c r="Z828" s="147"/>
    </row>
    <row r="829" ht="15.75" customHeight="1">
      <c r="A829" s="147"/>
      <c r="B829" s="147"/>
      <c r="C829" s="147"/>
      <c r="D829" s="147"/>
      <c r="E829" s="147"/>
      <c r="F829" s="147"/>
      <c r="G829" s="147"/>
      <c r="H829" s="147"/>
      <c r="I829" s="147"/>
      <c r="J829" s="147"/>
      <c r="K829" s="147"/>
      <c r="L829" s="147"/>
      <c r="M829" s="147"/>
      <c r="N829" s="147"/>
      <c r="O829" s="147"/>
      <c r="P829" s="147"/>
      <c r="Q829" s="147"/>
      <c r="R829" s="147"/>
      <c r="S829" s="147"/>
      <c r="T829" s="147"/>
      <c r="U829" s="147"/>
      <c r="V829" s="147"/>
      <c r="W829" s="147"/>
      <c r="X829" s="147"/>
      <c r="Y829" s="147"/>
      <c r="Z829" s="147"/>
    </row>
    <row r="830" ht="15.75" customHeight="1">
      <c r="A830" s="147"/>
      <c r="B830" s="147"/>
      <c r="C830" s="147"/>
      <c r="D830" s="147"/>
      <c r="E830" s="147"/>
      <c r="F830" s="147"/>
      <c r="G830" s="147"/>
      <c r="H830" s="147"/>
      <c r="I830" s="147"/>
      <c r="J830" s="147"/>
      <c r="K830" s="147"/>
      <c r="L830" s="147"/>
      <c r="M830" s="147"/>
      <c r="N830" s="147"/>
      <c r="O830" s="147"/>
      <c r="P830" s="147"/>
      <c r="Q830" s="147"/>
      <c r="R830" s="147"/>
      <c r="S830" s="147"/>
      <c r="T830" s="147"/>
      <c r="U830" s="147"/>
      <c r="V830" s="147"/>
      <c r="W830" s="147"/>
      <c r="X830" s="147"/>
      <c r="Y830" s="147"/>
      <c r="Z830" s="147"/>
    </row>
    <row r="831" ht="15.75" customHeight="1">
      <c r="A831" s="147"/>
      <c r="B831" s="147"/>
      <c r="C831" s="147"/>
      <c r="D831" s="147"/>
      <c r="E831" s="147"/>
      <c r="F831" s="147"/>
      <c r="G831" s="147"/>
      <c r="H831" s="147"/>
      <c r="I831" s="147"/>
      <c r="J831" s="147"/>
      <c r="K831" s="147"/>
      <c r="L831" s="147"/>
      <c r="M831" s="147"/>
      <c r="N831" s="147"/>
      <c r="O831" s="147"/>
      <c r="P831" s="147"/>
      <c r="Q831" s="147"/>
      <c r="R831" s="147"/>
      <c r="S831" s="147"/>
      <c r="T831" s="147"/>
      <c r="U831" s="147"/>
      <c r="V831" s="147"/>
      <c r="W831" s="147"/>
      <c r="X831" s="147"/>
      <c r="Y831" s="147"/>
      <c r="Z831" s="147"/>
    </row>
    <row r="832" ht="15.75" customHeight="1">
      <c r="A832" s="147"/>
      <c r="B832" s="147"/>
      <c r="C832" s="147"/>
      <c r="D832" s="147"/>
      <c r="E832" s="147"/>
      <c r="F832" s="147"/>
      <c r="G832" s="147"/>
      <c r="H832" s="147"/>
      <c r="I832" s="147"/>
      <c r="J832" s="147"/>
      <c r="K832" s="147"/>
      <c r="L832" s="147"/>
      <c r="M832" s="147"/>
      <c r="N832" s="147"/>
      <c r="O832" s="147"/>
      <c r="P832" s="147"/>
      <c r="Q832" s="147"/>
      <c r="R832" s="147"/>
      <c r="S832" s="147"/>
      <c r="T832" s="147"/>
      <c r="U832" s="147"/>
      <c r="V832" s="147"/>
      <c r="W832" s="147"/>
      <c r="X832" s="147"/>
      <c r="Y832" s="147"/>
      <c r="Z832" s="147"/>
    </row>
    <row r="833" ht="15.75" customHeight="1">
      <c r="A833" s="147"/>
      <c r="B833" s="147"/>
      <c r="C833" s="147"/>
      <c r="D833" s="147"/>
      <c r="E833" s="147"/>
      <c r="F833" s="147"/>
      <c r="G833" s="147"/>
      <c r="H833" s="147"/>
      <c r="I833" s="147"/>
      <c r="J833" s="147"/>
      <c r="K833" s="147"/>
      <c r="L833" s="147"/>
      <c r="M833" s="147"/>
      <c r="N833" s="147"/>
      <c r="O833" s="147"/>
      <c r="P833" s="147"/>
      <c r="Q833" s="147"/>
      <c r="R833" s="147"/>
      <c r="S833" s="147"/>
      <c r="T833" s="147"/>
      <c r="U833" s="147"/>
      <c r="V833" s="147"/>
      <c r="W833" s="147"/>
      <c r="X833" s="147"/>
      <c r="Y833" s="147"/>
      <c r="Z833" s="147"/>
    </row>
    <row r="834" ht="15.75" customHeight="1">
      <c r="A834" s="147"/>
      <c r="B834" s="147"/>
      <c r="C834" s="147"/>
      <c r="D834" s="147"/>
      <c r="E834" s="147"/>
      <c r="F834" s="147"/>
      <c r="G834" s="147"/>
      <c r="H834" s="147"/>
      <c r="I834" s="147"/>
      <c r="J834" s="147"/>
      <c r="K834" s="147"/>
      <c r="L834" s="147"/>
      <c r="M834" s="147"/>
      <c r="N834" s="147"/>
      <c r="O834" s="147"/>
      <c r="P834" s="147"/>
      <c r="Q834" s="147"/>
      <c r="R834" s="147"/>
      <c r="S834" s="147"/>
      <c r="T834" s="147"/>
      <c r="U834" s="147"/>
      <c r="V834" s="147"/>
      <c r="W834" s="147"/>
      <c r="X834" s="147"/>
      <c r="Y834" s="147"/>
      <c r="Z834" s="147"/>
    </row>
    <row r="835" ht="15.75" customHeight="1">
      <c r="A835" s="147"/>
      <c r="B835" s="147"/>
      <c r="C835" s="147"/>
      <c r="D835" s="147"/>
      <c r="E835" s="147"/>
      <c r="F835" s="147"/>
      <c r="G835" s="147"/>
      <c r="H835" s="147"/>
      <c r="I835" s="147"/>
      <c r="J835" s="147"/>
      <c r="K835" s="147"/>
      <c r="L835" s="147"/>
      <c r="M835" s="147"/>
      <c r="N835" s="147"/>
      <c r="O835" s="147"/>
      <c r="P835" s="147"/>
      <c r="Q835" s="147"/>
      <c r="R835" s="147"/>
      <c r="S835" s="147"/>
      <c r="T835" s="147"/>
      <c r="U835" s="147"/>
      <c r="V835" s="147"/>
      <c r="W835" s="147"/>
      <c r="X835" s="147"/>
      <c r="Y835" s="147"/>
      <c r="Z835" s="147"/>
    </row>
    <row r="836" ht="15.75" customHeight="1">
      <c r="A836" s="147"/>
      <c r="B836" s="147"/>
      <c r="C836" s="147"/>
      <c r="D836" s="147"/>
      <c r="E836" s="147"/>
      <c r="F836" s="147"/>
      <c r="G836" s="147"/>
      <c r="H836" s="147"/>
      <c r="I836" s="147"/>
      <c r="J836" s="147"/>
      <c r="K836" s="147"/>
      <c r="L836" s="147"/>
      <c r="M836" s="147"/>
      <c r="N836" s="147"/>
      <c r="O836" s="147"/>
      <c r="P836" s="147"/>
      <c r="Q836" s="147"/>
      <c r="R836" s="147"/>
      <c r="S836" s="147"/>
      <c r="T836" s="147"/>
      <c r="U836" s="147"/>
      <c r="V836" s="147"/>
      <c r="W836" s="147"/>
      <c r="X836" s="147"/>
      <c r="Y836" s="147"/>
      <c r="Z836" s="147"/>
    </row>
    <row r="837" ht="15.75" customHeight="1">
      <c r="A837" s="147"/>
      <c r="B837" s="147"/>
      <c r="C837" s="147"/>
      <c r="D837" s="147"/>
      <c r="E837" s="147"/>
      <c r="F837" s="147"/>
      <c r="G837" s="147"/>
      <c r="H837" s="147"/>
      <c r="I837" s="147"/>
      <c r="J837" s="147"/>
      <c r="K837" s="147"/>
      <c r="L837" s="147"/>
      <c r="M837" s="147"/>
      <c r="N837" s="147"/>
      <c r="O837" s="147"/>
      <c r="P837" s="147"/>
      <c r="Q837" s="147"/>
      <c r="R837" s="147"/>
      <c r="S837" s="147"/>
      <c r="T837" s="147"/>
      <c r="U837" s="147"/>
      <c r="V837" s="147"/>
      <c r="W837" s="147"/>
      <c r="X837" s="147"/>
      <c r="Y837" s="147"/>
      <c r="Z837" s="147"/>
    </row>
    <row r="838" ht="15.75" customHeight="1">
      <c r="A838" s="147"/>
      <c r="B838" s="147"/>
      <c r="C838" s="147"/>
      <c r="D838" s="147"/>
      <c r="E838" s="147"/>
      <c r="F838" s="147"/>
      <c r="G838" s="147"/>
      <c r="H838" s="147"/>
      <c r="I838" s="147"/>
      <c r="J838" s="147"/>
      <c r="K838" s="147"/>
      <c r="L838" s="147"/>
      <c r="M838" s="147"/>
      <c r="N838" s="147"/>
      <c r="O838" s="147"/>
      <c r="P838" s="147"/>
      <c r="Q838" s="147"/>
      <c r="R838" s="147"/>
      <c r="S838" s="147"/>
      <c r="T838" s="147"/>
      <c r="U838" s="147"/>
      <c r="V838" s="147"/>
      <c r="W838" s="147"/>
      <c r="X838" s="147"/>
      <c r="Y838" s="147"/>
      <c r="Z838" s="147"/>
    </row>
    <row r="839" ht="15.75" customHeight="1">
      <c r="A839" s="147"/>
      <c r="B839" s="147"/>
      <c r="C839" s="147"/>
      <c r="D839" s="147"/>
      <c r="E839" s="147"/>
      <c r="F839" s="147"/>
      <c r="G839" s="147"/>
      <c r="H839" s="147"/>
      <c r="I839" s="147"/>
      <c r="J839" s="147"/>
      <c r="K839" s="147"/>
      <c r="L839" s="147"/>
      <c r="M839" s="147"/>
      <c r="N839" s="147"/>
      <c r="O839" s="147"/>
      <c r="P839" s="147"/>
      <c r="Q839" s="147"/>
      <c r="R839" s="147"/>
      <c r="S839" s="147"/>
      <c r="T839" s="147"/>
      <c r="U839" s="147"/>
      <c r="V839" s="147"/>
      <c r="W839" s="147"/>
      <c r="X839" s="147"/>
      <c r="Y839" s="147"/>
      <c r="Z839" s="147"/>
    </row>
    <row r="840" ht="15.75" customHeight="1">
      <c r="A840" s="147"/>
      <c r="B840" s="147"/>
      <c r="C840" s="147"/>
      <c r="D840" s="147"/>
      <c r="E840" s="147"/>
      <c r="F840" s="147"/>
      <c r="G840" s="147"/>
      <c r="H840" s="147"/>
      <c r="I840" s="147"/>
      <c r="J840" s="147"/>
      <c r="K840" s="147"/>
      <c r="L840" s="147"/>
      <c r="M840" s="147"/>
      <c r="N840" s="147"/>
      <c r="O840" s="147"/>
      <c r="P840" s="147"/>
      <c r="Q840" s="147"/>
      <c r="R840" s="147"/>
      <c r="S840" s="147"/>
      <c r="T840" s="147"/>
      <c r="U840" s="147"/>
      <c r="V840" s="147"/>
      <c r="W840" s="147"/>
      <c r="X840" s="147"/>
      <c r="Y840" s="147"/>
      <c r="Z840" s="147"/>
    </row>
    <row r="841" ht="15.75" customHeight="1">
      <c r="A841" s="147"/>
      <c r="B841" s="147"/>
      <c r="C841" s="147"/>
      <c r="D841" s="147"/>
      <c r="E841" s="147"/>
      <c r="F841" s="147"/>
      <c r="G841" s="147"/>
      <c r="H841" s="147"/>
      <c r="I841" s="147"/>
      <c r="J841" s="147"/>
      <c r="K841" s="147"/>
      <c r="L841" s="147"/>
      <c r="M841" s="147"/>
      <c r="N841" s="147"/>
      <c r="O841" s="147"/>
      <c r="P841" s="147"/>
      <c r="Q841" s="147"/>
      <c r="R841" s="147"/>
      <c r="S841" s="147"/>
      <c r="T841" s="147"/>
      <c r="U841" s="147"/>
      <c r="V841" s="147"/>
      <c r="W841" s="147"/>
      <c r="X841" s="147"/>
      <c r="Y841" s="147"/>
      <c r="Z841" s="147"/>
    </row>
    <row r="842" ht="15.75" customHeight="1">
      <c r="A842" s="147"/>
      <c r="B842" s="147"/>
      <c r="C842" s="147"/>
      <c r="D842" s="147"/>
      <c r="E842" s="147"/>
      <c r="F842" s="147"/>
      <c r="G842" s="147"/>
      <c r="H842" s="147"/>
      <c r="I842" s="147"/>
      <c r="J842" s="147"/>
      <c r="K842" s="147"/>
      <c r="L842" s="147"/>
      <c r="M842" s="147"/>
      <c r="N842" s="147"/>
      <c r="O842" s="147"/>
      <c r="P842" s="147"/>
      <c r="Q842" s="147"/>
      <c r="R842" s="147"/>
      <c r="S842" s="147"/>
      <c r="T842" s="147"/>
      <c r="U842" s="147"/>
      <c r="V842" s="147"/>
      <c r="W842" s="147"/>
      <c r="X842" s="147"/>
      <c r="Y842" s="147"/>
      <c r="Z842" s="147"/>
    </row>
    <row r="843" ht="15.75" customHeight="1">
      <c r="A843" s="147"/>
      <c r="B843" s="147"/>
      <c r="C843" s="147"/>
      <c r="D843" s="147"/>
      <c r="E843" s="147"/>
      <c r="F843" s="147"/>
      <c r="G843" s="147"/>
      <c r="H843" s="147"/>
      <c r="I843" s="147"/>
      <c r="J843" s="147"/>
      <c r="K843" s="147"/>
      <c r="L843" s="147"/>
      <c r="M843" s="147"/>
      <c r="N843" s="147"/>
      <c r="O843" s="147"/>
      <c r="P843" s="147"/>
      <c r="Q843" s="147"/>
      <c r="R843" s="147"/>
      <c r="S843" s="147"/>
      <c r="T843" s="147"/>
      <c r="U843" s="147"/>
      <c r="V843" s="147"/>
      <c r="W843" s="147"/>
      <c r="X843" s="147"/>
      <c r="Y843" s="147"/>
      <c r="Z843" s="147"/>
    </row>
    <row r="844" ht="15.75" customHeight="1">
      <c r="A844" s="147"/>
      <c r="B844" s="147"/>
      <c r="C844" s="147"/>
      <c r="D844" s="147"/>
      <c r="E844" s="147"/>
      <c r="F844" s="147"/>
      <c r="G844" s="147"/>
      <c r="H844" s="147"/>
      <c r="I844" s="147"/>
      <c r="J844" s="147"/>
      <c r="K844" s="147"/>
      <c r="L844" s="147"/>
      <c r="M844" s="147"/>
      <c r="N844" s="147"/>
      <c r="O844" s="147"/>
      <c r="P844" s="147"/>
      <c r="Q844" s="147"/>
      <c r="R844" s="147"/>
      <c r="S844" s="147"/>
      <c r="T844" s="147"/>
      <c r="U844" s="147"/>
      <c r="V844" s="147"/>
      <c r="W844" s="147"/>
      <c r="X844" s="147"/>
      <c r="Y844" s="147"/>
      <c r="Z844" s="147"/>
    </row>
    <row r="845" ht="15.75" customHeight="1">
      <c r="A845" s="147"/>
      <c r="B845" s="147"/>
      <c r="C845" s="147"/>
      <c r="D845" s="147"/>
      <c r="E845" s="147"/>
      <c r="F845" s="147"/>
      <c r="G845" s="147"/>
      <c r="H845" s="147"/>
      <c r="I845" s="147"/>
      <c r="J845" s="147"/>
      <c r="K845" s="147"/>
      <c r="L845" s="147"/>
      <c r="M845" s="147"/>
      <c r="N845" s="147"/>
      <c r="O845" s="147"/>
      <c r="P845" s="147"/>
      <c r="Q845" s="147"/>
      <c r="R845" s="147"/>
      <c r="S845" s="147"/>
      <c r="T845" s="147"/>
      <c r="U845" s="147"/>
      <c r="V845" s="147"/>
      <c r="W845" s="147"/>
      <c r="X845" s="147"/>
      <c r="Y845" s="147"/>
      <c r="Z845" s="147"/>
    </row>
    <row r="846" ht="15.75" customHeight="1">
      <c r="A846" s="147"/>
      <c r="B846" s="147"/>
      <c r="C846" s="147"/>
      <c r="D846" s="147"/>
      <c r="E846" s="147"/>
      <c r="F846" s="147"/>
      <c r="G846" s="147"/>
      <c r="H846" s="147"/>
      <c r="I846" s="147"/>
      <c r="J846" s="147"/>
      <c r="K846" s="147"/>
      <c r="L846" s="147"/>
      <c r="M846" s="147"/>
      <c r="N846" s="147"/>
      <c r="O846" s="147"/>
      <c r="P846" s="147"/>
      <c r="Q846" s="147"/>
      <c r="R846" s="147"/>
      <c r="S846" s="147"/>
      <c r="T846" s="147"/>
      <c r="U846" s="147"/>
      <c r="V846" s="147"/>
      <c r="W846" s="147"/>
      <c r="X846" s="147"/>
      <c r="Y846" s="147"/>
      <c r="Z846" s="147"/>
    </row>
    <row r="847" ht="15.75" customHeight="1">
      <c r="A847" s="147"/>
      <c r="B847" s="147"/>
      <c r="C847" s="147"/>
      <c r="D847" s="147"/>
      <c r="E847" s="147"/>
      <c r="F847" s="147"/>
      <c r="G847" s="147"/>
      <c r="H847" s="147"/>
      <c r="I847" s="147"/>
      <c r="J847" s="147"/>
      <c r="K847" s="147"/>
      <c r="L847" s="147"/>
      <c r="M847" s="147"/>
      <c r="N847" s="147"/>
      <c r="O847" s="147"/>
      <c r="P847" s="147"/>
      <c r="Q847" s="147"/>
      <c r="R847" s="147"/>
      <c r="S847" s="147"/>
      <c r="T847" s="147"/>
      <c r="U847" s="147"/>
      <c r="V847" s="147"/>
      <c r="W847" s="147"/>
      <c r="X847" s="147"/>
      <c r="Y847" s="147"/>
      <c r="Z847" s="147"/>
    </row>
    <row r="848" ht="15.75" customHeight="1">
      <c r="A848" s="147"/>
      <c r="B848" s="147"/>
      <c r="C848" s="147"/>
      <c r="D848" s="147"/>
      <c r="E848" s="147"/>
      <c r="F848" s="147"/>
      <c r="G848" s="147"/>
      <c r="H848" s="147"/>
      <c r="I848" s="147"/>
      <c r="J848" s="147"/>
      <c r="K848" s="147"/>
      <c r="L848" s="147"/>
      <c r="M848" s="147"/>
      <c r="N848" s="147"/>
      <c r="O848" s="147"/>
      <c r="P848" s="147"/>
      <c r="Q848" s="147"/>
      <c r="R848" s="147"/>
      <c r="S848" s="147"/>
      <c r="T848" s="147"/>
      <c r="U848" s="147"/>
      <c r="V848" s="147"/>
      <c r="W848" s="147"/>
      <c r="X848" s="147"/>
      <c r="Y848" s="147"/>
      <c r="Z848" s="147"/>
    </row>
    <row r="849" ht="15.75" customHeight="1">
      <c r="A849" s="147"/>
      <c r="B849" s="147"/>
      <c r="C849" s="147"/>
      <c r="D849" s="147"/>
      <c r="E849" s="147"/>
      <c r="F849" s="147"/>
      <c r="G849" s="147"/>
      <c r="H849" s="147"/>
      <c r="I849" s="147"/>
      <c r="J849" s="147"/>
      <c r="K849" s="147"/>
      <c r="L849" s="147"/>
      <c r="M849" s="147"/>
      <c r="N849" s="147"/>
      <c r="O849" s="147"/>
      <c r="P849" s="147"/>
      <c r="Q849" s="147"/>
      <c r="R849" s="147"/>
      <c r="S849" s="147"/>
      <c r="T849" s="147"/>
      <c r="U849" s="147"/>
      <c r="V849" s="147"/>
      <c r="W849" s="147"/>
      <c r="X849" s="147"/>
      <c r="Y849" s="147"/>
      <c r="Z849" s="147"/>
    </row>
    <row r="850" ht="15.75" customHeight="1">
      <c r="A850" s="147"/>
      <c r="B850" s="147"/>
      <c r="C850" s="147"/>
      <c r="D850" s="147"/>
      <c r="E850" s="147"/>
      <c r="F850" s="147"/>
      <c r="G850" s="147"/>
      <c r="H850" s="147"/>
      <c r="I850" s="147"/>
      <c r="J850" s="147"/>
      <c r="K850" s="147"/>
      <c r="L850" s="147"/>
      <c r="M850" s="147"/>
      <c r="N850" s="147"/>
      <c r="O850" s="147"/>
      <c r="P850" s="147"/>
      <c r="Q850" s="147"/>
      <c r="R850" s="147"/>
      <c r="S850" s="147"/>
      <c r="T850" s="147"/>
      <c r="U850" s="147"/>
      <c r="V850" s="147"/>
      <c r="W850" s="147"/>
      <c r="X850" s="147"/>
      <c r="Y850" s="147"/>
      <c r="Z850" s="147"/>
    </row>
    <row r="851" ht="15.75" customHeight="1">
      <c r="A851" s="147"/>
      <c r="B851" s="147"/>
      <c r="C851" s="147"/>
      <c r="D851" s="147"/>
      <c r="E851" s="147"/>
      <c r="F851" s="147"/>
      <c r="G851" s="147"/>
      <c r="H851" s="147"/>
      <c r="I851" s="147"/>
      <c r="J851" s="147"/>
      <c r="K851" s="147"/>
      <c r="L851" s="147"/>
      <c r="M851" s="147"/>
      <c r="N851" s="147"/>
      <c r="O851" s="147"/>
      <c r="P851" s="147"/>
      <c r="Q851" s="147"/>
      <c r="R851" s="147"/>
      <c r="S851" s="147"/>
      <c r="T851" s="147"/>
      <c r="U851" s="147"/>
      <c r="V851" s="147"/>
      <c r="W851" s="147"/>
      <c r="X851" s="147"/>
      <c r="Y851" s="147"/>
      <c r="Z851" s="147"/>
    </row>
    <row r="852" ht="15.75" customHeight="1">
      <c r="A852" s="147"/>
      <c r="B852" s="147"/>
      <c r="C852" s="147"/>
      <c r="D852" s="147"/>
      <c r="E852" s="147"/>
      <c r="F852" s="147"/>
      <c r="G852" s="147"/>
      <c r="H852" s="147"/>
      <c r="I852" s="147"/>
      <c r="J852" s="147"/>
      <c r="K852" s="147"/>
      <c r="L852" s="147"/>
      <c r="M852" s="147"/>
      <c r="N852" s="147"/>
      <c r="O852" s="147"/>
      <c r="P852" s="147"/>
      <c r="Q852" s="147"/>
      <c r="R852" s="147"/>
      <c r="S852" s="147"/>
      <c r="T852" s="147"/>
      <c r="U852" s="147"/>
      <c r="V852" s="147"/>
      <c r="W852" s="147"/>
      <c r="X852" s="147"/>
      <c r="Y852" s="147"/>
      <c r="Z852" s="147"/>
    </row>
    <row r="853" ht="15.75" customHeight="1">
      <c r="A853" s="147"/>
      <c r="B853" s="147"/>
      <c r="C853" s="147"/>
      <c r="D853" s="147"/>
      <c r="E853" s="147"/>
      <c r="F853" s="147"/>
      <c r="G853" s="147"/>
      <c r="H853" s="147"/>
      <c r="I853" s="147"/>
      <c r="J853" s="147"/>
      <c r="K853" s="147"/>
      <c r="L853" s="147"/>
      <c r="M853" s="147"/>
      <c r="N853" s="147"/>
      <c r="O853" s="147"/>
      <c r="P853" s="147"/>
      <c r="Q853" s="147"/>
      <c r="R853" s="147"/>
      <c r="S853" s="147"/>
      <c r="T853" s="147"/>
      <c r="U853" s="147"/>
      <c r="V853" s="147"/>
      <c r="W853" s="147"/>
      <c r="X853" s="147"/>
      <c r="Y853" s="147"/>
      <c r="Z853" s="147"/>
    </row>
    <row r="854" ht="15.75" customHeight="1">
      <c r="A854" s="147"/>
      <c r="B854" s="147"/>
      <c r="C854" s="147"/>
      <c r="D854" s="147"/>
      <c r="E854" s="147"/>
      <c r="F854" s="147"/>
      <c r="G854" s="147"/>
      <c r="H854" s="147"/>
      <c r="I854" s="147"/>
      <c r="J854" s="147"/>
      <c r="K854" s="147"/>
      <c r="L854" s="147"/>
      <c r="M854" s="147"/>
      <c r="N854" s="147"/>
      <c r="O854" s="147"/>
      <c r="P854" s="147"/>
      <c r="Q854" s="147"/>
      <c r="R854" s="147"/>
      <c r="S854" s="147"/>
      <c r="T854" s="147"/>
      <c r="U854" s="147"/>
      <c r="V854" s="147"/>
      <c r="W854" s="147"/>
      <c r="X854" s="147"/>
      <c r="Y854" s="147"/>
      <c r="Z854" s="147"/>
    </row>
    <row r="855" ht="15.75" customHeight="1">
      <c r="A855" s="147"/>
      <c r="B855" s="147"/>
      <c r="C855" s="147"/>
      <c r="D855" s="147"/>
      <c r="E855" s="147"/>
      <c r="F855" s="147"/>
      <c r="G855" s="147"/>
      <c r="H855" s="147"/>
      <c r="I855" s="147"/>
      <c r="J855" s="147"/>
      <c r="K855" s="147"/>
      <c r="L855" s="147"/>
      <c r="M855" s="147"/>
      <c r="N855" s="147"/>
      <c r="O855" s="147"/>
      <c r="P855" s="147"/>
      <c r="Q855" s="147"/>
      <c r="R855" s="147"/>
      <c r="S855" s="147"/>
      <c r="T855" s="147"/>
      <c r="U855" s="147"/>
      <c r="V855" s="147"/>
      <c r="W855" s="147"/>
      <c r="X855" s="147"/>
      <c r="Y855" s="147"/>
      <c r="Z855" s="147"/>
    </row>
    <row r="856" ht="15.75" customHeight="1">
      <c r="A856" s="147"/>
      <c r="B856" s="147"/>
      <c r="C856" s="147"/>
      <c r="D856" s="147"/>
      <c r="E856" s="147"/>
      <c r="F856" s="147"/>
      <c r="G856" s="147"/>
      <c r="H856" s="147"/>
      <c r="I856" s="147"/>
      <c r="J856" s="147"/>
      <c r="K856" s="147"/>
      <c r="L856" s="147"/>
      <c r="M856" s="147"/>
      <c r="N856" s="147"/>
      <c r="O856" s="147"/>
      <c r="P856" s="147"/>
      <c r="Q856" s="147"/>
      <c r="R856" s="147"/>
      <c r="S856" s="147"/>
      <c r="T856" s="147"/>
      <c r="U856" s="147"/>
      <c r="V856" s="147"/>
      <c r="W856" s="147"/>
      <c r="X856" s="147"/>
      <c r="Y856" s="147"/>
      <c r="Z856" s="147"/>
    </row>
    <row r="857" ht="15.75" customHeight="1">
      <c r="A857" s="147"/>
      <c r="B857" s="147"/>
      <c r="C857" s="147"/>
      <c r="D857" s="147"/>
      <c r="E857" s="147"/>
      <c r="F857" s="147"/>
      <c r="G857" s="147"/>
      <c r="H857" s="147"/>
      <c r="I857" s="147"/>
      <c r="J857" s="147"/>
      <c r="K857" s="147"/>
      <c r="L857" s="147"/>
      <c r="M857" s="147"/>
      <c r="N857" s="147"/>
      <c r="O857" s="147"/>
      <c r="P857" s="147"/>
      <c r="Q857" s="147"/>
      <c r="R857" s="147"/>
      <c r="S857" s="147"/>
      <c r="T857" s="147"/>
      <c r="U857" s="147"/>
      <c r="V857" s="147"/>
      <c r="W857" s="147"/>
      <c r="X857" s="147"/>
      <c r="Y857" s="147"/>
      <c r="Z857" s="147"/>
    </row>
    <row r="858" ht="15.75" customHeight="1">
      <c r="A858" s="147"/>
      <c r="B858" s="147"/>
      <c r="C858" s="147"/>
      <c r="D858" s="147"/>
      <c r="E858" s="147"/>
      <c r="F858" s="147"/>
      <c r="G858" s="147"/>
      <c r="H858" s="147"/>
      <c r="I858" s="147"/>
      <c r="J858" s="147"/>
      <c r="K858" s="147"/>
      <c r="L858" s="147"/>
      <c r="M858" s="147"/>
      <c r="N858" s="147"/>
      <c r="O858" s="147"/>
      <c r="P858" s="147"/>
      <c r="Q858" s="147"/>
      <c r="R858" s="147"/>
      <c r="S858" s="147"/>
      <c r="T858" s="147"/>
      <c r="U858" s="147"/>
      <c r="V858" s="147"/>
      <c r="W858" s="147"/>
      <c r="X858" s="147"/>
      <c r="Y858" s="147"/>
      <c r="Z858" s="147"/>
    </row>
    <row r="859" ht="15.75" customHeight="1">
      <c r="A859" s="147"/>
      <c r="B859" s="147"/>
      <c r="C859" s="147"/>
      <c r="D859" s="147"/>
      <c r="E859" s="147"/>
      <c r="F859" s="147"/>
      <c r="G859" s="147"/>
      <c r="H859" s="147"/>
      <c r="I859" s="147"/>
      <c r="J859" s="147"/>
      <c r="K859" s="147"/>
      <c r="L859" s="147"/>
      <c r="M859" s="147"/>
      <c r="N859" s="147"/>
      <c r="O859" s="147"/>
      <c r="P859" s="147"/>
      <c r="Q859" s="147"/>
      <c r="R859" s="147"/>
      <c r="S859" s="147"/>
      <c r="T859" s="147"/>
      <c r="U859" s="147"/>
      <c r="V859" s="147"/>
      <c r="W859" s="147"/>
      <c r="X859" s="147"/>
      <c r="Y859" s="147"/>
      <c r="Z859" s="147"/>
    </row>
    <row r="860" ht="15.75" customHeight="1">
      <c r="A860" s="147"/>
      <c r="B860" s="147"/>
      <c r="C860" s="147"/>
      <c r="D860" s="147"/>
      <c r="E860" s="147"/>
      <c r="F860" s="147"/>
      <c r="G860" s="147"/>
      <c r="H860" s="147"/>
      <c r="I860" s="147"/>
      <c r="J860" s="147"/>
      <c r="K860" s="147"/>
      <c r="L860" s="147"/>
      <c r="M860" s="147"/>
      <c r="N860" s="147"/>
      <c r="O860" s="147"/>
      <c r="P860" s="147"/>
      <c r="Q860" s="147"/>
      <c r="R860" s="147"/>
      <c r="S860" s="147"/>
      <c r="T860" s="147"/>
      <c r="U860" s="147"/>
      <c r="V860" s="147"/>
      <c r="W860" s="147"/>
      <c r="X860" s="147"/>
      <c r="Y860" s="147"/>
      <c r="Z860" s="147"/>
    </row>
    <row r="861" ht="15.75" customHeight="1">
      <c r="A861" s="147"/>
      <c r="B861" s="147"/>
      <c r="C861" s="147"/>
      <c r="D861" s="147"/>
      <c r="E861" s="147"/>
      <c r="F861" s="147"/>
      <c r="G861" s="147"/>
      <c r="H861" s="147"/>
      <c r="I861" s="147"/>
      <c r="J861" s="147"/>
      <c r="K861" s="147"/>
      <c r="L861" s="147"/>
      <c r="M861" s="147"/>
      <c r="N861" s="147"/>
      <c r="O861" s="147"/>
      <c r="P861" s="147"/>
      <c r="Q861" s="147"/>
      <c r="R861" s="147"/>
      <c r="S861" s="147"/>
      <c r="T861" s="147"/>
      <c r="U861" s="147"/>
      <c r="V861" s="147"/>
      <c r="W861" s="147"/>
      <c r="X861" s="147"/>
      <c r="Y861" s="147"/>
      <c r="Z861" s="147"/>
    </row>
    <row r="862" ht="15.75" customHeight="1">
      <c r="A862" s="147"/>
      <c r="B862" s="147"/>
      <c r="C862" s="147"/>
      <c r="D862" s="147"/>
      <c r="E862" s="147"/>
      <c r="F862" s="147"/>
      <c r="G862" s="147"/>
      <c r="H862" s="147"/>
      <c r="I862" s="147"/>
      <c r="J862" s="147"/>
      <c r="K862" s="147"/>
      <c r="L862" s="147"/>
      <c r="M862" s="147"/>
      <c r="N862" s="147"/>
      <c r="O862" s="147"/>
      <c r="P862" s="147"/>
      <c r="Q862" s="147"/>
      <c r="R862" s="147"/>
      <c r="S862" s="147"/>
      <c r="T862" s="147"/>
      <c r="U862" s="147"/>
      <c r="V862" s="147"/>
      <c r="W862" s="147"/>
      <c r="X862" s="147"/>
      <c r="Y862" s="147"/>
      <c r="Z862" s="147"/>
    </row>
    <row r="863" ht="15.75" customHeight="1">
      <c r="A863" s="147"/>
      <c r="B863" s="147"/>
      <c r="C863" s="147"/>
      <c r="D863" s="147"/>
      <c r="E863" s="147"/>
      <c r="F863" s="147"/>
      <c r="G863" s="147"/>
      <c r="H863" s="147"/>
      <c r="I863" s="147"/>
      <c r="J863" s="147"/>
      <c r="K863" s="147"/>
      <c r="L863" s="147"/>
      <c r="M863" s="147"/>
      <c r="N863" s="147"/>
      <c r="O863" s="147"/>
      <c r="P863" s="147"/>
      <c r="Q863" s="147"/>
      <c r="R863" s="147"/>
      <c r="S863" s="147"/>
      <c r="T863" s="147"/>
      <c r="U863" s="147"/>
      <c r="V863" s="147"/>
      <c r="W863" s="147"/>
      <c r="X863" s="147"/>
      <c r="Y863" s="147"/>
      <c r="Z863" s="147"/>
    </row>
    <row r="864" ht="15.75" customHeight="1">
      <c r="A864" s="147"/>
      <c r="B864" s="147"/>
      <c r="C864" s="147"/>
      <c r="D864" s="147"/>
      <c r="E864" s="147"/>
      <c r="F864" s="147"/>
      <c r="G864" s="147"/>
      <c r="H864" s="147"/>
      <c r="I864" s="147"/>
      <c r="J864" s="147"/>
      <c r="K864" s="147"/>
      <c r="L864" s="147"/>
      <c r="M864" s="147"/>
      <c r="N864" s="147"/>
      <c r="O864" s="147"/>
      <c r="P864" s="147"/>
      <c r="Q864" s="147"/>
      <c r="R864" s="147"/>
      <c r="S864" s="147"/>
      <c r="T864" s="147"/>
      <c r="U864" s="147"/>
      <c r="V864" s="147"/>
      <c r="W864" s="147"/>
      <c r="X864" s="147"/>
      <c r="Y864" s="147"/>
      <c r="Z864" s="147"/>
    </row>
    <row r="865" ht="15.75" customHeight="1">
      <c r="A865" s="147"/>
      <c r="B865" s="147"/>
      <c r="C865" s="147"/>
      <c r="D865" s="147"/>
      <c r="E865" s="147"/>
      <c r="F865" s="147"/>
      <c r="G865" s="147"/>
      <c r="H865" s="147"/>
      <c r="I865" s="147"/>
      <c r="J865" s="147"/>
      <c r="K865" s="147"/>
      <c r="L865" s="147"/>
      <c r="M865" s="147"/>
      <c r="N865" s="147"/>
      <c r="O865" s="147"/>
      <c r="P865" s="147"/>
      <c r="Q865" s="147"/>
      <c r="R865" s="147"/>
      <c r="S865" s="147"/>
      <c r="T865" s="147"/>
      <c r="U865" s="147"/>
      <c r="V865" s="147"/>
      <c r="W865" s="147"/>
      <c r="X865" s="147"/>
      <c r="Y865" s="147"/>
      <c r="Z865" s="147"/>
    </row>
    <row r="866" ht="15.75" customHeight="1">
      <c r="A866" s="147"/>
      <c r="B866" s="147"/>
      <c r="C866" s="147"/>
      <c r="D866" s="147"/>
      <c r="E866" s="147"/>
      <c r="F866" s="147"/>
      <c r="G866" s="147"/>
      <c r="H866" s="147"/>
      <c r="I866" s="147"/>
      <c r="J866" s="147"/>
      <c r="K866" s="147"/>
      <c r="L866" s="147"/>
      <c r="M866" s="147"/>
      <c r="N866" s="147"/>
      <c r="O866" s="147"/>
      <c r="P866" s="147"/>
      <c r="Q866" s="147"/>
      <c r="R866" s="147"/>
      <c r="S866" s="147"/>
      <c r="T866" s="147"/>
      <c r="U866" s="147"/>
      <c r="V866" s="147"/>
      <c r="W866" s="147"/>
      <c r="X866" s="147"/>
      <c r="Y866" s="147"/>
      <c r="Z866" s="147"/>
    </row>
    <row r="867" ht="15.75" customHeight="1">
      <c r="A867" s="147"/>
      <c r="B867" s="147"/>
      <c r="C867" s="147"/>
      <c r="D867" s="147"/>
      <c r="E867" s="147"/>
      <c r="F867" s="147"/>
      <c r="G867" s="147"/>
      <c r="H867" s="147"/>
      <c r="I867" s="147"/>
      <c r="J867" s="147"/>
      <c r="K867" s="147"/>
      <c r="L867" s="147"/>
      <c r="M867" s="147"/>
      <c r="N867" s="147"/>
      <c r="O867" s="147"/>
      <c r="P867" s="147"/>
      <c r="Q867" s="147"/>
      <c r="R867" s="147"/>
      <c r="S867" s="147"/>
      <c r="T867" s="147"/>
      <c r="U867" s="147"/>
      <c r="V867" s="147"/>
      <c r="W867" s="147"/>
      <c r="X867" s="147"/>
      <c r="Y867" s="147"/>
      <c r="Z867" s="147"/>
    </row>
    <row r="868" ht="15.75" customHeight="1">
      <c r="A868" s="147"/>
      <c r="B868" s="147"/>
      <c r="C868" s="147"/>
      <c r="D868" s="147"/>
      <c r="E868" s="147"/>
      <c r="F868" s="147"/>
      <c r="G868" s="147"/>
      <c r="H868" s="147"/>
      <c r="I868" s="147"/>
      <c r="J868" s="147"/>
      <c r="K868" s="147"/>
      <c r="L868" s="147"/>
      <c r="M868" s="147"/>
      <c r="N868" s="147"/>
      <c r="O868" s="147"/>
      <c r="P868" s="147"/>
      <c r="Q868" s="147"/>
      <c r="R868" s="147"/>
      <c r="S868" s="147"/>
      <c r="T868" s="147"/>
      <c r="U868" s="147"/>
      <c r="V868" s="147"/>
      <c r="W868" s="147"/>
      <c r="X868" s="147"/>
      <c r="Y868" s="147"/>
      <c r="Z868" s="147"/>
    </row>
    <row r="869" ht="15.75" customHeight="1">
      <c r="A869" s="147"/>
      <c r="B869" s="147"/>
      <c r="C869" s="147"/>
      <c r="D869" s="147"/>
      <c r="E869" s="147"/>
      <c r="F869" s="147"/>
      <c r="G869" s="147"/>
      <c r="H869" s="147"/>
      <c r="I869" s="147"/>
      <c r="J869" s="147"/>
      <c r="K869" s="147"/>
      <c r="L869" s="147"/>
      <c r="M869" s="147"/>
      <c r="N869" s="147"/>
      <c r="O869" s="147"/>
      <c r="P869" s="147"/>
      <c r="Q869" s="147"/>
      <c r="R869" s="147"/>
      <c r="S869" s="147"/>
      <c r="T869" s="147"/>
      <c r="U869" s="147"/>
      <c r="V869" s="147"/>
      <c r="W869" s="147"/>
      <c r="X869" s="147"/>
      <c r="Y869" s="147"/>
      <c r="Z869" s="147"/>
    </row>
    <row r="870" ht="15.75" customHeight="1">
      <c r="A870" s="147"/>
      <c r="B870" s="147"/>
      <c r="C870" s="147"/>
      <c r="D870" s="147"/>
      <c r="E870" s="147"/>
      <c r="F870" s="147"/>
      <c r="G870" s="147"/>
      <c r="H870" s="147"/>
      <c r="I870" s="147"/>
      <c r="J870" s="147"/>
      <c r="K870" s="147"/>
      <c r="L870" s="147"/>
      <c r="M870" s="147"/>
      <c r="N870" s="147"/>
      <c r="O870" s="147"/>
      <c r="P870" s="147"/>
      <c r="Q870" s="147"/>
      <c r="R870" s="147"/>
      <c r="S870" s="147"/>
      <c r="T870" s="147"/>
      <c r="U870" s="147"/>
      <c r="V870" s="147"/>
      <c r="W870" s="147"/>
      <c r="X870" s="147"/>
      <c r="Y870" s="147"/>
      <c r="Z870" s="147"/>
    </row>
    <row r="871" ht="15.75" customHeight="1">
      <c r="A871" s="147"/>
      <c r="B871" s="147"/>
      <c r="C871" s="147"/>
      <c r="D871" s="147"/>
      <c r="E871" s="147"/>
      <c r="F871" s="147"/>
      <c r="G871" s="147"/>
      <c r="H871" s="147"/>
      <c r="I871" s="147"/>
      <c r="J871" s="147"/>
      <c r="K871" s="147"/>
      <c r="L871" s="147"/>
      <c r="M871" s="147"/>
      <c r="N871" s="147"/>
      <c r="O871" s="147"/>
      <c r="P871" s="147"/>
      <c r="Q871" s="147"/>
      <c r="R871" s="147"/>
      <c r="S871" s="147"/>
      <c r="T871" s="147"/>
      <c r="U871" s="147"/>
      <c r="V871" s="147"/>
      <c r="W871" s="147"/>
      <c r="X871" s="147"/>
      <c r="Y871" s="147"/>
      <c r="Z871" s="147"/>
    </row>
    <row r="872" ht="15.75" customHeight="1">
      <c r="A872" s="147"/>
      <c r="B872" s="147"/>
      <c r="C872" s="147"/>
      <c r="D872" s="147"/>
      <c r="E872" s="147"/>
      <c r="F872" s="147"/>
      <c r="G872" s="147"/>
      <c r="H872" s="147"/>
      <c r="I872" s="147"/>
      <c r="J872" s="147"/>
      <c r="K872" s="147"/>
      <c r="L872" s="147"/>
      <c r="M872" s="147"/>
      <c r="N872" s="147"/>
      <c r="O872" s="147"/>
      <c r="P872" s="147"/>
      <c r="Q872" s="147"/>
      <c r="R872" s="147"/>
      <c r="S872" s="147"/>
      <c r="T872" s="147"/>
      <c r="U872" s="147"/>
      <c r="V872" s="147"/>
      <c r="W872" s="147"/>
      <c r="X872" s="147"/>
      <c r="Y872" s="147"/>
      <c r="Z872" s="147"/>
    </row>
    <row r="873" ht="15.75" customHeight="1">
      <c r="A873" s="147"/>
      <c r="B873" s="147"/>
      <c r="C873" s="147"/>
      <c r="D873" s="147"/>
      <c r="E873" s="147"/>
      <c r="F873" s="147"/>
      <c r="G873" s="147"/>
      <c r="H873" s="147"/>
      <c r="I873" s="147"/>
      <c r="J873" s="147"/>
      <c r="K873" s="147"/>
      <c r="L873" s="147"/>
      <c r="M873" s="147"/>
      <c r="N873" s="147"/>
      <c r="O873" s="147"/>
      <c r="P873" s="147"/>
      <c r="Q873" s="147"/>
      <c r="R873" s="147"/>
      <c r="S873" s="147"/>
      <c r="T873" s="147"/>
      <c r="U873" s="147"/>
      <c r="V873" s="147"/>
      <c r="W873" s="147"/>
      <c r="X873" s="147"/>
      <c r="Y873" s="147"/>
      <c r="Z873" s="147"/>
    </row>
    <row r="874" ht="15.75" customHeight="1">
      <c r="A874" s="147"/>
      <c r="B874" s="147"/>
      <c r="C874" s="147"/>
      <c r="D874" s="147"/>
      <c r="E874" s="147"/>
      <c r="F874" s="147"/>
      <c r="G874" s="147"/>
      <c r="H874" s="147"/>
      <c r="I874" s="147"/>
      <c r="J874" s="147"/>
      <c r="K874" s="147"/>
      <c r="L874" s="147"/>
      <c r="M874" s="147"/>
      <c r="N874" s="147"/>
      <c r="O874" s="147"/>
      <c r="P874" s="147"/>
      <c r="Q874" s="147"/>
      <c r="R874" s="147"/>
      <c r="S874" s="147"/>
      <c r="T874" s="147"/>
      <c r="U874" s="147"/>
      <c r="V874" s="147"/>
      <c r="W874" s="147"/>
      <c r="X874" s="147"/>
      <c r="Y874" s="147"/>
      <c r="Z874" s="147"/>
    </row>
    <row r="875" ht="15.75" customHeight="1">
      <c r="A875" s="147"/>
      <c r="B875" s="147"/>
      <c r="C875" s="147"/>
      <c r="D875" s="147"/>
      <c r="E875" s="147"/>
      <c r="F875" s="147"/>
      <c r="G875" s="147"/>
      <c r="H875" s="147"/>
      <c r="I875" s="147"/>
      <c r="J875" s="147"/>
      <c r="K875" s="147"/>
      <c r="L875" s="147"/>
      <c r="M875" s="147"/>
      <c r="N875" s="147"/>
      <c r="O875" s="147"/>
      <c r="P875" s="147"/>
      <c r="Q875" s="147"/>
      <c r="R875" s="147"/>
      <c r="S875" s="147"/>
      <c r="T875" s="147"/>
      <c r="U875" s="147"/>
      <c r="V875" s="147"/>
      <c r="W875" s="147"/>
      <c r="X875" s="147"/>
      <c r="Y875" s="147"/>
      <c r="Z875" s="147"/>
    </row>
    <row r="876" ht="15.75" customHeight="1">
      <c r="A876" s="147"/>
      <c r="B876" s="147"/>
      <c r="C876" s="147"/>
      <c r="D876" s="147"/>
      <c r="E876" s="147"/>
      <c r="F876" s="147"/>
      <c r="G876" s="147"/>
      <c r="H876" s="147"/>
      <c r="I876" s="147"/>
      <c r="J876" s="147"/>
      <c r="K876" s="147"/>
      <c r="L876" s="147"/>
      <c r="M876" s="147"/>
      <c r="N876" s="147"/>
      <c r="O876" s="147"/>
      <c r="P876" s="147"/>
      <c r="Q876" s="147"/>
      <c r="R876" s="147"/>
      <c r="S876" s="147"/>
      <c r="T876" s="147"/>
      <c r="U876" s="147"/>
      <c r="V876" s="147"/>
      <c r="W876" s="147"/>
      <c r="X876" s="147"/>
      <c r="Y876" s="147"/>
      <c r="Z876" s="147"/>
    </row>
    <row r="877" ht="15.75" customHeight="1">
      <c r="A877" s="147"/>
      <c r="B877" s="147"/>
      <c r="C877" s="147"/>
      <c r="D877" s="147"/>
      <c r="E877" s="147"/>
      <c r="F877" s="147"/>
      <c r="G877" s="147"/>
      <c r="H877" s="147"/>
      <c r="I877" s="147"/>
      <c r="J877" s="147"/>
      <c r="K877" s="147"/>
      <c r="L877" s="147"/>
      <c r="M877" s="147"/>
      <c r="N877" s="147"/>
      <c r="O877" s="147"/>
      <c r="P877" s="147"/>
      <c r="Q877" s="147"/>
      <c r="R877" s="147"/>
      <c r="S877" s="147"/>
      <c r="T877" s="147"/>
      <c r="U877" s="147"/>
      <c r="V877" s="147"/>
      <c r="W877" s="147"/>
      <c r="X877" s="147"/>
      <c r="Y877" s="147"/>
      <c r="Z877" s="147"/>
    </row>
    <row r="878" ht="15.75" customHeight="1">
      <c r="A878" s="147"/>
      <c r="B878" s="147"/>
      <c r="C878" s="147"/>
      <c r="D878" s="147"/>
      <c r="E878" s="147"/>
      <c r="F878" s="147"/>
      <c r="G878" s="147"/>
      <c r="H878" s="147"/>
      <c r="I878" s="147"/>
      <c r="J878" s="147"/>
      <c r="K878" s="147"/>
      <c r="L878" s="147"/>
      <c r="M878" s="147"/>
      <c r="N878" s="147"/>
      <c r="O878" s="147"/>
      <c r="P878" s="147"/>
      <c r="Q878" s="147"/>
      <c r="R878" s="147"/>
      <c r="S878" s="147"/>
      <c r="T878" s="147"/>
      <c r="U878" s="147"/>
      <c r="V878" s="147"/>
      <c r="W878" s="147"/>
      <c r="X878" s="147"/>
      <c r="Y878" s="147"/>
      <c r="Z878" s="147"/>
    </row>
    <row r="879" ht="15.75" customHeight="1">
      <c r="A879" s="147"/>
      <c r="B879" s="147"/>
      <c r="C879" s="147"/>
      <c r="D879" s="147"/>
      <c r="E879" s="147"/>
      <c r="F879" s="147"/>
      <c r="G879" s="147"/>
      <c r="H879" s="147"/>
      <c r="I879" s="147"/>
      <c r="J879" s="147"/>
      <c r="K879" s="147"/>
      <c r="L879" s="147"/>
      <c r="M879" s="147"/>
      <c r="N879" s="147"/>
      <c r="O879" s="147"/>
      <c r="P879" s="147"/>
      <c r="Q879" s="147"/>
      <c r="R879" s="147"/>
      <c r="S879" s="147"/>
      <c r="T879" s="147"/>
      <c r="U879" s="147"/>
      <c r="V879" s="147"/>
      <c r="W879" s="147"/>
      <c r="X879" s="147"/>
      <c r="Y879" s="147"/>
      <c r="Z879" s="147"/>
    </row>
    <row r="880" ht="15.75" customHeight="1">
      <c r="A880" s="147"/>
      <c r="B880" s="147"/>
      <c r="C880" s="147"/>
      <c r="D880" s="147"/>
      <c r="E880" s="147"/>
      <c r="F880" s="147"/>
      <c r="G880" s="147"/>
      <c r="H880" s="147"/>
      <c r="I880" s="147"/>
      <c r="J880" s="147"/>
      <c r="K880" s="147"/>
      <c r="L880" s="147"/>
      <c r="M880" s="147"/>
      <c r="N880" s="147"/>
      <c r="O880" s="147"/>
      <c r="P880" s="147"/>
      <c r="Q880" s="147"/>
      <c r="R880" s="147"/>
      <c r="S880" s="147"/>
      <c r="T880" s="147"/>
      <c r="U880" s="147"/>
      <c r="V880" s="147"/>
      <c r="W880" s="147"/>
      <c r="X880" s="147"/>
      <c r="Y880" s="147"/>
      <c r="Z880" s="147"/>
    </row>
    <row r="881" ht="15.75" customHeight="1">
      <c r="A881" s="147"/>
      <c r="B881" s="147"/>
      <c r="C881" s="147"/>
      <c r="D881" s="147"/>
      <c r="E881" s="147"/>
      <c r="F881" s="147"/>
      <c r="G881" s="147"/>
      <c r="H881" s="147"/>
      <c r="I881" s="147"/>
      <c r="J881" s="147"/>
      <c r="K881" s="147"/>
      <c r="L881" s="147"/>
      <c r="M881" s="147"/>
      <c r="N881" s="147"/>
      <c r="O881" s="147"/>
      <c r="P881" s="147"/>
      <c r="Q881" s="147"/>
      <c r="R881" s="147"/>
      <c r="S881" s="147"/>
      <c r="T881" s="147"/>
      <c r="U881" s="147"/>
      <c r="V881" s="147"/>
      <c r="W881" s="147"/>
      <c r="X881" s="147"/>
      <c r="Y881" s="147"/>
      <c r="Z881" s="147"/>
    </row>
    <row r="882" ht="15.75" customHeight="1">
      <c r="A882" s="147"/>
      <c r="B882" s="147"/>
      <c r="C882" s="147"/>
      <c r="D882" s="147"/>
      <c r="E882" s="147"/>
      <c r="F882" s="147"/>
      <c r="G882" s="147"/>
      <c r="H882" s="147"/>
      <c r="I882" s="147"/>
      <c r="J882" s="147"/>
      <c r="K882" s="147"/>
      <c r="L882" s="147"/>
      <c r="M882" s="147"/>
      <c r="N882" s="147"/>
      <c r="O882" s="147"/>
      <c r="P882" s="147"/>
      <c r="Q882" s="147"/>
      <c r="R882" s="147"/>
      <c r="S882" s="147"/>
      <c r="T882" s="147"/>
      <c r="U882" s="147"/>
      <c r="V882" s="147"/>
      <c r="W882" s="147"/>
      <c r="X882" s="147"/>
      <c r="Y882" s="147"/>
      <c r="Z882" s="147"/>
    </row>
    <row r="883" ht="15.75" customHeight="1">
      <c r="A883" s="147"/>
      <c r="B883" s="147"/>
      <c r="C883" s="147"/>
      <c r="D883" s="147"/>
      <c r="E883" s="147"/>
      <c r="F883" s="147"/>
      <c r="G883" s="147"/>
      <c r="H883" s="147"/>
      <c r="I883" s="147"/>
      <c r="J883" s="147"/>
      <c r="K883" s="147"/>
      <c r="L883" s="147"/>
      <c r="M883" s="147"/>
      <c r="N883" s="147"/>
      <c r="O883" s="147"/>
      <c r="P883" s="147"/>
      <c r="Q883" s="147"/>
      <c r="R883" s="147"/>
      <c r="S883" s="147"/>
      <c r="T883" s="147"/>
      <c r="U883" s="147"/>
      <c r="V883" s="147"/>
      <c r="W883" s="147"/>
      <c r="X883" s="147"/>
      <c r="Y883" s="147"/>
      <c r="Z883" s="147"/>
    </row>
    <row r="884" ht="15.75" customHeight="1">
      <c r="A884" s="147"/>
      <c r="B884" s="147"/>
      <c r="C884" s="147"/>
      <c r="D884" s="147"/>
      <c r="E884" s="147"/>
      <c r="F884" s="147"/>
      <c r="G884" s="147"/>
      <c r="H884" s="147"/>
      <c r="I884" s="147"/>
      <c r="J884" s="147"/>
      <c r="K884" s="147"/>
      <c r="L884" s="147"/>
      <c r="M884" s="147"/>
      <c r="N884" s="147"/>
      <c r="O884" s="147"/>
      <c r="P884" s="147"/>
      <c r="Q884" s="147"/>
      <c r="R884" s="147"/>
      <c r="S884" s="147"/>
      <c r="T884" s="147"/>
      <c r="U884" s="147"/>
      <c r="V884" s="147"/>
      <c r="W884" s="147"/>
      <c r="X884" s="147"/>
      <c r="Y884" s="147"/>
      <c r="Z884" s="147"/>
    </row>
    <row r="885" ht="15.75" customHeight="1">
      <c r="A885" s="147"/>
      <c r="B885" s="147"/>
      <c r="C885" s="147"/>
      <c r="D885" s="147"/>
      <c r="E885" s="147"/>
      <c r="F885" s="147"/>
      <c r="G885" s="147"/>
      <c r="H885" s="147"/>
      <c r="I885" s="147"/>
      <c r="J885" s="147"/>
      <c r="K885" s="147"/>
      <c r="L885" s="147"/>
      <c r="M885" s="147"/>
      <c r="N885" s="147"/>
      <c r="O885" s="147"/>
      <c r="P885" s="147"/>
      <c r="Q885" s="147"/>
      <c r="R885" s="147"/>
      <c r="S885" s="147"/>
      <c r="T885" s="147"/>
      <c r="U885" s="147"/>
      <c r="V885" s="147"/>
      <c r="W885" s="147"/>
      <c r="X885" s="147"/>
      <c r="Y885" s="147"/>
      <c r="Z885" s="147"/>
    </row>
    <row r="886" ht="15.75" customHeight="1">
      <c r="A886" s="147"/>
      <c r="B886" s="147"/>
      <c r="C886" s="147"/>
      <c r="D886" s="147"/>
      <c r="E886" s="147"/>
      <c r="F886" s="147"/>
      <c r="G886" s="147"/>
      <c r="H886" s="147"/>
      <c r="I886" s="147"/>
      <c r="J886" s="147"/>
      <c r="K886" s="147"/>
      <c r="L886" s="147"/>
      <c r="M886" s="147"/>
      <c r="N886" s="147"/>
      <c r="O886" s="147"/>
      <c r="P886" s="147"/>
      <c r="Q886" s="147"/>
      <c r="R886" s="147"/>
      <c r="S886" s="147"/>
      <c r="T886" s="147"/>
      <c r="U886" s="147"/>
      <c r="V886" s="147"/>
      <c r="W886" s="147"/>
      <c r="X886" s="147"/>
      <c r="Y886" s="147"/>
      <c r="Z886" s="147"/>
    </row>
    <row r="887" ht="15.75" customHeight="1">
      <c r="A887" s="147"/>
      <c r="B887" s="147"/>
      <c r="C887" s="147"/>
      <c r="D887" s="147"/>
      <c r="E887" s="147"/>
      <c r="F887" s="147"/>
      <c r="G887" s="147"/>
      <c r="H887" s="147"/>
      <c r="I887" s="147"/>
      <c r="J887" s="147"/>
      <c r="K887" s="147"/>
      <c r="L887" s="147"/>
      <c r="M887" s="147"/>
      <c r="N887" s="147"/>
      <c r="O887" s="147"/>
      <c r="P887" s="147"/>
      <c r="Q887" s="147"/>
      <c r="R887" s="147"/>
      <c r="S887" s="147"/>
      <c r="T887" s="147"/>
      <c r="U887" s="147"/>
      <c r="V887" s="147"/>
      <c r="W887" s="147"/>
      <c r="X887" s="147"/>
      <c r="Y887" s="147"/>
      <c r="Z887" s="147"/>
    </row>
    <row r="888" ht="15.75" customHeight="1">
      <c r="A888" s="147"/>
      <c r="B888" s="147"/>
      <c r="C888" s="147"/>
      <c r="D888" s="147"/>
      <c r="E888" s="147"/>
      <c r="F888" s="147"/>
      <c r="G888" s="147"/>
      <c r="H888" s="147"/>
      <c r="I888" s="147"/>
      <c r="J888" s="147"/>
      <c r="K888" s="147"/>
      <c r="L888" s="147"/>
      <c r="M888" s="147"/>
      <c r="N888" s="147"/>
      <c r="O888" s="147"/>
      <c r="P888" s="147"/>
      <c r="Q888" s="147"/>
      <c r="R888" s="147"/>
      <c r="S888" s="147"/>
      <c r="T888" s="147"/>
      <c r="U888" s="147"/>
      <c r="V888" s="147"/>
      <c r="W888" s="147"/>
      <c r="X888" s="147"/>
      <c r="Y888" s="147"/>
      <c r="Z888" s="147"/>
    </row>
    <row r="889" ht="15.75" customHeight="1">
      <c r="A889" s="147"/>
      <c r="B889" s="147"/>
      <c r="C889" s="147"/>
      <c r="D889" s="147"/>
      <c r="E889" s="147"/>
      <c r="F889" s="147"/>
      <c r="G889" s="147"/>
      <c r="H889" s="147"/>
      <c r="I889" s="147"/>
      <c r="J889" s="147"/>
      <c r="K889" s="147"/>
      <c r="L889" s="147"/>
      <c r="M889" s="147"/>
      <c r="N889" s="147"/>
      <c r="O889" s="147"/>
      <c r="P889" s="147"/>
      <c r="Q889" s="147"/>
      <c r="R889" s="147"/>
      <c r="S889" s="147"/>
      <c r="T889" s="147"/>
      <c r="U889" s="147"/>
      <c r="V889" s="147"/>
      <c r="W889" s="147"/>
      <c r="X889" s="147"/>
      <c r="Y889" s="147"/>
      <c r="Z889" s="147"/>
    </row>
    <row r="890" ht="15.75" customHeight="1">
      <c r="A890" s="147"/>
      <c r="B890" s="147"/>
      <c r="C890" s="147"/>
      <c r="D890" s="147"/>
      <c r="E890" s="147"/>
      <c r="F890" s="147"/>
      <c r="G890" s="147"/>
      <c r="H890" s="147"/>
      <c r="I890" s="147"/>
      <c r="J890" s="147"/>
      <c r="K890" s="147"/>
      <c r="L890" s="147"/>
      <c r="M890" s="147"/>
      <c r="N890" s="147"/>
      <c r="O890" s="147"/>
      <c r="P890" s="147"/>
      <c r="Q890" s="147"/>
      <c r="R890" s="147"/>
      <c r="S890" s="147"/>
      <c r="T890" s="147"/>
      <c r="U890" s="147"/>
      <c r="V890" s="147"/>
      <c r="W890" s="147"/>
      <c r="X890" s="147"/>
      <c r="Y890" s="147"/>
      <c r="Z890" s="147"/>
    </row>
    <row r="891" ht="15.75" customHeight="1">
      <c r="A891" s="147"/>
      <c r="B891" s="147"/>
      <c r="C891" s="147"/>
      <c r="D891" s="147"/>
      <c r="E891" s="147"/>
      <c r="F891" s="147"/>
      <c r="G891" s="147"/>
      <c r="H891" s="147"/>
      <c r="I891" s="147"/>
      <c r="J891" s="147"/>
      <c r="K891" s="147"/>
      <c r="L891" s="147"/>
      <c r="M891" s="147"/>
      <c r="N891" s="147"/>
      <c r="O891" s="147"/>
      <c r="P891" s="147"/>
      <c r="Q891" s="147"/>
      <c r="R891" s="147"/>
      <c r="S891" s="147"/>
      <c r="T891" s="147"/>
      <c r="U891" s="147"/>
      <c r="V891" s="147"/>
      <c r="W891" s="147"/>
      <c r="X891" s="147"/>
      <c r="Y891" s="147"/>
      <c r="Z891" s="147"/>
    </row>
    <row r="892" ht="15.75" customHeight="1">
      <c r="A892" s="147"/>
      <c r="B892" s="147"/>
      <c r="C892" s="147"/>
      <c r="D892" s="147"/>
      <c r="E892" s="147"/>
      <c r="F892" s="147"/>
      <c r="G892" s="147"/>
      <c r="H892" s="147"/>
      <c r="I892" s="147"/>
      <c r="J892" s="147"/>
      <c r="K892" s="147"/>
      <c r="L892" s="147"/>
      <c r="M892" s="147"/>
      <c r="N892" s="147"/>
      <c r="O892" s="147"/>
      <c r="P892" s="147"/>
      <c r="Q892" s="147"/>
      <c r="R892" s="147"/>
      <c r="S892" s="147"/>
      <c r="T892" s="147"/>
      <c r="U892" s="147"/>
      <c r="V892" s="147"/>
      <c r="W892" s="147"/>
      <c r="X892" s="147"/>
      <c r="Y892" s="147"/>
      <c r="Z892" s="147"/>
    </row>
    <row r="893" ht="15.75" customHeight="1">
      <c r="A893" s="147"/>
      <c r="B893" s="147"/>
      <c r="C893" s="147"/>
      <c r="D893" s="147"/>
      <c r="E893" s="147"/>
      <c r="F893" s="147"/>
      <c r="G893" s="147"/>
      <c r="H893" s="147"/>
      <c r="I893" s="147"/>
      <c r="J893" s="147"/>
      <c r="K893" s="147"/>
      <c r="L893" s="147"/>
      <c r="M893" s="147"/>
      <c r="N893" s="147"/>
      <c r="O893" s="147"/>
      <c r="P893" s="147"/>
      <c r="Q893" s="147"/>
      <c r="R893" s="147"/>
      <c r="S893" s="147"/>
      <c r="T893" s="147"/>
      <c r="U893" s="147"/>
      <c r="V893" s="147"/>
      <c r="W893" s="147"/>
      <c r="X893" s="147"/>
      <c r="Y893" s="147"/>
      <c r="Z893" s="147"/>
    </row>
    <row r="894" ht="15.75" customHeight="1">
      <c r="A894" s="147"/>
      <c r="B894" s="147"/>
      <c r="C894" s="147"/>
      <c r="D894" s="147"/>
      <c r="E894" s="147"/>
      <c r="F894" s="147"/>
      <c r="G894" s="147"/>
      <c r="H894" s="147"/>
      <c r="I894" s="147"/>
      <c r="J894" s="147"/>
      <c r="K894" s="147"/>
      <c r="L894" s="147"/>
      <c r="M894" s="147"/>
      <c r="N894" s="147"/>
      <c r="O894" s="147"/>
      <c r="P894" s="147"/>
      <c r="Q894" s="147"/>
      <c r="R894" s="147"/>
      <c r="S894" s="147"/>
      <c r="T894" s="147"/>
      <c r="U894" s="147"/>
      <c r="V894" s="147"/>
      <c r="W894" s="147"/>
      <c r="X894" s="147"/>
      <c r="Y894" s="147"/>
      <c r="Z894" s="147"/>
    </row>
    <row r="895" ht="15.75" customHeight="1">
      <c r="A895" s="147"/>
      <c r="B895" s="147"/>
      <c r="C895" s="147"/>
      <c r="D895" s="147"/>
      <c r="E895" s="147"/>
      <c r="F895" s="147"/>
      <c r="G895" s="147"/>
      <c r="H895" s="147"/>
      <c r="I895" s="147"/>
      <c r="J895" s="147"/>
      <c r="K895" s="147"/>
      <c r="L895" s="147"/>
      <c r="M895" s="147"/>
      <c r="N895" s="147"/>
      <c r="O895" s="147"/>
      <c r="P895" s="147"/>
      <c r="Q895" s="147"/>
      <c r="R895" s="147"/>
      <c r="S895" s="147"/>
      <c r="T895" s="147"/>
      <c r="U895" s="147"/>
      <c r="V895" s="147"/>
      <c r="W895" s="147"/>
      <c r="X895" s="147"/>
      <c r="Y895" s="147"/>
      <c r="Z895" s="147"/>
    </row>
    <row r="896" ht="15.75" customHeight="1">
      <c r="A896" s="147"/>
      <c r="B896" s="147"/>
      <c r="C896" s="147"/>
      <c r="D896" s="147"/>
      <c r="E896" s="147"/>
      <c r="F896" s="147"/>
      <c r="G896" s="147"/>
      <c r="H896" s="147"/>
      <c r="I896" s="147"/>
      <c r="J896" s="147"/>
      <c r="K896" s="147"/>
      <c r="L896" s="147"/>
      <c r="M896" s="147"/>
      <c r="N896" s="147"/>
      <c r="O896" s="147"/>
      <c r="P896" s="147"/>
      <c r="Q896" s="147"/>
      <c r="R896" s="147"/>
      <c r="S896" s="147"/>
      <c r="T896" s="147"/>
      <c r="U896" s="147"/>
      <c r="V896" s="147"/>
      <c r="W896" s="147"/>
      <c r="X896" s="147"/>
      <c r="Y896" s="147"/>
      <c r="Z896" s="147"/>
    </row>
    <row r="897" ht="15.75" customHeight="1">
      <c r="A897" s="147"/>
      <c r="B897" s="147"/>
      <c r="C897" s="147"/>
      <c r="D897" s="147"/>
      <c r="E897" s="147"/>
      <c r="F897" s="147"/>
      <c r="G897" s="147"/>
      <c r="H897" s="147"/>
      <c r="I897" s="147"/>
      <c r="J897" s="147"/>
      <c r="K897" s="147"/>
      <c r="L897" s="147"/>
      <c r="M897" s="147"/>
      <c r="N897" s="147"/>
      <c r="O897" s="147"/>
      <c r="P897" s="147"/>
      <c r="Q897" s="147"/>
      <c r="R897" s="147"/>
      <c r="S897" s="147"/>
      <c r="T897" s="147"/>
      <c r="U897" s="147"/>
      <c r="V897" s="147"/>
      <c r="W897" s="147"/>
      <c r="X897" s="147"/>
      <c r="Y897" s="147"/>
      <c r="Z897" s="147"/>
    </row>
    <row r="898" ht="15.75" customHeight="1">
      <c r="A898" s="147"/>
      <c r="B898" s="147"/>
      <c r="C898" s="147"/>
      <c r="D898" s="147"/>
      <c r="E898" s="147"/>
      <c r="F898" s="147"/>
      <c r="G898" s="147"/>
      <c r="H898" s="147"/>
      <c r="I898" s="147"/>
      <c r="J898" s="147"/>
      <c r="K898" s="147"/>
      <c r="L898" s="147"/>
      <c r="M898" s="147"/>
      <c r="N898" s="147"/>
      <c r="O898" s="147"/>
      <c r="P898" s="147"/>
      <c r="Q898" s="147"/>
      <c r="R898" s="147"/>
      <c r="S898" s="147"/>
      <c r="T898" s="147"/>
      <c r="U898" s="147"/>
      <c r="V898" s="147"/>
      <c r="W898" s="147"/>
      <c r="X898" s="147"/>
      <c r="Y898" s="147"/>
      <c r="Z898" s="147"/>
    </row>
    <row r="899" ht="15.75" customHeight="1">
      <c r="A899" s="147"/>
      <c r="B899" s="147"/>
      <c r="C899" s="147"/>
      <c r="D899" s="147"/>
      <c r="E899" s="147"/>
      <c r="F899" s="147"/>
      <c r="G899" s="147"/>
      <c r="H899" s="147"/>
      <c r="I899" s="147"/>
      <c r="J899" s="147"/>
      <c r="K899" s="147"/>
      <c r="L899" s="147"/>
      <c r="M899" s="147"/>
      <c r="N899" s="147"/>
      <c r="O899" s="147"/>
      <c r="P899" s="147"/>
      <c r="Q899" s="147"/>
      <c r="R899" s="147"/>
      <c r="S899" s="147"/>
      <c r="T899" s="147"/>
      <c r="U899" s="147"/>
      <c r="V899" s="147"/>
      <c r="W899" s="147"/>
      <c r="X899" s="147"/>
      <c r="Y899" s="147"/>
      <c r="Z899" s="147"/>
    </row>
    <row r="900" ht="15.75" customHeight="1">
      <c r="A900" s="147"/>
      <c r="B900" s="147"/>
      <c r="C900" s="147"/>
      <c r="D900" s="147"/>
      <c r="E900" s="147"/>
      <c r="F900" s="147"/>
      <c r="G900" s="147"/>
      <c r="H900" s="147"/>
      <c r="I900" s="147"/>
      <c r="J900" s="147"/>
      <c r="K900" s="147"/>
      <c r="L900" s="147"/>
      <c r="M900" s="147"/>
      <c r="N900" s="147"/>
      <c r="O900" s="147"/>
      <c r="P900" s="147"/>
      <c r="Q900" s="147"/>
      <c r="R900" s="147"/>
      <c r="S900" s="147"/>
      <c r="T900" s="147"/>
      <c r="U900" s="147"/>
      <c r="V900" s="147"/>
      <c r="W900" s="147"/>
      <c r="X900" s="147"/>
      <c r="Y900" s="147"/>
      <c r="Z900" s="147"/>
    </row>
    <row r="901" ht="15.75" customHeight="1">
      <c r="A901" s="147"/>
      <c r="B901" s="147"/>
      <c r="C901" s="147"/>
      <c r="D901" s="147"/>
      <c r="E901" s="147"/>
      <c r="F901" s="147"/>
      <c r="G901" s="147"/>
      <c r="H901" s="147"/>
      <c r="I901" s="147"/>
      <c r="J901" s="147"/>
      <c r="K901" s="147"/>
      <c r="L901" s="147"/>
      <c r="M901" s="147"/>
      <c r="N901" s="147"/>
      <c r="O901" s="147"/>
      <c r="P901" s="147"/>
      <c r="Q901" s="147"/>
      <c r="R901" s="147"/>
      <c r="S901" s="147"/>
      <c r="T901" s="147"/>
      <c r="U901" s="147"/>
      <c r="V901" s="147"/>
      <c r="W901" s="147"/>
      <c r="X901" s="147"/>
      <c r="Y901" s="147"/>
      <c r="Z901" s="147"/>
    </row>
    <row r="902" ht="15.75" customHeight="1">
      <c r="A902" s="147"/>
      <c r="B902" s="147"/>
      <c r="C902" s="147"/>
      <c r="D902" s="147"/>
      <c r="E902" s="147"/>
      <c r="F902" s="147"/>
      <c r="G902" s="147"/>
      <c r="H902" s="147"/>
      <c r="I902" s="147"/>
      <c r="J902" s="147"/>
      <c r="K902" s="147"/>
      <c r="L902" s="147"/>
      <c r="M902" s="147"/>
      <c r="N902" s="147"/>
      <c r="O902" s="147"/>
      <c r="P902" s="147"/>
      <c r="Q902" s="147"/>
      <c r="R902" s="147"/>
      <c r="S902" s="147"/>
      <c r="T902" s="147"/>
      <c r="U902" s="147"/>
      <c r="V902" s="147"/>
      <c r="W902" s="147"/>
      <c r="X902" s="147"/>
      <c r="Y902" s="147"/>
      <c r="Z902" s="147"/>
    </row>
    <row r="903" ht="15.75" customHeight="1">
      <c r="A903" s="147"/>
      <c r="B903" s="147"/>
      <c r="C903" s="147"/>
      <c r="D903" s="147"/>
      <c r="E903" s="147"/>
      <c r="F903" s="147"/>
      <c r="G903" s="147"/>
      <c r="H903" s="147"/>
      <c r="I903" s="147"/>
      <c r="J903" s="147"/>
      <c r="K903" s="147"/>
      <c r="L903" s="147"/>
      <c r="M903" s="147"/>
      <c r="N903" s="147"/>
      <c r="O903" s="147"/>
      <c r="P903" s="147"/>
      <c r="Q903" s="147"/>
      <c r="R903" s="147"/>
      <c r="S903" s="147"/>
      <c r="T903" s="147"/>
      <c r="U903" s="147"/>
      <c r="V903" s="147"/>
      <c r="W903" s="147"/>
      <c r="X903" s="147"/>
      <c r="Y903" s="147"/>
      <c r="Z903" s="147"/>
    </row>
    <row r="904" ht="15.75" customHeight="1">
      <c r="A904" s="147"/>
      <c r="B904" s="147"/>
      <c r="C904" s="147"/>
      <c r="D904" s="147"/>
      <c r="E904" s="147"/>
      <c r="F904" s="147"/>
      <c r="G904" s="147"/>
      <c r="H904" s="147"/>
      <c r="I904" s="147"/>
      <c r="J904" s="147"/>
      <c r="K904" s="147"/>
      <c r="L904" s="147"/>
      <c r="M904" s="147"/>
      <c r="N904" s="147"/>
      <c r="O904" s="147"/>
      <c r="P904" s="147"/>
      <c r="Q904" s="147"/>
      <c r="R904" s="147"/>
      <c r="S904" s="147"/>
      <c r="T904" s="147"/>
      <c r="U904" s="147"/>
      <c r="V904" s="147"/>
      <c r="W904" s="147"/>
      <c r="X904" s="147"/>
      <c r="Y904" s="147"/>
      <c r="Z904" s="147"/>
    </row>
    <row r="905" ht="15.75" customHeight="1">
      <c r="A905" s="147"/>
      <c r="B905" s="147"/>
      <c r="C905" s="147"/>
      <c r="D905" s="147"/>
      <c r="E905" s="147"/>
      <c r="F905" s="147"/>
      <c r="G905" s="147"/>
      <c r="H905" s="147"/>
      <c r="I905" s="147"/>
      <c r="J905" s="147"/>
      <c r="K905" s="147"/>
      <c r="L905" s="147"/>
      <c r="M905" s="147"/>
      <c r="N905" s="147"/>
      <c r="O905" s="147"/>
      <c r="P905" s="147"/>
      <c r="Q905" s="147"/>
      <c r="R905" s="147"/>
      <c r="S905" s="147"/>
      <c r="T905" s="147"/>
      <c r="U905" s="147"/>
      <c r="V905" s="147"/>
      <c r="W905" s="147"/>
      <c r="X905" s="147"/>
      <c r="Y905" s="147"/>
      <c r="Z905" s="147"/>
    </row>
    <row r="906" ht="15.75" customHeight="1">
      <c r="A906" s="147"/>
      <c r="B906" s="147"/>
      <c r="C906" s="147"/>
      <c r="D906" s="147"/>
      <c r="E906" s="147"/>
      <c r="F906" s="147"/>
      <c r="G906" s="147"/>
      <c r="H906" s="147"/>
      <c r="I906" s="147"/>
      <c r="J906" s="147"/>
      <c r="K906" s="147"/>
      <c r="L906" s="147"/>
      <c r="M906" s="147"/>
      <c r="N906" s="147"/>
      <c r="O906" s="147"/>
      <c r="P906" s="147"/>
      <c r="Q906" s="147"/>
      <c r="R906" s="147"/>
      <c r="S906" s="147"/>
      <c r="T906" s="147"/>
      <c r="U906" s="147"/>
      <c r="V906" s="147"/>
      <c r="W906" s="147"/>
      <c r="X906" s="147"/>
      <c r="Y906" s="147"/>
      <c r="Z906" s="147"/>
    </row>
    <row r="907" ht="15.75" customHeight="1">
      <c r="A907" s="147"/>
      <c r="B907" s="147"/>
      <c r="C907" s="147"/>
      <c r="D907" s="147"/>
      <c r="E907" s="147"/>
      <c r="F907" s="147"/>
      <c r="G907" s="147"/>
      <c r="H907" s="147"/>
      <c r="I907" s="147"/>
      <c r="J907" s="147"/>
      <c r="K907" s="147"/>
      <c r="L907" s="147"/>
      <c r="M907" s="147"/>
      <c r="N907" s="147"/>
      <c r="O907" s="147"/>
      <c r="P907" s="147"/>
      <c r="Q907" s="147"/>
      <c r="R907" s="147"/>
      <c r="S907" s="147"/>
      <c r="T907" s="147"/>
      <c r="U907" s="147"/>
      <c r="V907" s="147"/>
      <c r="W907" s="147"/>
      <c r="X907" s="147"/>
      <c r="Y907" s="147"/>
      <c r="Z907" s="147"/>
    </row>
    <row r="908" ht="15.75" customHeight="1">
      <c r="A908" s="147"/>
      <c r="B908" s="147"/>
      <c r="C908" s="147"/>
      <c r="D908" s="147"/>
      <c r="E908" s="147"/>
      <c r="F908" s="147"/>
      <c r="G908" s="147"/>
      <c r="H908" s="147"/>
      <c r="I908" s="147"/>
      <c r="J908" s="147"/>
      <c r="K908" s="147"/>
      <c r="L908" s="147"/>
      <c r="M908" s="147"/>
      <c r="N908" s="147"/>
      <c r="O908" s="147"/>
      <c r="P908" s="147"/>
      <c r="Q908" s="147"/>
      <c r="R908" s="147"/>
      <c r="S908" s="147"/>
      <c r="T908" s="147"/>
      <c r="U908" s="147"/>
      <c r="V908" s="147"/>
      <c r="W908" s="147"/>
      <c r="X908" s="147"/>
      <c r="Y908" s="147"/>
      <c r="Z908" s="147"/>
    </row>
    <row r="909" ht="15.75" customHeight="1">
      <c r="A909" s="147"/>
      <c r="B909" s="147"/>
      <c r="C909" s="147"/>
      <c r="D909" s="147"/>
      <c r="E909" s="147"/>
      <c r="F909" s="147"/>
      <c r="G909" s="147"/>
      <c r="H909" s="147"/>
      <c r="I909" s="147"/>
      <c r="J909" s="147"/>
      <c r="K909" s="147"/>
      <c r="L909" s="147"/>
      <c r="M909" s="147"/>
      <c r="N909" s="147"/>
      <c r="O909" s="147"/>
      <c r="P909" s="147"/>
      <c r="Q909" s="147"/>
      <c r="R909" s="147"/>
      <c r="S909" s="147"/>
      <c r="T909" s="147"/>
      <c r="U909" s="147"/>
      <c r="V909" s="147"/>
      <c r="W909" s="147"/>
      <c r="X909" s="147"/>
      <c r="Y909" s="147"/>
      <c r="Z909" s="147"/>
    </row>
    <row r="910" ht="15.75" customHeight="1">
      <c r="A910" s="147"/>
      <c r="B910" s="147"/>
      <c r="C910" s="147"/>
      <c r="D910" s="147"/>
      <c r="E910" s="147"/>
      <c r="F910" s="147"/>
      <c r="G910" s="147"/>
      <c r="H910" s="147"/>
      <c r="I910" s="147"/>
      <c r="J910" s="147"/>
      <c r="K910" s="147"/>
      <c r="L910" s="147"/>
      <c r="M910" s="147"/>
      <c r="N910" s="147"/>
      <c r="O910" s="147"/>
      <c r="P910" s="147"/>
      <c r="Q910" s="147"/>
      <c r="R910" s="147"/>
      <c r="S910" s="147"/>
      <c r="T910" s="147"/>
      <c r="U910" s="147"/>
      <c r="V910" s="147"/>
      <c r="W910" s="147"/>
      <c r="X910" s="147"/>
      <c r="Y910" s="147"/>
      <c r="Z910" s="147"/>
    </row>
    <row r="911" ht="15.75" customHeight="1">
      <c r="A911" s="147"/>
      <c r="B911" s="147"/>
      <c r="C911" s="147"/>
      <c r="D911" s="147"/>
      <c r="E911" s="147"/>
      <c r="F911" s="147"/>
      <c r="G911" s="147"/>
      <c r="H911" s="147"/>
      <c r="I911" s="147"/>
      <c r="J911" s="147"/>
      <c r="K911" s="147"/>
      <c r="L911" s="147"/>
      <c r="M911" s="147"/>
      <c r="N911" s="147"/>
      <c r="O911" s="147"/>
      <c r="P911" s="147"/>
      <c r="Q911" s="147"/>
      <c r="R911" s="147"/>
      <c r="S911" s="147"/>
      <c r="T911" s="147"/>
      <c r="U911" s="147"/>
      <c r="V911" s="147"/>
      <c r="W911" s="147"/>
      <c r="X911" s="147"/>
      <c r="Y911" s="147"/>
      <c r="Z911" s="147"/>
    </row>
    <row r="912" ht="15.75" customHeight="1">
      <c r="A912" s="147"/>
      <c r="B912" s="147"/>
      <c r="C912" s="147"/>
      <c r="D912" s="147"/>
      <c r="E912" s="147"/>
      <c r="F912" s="147"/>
      <c r="G912" s="147"/>
      <c r="H912" s="147"/>
      <c r="I912" s="147"/>
      <c r="J912" s="147"/>
      <c r="K912" s="147"/>
      <c r="L912" s="147"/>
      <c r="M912" s="147"/>
      <c r="N912" s="147"/>
      <c r="O912" s="147"/>
      <c r="P912" s="147"/>
      <c r="Q912" s="147"/>
      <c r="R912" s="147"/>
      <c r="S912" s="147"/>
      <c r="T912" s="147"/>
      <c r="U912" s="147"/>
      <c r="V912" s="147"/>
      <c r="W912" s="147"/>
      <c r="X912" s="147"/>
      <c r="Y912" s="147"/>
      <c r="Z912" s="147"/>
    </row>
    <row r="913" ht="15.75" customHeight="1">
      <c r="A913" s="147"/>
      <c r="B913" s="147"/>
      <c r="C913" s="147"/>
      <c r="D913" s="147"/>
      <c r="E913" s="147"/>
      <c r="F913" s="147"/>
      <c r="G913" s="147"/>
      <c r="H913" s="147"/>
      <c r="I913" s="147"/>
      <c r="J913" s="147"/>
      <c r="K913" s="147"/>
      <c r="L913" s="147"/>
      <c r="M913" s="147"/>
      <c r="N913" s="147"/>
      <c r="O913" s="147"/>
      <c r="P913" s="147"/>
      <c r="Q913" s="147"/>
      <c r="R913" s="147"/>
      <c r="S913" s="147"/>
      <c r="T913" s="147"/>
      <c r="U913" s="147"/>
      <c r="V913" s="147"/>
      <c r="W913" s="147"/>
      <c r="X913" s="147"/>
      <c r="Y913" s="147"/>
      <c r="Z913" s="147"/>
    </row>
    <row r="914" ht="15.75" customHeight="1">
      <c r="A914" s="147"/>
      <c r="B914" s="147"/>
      <c r="C914" s="147"/>
      <c r="D914" s="147"/>
      <c r="E914" s="147"/>
      <c r="F914" s="147"/>
      <c r="G914" s="147"/>
      <c r="H914" s="147"/>
      <c r="I914" s="147"/>
      <c r="J914" s="147"/>
      <c r="K914" s="147"/>
      <c r="L914" s="147"/>
      <c r="M914" s="147"/>
      <c r="N914" s="147"/>
      <c r="O914" s="147"/>
      <c r="P914" s="147"/>
      <c r="Q914" s="147"/>
      <c r="R914" s="147"/>
      <c r="S914" s="147"/>
      <c r="T914" s="147"/>
      <c r="U914" s="147"/>
      <c r="V914" s="147"/>
      <c r="W914" s="147"/>
      <c r="X914" s="147"/>
      <c r="Y914" s="147"/>
      <c r="Z914" s="147"/>
    </row>
    <row r="915" ht="15.75" customHeight="1">
      <c r="A915" s="147"/>
      <c r="B915" s="147"/>
      <c r="C915" s="147"/>
      <c r="D915" s="147"/>
      <c r="E915" s="147"/>
      <c r="F915" s="147"/>
      <c r="G915" s="147"/>
      <c r="H915" s="147"/>
      <c r="I915" s="147"/>
      <c r="J915" s="147"/>
      <c r="K915" s="147"/>
      <c r="L915" s="147"/>
      <c r="M915" s="147"/>
      <c r="N915" s="147"/>
      <c r="O915" s="147"/>
      <c r="P915" s="147"/>
      <c r="Q915" s="147"/>
      <c r="R915" s="147"/>
      <c r="S915" s="147"/>
      <c r="T915" s="147"/>
      <c r="U915" s="147"/>
      <c r="V915" s="147"/>
      <c r="W915" s="147"/>
      <c r="X915" s="147"/>
      <c r="Y915" s="147"/>
      <c r="Z915" s="147"/>
    </row>
    <row r="916" ht="15.75" customHeight="1">
      <c r="A916" s="147"/>
      <c r="B916" s="147"/>
      <c r="C916" s="147"/>
      <c r="D916" s="147"/>
      <c r="E916" s="147"/>
      <c r="F916" s="147"/>
      <c r="G916" s="147"/>
      <c r="H916" s="147"/>
      <c r="I916" s="147"/>
      <c r="J916" s="147"/>
      <c r="K916" s="147"/>
      <c r="L916" s="147"/>
      <c r="M916" s="147"/>
      <c r="N916" s="147"/>
      <c r="O916" s="147"/>
      <c r="P916" s="147"/>
      <c r="Q916" s="147"/>
      <c r="R916" s="147"/>
      <c r="S916" s="147"/>
      <c r="T916" s="147"/>
      <c r="U916" s="147"/>
      <c r="V916" s="147"/>
      <c r="W916" s="147"/>
      <c r="X916" s="147"/>
      <c r="Y916" s="147"/>
      <c r="Z916" s="147"/>
    </row>
    <row r="917" ht="15.75" customHeight="1">
      <c r="A917" s="147"/>
      <c r="B917" s="147"/>
      <c r="C917" s="147"/>
      <c r="D917" s="147"/>
      <c r="E917" s="147"/>
      <c r="F917" s="147"/>
      <c r="G917" s="147"/>
      <c r="H917" s="147"/>
      <c r="I917" s="147"/>
      <c r="J917" s="147"/>
      <c r="K917" s="147"/>
      <c r="L917" s="147"/>
      <c r="M917" s="147"/>
      <c r="N917" s="147"/>
      <c r="O917" s="147"/>
      <c r="P917" s="147"/>
      <c r="Q917" s="147"/>
      <c r="R917" s="147"/>
      <c r="S917" s="147"/>
      <c r="T917" s="147"/>
      <c r="U917" s="147"/>
      <c r="V917" s="147"/>
      <c r="W917" s="147"/>
      <c r="X917" s="147"/>
      <c r="Y917" s="147"/>
      <c r="Z917" s="147"/>
    </row>
    <row r="918" ht="15.75" customHeight="1">
      <c r="A918" s="147"/>
      <c r="B918" s="147"/>
      <c r="C918" s="147"/>
      <c r="D918" s="147"/>
      <c r="E918" s="147"/>
      <c r="F918" s="147"/>
      <c r="G918" s="147"/>
      <c r="H918" s="147"/>
      <c r="I918" s="147"/>
      <c r="J918" s="147"/>
      <c r="K918" s="147"/>
      <c r="L918" s="147"/>
      <c r="M918" s="147"/>
      <c r="N918" s="147"/>
      <c r="O918" s="147"/>
      <c r="P918" s="147"/>
      <c r="Q918" s="147"/>
      <c r="R918" s="147"/>
      <c r="S918" s="147"/>
      <c r="T918" s="147"/>
      <c r="U918" s="147"/>
      <c r="V918" s="147"/>
      <c r="W918" s="147"/>
      <c r="X918" s="147"/>
      <c r="Y918" s="147"/>
      <c r="Z918" s="147"/>
    </row>
    <row r="919" ht="15.75" customHeight="1">
      <c r="A919" s="147"/>
      <c r="B919" s="147"/>
      <c r="C919" s="147"/>
      <c r="D919" s="147"/>
      <c r="E919" s="147"/>
      <c r="F919" s="147"/>
      <c r="G919" s="147"/>
      <c r="H919" s="147"/>
      <c r="I919" s="147"/>
      <c r="J919" s="147"/>
      <c r="K919" s="147"/>
      <c r="L919" s="147"/>
      <c r="M919" s="147"/>
      <c r="N919" s="147"/>
      <c r="O919" s="147"/>
      <c r="P919" s="147"/>
      <c r="Q919" s="147"/>
      <c r="R919" s="147"/>
      <c r="S919" s="147"/>
      <c r="T919" s="147"/>
      <c r="U919" s="147"/>
      <c r="V919" s="147"/>
      <c r="W919" s="147"/>
      <c r="X919" s="147"/>
      <c r="Y919" s="147"/>
      <c r="Z919" s="147"/>
    </row>
    <row r="920" ht="15.75" customHeight="1">
      <c r="A920" s="147"/>
      <c r="B920" s="147"/>
      <c r="C920" s="147"/>
      <c r="D920" s="147"/>
      <c r="E920" s="147"/>
      <c r="F920" s="147"/>
      <c r="G920" s="147"/>
      <c r="H920" s="147"/>
      <c r="I920" s="147"/>
      <c r="J920" s="147"/>
      <c r="K920" s="147"/>
      <c r="L920" s="147"/>
      <c r="M920" s="147"/>
      <c r="N920" s="147"/>
      <c r="O920" s="147"/>
      <c r="P920" s="147"/>
      <c r="Q920" s="147"/>
      <c r="R920" s="147"/>
      <c r="S920" s="147"/>
      <c r="T920" s="147"/>
      <c r="U920" s="147"/>
      <c r="V920" s="147"/>
      <c r="W920" s="147"/>
      <c r="X920" s="147"/>
      <c r="Y920" s="147"/>
      <c r="Z920" s="147"/>
    </row>
    <row r="921" ht="15.75" customHeight="1">
      <c r="A921" s="147"/>
      <c r="B921" s="147"/>
      <c r="C921" s="147"/>
      <c r="D921" s="147"/>
      <c r="E921" s="147"/>
      <c r="F921" s="147"/>
      <c r="G921" s="147"/>
      <c r="H921" s="147"/>
      <c r="I921" s="147"/>
      <c r="J921" s="147"/>
      <c r="K921" s="147"/>
      <c r="L921" s="147"/>
      <c r="M921" s="147"/>
      <c r="N921" s="147"/>
      <c r="O921" s="147"/>
      <c r="P921" s="147"/>
      <c r="Q921" s="147"/>
      <c r="R921" s="147"/>
      <c r="S921" s="147"/>
      <c r="T921" s="147"/>
      <c r="U921" s="147"/>
      <c r="V921" s="147"/>
      <c r="W921" s="147"/>
      <c r="X921" s="147"/>
      <c r="Y921" s="147"/>
      <c r="Z921" s="147"/>
    </row>
    <row r="922" ht="15.75" customHeight="1">
      <c r="A922" s="147"/>
      <c r="B922" s="147"/>
      <c r="C922" s="147"/>
      <c r="D922" s="147"/>
      <c r="E922" s="147"/>
      <c r="F922" s="147"/>
      <c r="G922" s="147"/>
      <c r="H922" s="147"/>
      <c r="I922" s="147"/>
      <c r="J922" s="147"/>
      <c r="K922" s="147"/>
      <c r="L922" s="147"/>
      <c r="M922" s="147"/>
      <c r="N922" s="147"/>
      <c r="O922" s="147"/>
      <c r="P922" s="147"/>
      <c r="Q922" s="147"/>
      <c r="R922" s="147"/>
      <c r="S922" s="147"/>
      <c r="T922" s="147"/>
      <c r="U922" s="147"/>
      <c r="V922" s="147"/>
      <c r="W922" s="147"/>
      <c r="X922" s="147"/>
      <c r="Y922" s="147"/>
      <c r="Z922" s="147"/>
    </row>
    <row r="923" ht="15.75" customHeight="1">
      <c r="A923" s="147"/>
      <c r="B923" s="147"/>
      <c r="C923" s="147"/>
      <c r="D923" s="147"/>
      <c r="E923" s="147"/>
      <c r="F923" s="147"/>
      <c r="G923" s="147"/>
      <c r="H923" s="147"/>
      <c r="I923" s="147"/>
      <c r="J923" s="147"/>
      <c r="K923" s="147"/>
      <c r="L923" s="147"/>
      <c r="M923" s="147"/>
      <c r="N923" s="147"/>
      <c r="O923" s="147"/>
      <c r="P923" s="147"/>
      <c r="Q923" s="147"/>
      <c r="R923" s="147"/>
      <c r="S923" s="147"/>
      <c r="T923" s="147"/>
      <c r="U923" s="147"/>
      <c r="V923" s="147"/>
      <c r="W923" s="147"/>
      <c r="X923" s="147"/>
      <c r="Y923" s="147"/>
      <c r="Z923" s="147"/>
    </row>
    <row r="924" ht="15.75" customHeight="1">
      <c r="A924" s="147"/>
      <c r="B924" s="147"/>
      <c r="C924" s="147"/>
      <c r="D924" s="147"/>
      <c r="E924" s="147"/>
      <c r="F924" s="147"/>
      <c r="G924" s="147"/>
      <c r="H924" s="147"/>
      <c r="I924" s="147"/>
      <c r="J924" s="147"/>
      <c r="K924" s="147"/>
      <c r="L924" s="147"/>
      <c r="M924" s="147"/>
      <c r="N924" s="147"/>
      <c r="O924" s="147"/>
      <c r="P924" s="147"/>
      <c r="Q924" s="147"/>
      <c r="R924" s="147"/>
      <c r="S924" s="147"/>
      <c r="T924" s="147"/>
      <c r="U924" s="147"/>
      <c r="V924" s="147"/>
      <c r="W924" s="147"/>
      <c r="X924" s="147"/>
      <c r="Y924" s="147"/>
      <c r="Z924" s="147"/>
    </row>
    <row r="925" ht="15.75" customHeight="1">
      <c r="A925" s="147"/>
      <c r="B925" s="147"/>
      <c r="C925" s="147"/>
      <c r="D925" s="147"/>
      <c r="E925" s="147"/>
      <c r="F925" s="147"/>
      <c r="G925" s="147"/>
      <c r="H925" s="147"/>
      <c r="I925" s="147"/>
      <c r="J925" s="147"/>
      <c r="K925" s="147"/>
      <c r="L925" s="147"/>
      <c r="M925" s="147"/>
      <c r="N925" s="147"/>
      <c r="O925" s="147"/>
      <c r="P925" s="147"/>
      <c r="Q925" s="147"/>
      <c r="R925" s="147"/>
      <c r="S925" s="147"/>
      <c r="T925" s="147"/>
      <c r="U925" s="147"/>
      <c r="V925" s="147"/>
      <c r="W925" s="147"/>
      <c r="X925" s="147"/>
      <c r="Y925" s="147"/>
      <c r="Z925" s="147"/>
    </row>
    <row r="926" ht="15.75" customHeight="1">
      <c r="A926" s="147"/>
      <c r="B926" s="147"/>
      <c r="C926" s="147"/>
      <c r="D926" s="147"/>
      <c r="E926" s="147"/>
      <c r="F926" s="147"/>
      <c r="G926" s="147"/>
      <c r="H926" s="147"/>
      <c r="I926" s="147"/>
      <c r="J926" s="147"/>
      <c r="K926" s="147"/>
      <c r="L926" s="147"/>
      <c r="M926" s="147"/>
      <c r="N926" s="147"/>
      <c r="O926" s="147"/>
      <c r="P926" s="147"/>
      <c r="Q926" s="147"/>
      <c r="R926" s="147"/>
      <c r="S926" s="147"/>
      <c r="T926" s="147"/>
      <c r="U926" s="147"/>
      <c r="V926" s="147"/>
      <c r="W926" s="147"/>
      <c r="X926" s="147"/>
      <c r="Y926" s="147"/>
      <c r="Z926" s="147"/>
    </row>
    <row r="927" ht="15.75" customHeight="1">
      <c r="A927" s="147"/>
      <c r="B927" s="147"/>
      <c r="C927" s="147"/>
      <c r="D927" s="147"/>
      <c r="E927" s="147"/>
      <c r="F927" s="147"/>
      <c r="G927" s="147"/>
      <c r="H927" s="147"/>
      <c r="I927" s="147"/>
      <c r="J927" s="147"/>
      <c r="K927" s="147"/>
      <c r="L927" s="147"/>
      <c r="M927" s="147"/>
      <c r="N927" s="147"/>
      <c r="O927" s="147"/>
      <c r="P927" s="147"/>
      <c r="Q927" s="147"/>
      <c r="R927" s="147"/>
      <c r="S927" s="147"/>
      <c r="T927" s="147"/>
      <c r="U927" s="147"/>
      <c r="V927" s="147"/>
      <c r="W927" s="147"/>
      <c r="X927" s="147"/>
      <c r="Y927" s="147"/>
      <c r="Z927" s="147"/>
    </row>
    <row r="928" ht="15.75" customHeight="1">
      <c r="A928" s="147"/>
      <c r="B928" s="147"/>
      <c r="C928" s="147"/>
      <c r="D928" s="147"/>
      <c r="E928" s="147"/>
      <c r="F928" s="147"/>
      <c r="G928" s="147"/>
      <c r="H928" s="147"/>
      <c r="I928" s="147"/>
      <c r="J928" s="147"/>
      <c r="K928" s="147"/>
      <c r="L928" s="147"/>
      <c r="M928" s="147"/>
      <c r="N928" s="147"/>
      <c r="O928" s="147"/>
      <c r="P928" s="147"/>
      <c r="Q928" s="147"/>
      <c r="R928" s="147"/>
      <c r="S928" s="147"/>
      <c r="T928" s="147"/>
      <c r="U928" s="147"/>
      <c r="V928" s="147"/>
      <c r="W928" s="147"/>
      <c r="X928" s="147"/>
      <c r="Y928" s="147"/>
      <c r="Z928" s="147"/>
    </row>
    <row r="929" ht="15.75" customHeight="1">
      <c r="A929" s="147"/>
      <c r="B929" s="147"/>
      <c r="C929" s="147"/>
      <c r="D929" s="147"/>
      <c r="E929" s="147"/>
      <c r="F929" s="147"/>
      <c r="G929" s="147"/>
      <c r="H929" s="147"/>
      <c r="I929" s="147"/>
      <c r="J929" s="147"/>
      <c r="K929" s="147"/>
      <c r="L929" s="147"/>
      <c r="M929" s="147"/>
      <c r="N929" s="147"/>
      <c r="O929" s="147"/>
      <c r="P929" s="147"/>
      <c r="Q929" s="147"/>
      <c r="R929" s="147"/>
      <c r="S929" s="147"/>
      <c r="T929" s="147"/>
      <c r="U929" s="147"/>
      <c r="V929" s="147"/>
      <c r="W929" s="147"/>
      <c r="X929" s="147"/>
      <c r="Y929" s="147"/>
      <c r="Z929" s="147"/>
    </row>
    <row r="930" ht="15.75" customHeight="1">
      <c r="A930" s="147"/>
      <c r="B930" s="147"/>
      <c r="C930" s="147"/>
      <c r="D930" s="147"/>
      <c r="E930" s="147"/>
      <c r="F930" s="147"/>
      <c r="G930" s="147"/>
      <c r="H930" s="147"/>
      <c r="I930" s="147"/>
      <c r="J930" s="147"/>
      <c r="K930" s="147"/>
      <c r="L930" s="147"/>
      <c r="M930" s="147"/>
      <c r="N930" s="147"/>
      <c r="O930" s="147"/>
      <c r="P930" s="147"/>
      <c r="Q930" s="147"/>
      <c r="R930" s="147"/>
      <c r="S930" s="147"/>
      <c r="T930" s="147"/>
      <c r="U930" s="147"/>
      <c r="V930" s="147"/>
      <c r="W930" s="147"/>
      <c r="X930" s="147"/>
      <c r="Y930" s="147"/>
      <c r="Z930" s="147"/>
    </row>
    <row r="931" ht="15.75" customHeight="1">
      <c r="A931" s="147"/>
      <c r="B931" s="147"/>
      <c r="C931" s="147"/>
      <c r="D931" s="147"/>
      <c r="E931" s="147"/>
      <c r="F931" s="147"/>
      <c r="G931" s="147"/>
      <c r="H931" s="147"/>
      <c r="I931" s="147"/>
      <c r="J931" s="147"/>
      <c r="K931" s="147"/>
      <c r="L931" s="147"/>
      <c r="M931" s="147"/>
      <c r="N931" s="147"/>
      <c r="O931" s="147"/>
      <c r="P931" s="147"/>
      <c r="Q931" s="147"/>
      <c r="R931" s="147"/>
      <c r="S931" s="147"/>
      <c r="T931" s="147"/>
      <c r="U931" s="147"/>
      <c r="V931" s="147"/>
      <c r="W931" s="147"/>
      <c r="X931" s="147"/>
      <c r="Y931" s="147"/>
      <c r="Z931" s="147"/>
    </row>
    <row r="932" ht="15.75" customHeight="1">
      <c r="A932" s="147"/>
      <c r="B932" s="147"/>
      <c r="C932" s="147"/>
      <c r="D932" s="147"/>
      <c r="E932" s="147"/>
      <c r="F932" s="147"/>
      <c r="G932" s="147"/>
      <c r="H932" s="147"/>
      <c r="I932" s="147"/>
      <c r="J932" s="147"/>
      <c r="K932" s="147"/>
      <c r="L932" s="147"/>
      <c r="M932" s="147"/>
      <c r="N932" s="147"/>
      <c r="O932" s="147"/>
      <c r="P932" s="147"/>
      <c r="Q932" s="147"/>
      <c r="R932" s="147"/>
      <c r="S932" s="147"/>
      <c r="T932" s="147"/>
      <c r="U932" s="147"/>
      <c r="V932" s="147"/>
      <c r="W932" s="147"/>
      <c r="X932" s="147"/>
      <c r="Y932" s="147"/>
      <c r="Z932" s="147"/>
    </row>
    <row r="933" ht="15.75" customHeight="1">
      <c r="A933" s="147"/>
      <c r="B933" s="147"/>
      <c r="C933" s="147"/>
      <c r="D933" s="147"/>
      <c r="E933" s="147"/>
      <c r="F933" s="147"/>
      <c r="G933" s="147"/>
      <c r="H933" s="147"/>
      <c r="I933" s="147"/>
      <c r="J933" s="147"/>
      <c r="K933" s="147"/>
      <c r="L933" s="147"/>
      <c r="M933" s="147"/>
      <c r="N933" s="147"/>
      <c r="O933" s="147"/>
      <c r="P933" s="147"/>
      <c r="Q933" s="147"/>
      <c r="R933" s="147"/>
      <c r="S933" s="147"/>
      <c r="T933" s="147"/>
      <c r="U933" s="147"/>
      <c r="V933" s="147"/>
      <c r="W933" s="147"/>
      <c r="X933" s="147"/>
      <c r="Y933" s="147"/>
      <c r="Z933" s="147"/>
    </row>
    <row r="934" ht="15.75" customHeight="1">
      <c r="A934" s="147"/>
      <c r="B934" s="147"/>
      <c r="C934" s="147"/>
      <c r="D934" s="147"/>
      <c r="E934" s="147"/>
      <c r="F934" s="147"/>
      <c r="G934" s="147"/>
      <c r="H934" s="147"/>
      <c r="I934" s="147"/>
      <c r="J934" s="147"/>
      <c r="K934" s="147"/>
      <c r="L934" s="147"/>
      <c r="M934" s="147"/>
      <c r="N934" s="147"/>
      <c r="O934" s="147"/>
      <c r="P934" s="147"/>
      <c r="Q934" s="147"/>
      <c r="R934" s="147"/>
      <c r="S934" s="147"/>
      <c r="T934" s="147"/>
      <c r="U934" s="147"/>
      <c r="V934" s="147"/>
      <c r="W934" s="147"/>
      <c r="X934" s="147"/>
      <c r="Y934" s="147"/>
      <c r="Z934" s="147"/>
    </row>
    <row r="935" ht="15.75" customHeight="1">
      <c r="A935" s="147"/>
      <c r="B935" s="147"/>
      <c r="C935" s="147"/>
      <c r="D935" s="147"/>
      <c r="E935" s="147"/>
      <c r="F935" s="147"/>
      <c r="G935" s="147"/>
      <c r="H935" s="147"/>
      <c r="I935" s="147"/>
      <c r="J935" s="147"/>
      <c r="K935" s="147"/>
      <c r="L935" s="147"/>
      <c r="M935" s="147"/>
      <c r="N935" s="147"/>
      <c r="O935" s="147"/>
      <c r="P935" s="147"/>
      <c r="Q935" s="147"/>
      <c r="R935" s="147"/>
      <c r="S935" s="147"/>
      <c r="T935" s="147"/>
      <c r="U935" s="147"/>
      <c r="V935" s="147"/>
      <c r="W935" s="147"/>
      <c r="X935" s="147"/>
      <c r="Y935" s="147"/>
      <c r="Z935" s="147"/>
    </row>
    <row r="936" ht="15.75" customHeight="1">
      <c r="A936" s="147"/>
      <c r="B936" s="147"/>
      <c r="C936" s="147"/>
      <c r="D936" s="147"/>
      <c r="E936" s="147"/>
      <c r="F936" s="147"/>
      <c r="G936" s="147"/>
      <c r="H936" s="147"/>
      <c r="I936" s="147"/>
      <c r="J936" s="147"/>
      <c r="K936" s="147"/>
      <c r="L936" s="147"/>
      <c r="M936" s="147"/>
      <c r="N936" s="147"/>
      <c r="O936" s="147"/>
      <c r="P936" s="147"/>
      <c r="Q936" s="147"/>
      <c r="R936" s="147"/>
      <c r="S936" s="147"/>
      <c r="T936" s="147"/>
      <c r="U936" s="147"/>
      <c r="V936" s="147"/>
      <c r="W936" s="147"/>
      <c r="X936" s="147"/>
      <c r="Y936" s="147"/>
      <c r="Z936" s="147"/>
    </row>
    <row r="937" ht="15.75" customHeight="1">
      <c r="A937" s="147"/>
      <c r="B937" s="147"/>
      <c r="C937" s="147"/>
      <c r="D937" s="147"/>
      <c r="E937" s="147"/>
      <c r="F937" s="147"/>
      <c r="G937" s="147"/>
      <c r="H937" s="147"/>
      <c r="I937" s="147"/>
      <c r="J937" s="147"/>
      <c r="K937" s="147"/>
      <c r="L937" s="147"/>
      <c r="M937" s="147"/>
      <c r="N937" s="147"/>
      <c r="O937" s="147"/>
      <c r="P937" s="147"/>
      <c r="Q937" s="147"/>
      <c r="R937" s="147"/>
      <c r="S937" s="147"/>
      <c r="T937" s="147"/>
      <c r="U937" s="147"/>
      <c r="V937" s="147"/>
      <c r="W937" s="147"/>
      <c r="X937" s="147"/>
      <c r="Y937" s="147"/>
      <c r="Z937" s="147"/>
    </row>
    <row r="938" ht="15.75" customHeight="1">
      <c r="A938" s="147"/>
      <c r="B938" s="147"/>
      <c r="C938" s="147"/>
      <c r="D938" s="147"/>
      <c r="E938" s="147"/>
      <c r="F938" s="147"/>
      <c r="G938" s="147"/>
      <c r="H938" s="147"/>
      <c r="I938" s="147"/>
      <c r="J938" s="147"/>
      <c r="K938" s="147"/>
      <c r="L938" s="147"/>
      <c r="M938" s="147"/>
      <c r="N938" s="147"/>
      <c r="O938" s="147"/>
      <c r="P938" s="147"/>
      <c r="Q938" s="147"/>
      <c r="R938" s="147"/>
      <c r="S938" s="147"/>
      <c r="T938" s="147"/>
      <c r="U938" s="147"/>
      <c r="V938" s="147"/>
      <c r="W938" s="147"/>
      <c r="X938" s="147"/>
      <c r="Y938" s="147"/>
      <c r="Z938" s="147"/>
    </row>
    <row r="939" ht="15.75" customHeight="1">
      <c r="A939" s="147"/>
      <c r="B939" s="147"/>
      <c r="C939" s="147"/>
      <c r="D939" s="147"/>
      <c r="E939" s="147"/>
      <c r="F939" s="147"/>
      <c r="G939" s="147"/>
      <c r="H939" s="147"/>
      <c r="I939" s="147"/>
      <c r="J939" s="147"/>
      <c r="K939" s="147"/>
      <c r="L939" s="147"/>
      <c r="M939" s="147"/>
      <c r="N939" s="147"/>
      <c r="O939" s="147"/>
      <c r="P939" s="147"/>
      <c r="Q939" s="147"/>
      <c r="R939" s="147"/>
      <c r="S939" s="147"/>
      <c r="T939" s="147"/>
      <c r="U939" s="147"/>
      <c r="V939" s="147"/>
      <c r="W939" s="147"/>
      <c r="X939" s="147"/>
      <c r="Y939" s="147"/>
      <c r="Z939" s="147"/>
    </row>
    <row r="940" ht="15.75" customHeight="1">
      <c r="A940" s="147"/>
      <c r="B940" s="147"/>
      <c r="C940" s="147"/>
      <c r="D940" s="147"/>
      <c r="E940" s="147"/>
      <c r="F940" s="147"/>
      <c r="G940" s="147"/>
      <c r="H940" s="147"/>
      <c r="I940" s="147"/>
      <c r="J940" s="147"/>
      <c r="K940" s="147"/>
      <c r="L940" s="147"/>
      <c r="M940" s="147"/>
      <c r="N940" s="147"/>
      <c r="O940" s="147"/>
      <c r="P940" s="147"/>
      <c r="Q940" s="147"/>
      <c r="R940" s="147"/>
      <c r="S940" s="147"/>
      <c r="T940" s="147"/>
      <c r="U940" s="147"/>
      <c r="V940" s="147"/>
      <c r="W940" s="147"/>
      <c r="X940" s="147"/>
      <c r="Y940" s="147"/>
      <c r="Z940" s="147"/>
    </row>
    <row r="941" ht="15.75" customHeight="1">
      <c r="A941" s="147"/>
      <c r="B941" s="147"/>
      <c r="C941" s="147"/>
      <c r="D941" s="147"/>
      <c r="E941" s="147"/>
      <c r="F941" s="147"/>
      <c r="G941" s="147"/>
      <c r="H941" s="147"/>
      <c r="I941" s="147"/>
      <c r="J941" s="147"/>
      <c r="K941" s="147"/>
      <c r="L941" s="147"/>
      <c r="M941" s="147"/>
      <c r="N941" s="147"/>
      <c r="O941" s="147"/>
      <c r="P941" s="147"/>
      <c r="Q941" s="147"/>
      <c r="R941" s="147"/>
      <c r="S941" s="147"/>
      <c r="T941" s="147"/>
      <c r="U941" s="147"/>
      <c r="V941" s="147"/>
      <c r="W941" s="147"/>
      <c r="X941" s="147"/>
      <c r="Y941" s="147"/>
      <c r="Z941" s="147"/>
    </row>
    <row r="942" ht="15.75" customHeight="1">
      <c r="A942" s="147"/>
      <c r="B942" s="147"/>
      <c r="C942" s="147"/>
      <c r="D942" s="147"/>
      <c r="E942" s="147"/>
      <c r="F942" s="147"/>
      <c r="G942" s="147"/>
      <c r="H942" s="147"/>
      <c r="I942" s="147"/>
      <c r="J942" s="147"/>
      <c r="K942" s="147"/>
      <c r="L942" s="147"/>
      <c r="M942" s="147"/>
      <c r="N942" s="147"/>
      <c r="O942" s="147"/>
      <c r="P942" s="147"/>
      <c r="Q942" s="147"/>
      <c r="R942" s="147"/>
      <c r="S942" s="147"/>
      <c r="T942" s="147"/>
      <c r="U942" s="147"/>
      <c r="V942" s="147"/>
      <c r="W942" s="147"/>
      <c r="X942" s="147"/>
      <c r="Y942" s="147"/>
      <c r="Z942" s="147"/>
    </row>
    <row r="943" ht="15.75" customHeight="1">
      <c r="A943" s="147"/>
      <c r="B943" s="147"/>
      <c r="C943" s="147"/>
      <c r="D943" s="147"/>
      <c r="E943" s="147"/>
      <c r="F943" s="147"/>
      <c r="G943" s="147"/>
      <c r="H943" s="147"/>
      <c r="I943" s="147"/>
      <c r="J943" s="147"/>
      <c r="K943" s="147"/>
      <c r="L943" s="147"/>
      <c r="M943" s="147"/>
      <c r="N943" s="147"/>
      <c r="O943" s="147"/>
      <c r="P943" s="147"/>
      <c r="Q943" s="147"/>
      <c r="R943" s="147"/>
      <c r="S943" s="147"/>
      <c r="T943" s="147"/>
      <c r="U943" s="147"/>
      <c r="V943" s="147"/>
      <c r="W943" s="147"/>
      <c r="X943" s="147"/>
      <c r="Y943" s="147"/>
      <c r="Z943" s="147"/>
    </row>
    <row r="944" ht="15.75" customHeight="1">
      <c r="A944" s="147"/>
      <c r="B944" s="147"/>
      <c r="C944" s="147"/>
      <c r="D944" s="147"/>
      <c r="E944" s="147"/>
      <c r="F944" s="147"/>
      <c r="G944" s="147"/>
      <c r="H944" s="147"/>
      <c r="I944" s="147"/>
      <c r="J944" s="147"/>
      <c r="K944" s="147"/>
      <c r="L944" s="147"/>
      <c r="M944" s="147"/>
      <c r="N944" s="147"/>
      <c r="O944" s="147"/>
      <c r="P944" s="147"/>
      <c r="Q944" s="147"/>
      <c r="R944" s="147"/>
      <c r="S944" s="147"/>
      <c r="T944" s="147"/>
      <c r="U944" s="147"/>
      <c r="V944" s="147"/>
      <c r="W944" s="147"/>
      <c r="X944" s="147"/>
      <c r="Y944" s="147"/>
      <c r="Z944" s="147"/>
    </row>
    <row r="945" ht="15.75" customHeight="1">
      <c r="A945" s="147"/>
      <c r="B945" s="147"/>
      <c r="C945" s="147"/>
      <c r="D945" s="147"/>
      <c r="E945" s="147"/>
      <c r="F945" s="147"/>
      <c r="G945" s="147"/>
      <c r="H945" s="147"/>
      <c r="I945" s="147"/>
      <c r="J945" s="147"/>
      <c r="K945" s="147"/>
      <c r="L945" s="147"/>
      <c r="M945" s="147"/>
      <c r="N945" s="147"/>
      <c r="O945" s="147"/>
      <c r="P945" s="147"/>
      <c r="Q945" s="147"/>
      <c r="R945" s="147"/>
      <c r="S945" s="147"/>
      <c r="T945" s="147"/>
      <c r="U945" s="147"/>
      <c r="V945" s="147"/>
      <c r="W945" s="147"/>
      <c r="X945" s="147"/>
      <c r="Y945" s="147"/>
      <c r="Z945" s="147"/>
    </row>
    <row r="946" ht="15.75" customHeight="1">
      <c r="A946" s="147"/>
      <c r="B946" s="147"/>
      <c r="C946" s="147"/>
      <c r="D946" s="147"/>
      <c r="E946" s="147"/>
      <c r="F946" s="147"/>
      <c r="G946" s="147"/>
      <c r="H946" s="147"/>
      <c r="I946" s="147"/>
      <c r="J946" s="147"/>
      <c r="K946" s="147"/>
      <c r="L946" s="147"/>
      <c r="M946" s="147"/>
      <c r="N946" s="147"/>
      <c r="O946" s="147"/>
      <c r="P946" s="147"/>
      <c r="Q946" s="147"/>
      <c r="R946" s="147"/>
      <c r="S946" s="147"/>
      <c r="T946" s="147"/>
      <c r="U946" s="147"/>
      <c r="V946" s="147"/>
      <c r="W946" s="147"/>
      <c r="X946" s="147"/>
      <c r="Y946" s="147"/>
      <c r="Z946" s="147"/>
    </row>
    <row r="947" ht="15.75" customHeight="1">
      <c r="A947" s="147"/>
      <c r="B947" s="147"/>
      <c r="C947" s="147"/>
      <c r="D947" s="147"/>
      <c r="E947" s="147"/>
      <c r="F947" s="147"/>
      <c r="G947" s="147"/>
      <c r="H947" s="147"/>
      <c r="I947" s="147"/>
      <c r="J947" s="147"/>
      <c r="K947" s="147"/>
      <c r="L947" s="147"/>
      <c r="M947" s="147"/>
      <c r="N947" s="147"/>
      <c r="O947" s="147"/>
      <c r="P947" s="147"/>
      <c r="Q947" s="147"/>
      <c r="R947" s="147"/>
      <c r="S947" s="147"/>
      <c r="T947" s="147"/>
      <c r="U947" s="147"/>
      <c r="V947" s="147"/>
      <c r="W947" s="147"/>
      <c r="X947" s="147"/>
      <c r="Y947" s="147"/>
      <c r="Z947" s="147"/>
    </row>
    <row r="948" ht="15.75" customHeight="1">
      <c r="A948" s="147"/>
      <c r="B948" s="147"/>
      <c r="C948" s="147"/>
      <c r="D948" s="147"/>
      <c r="E948" s="147"/>
      <c r="F948" s="147"/>
      <c r="G948" s="147"/>
      <c r="H948" s="147"/>
      <c r="I948" s="147"/>
      <c r="J948" s="147"/>
      <c r="K948" s="147"/>
      <c r="L948" s="147"/>
      <c r="M948" s="147"/>
      <c r="N948" s="147"/>
      <c r="O948" s="147"/>
      <c r="P948" s="147"/>
      <c r="Q948" s="147"/>
      <c r="R948" s="147"/>
      <c r="S948" s="147"/>
      <c r="T948" s="147"/>
      <c r="U948" s="147"/>
      <c r="V948" s="147"/>
      <c r="W948" s="147"/>
      <c r="X948" s="147"/>
      <c r="Y948" s="147"/>
      <c r="Z948" s="147"/>
    </row>
    <row r="949" ht="15.75" customHeight="1">
      <c r="A949" s="147"/>
      <c r="B949" s="147"/>
      <c r="C949" s="147"/>
      <c r="D949" s="147"/>
      <c r="E949" s="147"/>
      <c r="F949" s="147"/>
      <c r="G949" s="147"/>
      <c r="H949" s="147"/>
      <c r="I949" s="147"/>
      <c r="J949" s="147"/>
      <c r="K949" s="147"/>
      <c r="L949" s="147"/>
      <c r="M949" s="147"/>
      <c r="N949" s="147"/>
      <c r="O949" s="147"/>
      <c r="P949" s="147"/>
      <c r="Q949" s="147"/>
      <c r="R949" s="147"/>
      <c r="S949" s="147"/>
      <c r="T949" s="147"/>
      <c r="U949" s="147"/>
      <c r="V949" s="147"/>
      <c r="W949" s="147"/>
      <c r="X949" s="147"/>
      <c r="Y949" s="147"/>
      <c r="Z949" s="147"/>
    </row>
    <row r="950" ht="15.75" customHeight="1">
      <c r="A950" s="147"/>
      <c r="B950" s="147"/>
      <c r="C950" s="147"/>
      <c r="D950" s="147"/>
      <c r="E950" s="147"/>
      <c r="F950" s="147"/>
      <c r="G950" s="147"/>
      <c r="H950" s="147"/>
      <c r="I950" s="147"/>
      <c r="J950" s="147"/>
      <c r="K950" s="147"/>
      <c r="L950" s="147"/>
      <c r="M950" s="147"/>
      <c r="N950" s="147"/>
      <c r="O950" s="147"/>
      <c r="P950" s="147"/>
      <c r="Q950" s="147"/>
      <c r="R950" s="147"/>
      <c r="S950" s="147"/>
      <c r="T950" s="147"/>
      <c r="U950" s="147"/>
      <c r="V950" s="147"/>
      <c r="W950" s="147"/>
      <c r="X950" s="147"/>
      <c r="Y950" s="147"/>
      <c r="Z950" s="147"/>
    </row>
    <row r="951" ht="15.75" customHeight="1">
      <c r="A951" s="147"/>
      <c r="B951" s="147"/>
      <c r="C951" s="147"/>
      <c r="D951" s="147"/>
      <c r="E951" s="147"/>
      <c r="F951" s="147"/>
      <c r="G951" s="147"/>
      <c r="H951" s="147"/>
      <c r="I951" s="147"/>
      <c r="J951" s="147"/>
      <c r="K951" s="147"/>
      <c r="L951" s="147"/>
      <c r="M951" s="147"/>
      <c r="N951" s="147"/>
      <c r="O951" s="147"/>
      <c r="P951" s="147"/>
      <c r="Q951" s="147"/>
      <c r="R951" s="147"/>
      <c r="S951" s="147"/>
      <c r="T951" s="147"/>
      <c r="U951" s="147"/>
      <c r="V951" s="147"/>
      <c r="W951" s="147"/>
      <c r="X951" s="147"/>
      <c r="Y951" s="147"/>
      <c r="Z951" s="147"/>
    </row>
    <row r="952" ht="15.75" customHeight="1">
      <c r="A952" s="147"/>
      <c r="B952" s="147"/>
      <c r="C952" s="147"/>
      <c r="D952" s="147"/>
      <c r="E952" s="147"/>
      <c r="F952" s="147"/>
      <c r="G952" s="147"/>
      <c r="H952" s="147"/>
      <c r="I952" s="147"/>
      <c r="J952" s="147"/>
      <c r="K952" s="147"/>
      <c r="L952" s="147"/>
      <c r="M952" s="147"/>
      <c r="N952" s="147"/>
      <c r="O952" s="147"/>
      <c r="P952" s="147"/>
      <c r="Q952" s="147"/>
      <c r="R952" s="147"/>
      <c r="S952" s="147"/>
      <c r="T952" s="147"/>
      <c r="U952" s="147"/>
      <c r="V952" s="147"/>
      <c r="W952" s="147"/>
      <c r="X952" s="147"/>
      <c r="Y952" s="147"/>
      <c r="Z952" s="147"/>
    </row>
    <row r="953" ht="15.75" customHeight="1">
      <c r="A953" s="147"/>
      <c r="B953" s="147"/>
      <c r="C953" s="147"/>
      <c r="D953" s="147"/>
      <c r="E953" s="147"/>
      <c r="F953" s="147"/>
      <c r="G953" s="147"/>
      <c r="H953" s="147"/>
      <c r="I953" s="147"/>
      <c r="J953" s="147"/>
      <c r="K953" s="147"/>
      <c r="L953" s="147"/>
      <c r="M953" s="147"/>
      <c r="N953" s="147"/>
      <c r="O953" s="147"/>
      <c r="P953" s="147"/>
      <c r="Q953" s="147"/>
      <c r="R953" s="147"/>
      <c r="S953" s="147"/>
      <c r="T953" s="147"/>
      <c r="U953" s="147"/>
      <c r="V953" s="147"/>
      <c r="W953" s="147"/>
      <c r="X953" s="147"/>
      <c r="Y953" s="147"/>
      <c r="Z953" s="147"/>
    </row>
    <row r="954" ht="15.75" customHeight="1">
      <c r="A954" s="147"/>
      <c r="B954" s="147"/>
      <c r="C954" s="147"/>
      <c r="D954" s="147"/>
      <c r="E954" s="147"/>
      <c r="F954" s="147"/>
      <c r="G954" s="147"/>
      <c r="H954" s="147"/>
      <c r="I954" s="147"/>
      <c r="J954" s="147"/>
      <c r="K954" s="147"/>
      <c r="L954" s="147"/>
      <c r="M954" s="147"/>
      <c r="N954" s="147"/>
      <c r="O954" s="147"/>
      <c r="P954" s="147"/>
      <c r="Q954" s="147"/>
      <c r="R954" s="147"/>
      <c r="S954" s="147"/>
      <c r="T954" s="147"/>
      <c r="U954" s="147"/>
      <c r="V954" s="147"/>
      <c r="W954" s="147"/>
      <c r="X954" s="147"/>
      <c r="Y954" s="147"/>
      <c r="Z954" s="147"/>
    </row>
    <row r="955" ht="15.75" customHeight="1">
      <c r="A955" s="147"/>
      <c r="B955" s="147"/>
      <c r="C955" s="147"/>
      <c r="D955" s="147"/>
      <c r="E955" s="147"/>
      <c r="F955" s="147"/>
      <c r="G955" s="147"/>
      <c r="H955" s="147"/>
      <c r="I955" s="147"/>
      <c r="J955" s="147"/>
      <c r="K955" s="147"/>
      <c r="L955" s="147"/>
      <c r="M955" s="147"/>
      <c r="N955" s="147"/>
      <c r="O955" s="147"/>
      <c r="P955" s="147"/>
      <c r="Q955" s="147"/>
      <c r="R955" s="147"/>
      <c r="S955" s="147"/>
      <c r="T955" s="147"/>
      <c r="U955" s="147"/>
      <c r="V955" s="147"/>
      <c r="W955" s="147"/>
      <c r="X955" s="147"/>
      <c r="Y955" s="147"/>
      <c r="Z955" s="147"/>
    </row>
    <row r="956" ht="15.75" customHeight="1">
      <c r="A956" s="147"/>
      <c r="B956" s="147"/>
      <c r="C956" s="147"/>
      <c r="D956" s="147"/>
      <c r="E956" s="147"/>
      <c r="F956" s="147"/>
      <c r="G956" s="147"/>
      <c r="H956" s="147"/>
      <c r="I956" s="147"/>
      <c r="J956" s="147"/>
      <c r="K956" s="147"/>
      <c r="L956" s="147"/>
      <c r="M956" s="147"/>
      <c r="N956" s="147"/>
      <c r="O956" s="147"/>
      <c r="P956" s="147"/>
      <c r="Q956" s="147"/>
      <c r="R956" s="147"/>
      <c r="S956" s="147"/>
      <c r="T956" s="147"/>
      <c r="U956" s="147"/>
      <c r="V956" s="147"/>
      <c r="W956" s="147"/>
      <c r="X956" s="147"/>
      <c r="Y956" s="147"/>
      <c r="Z956" s="147"/>
    </row>
    <row r="957" ht="15.75" customHeight="1">
      <c r="A957" s="147"/>
      <c r="B957" s="147"/>
      <c r="C957" s="147"/>
      <c r="D957" s="147"/>
      <c r="E957" s="147"/>
      <c r="F957" s="147"/>
      <c r="G957" s="147"/>
      <c r="H957" s="147"/>
      <c r="I957" s="147"/>
      <c r="J957" s="147"/>
      <c r="K957" s="147"/>
      <c r="L957" s="147"/>
      <c r="M957" s="147"/>
      <c r="N957" s="147"/>
      <c r="O957" s="147"/>
      <c r="P957" s="147"/>
      <c r="Q957" s="147"/>
      <c r="R957" s="147"/>
      <c r="S957" s="147"/>
      <c r="T957" s="147"/>
      <c r="U957" s="147"/>
      <c r="V957" s="147"/>
      <c r="W957" s="147"/>
      <c r="X957" s="147"/>
      <c r="Y957" s="147"/>
      <c r="Z957" s="147"/>
    </row>
    <row r="958" ht="15.75" customHeight="1">
      <c r="A958" s="147"/>
      <c r="B958" s="147"/>
      <c r="C958" s="147"/>
      <c r="D958" s="147"/>
      <c r="E958" s="147"/>
      <c r="F958" s="147"/>
      <c r="G958" s="147"/>
      <c r="H958" s="147"/>
      <c r="I958" s="147"/>
      <c r="J958" s="147"/>
      <c r="K958" s="147"/>
      <c r="L958" s="147"/>
      <c r="M958" s="147"/>
      <c r="N958" s="147"/>
      <c r="O958" s="147"/>
      <c r="P958" s="147"/>
      <c r="Q958" s="147"/>
      <c r="R958" s="147"/>
      <c r="S958" s="147"/>
      <c r="T958" s="147"/>
      <c r="U958" s="147"/>
      <c r="V958" s="147"/>
      <c r="W958" s="147"/>
      <c r="X958" s="147"/>
      <c r="Y958" s="147"/>
      <c r="Z958" s="147"/>
    </row>
    <row r="959" ht="15.75" customHeight="1">
      <c r="A959" s="147"/>
      <c r="B959" s="147"/>
      <c r="C959" s="147"/>
      <c r="D959" s="147"/>
      <c r="E959" s="147"/>
      <c r="F959" s="147"/>
      <c r="G959" s="147"/>
      <c r="H959" s="147"/>
      <c r="I959" s="147"/>
      <c r="J959" s="147"/>
      <c r="K959" s="147"/>
      <c r="L959" s="147"/>
      <c r="M959" s="147"/>
      <c r="N959" s="147"/>
      <c r="O959" s="147"/>
      <c r="P959" s="147"/>
      <c r="Q959" s="147"/>
      <c r="R959" s="147"/>
      <c r="S959" s="147"/>
      <c r="T959" s="147"/>
      <c r="U959" s="147"/>
      <c r="V959" s="147"/>
      <c r="W959" s="147"/>
      <c r="X959" s="147"/>
      <c r="Y959" s="147"/>
      <c r="Z959" s="147"/>
    </row>
    <row r="960" ht="15.75" customHeight="1">
      <c r="A960" s="147"/>
      <c r="B960" s="147"/>
      <c r="C960" s="147"/>
      <c r="D960" s="147"/>
      <c r="E960" s="147"/>
      <c r="F960" s="147"/>
      <c r="G960" s="147"/>
      <c r="H960" s="147"/>
      <c r="I960" s="147"/>
      <c r="J960" s="147"/>
      <c r="K960" s="147"/>
      <c r="L960" s="147"/>
      <c r="M960" s="147"/>
      <c r="N960" s="147"/>
      <c r="O960" s="147"/>
      <c r="P960" s="147"/>
      <c r="Q960" s="147"/>
      <c r="R960" s="147"/>
      <c r="S960" s="147"/>
      <c r="T960" s="147"/>
      <c r="U960" s="147"/>
      <c r="V960" s="147"/>
      <c r="W960" s="147"/>
      <c r="X960" s="147"/>
      <c r="Y960" s="147"/>
      <c r="Z960" s="147"/>
    </row>
    <row r="961" ht="15.75" customHeight="1">
      <c r="A961" s="147"/>
      <c r="B961" s="147"/>
      <c r="C961" s="147"/>
      <c r="D961" s="147"/>
      <c r="E961" s="147"/>
      <c r="F961" s="147"/>
      <c r="G961" s="147"/>
      <c r="H961" s="147"/>
      <c r="I961" s="147"/>
      <c r="J961" s="147"/>
      <c r="K961" s="147"/>
      <c r="L961" s="147"/>
      <c r="M961" s="147"/>
      <c r="N961" s="147"/>
      <c r="O961" s="147"/>
      <c r="P961" s="147"/>
      <c r="Q961" s="147"/>
      <c r="R961" s="147"/>
      <c r="S961" s="147"/>
      <c r="T961" s="147"/>
      <c r="U961" s="147"/>
      <c r="V961" s="147"/>
      <c r="W961" s="147"/>
      <c r="X961" s="147"/>
      <c r="Y961" s="147"/>
      <c r="Z961" s="147"/>
    </row>
    <row r="962" ht="15.75" customHeight="1">
      <c r="A962" s="147"/>
      <c r="B962" s="147"/>
      <c r="C962" s="147"/>
      <c r="D962" s="147"/>
      <c r="E962" s="147"/>
      <c r="F962" s="147"/>
      <c r="G962" s="147"/>
      <c r="H962" s="147"/>
      <c r="I962" s="147"/>
      <c r="J962" s="147"/>
      <c r="K962" s="147"/>
      <c r="L962" s="147"/>
      <c r="M962" s="147"/>
      <c r="N962" s="147"/>
      <c r="O962" s="147"/>
      <c r="P962" s="147"/>
      <c r="Q962" s="147"/>
      <c r="R962" s="147"/>
      <c r="S962" s="147"/>
      <c r="T962" s="147"/>
      <c r="U962" s="147"/>
      <c r="V962" s="147"/>
      <c r="W962" s="147"/>
      <c r="X962" s="147"/>
      <c r="Y962" s="147"/>
      <c r="Z962" s="147"/>
    </row>
    <row r="963" ht="15.75" customHeight="1">
      <c r="A963" s="147"/>
      <c r="B963" s="147"/>
      <c r="C963" s="147"/>
      <c r="D963" s="147"/>
      <c r="E963" s="147"/>
      <c r="F963" s="147"/>
      <c r="G963" s="147"/>
      <c r="H963" s="147"/>
      <c r="I963" s="147"/>
      <c r="J963" s="147"/>
      <c r="K963" s="147"/>
      <c r="L963" s="147"/>
      <c r="M963" s="147"/>
      <c r="N963" s="147"/>
      <c r="O963" s="147"/>
      <c r="P963" s="147"/>
      <c r="Q963" s="147"/>
      <c r="R963" s="147"/>
      <c r="S963" s="147"/>
      <c r="T963" s="147"/>
      <c r="U963" s="147"/>
      <c r="V963" s="147"/>
      <c r="W963" s="147"/>
      <c r="X963" s="147"/>
      <c r="Y963" s="147"/>
      <c r="Z963" s="147"/>
    </row>
    <row r="964" ht="15.75" customHeight="1">
      <c r="A964" s="147"/>
      <c r="B964" s="147"/>
      <c r="C964" s="147"/>
      <c r="D964" s="147"/>
      <c r="E964" s="147"/>
      <c r="F964" s="147"/>
      <c r="G964" s="147"/>
      <c r="H964" s="147"/>
      <c r="I964" s="147"/>
      <c r="J964" s="147"/>
      <c r="K964" s="147"/>
      <c r="L964" s="147"/>
      <c r="M964" s="147"/>
      <c r="N964" s="147"/>
      <c r="O964" s="147"/>
      <c r="P964" s="147"/>
      <c r="Q964" s="147"/>
      <c r="R964" s="147"/>
      <c r="S964" s="147"/>
      <c r="T964" s="147"/>
      <c r="U964" s="147"/>
      <c r="V964" s="147"/>
      <c r="W964" s="147"/>
      <c r="X964" s="147"/>
      <c r="Y964" s="147"/>
      <c r="Z964" s="147"/>
    </row>
    <row r="965" ht="15.75" customHeight="1">
      <c r="A965" s="147"/>
      <c r="B965" s="147"/>
      <c r="C965" s="147"/>
      <c r="D965" s="147"/>
      <c r="E965" s="147"/>
      <c r="F965" s="147"/>
      <c r="G965" s="147"/>
      <c r="H965" s="147"/>
      <c r="I965" s="147"/>
      <c r="J965" s="147"/>
      <c r="K965" s="147"/>
      <c r="L965" s="147"/>
      <c r="M965" s="147"/>
      <c r="N965" s="147"/>
      <c r="O965" s="147"/>
      <c r="P965" s="147"/>
      <c r="Q965" s="147"/>
      <c r="R965" s="147"/>
      <c r="S965" s="147"/>
      <c r="T965" s="147"/>
      <c r="U965" s="147"/>
      <c r="V965" s="147"/>
      <c r="W965" s="147"/>
      <c r="X965" s="147"/>
      <c r="Y965" s="147"/>
      <c r="Z965" s="147"/>
    </row>
    <row r="966" ht="15.75" customHeight="1">
      <c r="A966" s="147"/>
      <c r="B966" s="147"/>
      <c r="C966" s="147"/>
      <c r="D966" s="147"/>
      <c r="E966" s="147"/>
      <c r="F966" s="147"/>
      <c r="G966" s="147"/>
      <c r="H966" s="147"/>
      <c r="I966" s="147"/>
      <c r="J966" s="147"/>
      <c r="K966" s="147"/>
      <c r="L966" s="147"/>
      <c r="M966" s="147"/>
      <c r="N966" s="147"/>
      <c r="O966" s="147"/>
      <c r="P966" s="147"/>
      <c r="Q966" s="147"/>
      <c r="R966" s="147"/>
      <c r="S966" s="147"/>
      <c r="T966" s="147"/>
      <c r="U966" s="147"/>
      <c r="V966" s="147"/>
      <c r="W966" s="147"/>
      <c r="X966" s="147"/>
      <c r="Y966" s="147"/>
      <c r="Z966" s="147"/>
    </row>
    <row r="967" ht="15.75" customHeight="1">
      <c r="A967" s="147"/>
      <c r="B967" s="147"/>
      <c r="C967" s="147"/>
      <c r="D967" s="147"/>
      <c r="E967" s="147"/>
      <c r="F967" s="147"/>
      <c r="G967" s="147"/>
      <c r="H967" s="147"/>
      <c r="I967" s="147"/>
      <c r="J967" s="147"/>
      <c r="K967" s="147"/>
      <c r="L967" s="147"/>
      <c r="M967" s="147"/>
      <c r="N967" s="147"/>
      <c r="O967" s="147"/>
      <c r="P967" s="147"/>
      <c r="Q967" s="147"/>
      <c r="R967" s="147"/>
      <c r="S967" s="147"/>
      <c r="T967" s="147"/>
      <c r="U967" s="147"/>
      <c r="V967" s="147"/>
      <c r="W967" s="147"/>
      <c r="X967" s="147"/>
      <c r="Y967" s="147"/>
      <c r="Z967" s="147"/>
    </row>
    <row r="968" ht="15.75" customHeight="1">
      <c r="A968" s="147"/>
      <c r="B968" s="147"/>
      <c r="C968" s="147"/>
      <c r="D968" s="147"/>
      <c r="E968" s="147"/>
      <c r="F968" s="147"/>
      <c r="G968" s="147"/>
      <c r="H968" s="147"/>
      <c r="I968" s="147"/>
      <c r="J968" s="147"/>
      <c r="K968" s="147"/>
      <c r="L968" s="147"/>
      <c r="M968" s="147"/>
      <c r="N968" s="147"/>
      <c r="O968" s="147"/>
      <c r="P968" s="147"/>
      <c r="Q968" s="147"/>
      <c r="R968" s="147"/>
      <c r="S968" s="147"/>
      <c r="T968" s="147"/>
      <c r="U968" s="147"/>
      <c r="V968" s="147"/>
      <c r="W968" s="147"/>
      <c r="X968" s="147"/>
      <c r="Y968" s="147"/>
      <c r="Z968" s="147"/>
    </row>
    <row r="969" ht="15.75" customHeight="1">
      <c r="A969" s="147"/>
      <c r="B969" s="147"/>
      <c r="C969" s="147"/>
      <c r="D969" s="147"/>
      <c r="E969" s="147"/>
      <c r="F969" s="147"/>
      <c r="G969" s="147"/>
      <c r="H969" s="147"/>
      <c r="I969" s="147"/>
      <c r="J969" s="147"/>
      <c r="K969" s="147"/>
      <c r="L969" s="147"/>
      <c r="M969" s="147"/>
      <c r="N969" s="147"/>
      <c r="O969" s="147"/>
      <c r="P969" s="147"/>
      <c r="Q969" s="147"/>
      <c r="R969" s="147"/>
      <c r="S969" s="147"/>
      <c r="T969" s="147"/>
      <c r="U969" s="147"/>
      <c r="V969" s="147"/>
      <c r="W969" s="147"/>
      <c r="X969" s="147"/>
      <c r="Y969" s="147"/>
      <c r="Z969" s="147"/>
    </row>
    <row r="970" ht="15.75" customHeight="1">
      <c r="A970" s="147"/>
      <c r="B970" s="147"/>
      <c r="C970" s="147"/>
      <c r="D970" s="147"/>
      <c r="E970" s="147"/>
      <c r="F970" s="147"/>
      <c r="G970" s="147"/>
      <c r="H970" s="147"/>
      <c r="I970" s="147"/>
      <c r="J970" s="147"/>
      <c r="K970" s="147"/>
      <c r="L970" s="147"/>
      <c r="M970" s="147"/>
      <c r="N970" s="147"/>
      <c r="O970" s="147"/>
      <c r="P970" s="147"/>
      <c r="Q970" s="147"/>
      <c r="R970" s="147"/>
      <c r="S970" s="147"/>
      <c r="T970" s="147"/>
      <c r="U970" s="147"/>
      <c r="V970" s="147"/>
      <c r="W970" s="147"/>
      <c r="X970" s="147"/>
      <c r="Y970" s="147"/>
      <c r="Z970" s="147"/>
    </row>
    <row r="971" ht="15.75" customHeight="1">
      <c r="A971" s="147"/>
      <c r="B971" s="147"/>
      <c r="C971" s="147"/>
      <c r="D971" s="147"/>
      <c r="E971" s="147"/>
      <c r="F971" s="147"/>
      <c r="G971" s="147"/>
      <c r="H971" s="147"/>
      <c r="I971" s="147"/>
      <c r="J971" s="147"/>
      <c r="K971" s="147"/>
      <c r="L971" s="147"/>
      <c r="M971" s="147"/>
      <c r="N971" s="147"/>
      <c r="O971" s="147"/>
      <c r="P971" s="147"/>
      <c r="Q971" s="147"/>
      <c r="R971" s="147"/>
      <c r="S971" s="147"/>
      <c r="T971" s="147"/>
      <c r="U971" s="147"/>
      <c r="V971" s="147"/>
      <c r="W971" s="147"/>
      <c r="X971" s="147"/>
      <c r="Y971" s="147"/>
      <c r="Z971" s="147"/>
    </row>
    <row r="972" ht="15.75" customHeight="1">
      <c r="A972" s="147"/>
      <c r="B972" s="147"/>
      <c r="C972" s="147"/>
      <c r="D972" s="147"/>
      <c r="E972" s="147"/>
      <c r="F972" s="147"/>
      <c r="G972" s="147"/>
      <c r="H972" s="147"/>
      <c r="I972" s="147"/>
      <c r="J972" s="147"/>
      <c r="K972" s="147"/>
      <c r="L972" s="147"/>
      <c r="M972" s="147"/>
      <c r="N972" s="147"/>
      <c r="O972" s="147"/>
      <c r="P972" s="147"/>
      <c r="Q972" s="147"/>
      <c r="R972" s="147"/>
      <c r="S972" s="147"/>
      <c r="T972" s="147"/>
      <c r="U972" s="147"/>
      <c r="V972" s="147"/>
      <c r="W972" s="147"/>
      <c r="X972" s="147"/>
      <c r="Y972" s="147"/>
      <c r="Z972" s="147"/>
    </row>
    <row r="973" ht="15.75" customHeight="1">
      <c r="A973" s="147"/>
      <c r="B973" s="147"/>
      <c r="C973" s="147"/>
      <c r="D973" s="147"/>
      <c r="E973" s="147"/>
      <c r="F973" s="147"/>
      <c r="G973" s="147"/>
      <c r="H973" s="147"/>
      <c r="I973" s="147"/>
      <c r="J973" s="147"/>
      <c r="K973" s="147"/>
      <c r="L973" s="147"/>
      <c r="M973" s="147"/>
      <c r="N973" s="147"/>
      <c r="O973" s="147"/>
      <c r="P973" s="147"/>
      <c r="Q973" s="147"/>
      <c r="R973" s="147"/>
      <c r="S973" s="147"/>
      <c r="T973" s="147"/>
      <c r="U973" s="147"/>
      <c r="V973" s="147"/>
      <c r="W973" s="147"/>
      <c r="X973" s="147"/>
      <c r="Y973" s="147"/>
      <c r="Z973" s="147"/>
    </row>
    <row r="974" ht="15.75" customHeight="1">
      <c r="A974" s="147"/>
      <c r="B974" s="147"/>
      <c r="C974" s="147"/>
      <c r="D974" s="147"/>
      <c r="E974" s="147"/>
      <c r="F974" s="147"/>
      <c r="G974" s="147"/>
      <c r="H974" s="147"/>
      <c r="I974" s="147"/>
      <c r="J974" s="147"/>
      <c r="K974" s="147"/>
      <c r="L974" s="147"/>
      <c r="M974" s="147"/>
      <c r="N974" s="147"/>
      <c r="O974" s="147"/>
      <c r="P974" s="147"/>
      <c r="Q974" s="147"/>
      <c r="R974" s="147"/>
      <c r="S974" s="147"/>
      <c r="T974" s="147"/>
      <c r="U974" s="147"/>
      <c r="V974" s="147"/>
      <c r="W974" s="147"/>
      <c r="X974" s="147"/>
      <c r="Y974" s="147"/>
      <c r="Z974" s="147"/>
    </row>
    <row r="975" ht="15.75" customHeight="1">
      <c r="A975" s="147"/>
      <c r="B975" s="147"/>
      <c r="C975" s="147"/>
      <c r="D975" s="147"/>
      <c r="E975" s="147"/>
      <c r="F975" s="147"/>
      <c r="G975" s="147"/>
      <c r="H975" s="147"/>
      <c r="I975" s="147"/>
      <c r="J975" s="147"/>
      <c r="K975" s="147"/>
      <c r="L975" s="147"/>
      <c r="M975" s="147"/>
      <c r="N975" s="147"/>
      <c r="O975" s="147"/>
      <c r="P975" s="147"/>
      <c r="Q975" s="147"/>
      <c r="R975" s="147"/>
      <c r="S975" s="147"/>
      <c r="T975" s="147"/>
      <c r="U975" s="147"/>
      <c r="V975" s="147"/>
      <c r="W975" s="147"/>
      <c r="X975" s="147"/>
      <c r="Y975" s="147"/>
      <c r="Z975" s="147"/>
    </row>
    <row r="976" ht="15.75" customHeight="1">
      <c r="A976" s="147"/>
      <c r="B976" s="147"/>
      <c r="C976" s="147"/>
      <c r="D976" s="147"/>
      <c r="E976" s="147"/>
      <c r="F976" s="147"/>
      <c r="G976" s="147"/>
      <c r="H976" s="147"/>
      <c r="I976" s="147"/>
      <c r="J976" s="147"/>
      <c r="K976" s="147"/>
      <c r="L976" s="147"/>
      <c r="M976" s="147"/>
      <c r="N976" s="147"/>
      <c r="O976" s="147"/>
      <c r="P976" s="147"/>
      <c r="Q976" s="147"/>
      <c r="R976" s="147"/>
      <c r="S976" s="147"/>
      <c r="T976" s="147"/>
      <c r="U976" s="147"/>
      <c r="V976" s="147"/>
      <c r="W976" s="147"/>
      <c r="X976" s="147"/>
      <c r="Y976" s="147"/>
      <c r="Z976" s="147"/>
    </row>
    <row r="977" ht="15.75" customHeight="1">
      <c r="A977" s="147"/>
      <c r="B977" s="147"/>
      <c r="C977" s="147"/>
      <c r="D977" s="147"/>
      <c r="E977" s="147"/>
      <c r="F977" s="147"/>
      <c r="G977" s="147"/>
      <c r="H977" s="147"/>
      <c r="I977" s="147"/>
      <c r="J977" s="147"/>
      <c r="K977" s="147"/>
      <c r="L977" s="147"/>
      <c r="M977" s="147"/>
      <c r="N977" s="147"/>
      <c r="O977" s="147"/>
      <c r="P977" s="147"/>
      <c r="Q977" s="147"/>
      <c r="R977" s="147"/>
      <c r="S977" s="147"/>
      <c r="T977" s="147"/>
      <c r="U977" s="147"/>
      <c r="V977" s="147"/>
      <c r="W977" s="147"/>
      <c r="X977" s="147"/>
      <c r="Y977" s="147"/>
      <c r="Z977" s="147"/>
    </row>
    <row r="978" ht="15.75" customHeight="1">
      <c r="A978" s="147"/>
      <c r="B978" s="147"/>
      <c r="C978" s="147"/>
      <c r="D978" s="147"/>
      <c r="E978" s="147"/>
      <c r="F978" s="147"/>
      <c r="G978" s="147"/>
      <c r="H978" s="147"/>
      <c r="I978" s="147"/>
      <c r="J978" s="147"/>
      <c r="K978" s="147"/>
      <c r="L978" s="147"/>
      <c r="M978" s="147"/>
      <c r="N978" s="147"/>
      <c r="O978" s="147"/>
      <c r="P978" s="147"/>
      <c r="Q978" s="147"/>
      <c r="R978" s="147"/>
      <c r="S978" s="147"/>
      <c r="T978" s="147"/>
      <c r="U978" s="147"/>
      <c r="V978" s="147"/>
      <c r="W978" s="147"/>
      <c r="X978" s="147"/>
      <c r="Y978" s="147"/>
      <c r="Z978" s="147"/>
    </row>
    <row r="979" ht="15.75" customHeight="1">
      <c r="A979" s="147"/>
      <c r="B979" s="147"/>
      <c r="C979" s="147"/>
      <c r="D979" s="147"/>
      <c r="E979" s="147"/>
      <c r="F979" s="147"/>
      <c r="G979" s="147"/>
      <c r="H979" s="147"/>
      <c r="I979" s="147"/>
      <c r="J979" s="147"/>
      <c r="K979" s="147"/>
      <c r="L979" s="147"/>
      <c r="M979" s="147"/>
      <c r="N979" s="147"/>
      <c r="O979" s="147"/>
      <c r="P979" s="147"/>
      <c r="Q979" s="147"/>
      <c r="R979" s="147"/>
      <c r="S979" s="147"/>
      <c r="T979" s="147"/>
      <c r="U979" s="147"/>
      <c r="V979" s="147"/>
      <c r="W979" s="147"/>
      <c r="X979" s="147"/>
      <c r="Y979" s="147"/>
      <c r="Z979" s="147"/>
    </row>
    <row r="980" ht="15.75" customHeight="1">
      <c r="A980" s="147"/>
      <c r="B980" s="147"/>
      <c r="C980" s="147"/>
      <c r="D980" s="147"/>
      <c r="E980" s="147"/>
      <c r="F980" s="147"/>
      <c r="G980" s="147"/>
      <c r="H980" s="147"/>
      <c r="I980" s="147"/>
      <c r="J980" s="147"/>
      <c r="K980" s="147"/>
      <c r="L980" s="147"/>
      <c r="M980" s="147"/>
      <c r="N980" s="147"/>
      <c r="O980" s="147"/>
      <c r="P980" s="147"/>
      <c r="Q980" s="147"/>
      <c r="R980" s="147"/>
      <c r="S980" s="147"/>
      <c r="T980" s="147"/>
      <c r="U980" s="147"/>
      <c r="V980" s="147"/>
      <c r="W980" s="147"/>
      <c r="X980" s="147"/>
      <c r="Y980" s="147"/>
      <c r="Z980" s="147"/>
    </row>
    <row r="981" ht="15.75" customHeight="1">
      <c r="A981" s="147"/>
      <c r="B981" s="147"/>
      <c r="C981" s="147"/>
      <c r="D981" s="147"/>
      <c r="E981" s="147"/>
      <c r="F981" s="147"/>
      <c r="G981" s="147"/>
      <c r="H981" s="147"/>
      <c r="I981" s="147"/>
      <c r="J981" s="147"/>
      <c r="K981" s="147"/>
      <c r="L981" s="147"/>
      <c r="M981" s="147"/>
      <c r="N981" s="147"/>
      <c r="O981" s="147"/>
      <c r="P981" s="147"/>
      <c r="Q981" s="147"/>
      <c r="R981" s="147"/>
      <c r="S981" s="147"/>
      <c r="T981" s="147"/>
      <c r="U981" s="147"/>
      <c r="V981" s="147"/>
      <c r="W981" s="147"/>
      <c r="X981" s="147"/>
      <c r="Y981" s="147"/>
      <c r="Z981" s="147"/>
    </row>
    <row r="982" ht="15.75" customHeight="1">
      <c r="A982" s="147"/>
      <c r="B982" s="147"/>
      <c r="C982" s="147"/>
      <c r="D982" s="147"/>
      <c r="E982" s="147"/>
      <c r="F982" s="147"/>
      <c r="G982" s="147"/>
      <c r="H982" s="147"/>
      <c r="I982" s="147"/>
      <c r="J982" s="147"/>
      <c r="K982" s="147"/>
      <c r="L982" s="147"/>
      <c r="M982" s="147"/>
      <c r="N982" s="147"/>
      <c r="O982" s="147"/>
      <c r="P982" s="147"/>
      <c r="Q982" s="147"/>
      <c r="R982" s="147"/>
      <c r="S982" s="147"/>
      <c r="T982" s="147"/>
      <c r="U982" s="147"/>
      <c r="V982" s="147"/>
      <c r="W982" s="147"/>
      <c r="X982" s="147"/>
      <c r="Y982" s="147"/>
      <c r="Z982" s="147"/>
    </row>
    <row r="983" ht="15.75" customHeight="1">
      <c r="A983" s="147"/>
      <c r="B983" s="147"/>
      <c r="C983" s="147"/>
      <c r="D983" s="147"/>
      <c r="E983" s="147"/>
      <c r="F983" s="147"/>
      <c r="G983" s="147"/>
      <c r="H983" s="147"/>
      <c r="I983" s="147"/>
      <c r="J983" s="147"/>
      <c r="K983" s="147"/>
      <c r="L983" s="147"/>
      <c r="M983" s="147"/>
      <c r="N983" s="147"/>
      <c r="O983" s="147"/>
      <c r="P983" s="147"/>
      <c r="Q983" s="147"/>
      <c r="R983" s="147"/>
      <c r="S983" s="147"/>
      <c r="T983" s="147"/>
      <c r="U983" s="147"/>
      <c r="V983" s="147"/>
      <c r="W983" s="147"/>
      <c r="X983" s="147"/>
      <c r="Y983" s="147"/>
      <c r="Z983" s="147"/>
    </row>
    <row r="984" ht="15.75" customHeight="1">
      <c r="A984" s="147"/>
      <c r="B984" s="147"/>
      <c r="C984" s="147"/>
      <c r="D984" s="147"/>
      <c r="E984" s="147"/>
      <c r="F984" s="147"/>
      <c r="G984" s="147"/>
      <c r="H984" s="147"/>
      <c r="I984" s="147"/>
      <c r="J984" s="147"/>
      <c r="K984" s="147"/>
      <c r="L984" s="147"/>
      <c r="M984" s="147"/>
      <c r="N984" s="147"/>
      <c r="O984" s="147"/>
      <c r="P984" s="147"/>
      <c r="Q984" s="147"/>
      <c r="R984" s="147"/>
      <c r="S984" s="147"/>
      <c r="T984" s="147"/>
      <c r="U984" s="147"/>
      <c r="V984" s="147"/>
      <c r="W984" s="147"/>
      <c r="X984" s="147"/>
      <c r="Y984" s="147"/>
      <c r="Z984" s="147"/>
    </row>
    <row r="985" ht="15.75" customHeight="1">
      <c r="A985" s="147"/>
      <c r="B985" s="147"/>
      <c r="C985" s="147"/>
      <c r="D985" s="147"/>
      <c r="E985" s="147"/>
      <c r="F985" s="147"/>
      <c r="G985" s="147"/>
      <c r="H985" s="147"/>
      <c r="I985" s="147"/>
      <c r="J985" s="147"/>
      <c r="K985" s="147"/>
      <c r="L985" s="147"/>
      <c r="M985" s="147"/>
      <c r="N985" s="147"/>
      <c r="O985" s="147"/>
      <c r="P985" s="147"/>
      <c r="Q985" s="147"/>
      <c r="R985" s="147"/>
      <c r="S985" s="147"/>
      <c r="T985" s="147"/>
      <c r="U985" s="147"/>
      <c r="V985" s="147"/>
      <c r="W985" s="147"/>
      <c r="X985" s="147"/>
      <c r="Y985" s="147"/>
      <c r="Z985" s="147"/>
    </row>
    <row r="986" ht="15.75" customHeight="1">
      <c r="A986" s="147"/>
      <c r="B986" s="147"/>
      <c r="C986" s="147"/>
      <c r="D986" s="147"/>
      <c r="E986" s="147"/>
      <c r="F986" s="147"/>
      <c r="G986" s="147"/>
      <c r="H986" s="147"/>
      <c r="I986" s="147"/>
      <c r="J986" s="147"/>
      <c r="K986" s="147"/>
      <c r="L986" s="147"/>
      <c r="M986" s="147"/>
      <c r="N986" s="147"/>
      <c r="O986" s="147"/>
      <c r="P986" s="147"/>
      <c r="Q986" s="147"/>
      <c r="R986" s="147"/>
      <c r="S986" s="147"/>
      <c r="T986" s="147"/>
      <c r="U986" s="147"/>
      <c r="V986" s="147"/>
      <c r="W986" s="147"/>
      <c r="X986" s="147"/>
      <c r="Y986" s="147"/>
      <c r="Z986" s="147"/>
    </row>
    <row r="987" ht="15.75" customHeight="1">
      <c r="A987" s="147"/>
      <c r="B987" s="147"/>
      <c r="C987" s="147"/>
      <c r="D987" s="147"/>
      <c r="E987" s="147"/>
      <c r="F987" s="147"/>
      <c r="G987" s="147"/>
      <c r="H987" s="147"/>
      <c r="I987" s="147"/>
      <c r="J987" s="147"/>
      <c r="K987" s="147"/>
      <c r="L987" s="147"/>
      <c r="M987" s="147"/>
      <c r="N987" s="147"/>
      <c r="O987" s="147"/>
      <c r="P987" s="147"/>
      <c r="Q987" s="147"/>
      <c r="R987" s="147"/>
      <c r="S987" s="147"/>
      <c r="T987" s="147"/>
      <c r="U987" s="147"/>
      <c r="V987" s="147"/>
      <c r="W987" s="147"/>
      <c r="X987" s="147"/>
      <c r="Y987" s="147"/>
      <c r="Z987" s="147"/>
    </row>
    <row r="988" ht="15.75" customHeight="1">
      <c r="A988" s="147"/>
      <c r="B988" s="147"/>
      <c r="C988" s="147"/>
      <c r="D988" s="147"/>
      <c r="E988" s="147"/>
      <c r="F988" s="147"/>
      <c r="G988" s="147"/>
      <c r="H988" s="147"/>
      <c r="I988" s="147"/>
      <c r="J988" s="147"/>
      <c r="K988" s="147"/>
      <c r="L988" s="147"/>
      <c r="M988" s="147"/>
      <c r="N988" s="147"/>
      <c r="O988" s="147"/>
      <c r="P988" s="147"/>
      <c r="Q988" s="147"/>
      <c r="R988" s="147"/>
      <c r="S988" s="147"/>
      <c r="T988" s="147"/>
      <c r="U988" s="147"/>
      <c r="V988" s="147"/>
      <c r="W988" s="147"/>
      <c r="X988" s="147"/>
      <c r="Y988" s="147"/>
      <c r="Z988" s="147"/>
    </row>
    <row r="989" ht="15.75" customHeight="1">
      <c r="A989" s="147"/>
      <c r="B989" s="147"/>
      <c r="C989" s="147"/>
      <c r="D989" s="147"/>
      <c r="E989" s="147"/>
      <c r="F989" s="147"/>
      <c r="G989" s="147"/>
      <c r="H989" s="147"/>
      <c r="I989" s="147"/>
      <c r="J989" s="147"/>
      <c r="K989" s="147"/>
      <c r="L989" s="147"/>
      <c r="M989" s="147"/>
      <c r="N989" s="147"/>
      <c r="O989" s="147"/>
      <c r="P989" s="147"/>
      <c r="Q989" s="147"/>
      <c r="R989" s="147"/>
      <c r="S989" s="147"/>
      <c r="T989" s="147"/>
      <c r="U989" s="147"/>
      <c r="V989" s="147"/>
      <c r="W989" s="147"/>
      <c r="X989" s="147"/>
      <c r="Y989" s="147"/>
      <c r="Z989" s="147"/>
    </row>
    <row r="990" ht="15.75" customHeight="1">
      <c r="A990" s="147"/>
      <c r="B990" s="147"/>
      <c r="C990" s="147"/>
      <c r="D990" s="147"/>
      <c r="E990" s="147"/>
      <c r="F990" s="147"/>
      <c r="G990" s="147"/>
      <c r="H990" s="147"/>
      <c r="I990" s="147"/>
      <c r="J990" s="147"/>
      <c r="K990" s="147"/>
      <c r="L990" s="147"/>
      <c r="M990" s="147"/>
      <c r="N990" s="147"/>
      <c r="O990" s="147"/>
      <c r="P990" s="147"/>
      <c r="Q990" s="147"/>
      <c r="R990" s="147"/>
      <c r="S990" s="147"/>
      <c r="T990" s="147"/>
      <c r="U990" s="147"/>
      <c r="V990" s="147"/>
      <c r="W990" s="147"/>
      <c r="X990" s="147"/>
      <c r="Y990" s="147"/>
      <c r="Z990" s="147"/>
    </row>
    <row r="991" ht="15.75" customHeight="1">
      <c r="A991" s="147"/>
      <c r="B991" s="147"/>
      <c r="C991" s="147"/>
      <c r="D991" s="147"/>
      <c r="E991" s="147"/>
      <c r="F991" s="147"/>
      <c r="G991" s="147"/>
      <c r="H991" s="147"/>
      <c r="I991" s="147"/>
      <c r="J991" s="147"/>
      <c r="K991" s="147"/>
      <c r="L991" s="147"/>
      <c r="M991" s="147"/>
      <c r="N991" s="147"/>
      <c r="O991" s="147"/>
      <c r="P991" s="147"/>
      <c r="Q991" s="147"/>
      <c r="R991" s="147"/>
      <c r="S991" s="147"/>
      <c r="T991" s="147"/>
      <c r="U991" s="147"/>
      <c r="V991" s="147"/>
      <c r="W991" s="147"/>
      <c r="X991" s="147"/>
      <c r="Y991" s="147"/>
      <c r="Z991" s="147"/>
    </row>
    <row r="992" ht="15.75" customHeight="1">
      <c r="A992" s="147"/>
      <c r="B992" s="147"/>
      <c r="C992" s="147"/>
      <c r="D992" s="147"/>
      <c r="E992" s="147"/>
      <c r="F992" s="147"/>
      <c r="G992" s="147"/>
      <c r="H992" s="147"/>
      <c r="I992" s="147"/>
      <c r="J992" s="147"/>
      <c r="K992" s="147"/>
      <c r="L992" s="147"/>
      <c r="M992" s="147"/>
      <c r="N992" s="147"/>
      <c r="O992" s="147"/>
      <c r="P992" s="147"/>
      <c r="Q992" s="147"/>
      <c r="R992" s="147"/>
      <c r="S992" s="147"/>
      <c r="T992" s="147"/>
      <c r="U992" s="147"/>
      <c r="V992" s="147"/>
      <c r="W992" s="147"/>
      <c r="X992" s="147"/>
      <c r="Y992" s="147"/>
      <c r="Z992" s="147"/>
    </row>
    <row r="993" ht="15.75" customHeight="1">
      <c r="A993" s="147"/>
      <c r="B993" s="147"/>
      <c r="C993" s="147"/>
      <c r="D993" s="147"/>
      <c r="E993" s="147"/>
      <c r="F993" s="147"/>
      <c r="G993" s="147"/>
      <c r="H993" s="147"/>
      <c r="I993" s="147"/>
      <c r="J993" s="147"/>
      <c r="K993" s="147"/>
      <c r="L993" s="147"/>
      <c r="M993" s="147"/>
      <c r="N993" s="147"/>
      <c r="O993" s="147"/>
      <c r="P993" s="147"/>
      <c r="Q993" s="147"/>
      <c r="R993" s="147"/>
      <c r="S993" s="147"/>
      <c r="T993" s="147"/>
      <c r="U993" s="147"/>
      <c r="V993" s="147"/>
      <c r="W993" s="147"/>
      <c r="X993" s="147"/>
      <c r="Y993" s="147"/>
      <c r="Z993" s="147"/>
    </row>
    <row r="994" ht="15.75" customHeight="1">
      <c r="A994" s="147"/>
      <c r="B994" s="147"/>
      <c r="C994" s="147"/>
      <c r="D994" s="147"/>
      <c r="E994" s="147"/>
      <c r="F994" s="147"/>
      <c r="G994" s="147"/>
      <c r="H994" s="147"/>
      <c r="I994" s="147"/>
      <c r="J994" s="147"/>
      <c r="K994" s="147"/>
      <c r="L994" s="147"/>
      <c r="M994" s="147"/>
      <c r="N994" s="147"/>
      <c r="O994" s="147"/>
      <c r="P994" s="147"/>
      <c r="Q994" s="147"/>
      <c r="R994" s="147"/>
      <c r="S994" s="147"/>
      <c r="T994" s="147"/>
      <c r="U994" s="147"/>
      <c r="V994" s="147"/>
      <c r="W994" s="147"/>
      <c r="X994" s="147"/>
      <c r="Y994" s="147"/>
      <c r="Z994" s="147"/>
    </row>
    <row r="995" ht="15.75" customHeight="1">
      <c r="A995" s="147"/>
      <c r="B995" s="147"/>
      <c r="C995" s="147"/>
      <c r="D995" s="147"/>
      <c r="E995" s="147"/>
      <c r="F995" s="147"/>
      <c r="G995" s="147"/>
      <c r="H995" s="147"/>
      <c r="I995" s="147"/>
      <c r="J995" s="147"/>
      <c r="K995" s="147"/>
      <c r="L995" s="147"/>
      <c r="M995" s="147"/>
      <c r="N995" s="147"/>
      <c r="O995" s="147"/>
      <c r="P995" s="147"/>
      <c r="Q995" s="147"/>
      <c r="R995" s="147"/>
      <c r="S995" s="147"/>
      <c r="T995" s="147"/>
      <c r="U995" s="147"/>
      <c r="V995" s="147"/>
      <c r="W995" s="147"/>
      <c r="X995" s="147"/>
      <c r="Y995" s="147"/>
      <c r="Z995" s="147"/>
    </row>
    <row r="996" ht="15.75" customHeight="1">
      <c r="A996" s="147"/>
      <c r="B996" s="147"/>
      <c r="C996" s="147"/>
      <c r="D996" s="147"/>
      <c r="E996" s="147"/>
      <c r="F996" s="147"/>
      <c r="G996" s="147"/>
      <c r="H996" s="147"/>
      <c r="I996" s="147"/>
      <c r="J996" s="147"/>
      <c r="K996" s="147"/>
      <c r="L996" s="147"/>
      <c r="M996" s="147"/>
      <c r="N996" s="147"/>
      <c r="O996" s="147"/>
      <c r="P996" s="147"/>
      <c r="Q996" s="147"/>
      <c r="R996" s="147"/>
      <c r="S996" s="147"/>
      <c r="T996" s="147"/>
      <c r="U996" s="147"/>
      <c r="V996" s="147"/>
      <c r="W996" s="147"/>
      <c r="X996" s="147"/>
      <c r="Y996" s="147"/>
      <c r="Z996" s="147"/>
    </row>
    <row r="997" ht="15.75" customHeight="1">
      <c r="A997" s="147"/>
      <c r="B997" s="147"/>
      <c r="C997" s="147"/>
      <c r="D997" s="147"/>
      <c r="E997" s="147"/>
      <c r="F997" s="147"/>
      <c r="G997" s="147"/>
      <c r="H997" s="147"/>
      <c r="I997" s="147"/>
      <c r="J997" s="147"/>
      <c r="K997" s="147"/>
      <c r="L997" s="147"/>
      <c r="M997" s="147"/>
      <c r="N997" s="147"/>
      <c r="O997" s="147"/>
      <c r="P997" s="147"/>
      <c r="Q997" s="147"/>
      <c r="R997" s="147"/>
      <c r="S997" s="147"/>
      <c r="T997" s="147"/>
      <c r="U997" s="147"/>
      <c r="V997" s="147"/>
      <c r="W997" s="147"/>
      <c r="X997" s="147"/>
      <c r="Y997" s="147"/>
      <c r="Z997" s="147"/>
    </row>
    <row r="998" ht="15.75" customHeight="1">
      <c r="A998" s="147"/>
      <c r="B998" s="147"/>
      <c r="C998" s="147"/>
      <c r="D998" s="147"/>
      <c r="E998" s="147"/>
      <c r="F998" s="147"/>
      <c r="G998" s="147"/>
      <c r="H998" s="147"/>
      <c r="I998" s="147"/>
      <c r="J998" s="147"/>
      <c r="K998" s="147"/>
      <c r="L998" s="147"/>
      <c r="M998" s="147"/>
      <c r="N998" s="147"/>
      <c r="O998" s="147"/>
      <c r="P998" s="147"/>
      <c r="Q998" s="147"/>
      <c r="R998" s="147"/>
      <c r="S998" s="147"/>
      <c r="T998" s="147"/>
      <c r="U998" s="147"/>
      <c r="V998" s="147"/>
      <c r="W998" s="147"/>
      <c r="X998" s="147"/>
      <c r="Y998" s="147"/>
      <c r="Z998" s="147"/>
    </row>
    <row r="999" ht="15.75" customHeight="1">
      <c r="A999" s="147"/>
      <c r="B999" s="147"/>
      <c r="C999" s="147"/>
      <c r="D999" s="147"/>
      <c r="E999" s="147"/>
      <c r="F999" s="147"/>
      <c r="G999" s="147"/>
      <c r="H999" s="147"/>
      <c r="I999" s="147"/>
      <c r="J999" s="147"/>
      <c r="K999" s="147"/>
      <c r="L999" s="147"/>
      <c r="M999" s="147"/>
      <c r="N999" s="147"/>
      <c r="O999" s="147"/>
      <c r="P999" s="147"/>
      <c r="Q999" s="147"/>
      <c r="R999" s="147"/>
      <c r="S999" s="147"/>
      <c r="T999" s="147"/>
      <c r="U999" s="147"/>
      <c r="V999" s="147"/>
      <c r="W999" s="147"/>
      <c r="X999" s="147"/>
      <c r="Y999" s="147"/>
      <c r="Z999" s="147"/>
    </row>
    <row r="1000" ht="15.75" customHeight="1">
      <c r="A1000" s="147"/>
      <c r="B1000" s="147"/>
      <c r="C1000" s="147"/>
      <c r="D1000" s="147"/>
      <c r="E1000" s="147"/>
      <c r="F1000" s="147"/>
      <c r="G1000" s="147"/>
      <c r="H1000" s="147"/>
      <c r="I1000" s="147"/>
      <c r="J1000" s="147"/>
      <c r="K1000" s="147"/>
      <c r="L1000" s="147"/>
      <c r="M1000" s="147"/>
      <c r="N1000" s="147"/>
      <c r="O1000" s="147"/>
      <c r="P1000" s="147"/>
      <c r="Q1000" s="147"/>
      <c r="R1000" s="147"/>
      <c r="S1000" s="147"/>
      <c r="T1000" s="147"/>
      <c r="U1000" s="147"/>
      <c r="V1000" s="147"/>
      <c r="W1000" s="147"/>
      <c r="X1000" s="147"/>
      <c r="Y1000" s="147"/>
      <c r="Z1000" s="147"/>
    </row>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9.43"/>
    <col customWidth="1" min="3" max="3" width="151.14"/>
    <col customWidth="1" min="4" max="4" width="9.43"/>
    <col customWidth="1" min="5" max="5" width="64.43"/>
    <col customWidth="1" min="6" max="6" width="9.43"/>
    <col customWidth="1" min="7" max="7" width="61.57"/>
    <col customWidth="1" min="8" max="8" width="8.86"/>
    <col customWidth="1" min="9" max="9" width="64.14"/>
  </cols>
  <sheetData>
    <row r="1" ht="16.5" customHeight="1">
      <c r="A1" s="145" t="s">
        <v>666</v>
      </c>
      <c r="B1" s="146" t="s">
        <v>0</v>
      </c>
      <c r="C1" s="30"/>
      <c r="D1" s="146" t="s">
        <v>1</v>
      </c>
      <c r="E1" s="30"/>
      <c r="F1" s="146" t="s">
        <v>2</v>
      </c>
      <c r="G1" s="30"/>
    </row>
    <row r="2" ht="16.5" customHeight="1">
      <c r="A2" s="31"/>
      <c r="B2" s="148" t="s">
        <v>11</v>
      </c>
      <c r="C2" s="148" t="s">
        <v>12</v>
      </c>
      <c r="D2" s="148" t="s">
        <v>11</v>
      </c>
      <c r="E2" s="148" t="s">
        <v>12</v>
      </c>
      <c r="F2" s="148" t="s">
        <v>11</v>
      </c>
      <c r="G2" s="148" t="s">
        <v>12</v>
      </c>
    </row>
    <row r="3" ht="16.5" customHeight="1">
      <c r="A3" s="171" t="s">
        <v>14</v>
      </c>
      <c r="B3" s="97" t="s">
        <v>673</v>
      </c>
      <c r="C3" s="105" t="s">
        <v>1364</v>
      </c>
      <c r="D3" s="97" t="s">
        <v>673</v>
      </c>
      <c r="E3" s="98" t="s">
        <v>1365</v>
      </c>
      <c r="F3" s="97" t="s">
        <v>680</v>
      </c>
      <c r="G3" s="98" t="s">
        <v>1366</v>
      </c>
    </row>
    <row r="4" ht="16.5" customHeight="1">
      <c r="A4" s="171" t="s">
        <v>47</v>
      </c>
      <c r="B4" s="97" t="s">
        <v>680</v>
      </c>
      <c r="C4" s="105" t="s">
        <v>1367</v>
      </c>
      <c r="D4" s="97" t="s">
        <v>680</v>
      </c>
      <c r="E4" s="98" t="s">
        <v>1368</v>
      </c>
      <c r="F4" s="97" t="s">
        <v>673</v>
      </c>
      <c r="G4" s="98" t="s">
        <v>1369</v>
      </c>
    </row>
    <row r="5" ht="16.5" customHeight="1">
      <c r="A5" s="171" t="s">
        <v>80</v>
      </c>
      <c r="B5" s="97" t="s">
        <v>678</v>
      </c>
      <c r="C5" s="98" t="s">
        <v>1370</v>
      </c>
      <c r="D5" s="97" t="s">
        <v>736</v>
      </c>
      <c r="E5" s="172" t="s">
        <v>1371</v>
      </c>
      <c r="F5" s="97" t="s">
        <v>673</v>
      </c>
      <c r="G5" s="96" t="s">
        <v>1372</v>
      </c>
    </row>
    <row r="6" ht="16.5" customHeight="1">
      <c r="A6" s="171" t="s">
        <v>117</v>
      </c>
      <c r="B6" s="97" t="s">
        <v>678</v>
      </c>
      <c r="C6" s="98" t="s">
        <v>1373</v>
      </c>
      <c r="D6" s="97" t="s">
        <v>678</v>
      </c>
      <c r="E6" s="98" t="s">
        <v>1374</v>
      </c>
      <c r="F6" s="97" t="s">
        <v>680</v>
      </c>
      <c r="G6" s="96" t="s">
        <v>1375</v>
      </c>
    </row>
    <row r="7" ht="16.5" customHeight="1">
      <c r="A7" s="171" t="s">
        <v>151</v>
      </c>
      <c r="B7" s="97" t="s">
        <v>736</v>
      </c>
      <c r="C7" s="98" t="s">
        <v>1376</v>
      </c>
      <c r="D7" s="97" t="s">
        <v>736</v>
      </c>
      <c r="E7" s="98" t="s">
        <v>1377</v>
      </c>
      <c r="F7" s="97" t="s">
        <v>673</v>
      </c>
      <c r="G7" s="96" t="s">
        <v>1378</v>
      </c>
    </row>
    <row r="8" ht="16.5" customHeight="1">
      <c r="A8" s="171" t="s">
        <v>186</v>
      </c>
      <c r="B8" s="97" t="s">
        <v>673</v>
      </c>
      <c r="C8" s="98" t="s">
        <v>1379</v>
      </c>
      <c r="D8" s="97" t="s">
        <v>680</v>
      </c>
      <c r="E8" s="98" t="s">
        <v>1380</v>
      </c>
      <c r="F8" s="97" t="s">
        <v>673</v>
      </c>
      <c r="G8" s="98" t="s">
        <v>1381</v>
      </c>
    </row>
    <row r="9" ht="16.5" customHeight="1">
      <c r="A9" s="171" t="s">
        <v>221</v>
      </c>
      <c r="B9" s="97" t="s">
        <v>678</v>
      </c>
      <c r="C9" s="98" t="s">
        <v>1382</v>
      </c>
      <c r="D9" s="97" t="s">
        <v>678</v>
      </c>
      <c r="E9" s="96" t="s">
        <v>1383</v>
      </c>
      <c r="F9" s="97" t="s">
        <v>736</v>
      </c>
      <c r="G9" s="98" t="s">
        <v>1384</v>
      </c>
    </row>
    <row r="10" ht="16.5" customHeight="1">
      <c r="A10" s="171" t="s">
        <v>261</v>
      </c>
      <c r="B10" s="97" t="s">
        <v>678</v>
      </c>
      <c r="C10" s="98" t="s">
        <v>1385</v>
      </c>
      <c r="D10" s="97" t="s">
        <v>678</v>
      </c>
      <c r="E10" s="96" t="s">
        <v>1386</v>
      </c>
      <c r="F10" s="97" t="s">
        <v>673</v>
      </c>
      <c r="G10" s="98" t="s">
        <v>1387</v>
      </c>
    </row>
    <row r="11" ht="16.5" customHeight="1">
      <c r="A11" s="171" t="s">
        <v>310</v>
      </c>
      <c r="B11" s="97" t="s">
        <v>736</v>
      </c>
      <c r="C11" s="98" t="s">
        <v>1388</v>
      </c>
      <c r="D11" s="97" t="s">
        <v>736</v>
      </c>
      <c r="E11" s="98" t="s">
        <v>1389</v>
      </c>
      <c r="F11" s="97" t="s">
        <v>673</v>
      </c>
      <c r="G11" s="98" t="s">
        <v>1390</v>
      </c>
    </row>
    <row r="12" ht="16.5" customHeight="1">
      <c r="A12" s="171" t="s">
        <v>346</v>
      </c>
      <c r="B12" s="173" t="s">
        <v>693</v>
      </c>
      <c r="C12" s="174" t="s">
        <v>1391</v>
      </c>
      <c r="D12" s="97" t="s">
        <v>678</v>
      </c>
      <c r="E12" s="96" t="s">
        <v>1392</v>
      </c>
      <c r="F12" s="97" t="s">
        <v>680</v>
      </c>
      <c r="G12" s="98" t="s">
        <v>1393</v>
      </c>
    </row>
    <row r="13" ht="16.5" customHeight="1">
      <c r="A13" s="96"/>
      <c r="B13" s="121" t="s">
        <v>785</v>
      </c>
      <c r="C13" s="121" t="s">
        <v>785</v>
      </c>
      <c r="D13" s="121" t="s">
        <v>785</v>
      </c>
      <c r="E13" s="121" t="s">
        <v>785</v>
      </c>
      <c r="F13" s="121" t="s">
        <v>785</v>
      </c>
      <c r="G13" s="96"/>
    </row>
    <row r="14" ht="16.5" customHeight="1">
      <c r="A14" s="175" t="s">
        <v>3</v>
      </c>
      <c r="B14" s="176" t="s">
        <v>668</v>
      </c>
      <c r="C14" s="30"/>
      <c r="D14" s="176" t="s">
        <v>8</v>
      </c>
      <c r="E14" s="30"/>
      <c r="F14" s="96"/>
      <c r="G14" s="96"/>
    </row>
    <row r="15" ht="16.5" customHeight="1">
      <c r="A15" s="177"/>
      <c r="B15" s="178" t="s">
        <v>11</v>
      </c>
      <c r="C15" s="179" t="s">
        <v>12</v>
      </c>
      <c r="D15" s="178" t="s">
        <v>11</v>
      </c>
      <c r="E15" s="179" t="s">
        <v>12</v>
      </c>
      <c r="F15" s="96"/>
      <c r="G15" s="96"/>
    </row>
    <row r="16" ht="16.5" customHeight="1">
      <c r="A16" s="171" t="s">
        <v>14</v>
      </c>
      <c r="B16" s="97" t="s">
        <v>693</v>
      </c>
      <c r="C16" s="98" t="s">
        <v>1394</v>
      </c>
      <c r="D16" s="97" t="s">
        <v>678</v>
      </c>
      <c r="E16" s="180" t="s">
        <v>1395</v>
      </c>
      <c r="F16" s="96"/>
      <c r="G16" s="96"/>
    </row>
    <row r="17" ht="16.5" customHeight="1">
      <c r="A17" s="171" t="s">
        <v>47</v>
      </c>
      <c r="B17" s="97" t="s">
        <v>673</v>
      </c>
      <c r="C17" s="98" t="s">
        <v>1396</v>
      </c>
      <c r="D17" s="97" t="s">
        <v>678</v>
      </c>
      <c r="E17" s="181" t="s">
        <v>1397</v>
      </c>
      <c r="F17" s="96"/>
      <c r="G17" s="96"/>
    </row>
    <row r="18" ht="16.5" customHeight="1">
      <c r="A18" s="171" t="s">
        <v>80</v>
      </c>
      <c r="B18" s="97" t="s">
        <v>680</v>
      </c>
      <c r="C18" s="98" t="s">
        <v>1398</v>
      </c>
      <c r="D18" s="97" t="s">
        <v>680</v>
      </c>
      <c r="E18" s="181" t="s">
        <v>1399</v>
      </c>
      <c r="F18" s="96"/>
      <c r="G18" s="96"/>
    </row>
    <row r="19" ht="16.5" customHeight="1">
      <c r="A19" s="171" t="s">
        <v>117</v>
      </c>
      <c r="B19" s="97" t="s">
        <v>680</v>
      </c>
      <c r="C19" s="98" t="s">
        <v>1400</v>
      </c>
      <c r="D19" s="97" t="s">
        <v>673</v>
      </c>
      <c r="E19" s="181" t="s">
        <v>1401</v>
      </c>
      <c r="F19" s="96"/>
      <c r="G19" s="96"/>
    </row>
    <row r="20" ht="16.5" customHeight="1">
      <c r="A20" s="171" t="s">
        <v>151</v>
      </c>
      <c r="B20" s="97" t="s">
        <v>678</v>
      </c>
      <c r="C20" s="96" t="s">
        <v>1402</v>
      </c>
      <c r="D20" s="97" t="s">
        <v>680</v>
      </c>
      <c r="E20" s="181" t="s">
        <v>1403</v>
      </c>
      <c r="F20" s="96"/>
      <c r="G20" s="96"/>
    </row>
    <row r="21" ht="16.5" customHeight="1">
      <c r="A21" s="171" t="s">
        <v>186</v>
      </c>
      <c r="B21" s="97" t="s">
        <v>673</v>
      </c>
      <c r="C21" s="98" t="s">
        <v>1404</v>
      </c>
      <c r="D21" s="97" t="s">
        <v>673</v>
      </c>
      <c r="E21" s="181" t="s">
        <v>1405</v>
      </c>
      <c r="F21" s="96"/>
      <c r="G21" s="96"/>
    </row>
    <row r="22" ht="16.5" customHeight="1">
      <c r="A22" s="171" t="s">
        <v>221</v>
      </c>
      <c r="B22" s="97" t="s">
        <v>678</v>
      </c>
      <c r="C22" s="98" t="s">
        <v>1406</v>
      </c>
      <c r="D22" s="97" t="s">
        <v>678</v>
      </c>
      <c r="E22" s="182" t="s">
        <v>1407</v>
      </c>
      <c r="F22" s="96"/>
      <c r="G22" s="96"/>
    </row>
    <row r="23" ht="16.5" customHeight="1">
      <c r="A23" s="171" t="s">
        <v>261</v>
      </c>
      <c r="B23" s="97" t="s">
        <v>678</v>
      </c>
      <c r="C23" s="98" t="s">
        <v>1408</v>
      </c>
      <c r="D23" s="97" t="s">
        <v>678</v>
      </c>
      <c r="E23" s="181" t="s">
        <v>1409</v>
      </c>
      <c r="F23" s="96"/>
      <c r="G23" s="96"/>
    </row>
    <row r="24" ht="16.5" customHeight="1">
      <c r="A24" s="171" t="s">
        <v>310</v>
      </c>
      <c r="B24" s="97" t="s">
        <v>673</v>
      </c>
      <c r="C24" s="98" t="s">
        <v>1410</v>
      </c>
      <c r="D24" s="97" t="s">
        <v>693</v>
      </c>
      <c r="E24" s="182" t="s">
        <v>1411</v>
      </c>
      <c r="F24" s="96"/>
      <c r="G24" s="96"/>
    </row>
    <row r="25" ht="16.5" customHeight="1">
      <c r="A25" s="171" t="s">
        <v>346</v>
      </c>
      <c r="B25" s="97" t="s">
        <v>678</v>
      </c>
      <c r="C25" s="98" t="s">
        <v>1412</v>
      </c>
      <c r="D25" s="97" t="s">
        <v>678</v>
      </c>
      <c r="E25" s="181" t="s">
        <v>1413</v>
      </c>
      <c r="F25" s="96"/>
      <c r="G25" s="96"/>
    </row>
    <row r="26" ht="16.5" customHeight="1">
      <c r="A26" s="96"/>
      <c r="B26" s="121" t="s">
        <v>785</v>
      </c>
      <c r="C26" s="121" t="s">
        <v>785</v>
      </c>
      <c r="D26" s="121" t="s">
        <v>785</v>
      </c>
      <c r="E26" s="121" t="s">
        <v>785</v>
      </c>
      <c r="F26" s="96"/>
      <c r="G26" s="96"/>
    </row>
    <row r="27" ht="16.5" customHeight="1">
      <c r="A27" s="175" t="s">
        <v>4</v>
      </c>
      <c r="B27" s="176" t="s">
        <v>6</v>
      </c>
      <c r="C27" s="30"/>
      <c r="D27" s="176" t="s">
        <v>9</v>
      </c>
      <c r="E27" s="30"/>
      <c r="F27" s="96"/>
      <c r="G27" s="96"/>
    </row>
    <row r="28" ht="16.5" customHeight="1">
      <c r="A28" s="183"/>
      <c r="B28" s="148" t="s">
        <v>11</v>
      </c>
      <c r="C28" s="184" t="s">
        <v>12</v>
      </c>
      <c r="D28" s="148" t="s">
        <v>11</v>
      </c>
      <c r="E28" s="184" t="s">
        <v>12</v>
      </c>
      <c r="F28" s="96"/>
      <c r="G28" s="96"/>
    </row>
    <row r="29" ht="16.5" customHeight="1">
      <c r="A29" s="171" t="s">
        <v>14</v>
      </c>
      <c r="B29" s="97" t="s">
        <v>673</v>
      </c>
      <c r="C29" s="98" t="s">
        <v>1414</v>
      </c>
      <c r="D29" s="97" t="s">
        <v>736</v>
      </c>
      <c r="E29" s="181" t="s">
        <v>1415</v>
      </c>
      <c r="F29" s="96"/>
      <c r="G29" s="96"/>
    </row>
    <row r="30" ht="16.5" customHeight="1">
      <c r="A30" s="171" t="s">
        <v>47</v>
      </c>
      <c r="B30" s="97" t="s">
        <v>680</v>
      </c>
      <c r="C30" s="98" t="s">
        <v>1416</v>
      </c>
      <c r="D30" s="97" t="s">
        <v>736</v>
      </c>
      <c r="E30" s="181" t="s">
        <v>1417</v>
      </c>
      <c r="F30" s="96"/>
      <c r="G30" s="96"/>
    </row>
    <row r="31" ht="16.5" customHeight="1">
      <c r="A31" s="171" t="s">
        <v>80</v>
      </c>
      <c r="B31" s="97" t="s">
        <v>736</v>
      </c>
      <c r="C31" s="98" t="s">
        <v>1418</v>
      </c>
      <c r="D31" s="97" t="s">
        <v>736</v>
      </c>
      <c r="E31" s="98" t="s">
        <v>1419</v>
      </c>
      <c r="F31" s="96"/>
      <c r="G31" s="96"/>
    </row>
    <row r="32" ht="16.5" customHeight="1">
      <c r="A32" s="171" t="s">
        <v>117</v>
      </c>
      <c r="B32" s="97" t="s">
        <v>678</v>
      </c>
      <c r="C32" s="96" t="s">
        <v>1420</v>
      </c>
      <c r="D32" s="97" t="s">
        <v>680</v>
      </c>
      <c r="E32" s="98" t="s">
        <v>1421</v>
      </c>
      <c r="F32" s="96"/>
      <c r="G32" s="96"/>
    </row>
    <row r="33" ht="16.5" customHeight="1">
      <c r="A33" s="171" t="s">
        <v>151</v>
      </c>
      <c r="B33" s="97" t="s">
        <v>736</v>
      </c>
      <c r="C33" s="96" t="s">
        <v>1423</v>
      </c>
      <c r="D33" s="97" t="s">
        <v>736</v>
      </c>
      <c r="E33" s="181" t="s">
        <v>1424</v>
      </c>
      <c r="F33" s="96"/>
      <c r="G33" s="96"/>
    </row>
    <row r="34" ht="16.5" customHeight="1">
      <c r="A34" s="171" t="s">
        <v>186</v>
      </c>
      <c r="B34" s="187" t="s">
        <v>673</v>
      </c>
      <c r="C34" s="174" t="s">
        <v>1426</v>
      </c>
      <c r="D34" s="187" t="s">
        <v>673</v>
      </c>
      <c r="E34" s="174" t="s">
        <v>1426</v>
      </c>
      <c r="F34" s="96"/>
      <c r="G34" s="96"/>
    </row>
    <row r="35" ht="16.5" customHeight="1">
      <c r="A35" s="171" t="s">
        <v>221</v>
      </c>
      <c r="B35" s="97" t="s">
        <v>678</v>
      </c>
      <c r="C35" s="96" t="s">
        <v>1429</v>
      </c>
      <c r="D35" s="97" t="s">
        <v>678</v>
      </c>
      <c r="E35" s="96" t="s">
        <v>1431</v>
      </c>
      <c r="F35" s="96"/>
      <c r="G35" s="96"/>
    </row>
    <row r="36" ht="16.5" customHeight="1">
      <c r="A36" s="171" t="s">
        <v>261</v>
      </c>
      <c r="B36" s="97" t="s">
        <v>673</v>
      </c>
      <c r="C36" s="96" t="s">
        <v>1435</v>
      </c>
      <c r="D36" s="97" t="s">
        <v>678</v>
      </c>
      <c r="E36" s="96" t="s">
        <v>1436</v>
      </c>
      <c r="F36" s="96"/>
      <c r="G36" s="96"/>
    </row>
    <row r="37" ht="16.5" customHeight="1">
      <c r="A37" s="171" t="s">
        <v>310</v>
      </c>
      <c r="B37" s="97" t="s">
        <v>673</v>
      </c>
      <c r="C37" s="96" t="s">
        <v>1446</v>
      </c>
      <c r="D37" s="97" t="s">
        <v>673</v>
      </c>
      <c r="E37" s="98" t="s">
        <v>1447</v>
      </c>
      <c r="F37" s="96"/>
      <c r="G37" s="96"/>
    </row>
    <row r="38" ht="16.5" customHeight="1">
      <c r="A38" s="171" t="s">
        <v>346</v>
      </c>
      <c r="B38" s="97" t="s">
        <v>678</v>
      </c>
      <c r="C38" s="98" t="s">
        <v>1449</v>
      </c>
      <c r="D38" s="97" t="s">
        <v>678</v>
      </c>
      <c r="E38" s="191" t="s">
        <v>1451</v>
      </c>
      <c r="F38" s="96"/>
      <c r="G38" s="96"/>
    </row>
    <row r="39" ht="16.5" customHeight="1">
      <c r="A39" s="49"/>
      <c r="B39" s="56" t="s">
        <v>785</v>
      </c>
      <c r="C39" s="56" t="s">
        <v>785</v>
      </c>
      <c r="D39" s="56" t="s">
        <v>785</v>
      </c>
      <c r="E39" s="56" t="s">
        <v>785</v>
      </c>
      <c r="F39" s="49"/>
      <c r="G39" s="49"/>
    </row>
    <row r="40" ht="16.5" customHeight="1">
      <c r="A40" s="50" t="s">
        <v>7</v>
      </c>
      <c r="B40" s="80" t="s">
        <v>10</v>
      </c>
      <c r="C40" s="30"/>
      <c r="D40" s="80" t="s">
        <v>13</v>
      </c>
      <c r="E40" s="30"/>
      <c r="F40" s="49"/>
      <c r="G40" s="49"/>
      <c r="H40" s="49"/>
    </row>
    <row r="41" ht="15.75" customHeight="1">
      <c r="A41" s="53"/>
      <c r="B41" s="41" t="s">
        <v>11</v>
      </c>
      <c r="C41" s="41" t="s">
        <v>12</v>
      </c>
      <c r="D41" s="41" t="s">
        <v>11</v>
      </c>
      <c r="E41" s="41" t="s">
        <v>12</v>
      </c>
      <c r="F41" s="49"/>
      <c r="G41" s="49"/>
      <c r="H41" s="49"/>
      <c r="I41" s="54"/>
    </row>
    <row r="42" ht="16.5" customHeight="1">
      <c r="A42" s="42" t="s">
        <v>14</v>
      </c>
      <c r="B42" s="91" t="s">
        <v>785</v>
      </c>
      <c r="C42" s="93" t="str">
        <f t="shared" ref="C42:C51" si="1">"5조" &amp; " - " &amp; B$40 &amp; " - " &amp; $A42</f>
        <v>5조 - MVC - Availability</v>
      </c>
      <c r="D42" s="91" t="s">
        <v>785</v>
      </c>
      <c r="E42" s="93" t="str">
        <f t="shared" ref="E42:E51" si="2">"5조" &amp; " - " &amp; D$40 &amp; " - " &amp; $A42</f>
        <v>5조 - PAC - Availability</v>
      </c>
      <c r="F42" s="49"/>
      <c r="G42" s="49"/>
      <c r="H42" s="49"/>
    </row>
    <row r="43" ht="16.5" customHeight="1">
      <c r="A43" s="42" t="s">
        <v>47</v>
      </c>
      <c r="B43" s="91" t="s">
        <v>785</v>
      </c>
      <c r="C43" s="93" t="str">
        <f t="shared" si="1"/>
        <v>5조 - MVC - Deployability</v>
      </c>
      <c r="D43" s="91" t="s">
        <v>785</v>
      </c>
      <c r="E43" s="93" t="str">
        <f t="shared" si="2"/>
        <v>5조 - PAC - Deployability</v>
      </c>
      <c r="F43" s="49"/>
      <c r="G43" s="49"/>
      <c r="H43" s="49"/>
    </row>
    <row r="44" ht="16.5" customHeight="1">
      <c r="A44" s="42" t="s">
        <v>80</v>
      </c>
      <c r="B44" s="91" t="s">
        <v>785</v>
      </c>
      <c r="C44" s="93" t="str">
        <f t="shared" si="1"/>
        <v>5조 - MVC - Integrability</v>
      </c>
      <c r="D44" s="91" t="s">
        <v>785</v>
      </c>
      <c r="E44" s="93" t="str">
        <f t="shared" si="2"/>
        <v>5조 - PAC - Integrability</v>
      </c>
      <c r="F44" s="49"/>
      <c r="G44" s="49"/>
      <c r="H44" s="49"/>
    </row>
    <row r="45" ht="16.5" customHeight="1">
      <c r="A45" s="42" t="s">
        <v>117</v>
      </c>
      <c r="B45" s="91" t="s">
        <v>785</v>
      </c>
      <c r="C45" s="93" t="str">
        <f t="shared" si="1"/>
        <v>5조 - MVC - Energy Efficiency</v>
      </c>
      <c r="D45" s="91" t="s">
        <v>785</v>
      </c>
      <c r="E45" s="93" t="str">
        <f t="shared" si="2"/>
        <v>5조 - PAC - Energy Efficiency</v>
      </c>
      <c r="F45" s="49"/>
      <c r="G45" s="49"/>
      <c r="H45" s="49"/>
    </row>
    <row r="46" ht="16.5" customHeight="1">
      <c r="A46" s="42" t="s">
        <v>151</v>
      </c>
      <c r="B46" s="91" t="s">
        <v>785</v>
      </c>
      <c r="C46" s="93" t="str">
        <f t="shared" si="1"/>
        <v>5조 - MVC - Modifiability</v>
      </c>
      <c r="D46" s="91" t="s">
        <v>785</v>
      </c>
      <c r="E46" s="93" t="str">
        <f t="shared" si="2"/>
        <v>5조 - PAC - Modifiability</v>
      </c>
      <c r="F46" s="49"/>
      <c r="G46" s="49"/>
      <c r="H46" s="49"/>
    </row>
    <row r="47" ht="16.5" customHeight="1">
      <c r="A47" s="42" t="s">
        <v>186</v>
      </c>
      <c r="B47" s="91" t="s">
        <v>785</v>
      </c>
      <c r="C47" s="93" t="str">
        <f t="shared" si="1"/>
        <v>5조 - MVC - Performance</v>
      </c>
      <c r="D47" s="91" t="s">
        <v>785</v>
      </c>
      <c r="E47" s="93" t="str">
        <f t="shared" si="2"/>
        <v>5조 - PAC - Performance</v>
      </c>
      <c r="F47" s="49"/>
      <c r="G47" s="49"/>
      <c r="H47" s="49"/>
    </row>
    <row r="48" ht="16.5" customHeight="1">
      <c r="A48" s="42" t="s">
        <v>221</v>
      </c>
      <c r="B48" s="91" t="s">
        <v>785</v>
      </c>
      <c r="C48" s="93" t="str">
        <f t="shared" si="1"/>
        <v>5조 - MVC - Safety</v>
      </c>
      <c r="D48" s="91" t="s">
        <v>785</v>
      </c>
      <c r="E48" s="93" t="str">
        <f t="shared" si="2"/>
        <v>5조 - PAC - Safety</v>
      </c>
      <c r="F48" s="49"/>
      <c r="G48" s="49"/>
      <c r="H48" s="49"/>
    </row>
    <row r="49" ht="16.5" customHeight="1">
      <c r="A49" s="42" t="s">
        <v>261</v>
      </c>
      <c r="B49" s="91" t="s">
        <v>785</v>
      </c>
      <c r="C49" s="93" t="str">
        <f t="shared" si="1"/>
        <v>5조 - MVC - Security</v>
      </c>
      <c r="D49" s="91" t="s">
        <v>785</v>
      </c>
      <c r="E49" s="93" t="str">
        <f t="shared" si="2"/>
        <v>5조 - PAC - Security</v>
      </c>
      <c r="F49" s="49"/>
      <c r="G49" s="49"/>
      <c r="H49" s="49"/>
    </row>
    <row r="50" ht="15.75" customHeight="1">
      <c r="A50" s="42" t="s">
        <v>310</v>
      </c>
      <c r="B50" s="91" t="s">
        <v>785</v>
      </c>
      <c r="C50" s="93" t="str">
        <f t="shared" si="1"/>
        <v>5조 - MVC - Testability</v>
      </c>
      <c r="D50" s="91" t="s">
        <v>785</v>
      </c>
      <c r="E50" s="93" t="str">
        <f t="shared" si="2"/>
        <v>5조 - PAC - Testability</v>
      </c>
      <c r="F50" s="49"/>
      <c r="G50" s="56" t="s">
        <v>785</v>
      </c>
      <c r="H50" s="49"/>
      <c r="I50" s="55"/>
    </row>
    <row r="51" ht="15.75" customHeight="1">
      <c r="A51" s="42" t="s">
        <v>346</v>
      </c>
      <c r="B51" s="91" t="s">
        <v>785</v>
      </c>
      <c r="C51" s="93" t="str">
        <f t="shared" si="1"/>
        <v>5조 - MVC - Usability</v>
      </c>
      <c r="D51" s="91" t="s">
        <v>785</v>
      </c>
      <c r="E51" s="93" t="str">
        <f t="shared" si="2"/>
        <v>5조 - PAC - Usability</v>
      </c>
      <c r="F51" s="49"/>
      <c r="G51" s="56" t="s">
        <v>785</v>
      </c>
      <c r="H51" s="49"/>
      <c r="I51" s="54"/>
    </row>
    <row r="52" ht="16.5" customHeight="1">
      <c r="A52" s="49"/>
      <c r="B52" s="56" t="s">
        <v>785</v>
      </c>
      <c r="C52" s="49"/>
      <c r="D52" s="56" t="s">
        <v>785</v>
      </c>
      <c r="E52" s="49"/>
      <c r="F52" s="49"/>
      <c r="G52" s="49"/>
    </row>
    <row r="53" ht="16.5" customHeight="1">
      <c r="A53" s="50" t="s">
        <v>413</v>
      </c>
      <c r="B53" s="85" t="s">
        <v>414</v>
      </c>
      <c r="C53" s="30"/>
      <c r="D53" s="85" t="s">
        <v>415</v>
      </c>
      <c r="E53" s="30"/>
      <c r="F53" s="49"/>
      <c r="G53" s="56" t="s">
        <v>785</v>
      </c>
      <c r="H53" s="49"/>
    </row>
    <row r="54" ht="16.5" customHeight="1">
      <c r="A54" s="53"/>
      <c r="B54" s="41" t="s">
        <v>11</v>
      </c>
      <c r="C54" s="58" t="s">
        <v>12</v>
      </c>
      <c r="D54" s="41" t="s">
        <v>11</v>
      </c>
      <c r="E54" s="58" t="s">
        <v>12</v>
      </c>
      <c r="F54" s="49"/>
      <c r="G54" s="56" t="s">
        <v>785</v>
      </c>
      <c r="H54" s="49"/>
    </row>
    <row r="55" ht="16.5" customHeight="1">
      <c r="A55" s="42" t="s">
        <v>14</v>
      </c>
      <c r="B55" s="97" t="s">
        <v>673</v>
      </c>
      <c r="C55" s="98" t="s">
        <v>1492</v>
      </c>
      <c r="D55" s="97" t="s">
        <v>680</v>
      </c>
      <c r="E55" s="98" t="s">
        <v>1495</v>
      </c>
      <c r="F55" s="49"/>
      <c r="G55" s="56" t="s">
        <v>785</v>
      </c>
      <c r="H55" s="49"/>
    </row>
    <row r="56" ht="16.5" customHeight="1">
      <c r="A56" s="42" t="s">
        <v>47</v>
      </c>
      <c r="B56" s="97" t="s">
        <v>673</v>
      </c>
      <c r="C56" s="172" t="s">
        <v>1498</v>
      </c>
      <c r="D56" s="97" t="s">
        <v>680</v>
      </c>
      <c r="E56" s="98" t="s">
        <v>1501</v>
      </c>
      <c r="F56" s="49"/>
      <c r="G56" s="56" t="s">
        <v>785</v>
      </c>
      <c r="H56" s="49"/>
    </row>
    <row r="57" ht="16.5" customHeight="1">
      <c r="A57" s="42" t="s">
        <v>80</v>
      </c>
      <c r="B57" s="97" t="s">
        <v>673</v>
      </c>
      <c r="C57" s="98" t="s">
        <v>1504</v>
      </c>
      <c r="D57" s="97" t="s">
        <v>673</v>
      </c>
      <c r="E57" s="98" t="s">
        <v>1506</v>
      </c>
      <c r="F57" s="49"/>
      <c r="G57" s="56" t="s">
        <v>785</v>
      </c>
      <c r="H57" s="49"/>
    </row>
    <row r="58" ht="16.5" customHeight="1">
      <c r="A58" s="42" t="s">
        <v>117</v>
      </c>
      <c r="B58" s="97" t="s">
        <v>736</v>
      </c>
      <c r="C58" s="98" t="s">
        <v>1508</v>
      </c>
      <c r="D58" s="97" t="s">
        <v>673</v>
      </c>
      <c r="E58" s="98" t="s">
        <v>1509</v>
      </c>
      <c r="F58" s="49"/>
      <c r="G58" s="56" t="s">
        <v>785</v>
      </c>
      <c r="H58" s="49"/>
    </row>
    <row r="59" ht="16.5" customHeight="1">
      <c r="A59" s="42" t="s">
        <v>151</v>
      </c>
      <c r="B59" s="97" t="s">
        <v>673</v>
      </c>
      <c r="C59" s="98" t="s">
        <v>1510</v>
      </c>
      <c r="D59" s="97" t="s">
        <v>680</v>
      </c>
      <c r="E59" s="98" t="s">
        <v>1511</v>
      </c>
      <c r="F59" s="49"/>
      <c r="G59" s="56" t="s">
        <v>785</v>
      </c>
      <c r="H59" s="49"/>
    </row>
    <row r="60" ht="15.75" customHeight="1">
      <c r="A60" s="42" t="s">
        <v>186</v>
      </c>
      <c r="B60" s="97" t="s">
        <v>673</v>
      </c>
      <c r="C60" s="98" t="s">
        <v>1512</v>
      </c>
      <c r="D60" s="97" t="s">
        <v>736</v>
      </c>
      <c r="E60" s="98" t="s">
        <v>1513</v>
      </c>
      <c r="F60" s="49"/>
      <c r="G60" s="56" t="s">
        <v>785</v>
      </c>
      <c r="H60" s="49"/>
      <c r="I60" s="55"/>
    </row>
    <row r="61" ht="15.75" customHeight="1">
      <c r="A61" s="42" t="s">
        <v>221</v>
      </c>
      <c r="B61" s="97" t="s">
        <v>680</v>
      </c>
      <c r="C61" s="96" t="s">
        <v>1514</v>
      </c>
      <c r="D61" s="97" t="s">
        <v>673</v>
      </c>
      <c r="E61" s="181" t="s">
        <v>1515</v>
      </c>
      <c r="F61" s="49"/>
      <c r="G61" s="56" t="s">
        <v>785</v>
      </c>
      <c r="H61" s="49"/>
      <c r="I61" s="54"/>
    </row>
    <row r="62" ht="16.5" customHeight="1">
      <c r="A62" s="42" t="s">
        <v>261</v>
      </c>
      <c r="B62" s="97" t="s">
        <v>680</v>
      </c>
      <c r="C62" s="96" t="s">
        <v>1516</v>
      </c>
      <c r="D62" s="97" t="s">
        <v>673</v>
      </c>
      <c r="E62" s="181" t="s">
        <v>1517</v>
      </c>
      <c r="F62" s="49"/>
      <c r="G62" s="56" t="s">
        <v>785</v>
      </c>
      <c r="H62" s="49"/>
    </row>
    <row r="63" ht="16.5" customHeight="1">
      <c r="A63" s="42" t="s">
        <v>310</v>
      </c>
      <c r="B63" s="97" t="s">
        <v>736</v>
      </c>
      <c r="C63" s="96" t="s">
        <v>1518</v>
      </c>
      <c r="D63" s="97" t="s">
        <v>673</v>
      </c>
      <c r="E63" s="96" t="s">
        <v>1519</v>
      </c>
      <c r="F63" s="49"/>
      <c r="G63" s="56" t="s">
        <v>785</v>
      </c>
      <c r="H63" s="49"/>
    </row>
    <row r="64" ht="16.5" customHeight="1">
      <c r="A64" s="42" t="s">
        <v>346</v>
      </c>
      <c r="B64" s="97" t="s">
        <v>678</v>
      </c>
      <c r="C64" s="98" t="s">
        <v>1520</v>
      </c>
      <c r="D64" s="97" t="s">
        <v>678</v>
      </c>
      <c r="E64" s="181" t="s">
        <v>1413</v>
      </c>
      <c r="F64" s="49"/>
      <c r="G64" s="56" t="s">
        <v>785</v>
      </c>
      <c r="H64" s="49"/>
    </row>
    <row r="65" ht="16.5" customHeight="1">
      <c r="A65" s="49"/>
      <c r="B65" s="56" t="s">
        <v>785</v>
      </c>
      <c r="C65" s="56" t="s">
        <v>785</v>
      </c>
      <c r="D65" s="56" t="s">
        <v>785</v>
      </c>
      <c r="E65" s="56" t="s">
        <v>785</v>
      </c>
      <c r="F65" s="49"/>
      <c r="G65" s="56" t="s">
        <v>785</v>
      </c>
      <c r="H65" s="49"/>
    </row>
    <row r="66" ht="16.5" customHeight="1">
      <c r="A66" s="50" t="s">
        <v>413</v>
      </c>
      <c r="B66" s="85" t="s">
        <v>420</v>
      </c>
      <c r="C66" s="30"/>
      <c r="D66" s="85" t="s">
        <v>421</v>
      </c>
      <c r="E66" s="30"/>
      <c r="F66" s="85" t="s">
        <v>422</v>
      </c>
      <c r="G66" s="30"/>
      <c r="H66" s="49"/>
    </row>
    <row r="67" ht="16.5" customHeight="1">
      <c r="A67" s="53"/>
      <c r="B67" s="41" t="s">
        <v>11</v>
      </c>
      <c r="C67" s="58" t="s">
        <v>12</v>
      </c>
      <c r="D67" s="41" t="s">
        <v>11</v>
      </c>
      <c r="E67" s="58" t="s">
        <v>12</v>
      </c>
      <c r="F67" s="41" t="s">
        <v>11</v>
      </c>
      <c r="G67" s="58" t="s">
        <v>12</v>
      </c>
      <c r="H67" s="49"/>
    </row>
    <row r="68" ht="16.5" customHeight="1">
      <c r="A68" s="42" t="s">
        <v>14</v>
      </c>
      <c r="B68" s="97" t="s">
        <v>673</v>
      </c>
      <c r="C68" s="98" t="s">
        <v>1521</v>
      </c>
      <c r="D68" s="91" t="s">
        <v>785</v>
      </c>
      <c r="E68" s="93" t="str">
        <f t="shared" ref="E68:E77" si="3">"5조" &amp; " - " &amp; D$66 &amp; " - " &amp; $A68</f>
        <v>5조 - Virtual Machine - Availability</v>
      </c>
      <c r="F68" s="91" t="s">
        <v>785</v>
      </c>
      <c r="G68" s="93" t="str">
        <f t="shared" ref="G68:G77" si="4">"5조" &amp; " - " &amp; F$66 &amp; " - " &amp; $A68</f>
        <v>5조 - Microkernel - Availability</v>
      </c>
      <c r="H68" s="49"/>
    </row>
    <row r="69" ht="16.5" customHeight="1">
      <c r="A69" s="42" t="s">
        <v>47</v>
      </c>
      <c r="B69" s="97" t="s">
        <v>680</v>
      </c>
      <c r="C69" s="98" t="s">
        <v>1522</v>
      </c>
      <c r="D69" s="91" t="s">
        <v>785</v>
      </c>
      <c r="E69" s="104" t="str">
        <f t="shared" si="3"/>
        <v>5조 - Virtual Machine - Deployability</v>
      </c>
      <c r="F69" s="91" t="s">
        <v>785</v>
      </c>
      <c r="G69" s="93" t="str">
        <f t="shared" si="4"/>
        <v>5조 - Microkernel - Deployability</v>
      </c>
      <c r="H69" s="49"/>
    </row>
    <row r="70" ht="16.5" customHeight="1">
      <c r="A70" s="42" t="s">
        <v>80</v>
      </c>
      <c r="B70" s="97" t="s">
        <v>680</v>
      </c>
      <c r="C70" s="98" t="s">
        <v>1523</v>
      </c>
      <c r="D70" s="91" t="s">
        <v>785</v>
      </c>
      <c r="E70" s="93" t="str">
        <f t="shared" si="3"/>
        <v>5조 - Virtual Machine - Integrability</v>
      </c>
      <c r="F70" s="91" t="s">
        <v>785</v>
      </c>
      <c r="G70" s="93" t="str">
        <f t="shared" si="4"/>
        <v>5조 - Microkernel - Integrability</v>
      </c>
      <c r="H70" s="49"/>
    </row>
    <row r="71" ht="16.5" customHeight="1">
      <c r="A71" s="42" t="s">
        <v>117</v>
      </c>
      <c r="B71" s="97" t="s">
        <v>673</v>
      </c>
      <c r="C71" s="98" t="s">
        <v>1524</v>
      </c>
      <c r="D71" s="91" t="s">
        <v>785</v>
      </c>
      <c r="E71" s="93" t="str">
        <f t="shared" si="3"/>
        <v>5조 - Virtual Machine - Energy Efficiency</v>
      </c>
      <c r="F71" s="91" t="s">
        <v>785</v>
      </c>
      <c r="G71" s="93" t="str">
        <f t="shared" si="4"/>
        <v>5조 - Microkernel - Energy Efficiency</v>
      </c>
      <c r="H71" s="49"/>
    </row>
    <row r="72" ht="16.5" customHeight="1">
      <c r="A72" s="42" t="s">
        <v>151</v>
      </c>
      <c r="B72" s="97" t="s">
        <v>680</v>
      </c>
      <c r="C72" s="98" t="s">
        <v>1528</v>
      </c>
      <c r="D72" s="91" t="s">
        <v>785</v>
      </c>
      <c r="E72" s="93" t="str">
        <f t="shared" si="3"/>
        <v>5조 - Virtual Machine - Modifiability</v>
      </c>
      <c r="F72" s="91" t="s">
        <v>785</v>
      </c>
      <c r="G72" s="93" t="str">
        <f t="shared" si="4"/>
        <v>5조 - Microkernel - Modifiability</v>
      </c>
      <c r="H72" s="49"/>
    </row>
    <row r="73" ht="16.5" customHeight="1">
      <c r="A73" s="42" t="s">
        <v>186</v>
      </c>
      <c r="B73" s="97" t="s">
        <v>673</v>
      </c>
      <c r="C73" s="98" t="s">
        <v>1532</v>
      </c>
      <c r="D73" s="91" t="s">
        <v>785</v>
      </c>
      <c r="E73" s="93" t="str">
        <f t="shared" si="3"/>
        <v>5조 - Virtual Machine - Performance</v>
      </c>
      <c r="F73" s="91" t="s">
        <v>785</v>
      </c>
      <c r="G73" s="93" t="str">
        <f t="shared" si="4"/>
        <v>5조 - Microkernel - Performance</v>
      </c>
      <c r="H73" s="49"/>
    </row>
    <row r="74" ht="16.5" customHeight="1">
      <c r="A74" s="42" t="s">
        <v>221</v>
      </c>
      <c r="B74" s="97" t="s">
        <v>678</v>
      </c>
      <c r="C74" s="98" t="s">
        <v>1535</v>
      </c>
      <c r="D74" s="91" t="s">
        <v>785</v>
      </c>
      <c r="E74" s="93" t="str">
        <f t="shared" si="3"/>
        <v>5조 - Virtual Machine - Safety</v>
      </c>
      <c r="F74" s="91" t="s">
        <v>785</v>
      </c>
      <c r="G74" s="93" t="str">
        <f t="shared" si="4"/>
        <v>5조 - Microkernel - Safety</v>
      </c>
    </row>
    <row r="75" ht="16.5" customHeight="1">
      <c r="A75" s="42" t="s">
        <v>261</v>
      </c>
      <c r="B75" s="97" t="s">
        <v>680</v>
      </c>
      <c r="C75" s="98" t="s">
        <v>1547</v>
      </c>
      <c r="D75" s="91" t="s">
        <v>785</v>
      </c>
      <c r="E75" s="93" t="str">
        <f t="shared" si="3"/>
        <v>5조 - Virtual Machine - Security</v>
      </c>
      <c r="F75" s="91" t="s">
        <v>785</v>
      </c>
      <c r="G75" s="93" t="str">
        <f t="shared" si="4"/>
        <v>5조 - Microkernel - Security</v>
      </c>
    </row>
    <row r="76" ht="16.5" customHeight="1">
      <c r="A76" s="42" t="s">
        <v>310</v>
      </c>
      <c r="B76" s="97" t="s">
        <v>680</v>
      </c>
      <c r="C76" s="98" t="s">
        <v>1549</v>
      </c>
      <c r="D76" s="91" t="s">
        <v>785</v>
      </c>
      <c r="E76" s="93" t="str">
        <f t="shared" si="3"/>
        <v>5조 - Virtual Machine - Testability</v>
      </c>
      <c r="F76" s="91" t="s">
        <v>785</v>
      </c>
      <c r="G76" s="93" t="str">
        <f t="shared" si="4"/>
        <v>5조 - Microkernel - Testability</v>
      </c>
    </row>
    <row r="77" ht="16.5" customHeight="1">
      <c r="A77" s="42" t="s">
        <v>346</v>
      </c>
      <c r="B77" s="97" t="s">
        <v>678</v>
      </c>
      <c r="C77" s="96" t="s">
        <v>1550</v>
      </c>
      <c r="D77" s="91" t="s">
        <v>785</v>
      </c>
      <c r="E77" s="93" t="str">
        <f t="shared" si="3"/>
        <v>5조 - Virtual Machine - Usability</v>
      </c>
      <c r="F77" s="91" t="s">
        <v>785</v>
      </c>
      <c r="G77" s="93" t="str">
        <f t="shared" si="4"/>
        <v>5조 - Microkernel - Usability</v>
      </c>
    </row>
    <row r="78" ht="16.5" customHeight="1">
      <c r="A78" s="49"/>
      <c r="B78" s="56" t="s">
        <v>785</v>
      </c>
      <c r="C78" s="56" t="s">
        <v>785</v>
      </c>
      <c r="D78" s="56" t="s">
        <v>785</v>
      </c>
      <c r="E78" s="56" t="s">
        <v>785</v>
      </c>
      <c r="F78" s="56" t="s">
        <v>785</v>
      </c>
      <c r="G78" s="56" t="s">
        <v>785</v>
      </c>
    </row>
    <row r="79" ht="16.5" customHeight="1">
      <c r="A79" s="145" t="s">
        <v>493</v>
      </c>
      <c r="B79" s="176" t="s">
        <v>672</v>
      </c>
      <c r="C79" s="30"/>
      <c r="D79" s="176" t="s">
        <v>495</v>
      </c>
      <c r="E79" s="30"/>
    </row>
    <row r="80" ht="16.5" customHeight="1">
      <c r="A80" s="31"/>
      <c r="B80" s="148" t="s">
        <v>11</v>
      </c>
      <c r="C80" s="148" t="s">
        <v>12</v>
      </c>
      <c r="D80" s="148" t="s">
        <v>11</v>
      </c>
      <c r="E80" s="148" t="s">
        <v>12</v>
      </c>
    </row>
    <row r="81" ht="16.5" customHeight="1">
      <c r="A81" s="171" t="s">
        <v>14</v>
      </c>
      <c r="B81" s="97" t="s">
        <v>673</v>
      </c>
      <c r="C81" s="98" t="s">
        <v>1552</v>
      </c>
      <c r="D81" s="97" t="s">
        <v>673</v>
      </c>
      <c r="E81" s="98" t="s">
        <v>1553</v>
      </c>
    </row>
    <row r="82" ht="16.5" customHeight="1">
      <c r="A82" s="171" t="s">
        <v>47</v>
      </c>
      <c r="B82" s="97" t="s">
        <v>680</v>
      </c>
      <c r="C82" s="98" t="s">
        <v>1554</v>
      </c>
      <c r="D82" s="97" t="s">
        <v>680</v>
      </c>
      <c r="E82" s="98" t="s">
        <v>1555</v>
      </c>
    </row>
    <row r="83" ht="16.5" customHeight="1">
      <c r="A83" s="171" t="s">
        <v>80</v>
      </c>
      <c r="B83" s="97" t="s">
        <v>680</v>
      </c>
      <c r="C83" s="98" t="s">
        <v>1557</v>
      </c>
      <c r="D83" s="97" t="s">
        <v>680</v>
      </c>
      <c r="E83" s="98" t="s">
        <v>1558</v>
      </c>
    </row>
    <row r="84" ht="16.5" customHeight="1">
      <c r="A84" s="171" t="s">
        <v>117</v>
      </c>
      <c r="B84" s="97" t="s">
        <v>673</v>
      </c>
      <c r="C84" s="98" t="s">
        <v>1559</v>
      </c>
      <c r="D84" s="97" t="s">
        <v>680</v>
      </c>
      <c r="E84" s="98" t="s">
        <v>1560</v>
      </c>
    </row>
    <row r="85" ht="16.5" customHeight="1">
      <c r="A85" s="171" t="s">
        <v>151</v>
      </c>
      <c r="B85" s="97" t="s">
        <v>680</v>
      </c>
      <c r="C85" s="98" t="s">
        <v>1562</v>
      </c>
      <c r="D85" s="97" t="s">
        <v>680</v>
      </c>
      <c r="E85" s="98" t="s">
        <v>1563</v>
      </c>
    </row>
    <row r="86" ht="16.5" customHeight="1">
      <c r="A86" s="171" t="s">
        <v>186</v>
      </c>
      <c r="B86" s="97" t="s">
        <v>678</v>
      </c>
      <c r="C86" s="98" t="s">
        <v>1564</v>
      </c>
      <c r="D86" s="97" t="s">
        <v>678</v>
      </c>
      <c r="E86" s="98" t="s">
        <v>1566</v>
      </c>
    </row>
    <row r="87" ht="16.5" customHeight="1">
      <c r="A87" s="171" t="s">
        <v>221</v>
      </c>
      <c r="B87" s="97" t="s">
        <v>678</v>
      </c>
      <c r="C87" s="98" t="s">
        <v>1567</v>
      </c>
      <c r="D87" s="97" t="s">
        <v>680</v>
      </c>
      <c r="E87" s="98" t="s">
        <v>1568</v>
      </c>
    </row>
    <row r="88" ht="16.5" customHeight="1">
      <c r="A88" s="171" t="s">
        <v>261</v>
      </c>
      <c r="B88" s="97" t="s">
        <v>680</v>
      </c>
      <c r="C88" s="98" t="s">
        <v>1570</v>
      </c>
      <c r="D88" s="97" t="s">
        <v>673</v>
      </c>
      <c r="E88" s="98" t="s">
        <v>1571</v>
      </c>
    </row>
    <row r="89" ht="16.5" customHeight="1">
      <c r="A89" s="171" t="s">
        <v>310</v>
      </c>
      <c r="B89" s="97" t="s">
        <v>673</v>
      </c>
      <c r="C89" s="98" t="s">
        <v>1572</v>
      </c>
      <c r="D89" s="97" t="s">
        <v>673</v>
      </c>
      <c r="E89" s="98" t="s">
        <v>1574</v>
      </c>
    </row>
    <row r="90" ht="16.5" customHeight="1">
      <c r="A90" s="171" t="s">
        <v>346</v>
      </c>
      <c r="B90" s="97" t="s">
        <v>678</v>
      </c>
      <c r="C90" s="98" t="s">
        <v>1575</v>
      </c>
      <c r="D90" s="97" t="s">
        <v>678</v>
      </c>
      <c r="E90" s="98" t="s">
        <v>1576</v>
      </c>
    </row>
    <row r="91" ht="16.5" customHeight="1">
      <c r="A91" s="49"/>
      <c r="B91" s="56" t="s">
        <v>785</v>
      </c>
      <c r="C91" s="49"/>
      <c r="D91" s="56" t="s">
        <v>785</v>
      </c>
      <c r="E91" s="49"/>
      <c r="F91" s="56" t="s">
        <v>785</v>
      </c>
      <c r="G91" s="49"/>
    </row>
    <row r="92" ht="16.5" customHeight="1">
      <c r="A92" s="145" t="s">
        <v>493</v>
      </c>
      <c r="B92" s="176" t="s">
        <v>550</v>
      </c>
      <c r="C92" s="30"/>
      <c r="D92" s="146" t="s">
        <v>551</v>
      </c>
      <c r="E92" s="30"/>
    </row>
    <row r="93" ht="16.5" customHeight="1">
      <c r="A93" s="31"/>
      <c r="B93" s="148" t="s">
        <v>11</v>
      </c>
      <c r="C93" s="148" t="s">
        <v>12</v>
      </c>
      <c r="D93" s="148" t="s">
        <v>11</v>
      </c>
      <c r="E93" s="148" t="s">
        <v>12</v>
      </c>
    </row>
    <row r="94" ht="16.5" customHeight="1">
      <c r="A94" s="171" t="s">
        <v>14</v>
      </c>
      <c r="B94" s="97" t="s">
        <v>693</v>
      </c>
      <c r="C94" s="98" t="s">
        <v>1581</v>
      </c>
      <c r="D94" s="97" t="s">
        <v>680</v>
      </c>
      <c r="E94" s="98" t="s">
        <v>1582</v>
      </c>
    </row>
    <row r="95" ht="16.5" customHeight="1">
      <c r="A95" s="171" t="s">
        <v>47</v>
      </c>
      <c r="B95" s="97" t="s">
        <v>736</v>
      </c>
      <c r="C95" s="98" t="s">
        <v>1583</v>
      </c>
      <c r="D95" s="97" t="s">
        <v>680</v>
      </c>
      <c r="E95" s="98" t="s">
        <v>1584</v>
      </c>
    </row>
    <row r="96" ht="16.5" customHeight="1">
      <c r="A96" s="171" t="s">
        <v>80</v>
      </c>
      <c r="B96" s="97" t="s">
        <v>736</v>
      </c>
      <c r="C96" s="98" t="s">
        <v>1585</v>
      </c>
      <c r="D96" s="97" t="s">
        <v>680</v>
      </c>
      <c r="E96" s="98" t="s">
        <v>1586</v>
      </c>
    </row>
    <row r="97" ht="16.5" customHeight="1">
      <c r="A97" s="171" t="s">
        <v>117</v>
      </c>
      <c r="B97" s="97" t="s">
        <v>673</v>
      </c>
      <c r="C97" s="98" t="s">
        <v>1587</v>
      </c>
      <c r="D97" s="97" t="s">
        <v>673</v>
      </c>
      <c r="E97" s="98" t="s">
        <v>1588</v>
      </c>
    </row>
    <row r="98" ht="16.5" customHeight="1">
      <c r="A98" s="171" t="s">
        <v>151</v>
      </c>
      <c r="B98" s="97" t="s">
        <v>736</v>
      </c>
      <c r="C98" s="98" t="s">
        <v>1589</v>
      </c>
      <c r="D98" s="97" t="s">
        <v>680</v>
      </c>
      <c r="E98" s="98" t="s">
        <v>1590</v>
      </c>
    </row>
    <row r="99" ht="16.5" customHeight="1">
      <c r="A99" s="171" t="s">
        <v>186</v>
      </c>
      <c r="B99" s="97" t="s">
        <v>673</v>
      </c>
      <c r="C99" s="98" t="s">
        <v>1593</v>
      </c>
      <c r="D99" s="97" t="s">
        <v>673</v>
      </c>
      <c r="E99" s="98" t="s">
        <v>1594</v>
      </c>
    </row>
    <row r="100" ht="16.5" customHeight="1">
      <c r="A100" s="171" t="s">
        <v>221</v>
      </c>
      <c r="B100" s="97" t="s">
        <v>673</v>
      </c>
      <c r="C100" s="98" t="s">
        <v>1596</v>
      </c>
      <c r="D100" s="97" t="s">
        <v>680</v>
      </c>
      <c r="E100" s="98" t="s">
        <v>1597</v>
      </c>
    </row>
    <row r="101" ht="16.5" customHeight="1">
      <c r="A101" s="171" t="s">
        <v>261</v>
      </c>
      <c r="B101" s="97" t="s">
        <v>673</v>
      </c>
      <c r="C101" s="98" t="s">
        <v>1599</v>
      </c>
      <c r="D101" s="97" t="s">
        <v>678</v>
      </c>
      <c r="E101" s="101" t="s">
        <v>1600</v>
      </c>
    </row>
    <row r="102" ht="16.5" customHeight="1">
      <c r="A102" s="171" t="s">
        <v>310</v>
      </c>
      <c r="B102" s="97" t="s">
        <v>673</v>
      </c>
      <c r="C102" s="98" t="s">
        <v>1602</v>
      </c>
      <c r="D102" s="97" t="s">
        <v>673</v>
      </c>
      <c r="E102" s="98" t="s">
        <v>1604</v>
      </c>
    </row>
    <row r="103" ht="16.5" customHeight="1">
      <c r="A103" s="171" t="s">
        <v>346</v>
      </c>
      <c r="B103" s="97" t="s">
        <v>678</v>
      </c>
      <c r="C103" s="98" t="s">
        <v>1606</v>
      </c>
      <c r="D103" s="97" t="s">
        <v>678</v>
      </c>
      <c r="E103" s="98" t="s">
        <v>1576</v>
      </c>
    </row>
    <row r="104" ht="16.5" customHeight="1">
      <c r="A104" s="49"/>
      <c r="B104" s="56" t="s">
        <v>785</v>
      </c>
      <c r="C104" s="49"/>
      <c r="D104" s="56" t="s">
        <v>785</v>
      </c>
      <c r="E104" s="49"/>
      <c r="F104" s="49"/>
      <c r="G104" s="49"/>
    </row>
    <row r="105" ht="16.5" customHeight="1">
      <c r="A105" s="145" t="s">
        <v>493</v>
      </c>
      <c r="B105" s="176" t="s">
        <v>653</v>
      </c>
      <c r="C105" s="30"/>
      <c r="D105" s="146" t="s">
        <v>947</v>
      </c>
      <c r="E105" s="30"/>
    </row>
    <row r="106" ht="16.5" customHeight="1">
      <c r="A106" s="31"/>
      <c r="B106" s="148" t="s">
        <v>11</v>
      </c>
      <c r="C106" s="148" t="s">
        <v>12</v>
      </c>
      <c r="D106" s="148" t="s">
        <v>11</v>
      </c>
      <c r="E106" s="148" t="s">
        <v>12</v>
      </c>
    </row>
    <row r="107" ht="16.5" customHeight="1">
      <c r="A107" s="171" t="s">
        <v>14</v>
      </c>
      <c r="B107" s="97" t="s">
        <v>680</v>
      </c>
      <c r="C107" s="98" t="s">
        <v>1614</v>
      </c>
      <c r="D107" s="97" t="s">
        <v>736</v>
      </c>
      <c r="E107" s="98" t="s">
        <v>1616</v>
      </c>
    </row>
    <row r="108" ht="16.5" customHeight="1">
      <c r="A108" s="171" t="s">
        <v>47</v>
      </c>
      <c r="B108" s="97" t="s">
        <v>678</v>
      </c>
      <c r="C108" s="98" t="s">
        <v>1618</v>
      </c>
      <c r="D108" s="97" t="s">
        <v>680</v>
      </c>
      <c r="E108" s="98" t="s">
        <v>1620</v>
      </c>
    </row>
    <row r="109" ht="16.5" customHeight="1">
      <c r="A109" s="171" t="s">
        <v>80</v>
      </c>
      <c r="B109" s="97" t="s">
        <v>736</v>
      </c>
      <c r="C109" s="98" t="s">
        <v>1622</v>
      </c>
      <c r="D109" s="97" t="s">
        <v>680</v>
      </c>
      <c r="E109" s="98" t="s">
        <v>1624</v>
      </c>
    </row>
    <row r="110" ht="16.5" customHeight="1">
      <c r="A110" s="171" t="s">
        <v>117</v>
      </c>
      <c r="B110" s="97" t="s">
        <v>673</v>
      </c>
      <c r="C110" s="98" t="s">
        <v>1626</v>
      </c>
      <c r="D110" s="97" t="s">
        <v>693</v>
      </c>
      <c r="E110" s="98" t="s">
        <v>1627</v>
      </c>
    </row>
    <row r="111" ht="16.5" customHeight="1">
      <c r="A111" s="171" t="s">
        <v>151</v>
      </c>
      <c r="B111" s="97" t="s">
        <v>736</v>
      </c>
      <c r="C111" s="98" t="s">
        <v>1628</v>
      </c>
      <c r="D111" s="97" t="s">
        <v>680</v>
      </c>
      <c r="E111" s="98" t="s">
        <v>1629</v>
      </c>
    </row>
    <row r="112" ht="16.5" customHeight="1">
      <c r="A112" s="171" t="s">
        <v>186</v>
      </c>
      <c r="B112" s="97" t="s">
        <v>673</v>
      </c>
      <c r="C112" s="98" t="s">
        <v>1630</v>
      </c>
      <c r="D112" s="97" t="s">
        <v>693</v>
      </c>
      <c r="E112" s="98" t="s">
        <v>1631</v>
      </c>
    </row>
    <row r="113" ht="16.5" customHeight="1">
      <c r="A113" s="171" t="s">
        <v>221</v>
      </c>
      <c r="B113" s="97" t="s">
        <v>680</v>
      </c>
      <c r="C113" s="98" t="s">
        <v>1632</v>
      </c>
      <c r="D113" s="97" t="s">
        <v>680</v>
      </c>
      <c r="E113" s="98" t="s">
        <v>1634</v>
      </c>
    </row>
    <row r="114" ht="16.5" customHeight="1">
      <c r="A114" s="171" t="s">
        <v>261</v>
      </c>
      <c r="B114" s="97" t="s">
        <v>680</v>
      </c>
      <c r="C114" s="98" t="s">
        <v>1636</v>
      </c>
      <c r="D114" s="97" t="s">
        <v>673</v>
      </c>
      <c r="E114" s="98" t="s">
        <v>1638</v>
      </c>
    </row>
    <row r="115" ht="16.5" customHeight="1">
      <c r="A115" s="171" t="s">
        <v>310</v>
      </c>
      <c r="B115" s="97" t="s">
        <v>673</v>
      </c>
      <c r="C115" s="98" t="s">
        <v>1640</v>
      </c>
      <c r="D115" s="97" t="s">
        <v>673</v>
      </c>
      <c r="E115" s="98" t="s">
        <v>1641</v>
      </c>
    </row>
    <row r="116" ht="16.5" customHeight="1">
      <c r="A116" s="171" t="s">
        <v>346</v>
      </c>
      <c r="B116" s="97" t="s">
        <v>678</v>
      </c>
      <c r="C116" s="98" t="s">
        <v>1644</v>
      </c>
      <c r="D116" s="97" t="s">
        <v>678</v>
      </c>
      <c r="E116" s="98" t="s">
        <v>1645</v>
      </c>
    </row>
    <row r="117" ht="16.5" customHeight="1">
      <c r="A117" s="49"/>
      <c r="B117" s="56" t="s">
        <v>785</v>
      </c>
      <c r="C117" s="49"/>
      <c r="D117" s="56" t="s">
        <v>785</v>
      </c>
      <c r="E117" s="49"/>
      <c r="F117" s="49"/>
      <c r="G117" s="49"/>
    </row>
    <row r="118" ht="16.5" customHeight="1">
      <c r="A118" s="39" t="s">
        <v>656</v>
      </c>
      <c r="B118" s="80" t="s">
        <v>657</v>
      </c>
      <c r="C118" s="30"/>
      <c r="D118" s="80" t="s">
        <v>658</v>
      </c>
      <c r="E118" s="30"/>
      <c r="F118" s="80" t="s">
        <v>659</v>
      </c>
      <c r="G118" s="30"/>
    </row>
    <row r="119" ht="16.5" customHeight="1">
      <c r="A119" s="31"/>
      <c r="B119" s="41" t="s">
        <v>11</v>
      </c>
      <c r="C119" s="41" t="s">
        <v>12</v>
      </c>
      <c r="D119" s="148" t="s">
        <v>11</v>
      </c>
      <c r="E119" s="148" t="s">
        <v>12</v>
      </c>
      <c r="F119" s="41" t="s">
        <v>11</v>
      </c>
      <c r="G119" s="41" t="s">
        <v>12</v>
      </c>
    </row>
    <row r="120" ht="16.5" customHeight="1">
      <c r="A120" s="42" t="s">
        <v>14</v>
      </c>
      <c r="B120" s="91" t="s">
        <v>785</v>
      </c>
      <c r="C120" s="93" t="str">
        <f t="shared" ref="C120:C129" si="5">"5조" &amp; " - " &amp; B$118 &amp; " - " &amp; $A120</f>
        <v>5조 - Container-based - Availability</v>
      </c>
      <c r="D120" s="97" t="s">
        <v>673</v>
      </c>
      <c r="E120" s="98"/>
      <c r="F120" s="97" t="s">
        <v>680</v>
      </c>
      <c r="G120" s="98" t="s">
        <v>1660</v>
      </c>
    </row>
    <row r="121" ht="16.5" customHeight="1">
      <c r="A121" s="42" t="s">
        <v>47</v>
      </c>
      <c r="B121" s="91" t="s">
        <v>785</v>
      </c>
      <c r="C121" s="93" t="str">
        <f t="shared" si="5"/>
        <v>5조 - Container-based - Deployability</v>
      </c>
      <c r="D121" s="97" t="s">
        <v>673</v>
      </c>
      <c r="E121" s="98"/>
      <c r="F121" s="97" t="s">
        <v>673</v>
      </c>
      <c r="G121" s="98" t="s">
        <v>1661</v>
      </c>
    </row>
    <row r="122" ht="16.5" customHeight="1">
      <c r="A122" s="42" t="s">
        <v>80</v>
      </c>
      <c r="B122" s="91" t="s">
        <v>785</v>
      </c>
      <c r="C122" s="93" t="str">
        <f t="shared" si="5"/>
        <v>5조 - Container-based - Integrability</v>
      </c>
      <c r="D122" s="97" t="s">
        <v>673</v>
      </c>
      <c r="E122" s="98"/>
      <c r="F122" s="97" t="s">
        <v>673</v>
      </c>
      <c r="G122" s="98" t="s">
        <v>1664</v>
      </c>
    </row>
    <row r="123" ht="16.5" customHeight="1">
      <c r="A123" s="42" t="s">
        <v>117</v>
      </c>
      <c r="B123" s="91" t="s">
        <v>785</v>
      </c>
      <c r="C123" s="93" t="str">
        <f t="shared" si="5"/>
        <v>5조 - Container-based - Energy Efficiency</v>
      </c>
      <c r="D123" s="97" t="s">
        <v>673</v>
      </c>
      <c r="E123" s="98"/>
      <c r="F123" s="97" t="s">
        <v>678</v>
      </c>
      <c r="G123" s="98" t="s">
        <v>1668</v>
      </c>
    </row>
    <row r="124" ht="16.5" customHeight="1">
      <c r="A124" s="42" t="s">
        <v>151</v>
      </c>
      <c r="B124" s="91" t="s">
        <v>785</v>
      </c>
      <c r="C124" s="93" t="str">
        <f t="shared" si="5"/>
        <v>5조 - Container-based - Modifiability</v>
      </c>
      <c r="D124" s="97" t="s">
        <v>673</v>
      </c>
      <c r="E124" s="98"/>
      <c r="F124" s="97" t="s">
        <v>673</v>
      </c>
      <c r="G124" s="98" t="s">
        <v>1671</v>
      </c>
    </row>
    <row r="125" ht="16.5" customHeight="1">
      <c r="A125" s="42" t="s">
        <v>186</v>
      </c>
      <c r="B125" s="91" t="s">
        <v>785</v>
      </c>
      <c r="C125" s="93" t="str">
        <f t="shared" si="5"/>
        <v>5조 - Container-based - Performance</v>
      </c>
      <c r="D125" s="97" t="s">
        <v>673</v>
      </c>
      <c r="E125" s="98"/>
      <c r="F125" s="97" t="s">
        <v>680</v>
      </c>
      <c r="G125" s="98" t="s">
        <v>1676</v>
      </c>
    </row>
    <row r="126" ht="16.5" customHeight="1">
      <c r="A126" s="42" t="s">
        <v>221</v>
      </c>
      <c r="B126" s="91" t="s">
        <v>785</v>
      </c>
      <c r="C126" s="93" t="str">
        <f t="shared" si="5"/>
        <v>5조 - Container-based - Safety</v>
      </c>
      <c r="D126" s="97" t="s">
        <v>673</v>
      </c>
      <c r="E126" s="98"/>
      <c r="F126" s="97" t="s">
        <v>680</v>
      </c>
      <c r="G126" s="98" t="s">
        <v>1680</v>
      </c>
    </row>
    <row r="127" ht="16.5" customHeight="1">
      <c r="A127" s="42" t="s">
        <v>261</v>
      </c>
      <c r="B127" s="91" t="s">
        <v>785</v>
      </c>
      <c r="C127" s="93" t="str">
        <f t="shared" si="5"/>
        <v>5조 - Container-based - Security</v>
      </c>
      <c r="D127" s="97" t="s">
        <v>673</v>
      </c>
      <c r="E127" s="98"/>
      <c r="F127" s="97" t="s">
        <v>673</v>
      </c>
      <c r="G127" s="98" t="s">
        <v>1683</v>
      </c>
    </row>
    <row r="128" ht="16.5" customHeight="1">
      <c r="A128" s="42" t="s">
        <v>310</v>
      </c>
      <c r="B128" s="91" t="s">
        <v>785</v>
      </c>
      <c r="C128" s="93" t="str">
        <f t="shared" si="5"/>
        <v>5조 - Container-based - Testability</v>
      </c>
      <c r="D128" s="97" t="s">
        <v>673</v>
      </c>
      <c r="E128" s="98"/>
      <c r="F128" s="97" t="s">
        <v>678</v>
      </c>
      <c r="G128" s="98" t="s">
        <v>1688</v>
      </c>
    </row>
    <row r="129" ht="16.5" customHeight="1">
      <c r="A129" s="42" t="s">
        <v>346</v>
      </c>
      <c r="B129" s="91" t="s">
        <v>785</v>
      </c>
      <c r="C129" s="93" t="str">
        <f t="shared" si="5"/>
        <v>5조 - Container-based - Usability</v>
      </c>
      <c r="D129" s="97" t="s">
        <v>673</v>
      </c>
      <c r="E129" s="98"/>
      <c r="F129" s="97" t="s">
        <v>678</v>
      </c>
      <c r="G129" s="98" t="s">
        <v>1689</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82.29"/>
    <col customWidth="1" min="4" max="4" width="9.86"/>
    <col customWidth="1" min="5" max="5" width="64.43"/>
    <col customWidth="1" min="6" max="6" width="11.43"/>
    <col customWidth="1" min="7" max="7" width="61.57"/>
    <col customWidth="1" min="8" max="8" width="8.86"/>
    <col customWidth="1" min="9" max="9" width="64.14"/>
  </cols>
  <sheetData>
    <row r="1" ht="16.5" customHeight="1">
      <c r="A1" s="39" t="s">
        <v>666</v>
      </c>
      <c r="B1" s="80" t="s">
        <v>0</v>
      </c>
      <c r="C1" s="30"/>
      <c r="D1" s="80" t="s">
        <v>1</v>
      </c>
      <c r="E1" s="30"/>
      <c r="F1" s="80" t="s">
        <v>2</v>
      </c>
      <c r="G1" s="30"/>
    </row>
    <row r="2" ht="16.5" customHeight="1">
      <c r="A2" s="31"/>
      <c r="B2" s="41" t="s">
        <v>11</v>
      </c>
      <c r="C2" s="41" t="s">
        <v>12</v>
      </c>
      <c r="D2" s="41" t="s">
        <v>11</v>
      </c>
      <c r="E2" s="41" t="s">
        <v>12</v>
      </c>
      <c r="F2" s="41" t="s">
        <v>11</v>
      </c>
      <c r="G2" s="41" t="s">
        <v>12</v>
      </c>
    </row>
    <row r="3" ht="16.5" customHeight="1">
      <c r="A3" s="42" t="s">
        <v>14</v>
      </c>
      <c r="B3" s="83" t="s">
        <v>693</v>
      </c>
      <c r="C3" s="82" t="s">
        <v>1422</v>
      </c>
      <c r="D3" s="185" t="s">
        <v>680</v>
      </c>
      <c r="E3" s="186" t="s">
        <v>1425</v>
      </c>
      <c r="F3" s="97" t="s">
        <v>678</v>
      </c>
      <c r="G3" s="98" t="s">
        <v>1427</v>
      </c>
    </row>
    <row r="4" ht="16.5" customHeight="1">
      <c r="A4" s="42" t="s">
        <v>47</v>
      </c>
      <c r="B4" s="83" t="s">
        <v>680</v>
      </c>
      <c r="C4" s="82" t="s">
        <v>1428</v>
      </c>
      <c r="D4" s="188" t="s">
        <v>736</v>
      </c>
      <c r="E4" s="120" t="s">
        <v>1430</v>
      </c>
      <c r="F4" s="97" t="s">
        <v>673</v>
      </c>
      <c r="G4" s="98" t="s">
        <v>1432</v>
      </c>
    </row>
    <row r="5" ht="16.5" customHeight="1">
      <c r="A5" s="42" t="s">
        <v>80</v>
      </c>
      <c r="B5" s="83" t="s">
        <v>680</v>
      </c>
      <c r="C5" s="82" t="s">
        <v>1433</v>
      </c>
      <c r="D5" s="188" t="s">
        <v>736</v>
      </c>
      <c r="E5" s="120" t="s">
        <v>1434</v>
      </c>
      <c r="F5" s="97" t="s">
        <v>678</v>
      </c>
      <c r="G5" s="98" t="s">
        <v>1437</v>
      </c>
    </row>
    <row r="6" ht="16.5" customHeight="1">
      <c r="A6" s="42" t="s">
        <v>117</v>
      </c>
      <c r="B6" s="83" t="s">
        <v>678</v>
      </c>
      <c r="C6" s="82" t="s">
        <v>1438</v>
      </c>
      <c r="D6" s="189" t="s">
        <v>678</v>
      </c>
      <c r="E6" s="190" t="s">
        <v>1439</v>
      </c>
      <c r="F6" s="97" t="s">
        <v>693</v>
      </c>
      <c r="G6" s="98" t="s">
        <v>1440</v>
      </c>
    </row>
    <row r="7" ht="16.5" customHeight="1">
      <c r="A7" s="42" t="s">
        <v>151</v>
      </c>
      <c r="B7" s="83" t="s">
        <v>680</v>
      </c>
      <c r="C7" s="82" t="s">
        <v>1441</v>
      </c>
      <c r="D7" s="188" t="s">
        <v>680</v>
      </c>
      <c r="E7" s="120" t="s">
        <v>1442</v>
      </c>
      <c r="F7" s="97" t="s">
        <v>673</v>
      </c>
      <c r="G7" s="98" t="s">
        <v>1443</v>
      </c>
    </row>
    <row r="8" ht="16.5" customHeight="1">
      <c r="A8" s="42" t="s">
        <v>186</v>
      </c>
      <c r="B8" s="83" t="s">
        <v>673</v>
      </c>
      <c r="C8" s="82" t="s">
        <v>1444</v>
      </c>
      <c r="D8" s="188" t="s">
        <v>680</v>
      </c>
      <c r="E8" s="190" t="s">
        <v>1445</v>
      </c>
      <c r="F8" s="97" t="s">
        <v>736</v>
      </c>
      <c r="G8" s="98" t="s">
        <v>1448</v>
      </c>
    </row>
    <row r="9" ht="16.5" customHeight="1">
      <c r="A9" s="42" t="s">
        <v>221</v>
      </c>
      <c r="B9" s="83" t="s">
        <v>736</v>
      </c>
      <c r="C9" s="82" t="s">
        <v>1450</v>
      </c>
      <c r="D9" s="189" t="s">
        <v>678</v>
      </c>
      <c r="E9" s="190" t="s">
        <v>1452</v>
      </c>
      <c r="F9" s="97" t="s">
        <v>736</v>
      </c>
      <c r="G9" s="98" t="s">
        <v>1453</v>
      </c>
    </row>
    <row r="10" ht="16.5" customHeight="1">
      <c r="A10" s="42" t="s">
        <v>261</v>
      </c>
      <c r="B10" s="83" t="s">
        <v>673</v>
      </c>
      <c r="C10" s="82" t="s">
        <v>1454</v>
      </c>
      <c r="D10" s="189" t="s">
        <v>678</v>
      </c>
      <c r="E10" s="192" t="s">
        <v>1455</v>
      </c>
      <c r="F10" s="97" t="s">
        <v>673</v>
      </c>
      <c r="G10" s="98" t="s">
        <v>1456</v>
      </c>
    </row>
    <row r="11" ht="16.5" customHeight="1">
      <c r="A11" s="42" t="s">
        <v>310</v>
      </c>
      <c r="B11" s="83" t="s">
        <v>736</v>
      </c>
      <c r="C11" s="82" t="s">
        <v>1457</v>
      </c>
      <c r="D11" s="188" t="s">
        <v>680</v>
      </c>
      <c r="E11" s="120" t="s">
        <v>1458</v>
      </c>
      <c r="F11" s="97" t="s">
        <v>678</v>
      </c>
      <c r="G11" s="98" t="s">
        <v>1459</v>
      </c>
    </row>
    <row r="12" ht="16.5" customHeight="1">
      <c r="A12" s="42" t="s">
        <v>346</v>
      </c>
      <c r="B12" s="83" t="s">
        <v>678</v>
      </c>
      <c r="C12" s="82" t="s">
        <v>1460</v>
      </c>
      <c r="D12" s="188" t="s">
        <v>736</v>
      </c>
      <c r="E12" s="101" t="s">
        <v>1461</v>
      </c>
      <c r="F12" s="97" t="s">
        <v>693</v>
      </c>
      <c r="G12" s="98" t="s">
        <v>1462</v>
      </c>
    </row>
    <row r="13" ht="16.5" customHeight="1">
      <c r="A13" s="49"/>
      <c r="B13" s="56" t="s">
        <v>785</v>
      </c>
      <c r="C13" s="56" t="s">
        <v>785</v>
      </c>
      <c r="D13" s="56" t="s">
        <v>785</v>
      </c>
      <c r="E13" s="56" t="s">
        <v>785</v>
      </c>
      <c r="F13" s="56" t="s">
        <v>785</v>
      </c>
      <c r="G13" s="49"/>
    </row>
    <row r="14" ht="16.5" customHeight="1">
      <c r="A14" s="50" t="s">
        <v>3</v>
      </c>
      <c r="B14" s="85" t="s">
        <v>668</v>
      </c>
      <c r="C14" s="30"/>
      <c r="D14" s="85" t="s">
        <v>8</v>
      </c>
      <c r="E14" s="30"/>
      <c r="F14" s="49"/>
      <c r="G14" s="49"/>
    </row>
    <row r="15" ht="16.5" customHeight="1">
      <c r="A15" s="51"/>
      <c r="B15" s="52" t="s">
        <v>11</v>
      </c>
      <c r="C15" s="86" t="s">
        <v>12</v>
      </c>
      <c r="D15" s="52" t="s">
        <v>11</v>
      </c>
      <c r="E15" s="86" t="s">
        <v>12</v>
      </c>
      <c r="F15" s="49"/>
      <c r="G15" s="49"/>
    </row>
    <row r="16" ht="16.5" customHeight="1">
      <c r="A16" s="42" t="s">
        <v>14</v>
      </c>
      <c r="B16" s="97" t="s">
        <v>673</v>
      </c>
      <c r="C16" s="98" t="s">
        <v>1463</v>
      </c>
      <c r="D16" s="97" t="s">
        <v>693</v>
      </c>
      <c r="E16" s="174" t="s">
        <v>1464</v>
      </c>
      <c r="F16" s="49"/>
      <c r="G16" s="49"/>
    </row>
    <row r="17" ht="16.5" customHeight="1">
      <c r="A17" s="42" t="s">
        <v>47</v>
      </c>
      <c r="B17" s="97" t="s">
        <v>673</v>
      </c>
      <c r="C17" s="98" t="s">
        <v>1465</v>
      </c>
      <c r="D17" s="97" t="s">
        <v>673</v>
      </c>
      <c r="E17" s="191" t="s">
        <v>1466</v>
      </c>
      <c r="F17" s="49"/>
      <c r="G17" s="49"/>
    </row>
    <row r="18" ht="16.5" customHeight="1">
      <c r="A18" s="42" t="s">
        <v>80</v>
      </c>
      <c r="B18" s="187" t="s">
        <v>680</v>
      </c>
      <c r="C18" s="98" t="s">
        <v>1467</v>
      </c>
      <c r="D18" s="97" t="s">
        <v>680</v>
      </c>
      <c r="E18" s="174" t="s">
        <v>1468</v>
      </c>
      <c r="F18" s="49"/>
      <c r="G18" s="49"/>
    </row>
    <row r="19" ht="16.5" customHeight="1">
      <c r="A19" s="42" t="s">
        <v>117</v>
      </c>
      <c r="B19" s="97" t="s">
        <v>680</v>
      </c>
      <c r="C19" s="98" t="s">
        <v>1469</v>
      </c>
      <c r="D19" s="97" t="s">
        <v>673</v>
      </c>
      <c r="E19" s="191" t="s">
        <v>1470</v>
      </c>
      <c r="F19" s="49"/>
      <c r="G19" s="49"/>
    </row>
    <row r="20" ht="16.5" customHeight="1">
      <c r="A20" s="42" t="s">
        <v>151</v>
      </c>
      <c r="B20" s="97" t="s">
        <v>673</v>
      </c>
      <c r="C20" s="98" t="s">
        <v>1471</v>
      </c>
      <c r="D20" s="97" t="s">
        <v>680</v>
      </c>
      <c r="E20" s="174" t="s">
        <v>1472</v>
      </c>
      <c r="F20" s="49"/>
      <c r="G20" s="49"/>
    </row>
    <row r="21" ht="16.5" customHeight="1">
      <c r="A21" s="42" t="s">
        <v>186</v>
      </c>
      <c r="B21" s="97" t="s">
        <v>680</v>
      </c>
      <c r="C21" s="98" t="s">
        <v>1473</v>
      </c>
      <c r="D21" s="97" t="s">
        <v>693</v>
      </c>
      <c r="E21" s="174" t="s">
        <v>1474</v>
      </c>
      <c r="F21" s="49"/>
      <c r="G21" s="49"/>
    </row>
    <row r="22" ht="16.5" customHeight="1">
      <c r="A22" s="42" t="s">
        <v>221</v>
      </c>
      <c r="B22" s="97" t="s">
        <v>693</v>
      </c>
      <c r="C22" s="98" t="s">
        <v>1475</v>
      </c>
      <c r="D22" s="97" t="s">
        <v>673</v>
      </c>
      <c r="E22" s="174" t="s">
        <v>1476</v>
      </c>
      <c r="F22" s="49"/>
      <c r="G22" s="49"/>
    </row>
    <row r="23" ht="16.5" customHeight="1">
      <c r="A23" s="42" t="s">
        <v>261</v>
      </c>
      <c r="B23" s="97" t="s">
        <v>673</v>
      </c>
      <c r="C23" s="98" t="s">
        <v>1477</v>
      </c>
      <c r="D23" s="97" t="s">
        <v>693</v>
      </c>
      <c r="E23" s="174" t="s">
        <v>1478</v>
      </c>
      <c r="F23" s="49"/>
      <c r="G23" s="49"/>
    </row>
    <row r="24" ht="16.5" customHeight="1">
      <c r="A24" s="42" t="s">
        <v>310</v>
      </c>
      <c r="B24" s="97" t="s">
        <v>673</v>
      </c>
      <c r="C24" s="98" t="s">
        <v>1479</v>
      </c>
      <c r="D24" s="187" t="s">
        <v>673</v>
      </c>
      <c r="E24" s="174" t="s">
        <v>1480</v>
      </c>
      <c r="F24" s="49"/>
      <c r="G24" s="49"/>
    </row>
    <row r="25" ht="16.5" customHeight="1">
      <c r="A25" s="42" t="s">
        <v>346</v>
      </c>
      <c r="B25" s="97" t="s">
        <v>680</v>
      </c>
      <c r="C25" s="98" t="s">
        <v>1481</v>
      </c>
      <c r="D25" s="97" t="s">
        <v>678</v>
      </c>
      <c r="E25" s="98" t="s">
        <v>1482</v>
      </c>
      <c r="F25" s="49"/>
      <c r="G25" s="49"/>
    </row>
    <row r="26" ht="16.5" customHeight="1">
      <c r="A26" s="49"/>
      <c r="B26" s="56" t="s">
        <v>785</v>
      </c>
      <c r="C26" s="56" t="s">
        <v>785</v>
      </c>
      <c r="D26" s="56" t="s">
        <v>785</v>
      </c>
      <c r="E26" s="56" t="s">
        <v>785</v>
      </c>
      <c r="F26" s="49"/>
      <c r="G26" s="49"/>
    </row>
    <row r="27" ht="16.5" customHeight="1">
      <c r="A27" s="50" t="s">
        <v>4</v>
      </c>
      <c r="B27" s="85" t="s">
        <v>6</v>
      </c>
      <c r="C27" s="30"/>
      <c r="D27" s="85" t="s">
        <v>9</v>
      </c>
      <c r="E27" s="30"/>
      <c r="F27" s="49"/>
      <c r="G27" s="49"/>
    </row>
    <row r="28" ht="16.5" customHeight="1">
      <c r="A28" s="53"/>
      <c r="B28" s="41" t="s">
        <v>11</v>
      </c>
      <c r="C28" s="58" t="s">
        <v>12</v>
      </c>
      <c r="D28" s="41" t="s">
        <v>11</v>
      </c>
      <c r="E28" s="58" t="s">
        <v>12</v>
      </c>
      <c r="F28" s="49"/>
      <c r="G28" s="49"/>
    </row>
    <row r="29" ht="16.5" customHeight="1">
      <c r="A29" s="42" t="s">
        <v>14</v>
      </c>
      <c r="B29" s="97" t="s">
        <v>693</v>
      </c>
      <c r="C29" s="98" t="s">
        <v>1483</v>
      </c>
      <c r="D29" s="97" t="s">
        <v>680</v>
      </c>
      <c r="E29" s="98" t="s">
        <v>1484</v>
      </c>
      <c r="F29" s="49"/>
      <c r="G29" s="49"/>
    </row>
    <row r="30" ht="16.5" customHeight="1">
      <c r="A30" s="42" t="s">
        <v>47</v>
      </c>
      <c r="B30" s="97" t="s">
        <v>680</v>
      </c>
      <c r="C30" s="98" t="s">
        <v>1485</v>
      </c>
      <c r="D30" s="97" t="s">
        <v>736</v>
      </c>
      <c r="E30" s="98" t="s">
        <v>1486</v>
      </c>
      <c r="F30" s="49"/>
      <c r="G30" s="49"/>
    </row>
    <row r="31" ht="16.5" customHeight="1">
      <c r="A31" s="42" t="s">
        <v>80</v>
      </c>
      <c r="B31" s="97" t="s">
        <v>680</v>
      </c>
      <c r="C31" s="98" t="s">
        <v>1485</v>
      </c>
      <c r="D31" s="97" t="s">
        <v>680</v>
      </c>
      <c r="E31" s="98" t="s">
        <v>1487</v>
      </c>
      <c r="F31" s="49"/>
      <c r="G31" s="49"/>
    </row>
    <row r="32" ht="16.5" customHeight="1">
      <c r="A32" s="42" t="s">
        <v>117</v>
      </c>
      <c r="B32" s="97" t="s">
        <v>693</v>
      </c>
      <c r="C32" s="98" t="s">
        <v>1488</v>
      </c>
      <c r="D32" s="97" t="s">
        <v>673</v>
      </c>
      <c r="E32" s="98" t="s">
        <v>1489</v>
      </c>
      <c r="F32" s="49"/>
      <c r="G32" s="49"/>
    </row>
    <row r="33" ht="16.5" customHeight="1">
      <c r="A33" s="42" t="s">
        <v>151</v>
      </c>
      <c r="B33" s="97" t="s">
        <v>680</v>
      </c>
      <c r="C33" s="98" t="s">
        <v>1490</v>
      </c>
      <c r="D33" s="97" t="s">
        <v>680</v>
      </c>
      <c r="E33" s="98" t="s">
        <v>1491</v>
      </c>
      <c r="F33" s="49"/>
      <c r="G33" s="49"/>
    </row>
    <row r="34" ht="16.5" customHeight="1">
      <c r="A34" s="42" t="s">
        <v>186</v>
      </c>
      <c r="B34" s="97" t="s">
        <v>673</v>
      </c>
      <c r="C34" s="96" t="s">
        <v>1493</v>
      </c>
      <c r="D34" s="97" t="s">
        <v>678</v>
      </c>
      <c r="E34" s="98" t="s">
        <v>1494</v>
      </c>
      <c r="F34" s="49"/>
      <c r="G34" s="49"/>
    </row>
    <row r="35" ht="16.5" customHeight="1">
      <c r="A35" s="42" t="s">
        <v>221</v>
      </c>
      <c r="B35" s="97" t="s">
        <v>673</v>
      </c>
      <c r="C35" s="98" t="s">
        <v>1496</v>
      </c>
      <c r="D35" s="97" t="s">
        <v>678</v>
      </c>
      <c r="E35" s="98" t="s">
        <v>1497</v>
      </c>
      <c r="F35" s="49"/>
      <c r="G35" s="49"/>
    </row>
    <row r="36" ht="16.5" customHeight="1">
      <c r="A36" s="42" t="s">
        <v>261</v>
      </c>
      <c r="B36" s="97" t="s">
        <v>673</v>
      </c>
      <c r="C36" s="96" t="s">
        <v>1499</v>
      </c>
      <c r="D36" s="97" t="s">
        <v>678</v>
      </c>
      <c r="E36" s="98" t="s">
        <v>1500</v>
      </c>
      <c r="F36" s="49"/>
      <c r="G36" s="49"/>
    </row>
    <row r="37" ht="16.5" customHeight="1">
      <c r="A37" s="42" t="s">
        <v>310</v>
      </c>
      <c r="B37" s="97" t="s">
        <v>673</v>
      </c>
      <c r="C37" s="98" t="s">
        <v>1502</v>
      </c>
      <c r="D37" s="97" t="s">
        <v>673</v>
      </c>
      <c r="E37" s="98" t="s">
        <v>1503</v>
      </c>
      <c r="F37" s="49"/>
      <c r="G37" s="49"/>
    </row>
    <row r="38" ht="16.5" customHeight="1">
      <c r="A38" s="42" t="s">
        <v>346</v>
      </c>
      <c r="B38" s="97" t="s">
        <v>673</v>
      </c>
      <c r="C38" s="98" t="s">
        <v>1505</v>
      </c>
      <c r="D38" s="97" t="s">
        <v>680</v>
      </c>
      <c r="E38" s="98" t="s">
        <v>1507</v>
      </c>
      <c r="F38" s="49"/>
      <c r="G38" s="49"/>
    </row>
    <row r="39" ht="16.5" customHeight="1">
      <c r="A39" s="49"/>
      <c r="B39" s="56" t="s">
        <v>785</v>
      </c>
      <c r="C39" s="56" t="s">
        <v>785</v>
      </c>
      <c r="D39" s="56" t="s">
        <v>785</v>
      </c>
      <c r="E39" s="56" t="s">
        <v>785</v>
      </c>
      <c r="F39" s="49"/>
      <c r="G39" s="49"/>
    </row>
    <row r="40" ht="16.5" customHeight="1">
      <c r="A40" s="50" t="s">
        <v>7</v>
      </c>
      <c r="B40" s="80" t="s">
        <v>10</v>
      </c>
      <c r="C40" s="30"/>
      <c r="D40" s="80" t="s">
        <v>13</v>
      </c>
      <c r="E40" s="30"/>
      <c r="F40" s="49"/>
      <c r="G40" s="49"/>
      <c r="H40" s="49"/>
    </row>
    <row r="41" ht="16.5" customHeight="1">
      <c r="A41" s="53"/>
      <c r="B41" s="41" t="s">
        <v>11</v>
      </c>
      <c r="C41" s="41" t="s">
        <v>12</v>
      </c>
      <c r="D41" s="41" t="s">
        <v>11</v>
      </c>
      <c r="E41" s="41" t="s">
        <v>12</v>
      </c>
      <c r="F41" s="49"/>
      <c r="G41" s="49"/>
      <c r="H41" s="49"/>
      <c r="I41" s="54"/>
    </row>
    <row r="42" ht="16.5" customHeight="1">
      <c r="A42" s="42" t="s">
        <v>14</v>
      </c>
      <c r="B42" s="91" t="s">
        <v>785</v>
      </c>
      <c r="C42" s="93" t="str">
        <f t="shared" ref="C42:C51" si="1">"6조" &amp; " - " &amp; B$40 &amp; " - " &amp; $A42</f>
        <v>6조 - MVC - Availability</v>
      </c>
      <c r="D42" s="91" t="s">
        <v>785</v>
      </c>
      <c r="E42" s="93" t="str">
        <f t="shared" ref="E42:E51" si="2">"6조" &amp; " - " &amp; D$40 &amp; " - " &amp; $A42</f>
        <v>6조 - PAC - Availability</v>
      </c>
      <c r="F42" s="49"/>
      <c r="G42" s="49"/>
      <c r="H42" s="49"/>
    </row>
    <row r="43" ht="16.5" customHeight="1">
      <c r="A43" s="42" t="s">
        <v>47</v>
      </c>
      <c r="B43" s="91" t="s">
        <v>785</v>
      </c>
      <c r="C43" s="93" t="str">
        <f t="shared" si="1"/>
        <v>6조 - MVC - Deployability</v>
      </c>
      <c r="D43" s="91" t="s">
        <v>785</v>
      </c>
      <c r="E43" s="93" t="str">
        <f t="shared" si="2"/>
        <v>6조 - PAC - Deployability</v>
      </c>
      <c r="F43" s="49"/>
      <c r="G43" s="49"/>
      <c r="H43" s="49"/>
    </row>
    <row r="44" ht="16.5" customHeight="1">
      <c r="A44" s="42" t="s">
        <v>80</v>
      </c>
      <c r="B44" s="91" t="s">
        <v>785</v>
      </c>
      <c r="C44" s="93" t="str">
        <f t="shared" si="1"/>
        <v>6조 - MVC - Integrability</v>
      </c>
      <c r="D44" s="91" t="s">
        <v>785</v>
      </c>
      <c r="E44" s="93" t="str">
        <f t="shared" si="2"/>
        <v>6조 - PAC - Integrability</v>
      </c>
      <c r="F44" s="49"/>
      <c r="G44" s="49"/>
      <c r="H44" s="49"/>
    </row>
    <row r="45" ht="16.5" customHeight="1">
      <c r="A45" s="42" t="s">
        <v>117</v>
      </c>
      <c r="B45" s="91" t="s">
        <v>785</v>
      </c>
      <c r="C45" s="93" t="str">
        <f t="shared" si="1"/>
        <v>6조 - MVC - Energy Efficiency</v>
      </c>
      <c r="D45" s="91" t="s">
        <v>785</v>
      </c>
      <c r="E45" s="93" t="str">
        <f t="shared" si="2"/>
        <v>6조 - PAC - Energy Efficiency</v>
      </c>
      <c r="F45" s="49"/>
      <c r="G45" s="49"/>
      <c r="H45" s="49"/>
    </row>
    <row r="46" ht="16.5" customHeight="1">
      <c r="A46" s="42" t="s">
        <v>151</v>
      </c>
      <c r="B46" s="91" t="s">
        <v>785</v>
      </c>
      <c r="C46" s="93" t="str">
        <f t="shared" si="1"/>
        <v>6조 - MVC - Modifiability</v>
      </c>
      <c r="D46" s="91" t="s">
        <v>785</v>
      </c>
      <c r="E46" s="93" t="str">
        <f t="shared" si="2"/>
        <v>6조 - PAC - Modifiability</v>
      </c>
      <c r="F46" s="49"/>
      <c r="G46" s="49"/>
      <c r="H46" s="49"/>
    </row>
    <row r="47" ht="16.5" customHeight="1">
      <c r="A47" s="42" t="s">
        <v>186</v>
      </c>
      <c r="B47" s="91" t="s">
        <v>785</v>
      </c>
      <c r="C47" s="93" t="str">
        <f t="shared" si="1"/>
        <v>6조 - MVC - Performance</v>
      </c>
      <c r="D47" s="91" t="s">
        <v>785</v>
      </c>
      <c r="E47" s="93" t="str">
        <f t="shared" si="2"/>
        <v>6조 - PAC - Performance</v>
      </c>
      <c r="F47" s="49"/>
      <c r="G47" s="49"/>
      <c r="H47" s="49"/>
    </row>
    <row r="48" ht="16.5" customHeight="1">
      <c r="A48" s="42" t="s">
        <v>221</v>
      </c>
      <c r="B48" s="91" t="s">
        <v>785</v>
      </c>
      <c r="C48" s="93" t="str">
        <f t="shared" si="1"/>
        <v>6조 - MVC - Safety</v>
      </c>
      <c r="D48" s="91" t="s">
        <v>785</v>
      </c>
      <c r="E48" s="93" t="str">
        <f t="shared" si="2"/>
        <v>6조 - PAC - Safety</v>
      </c>
      <c r="F48" s="49"/>
      <c r="G48" s="49"/>
      <c r="H48" s="49"/>
    </row>
    <row r="49" ht="16.5" customHeight="1">
      <c r="A49" s="42" t="s">
        <v>261</v>
      </c>
      <c r="B49" s="91" t="s">
        <v>785</v>
      </c>
      <c r="C49" s="93" t="str">
        <f t="shared" si="1"/>
        <v>6조 - MVC - Security</v>
      </c>
      <c r="D49" s="91" t="s">
        <v>785</v>
      </c>
      <c r="E49" s="93" t="str">
        <f t="shared" si="2"/>
        <v>6조 - PAC - Security</v>
      </c>
      <c r="F49" s="49"/>
      <c r="G49" s="49"/>
      <c r="H49" s="49"/>
    </row>
    <row r="50" ht="16.5" customHeight="1">
      <c r="A50" s="42" t="s">
        <v>310</v>
      </c>
      <c r="B50" s="91" t="s">
        <v>785</v>
      </c>
      <c r="C50" s="93" t="str">
        <f t="shared" si="1"/>
        <v>6조 - MVC - Testability</v>
      </c>
      <c r="D50" s="91" t="s">
        <v>785</v>
      </c>
      <c r="E50" s="93" t="str">
        <f t="shared" si="2"/>
        <v>6조 - PAC - Testability</v>
      </c>
      <c r="F50" s="49"/>
      <c r="G50" s="56" t="s">
        <v>785</v>
      </c>
      <c r="H50" s="49"/>
      <c r="I50" s="55"/>
    </row>
    <row r="51" ht="16.5" customHeight="1">
      <c r="A51" s="42" t="s">
        <v>346</v>
      </c>
      <c r="B51" s="91" t="s">
        <v>785</v>
      </c>
      <c r="C51" s="93" t="str">
        <f t="shared" si="1"/>
        <v>6조 - MVC - Usability</v>
      </c>
      <c r="D51" s="91" t="s">
        <v>785</v>
      </c>
      <c r="E51" s="93" t="str">
        <f t="shared" si="2"/>
        <v>6조 - PAC - Usability</v>
      </c>
      <c r="F51" s="49"/>
      <c r="G51" s="56" t="s">
        <v>785</v>
      </c>
      <c r="H51" s="49"/>
      <c r="I51" s="54"/>
    </row>
    <row r="52" ht="16.5" customHeight="1">
      <c r="A52" s="49"/>
      <c r="B52" s="56" t="s">
        <v>785</v>
      </c>
      <c r="C52" s="49"/>
      <c r="D52" s="56" t="s">
        <v>785</v>
      </c>
      <c r="E52" s="49"/>
      <c r="F52" s="49"/>
      <c r="G52" s="49"/>
    </row>
    <row r="53" ht="16.5" customHeight="1">
      <c r="A53" s="50" t="s">
        <v>413</v>
      </c>
      <c r="B53" s="85" t="s">
        <v>414</v>
      </c>
      <c r="C53" s="30"/>
      <c r="D53" s="85" t="s">
        <v>415</v>
      </c>
      <c r="E53" s="30"/>
      <c r="F53" s="49"/>
      <c r="G53" s="56" t="s">
        <v>785</v>
      </c>
      <c r="H53" s="49"/>
    </row>
    <row r="54" ht="16.5" customHeight="1">
      <c r="A54" s="53"/>
      <c r="B54" s="41" t="s">
        <v>11</v>
      </c>
      <c r="C54" s="58" t="s">
        <v>12</v>
      </c>
      <c r="D54" s="41" t="s">
        <v>11</v>
      </c>
      <c r="E54" s="58" t="s">
        <v>12</v>
      </c>
      <c r="F54" s="49"/>
      <c r="G54" s="56" t="s">
        <v>785</v>
      </c>
      <c r="H54" s="49"/>
    </row>
    <row r="55" ht="16.5" customHeight="1">
      <c r="A55" s="42" t="s">
        <v>14</v>
      </c>
      <c r="B55" s="97" t="s">
        <v>673</v>
      </c>
      <c r="C55" s="193" t="s">
        <v>1525</v>
      </c>
      <c r="D55" s="97" t="s">
        <v>678</v>
      </c>
      <c r="E55" s="98" t="s">
        <v>1526</v>
      </c>
      <c r="F55" s="49"/>
      <c r="G55" s="56" t="s">
        <v>785</v>
      </c>
      <c r="H55" s="49"/>
    </row>
    <row r="56" ht="16.5" customHeight="1">
      <c r="A56" s="42" t="s">
        <v>47</v>
      </c>
      <c r="B56" s="97" t="s">
        <v>673</v>
      </c>
      <c r="C56" s="96" t="s">
        <v>1527</v>
      </c>
      <c r="D56" s="97" t="s">
        <v>678</v>
      </c>
      <c r="E56" s="98" t="s">
        <v>1529</v>
      </c>
      <c r="F56" s="49"/>
      <c r="G56" s="56" t="s">
        <v>785</v>
      </c>
      <c r="H56" s="49"/>
    </row>
    <row r="57" ht="16.5" customHeight="1">
      <c r="A57" s="42" t="s">
        <v>80</v>
      </c>
      <c r="B57" s="97" t="s">
        <v>673</v>
      </c>
      <c r="C57" s="194" t="s">
        <v>1530</v>
      </c>
      <c r="D57" s="97" t="s">
        <v>678</v>
      </c>
      <c r="E57" s="98" t="s">
        <v>1531</v>
      </c>
      <c r="F57" s="49"/>
      <c r="G57" s="56" t="s">
        <v>785</v>
      </c>
      <c r="H57" s="49"/>
    </row>
    <row r="58" ht="16.5" customHeight="1">
      <c r="A58" s="42" t="s">
        <v>117</v>
      </c>
      <c r="B58" s="97" t="s">
        <v>736</v>
      </c>
      <c r="C58" s="194" t="s">
        <v>1533</v>
      </c>
      <c r="D58" s="97" t="s">
        <v>673</v>
      </c>
      <c r="E58" s="98" t="s">
        <v>1534</v>
      </c>
      <c r="F58" s="49"/>
      <c r="G58" s="56" t="s">
        <v>785</v>
      </c>
      <c r="H58" s="49"/>
    </row>
    <row r="59" ht="16.5" customHeight="1">
      <c r="A59" s="42" t="s">
        <v>151</v>
      </c>
      <c r="B59" s="97" t="s">
        <v>693</v>
      </c>
      <c r="C59" s="193" t="s">
        <v>1536</v>
      </c>
      <c r="D59" s="97" t="s">
        <v>680</v>
      </c>
      <c r="E59" s="98" t="s">
        <v>1537</v>
      </c>
      <c r="F59" s="49"/>
      <c r="G59" s="56" t="s">
        <v>785</v>
      </c>
      <c r="H59" s="49"/>
    </row>
    <row r="60" ht="16.5" customHeight="1">
      <c r="A60" s="42" t="s">
        <v>186</v>
      </c>
      <c r="B60" s="97" t="s">
        <v>736</v>
      </c>
      <c r="C60" s="98" t="s">
        <v>1538</v>
      </c>
      <c r="D60" s="97" t="s">
        <v>680</v>
      </c>
      <c r="E60" s="98" t="s">
        <v>1539</v>
      </c>
      <c r="F60" s="49"/>
      <c r="G60" s="56" t="s">
        <v>785</v>
      </c>
      <c r="H60" s="49"/>
      <c r="I60" s="55"/>
    </row>
    <row r="61" ht="16.5" customHeight="1">
      <c r="A61" s="42" t="s">
        <v>221</v>
      </c>
      <c r="B61" s="97" t="s">
        <v>673</v>
      </c>
      <c r="C61" s="98" t="s">
        <v>1540</v>
      </c>
      <c r="D61" s="97" t="s">
        <v>736</v>
      </c>
      <c r="E61" s="98" t="s">
        <v>1541</v>
      </c>
      <c r="F61" s="49"/>
      <c r="G61" s="56" t="s">
        <v>785</v>
      </c>
      <c r="H61" s="49"/>
      <c r="I61" s="54"/>
    </row>
    <row r="62" ht="16.5" customHeight="1">
      <c r="A62" s="42" t="s">
        <v>261</v>
      </c>
      <c r="B62" s="97" t="s">
        <v>673</v>
      </c>
      <c r="C62" s="98" t="s">
        <v>1542</v>
      </c>
      <c r="D62" s="97" t="s">
        <v>673</v>
      </c>
      <c r="E62" s="98" t="s">
        <v>1543</v>
      </c>
      <c r="F62" s="49"/>
      <c r="G62" s="56" t="s">
        <v>785</v>
      </c>
      <c r="H62" s="49"/>
    </row>
    <row r="63" ht="16.5" customHeight="1">
      <c r="A63" s="42" t="s">
        <v>310</v>
      </c>
      <c r="B63" s="97" t="s">
        <v>678</v>
      </c>
      <c r="C63" s="98" t="s">
        <v>1544</v>
      </c>
      <c r="D63" s="97" t="s">
        <v>673</v>
      </c>
      <c r="E63" s="98" t="s">
        <v>1545</v>
      </c>
      <c r="F63" s="49"/>
      <c r="G63" s="56" t="s">
        <v>785</v>
      </c>
      <c r="H63" s="49"/>
    </row>
    <row r="64" ht="16.5" customHeight="1">
      <c r="A64" s="42" t="s">
        <v>346</v>
      </c>
      <c r="B64" s="97" t="s">
        <v>678</v>
      </c>
      <c r="C64" s="98" t="s">
        <v>1546</v>
      </c>
      <c r="D64" s="97" t="s">
        <v>680</v>
      </c>
      <c r="E64" s="98" t="s">
        <v>1548</v>
      </c>
      <c r="F64" s="49"/>
      <c r="G64" s="56" t="s">
        <v>785</v>
      </c>
      <c r="H64" s="49"/>
    </row>
    <row r="65" ht="16.5" customHeight="1">
      <c r="A65" s="49"/>
      <c r="B65" s="56" t="s">
        <v>785</v>
      </c>
      <c r="C65" s="56" t="s">
        <v>785</v>
      </c>
      <c r="D65" s="56" t="s">
        <v>785</v>
      </c>
      <c r="E65" s="56" t="s">
        <v>785</v>
      </c>
      <c r="F65" s="49"/>
      <c r="G65" s="56" t="s">
        <v>785</v>
      </c>
      <c r="H65" s="49"/>
    </row>
    <row r="66" ht="16.5" customHeight="1">
      <c r="A66" s="50" t="s">
        <v>413</v>
      </c>
      <c r="B66" s="85" t="s">
        <v>420</v>
      </c>
      <c r="C66" s="30"/>
      <c r="D66" s="85" t="s">
        <v>421</v>
      </c>
      <c r="E66" s="30"/>
      <c r="F66" s="85" t="s">
        <v>422</v>
      </c>
      <c r="G66" s="30"/>
      <c r="H66" s="49"/>
    </row>
    <row r="67" ht="16.5" customHeight="1">
      <c r="A67" s="53"/>
      <c r="B67" s="41" t="s">
        <v>11</v>
      </c>
      <c r="C67" s="58" t="s">
        <v>12</v>
      </c>
      <c r="D67" s="41" t="s">
        <v>11</v>
      </c>
      <c r="E67" s="58" t="s">
        <v>12</v>
      </c>
      <c r="F67" s="41" t="s">
        <v>11</v>
      </c>
      <c r="G67" s="58" t="s">
        <v>12</v>
      </c>
      <c r="H67" s="49"/>
    </row>
    <row r="68" ht="16.5" customHeight="1">
      <c r="A68" s="42" t="s">
        <v>14</v>
      </c>
      <c r="B68" s="97" t="s">
        <v>678</v>
      </c>
      <c r="C68" s="98" t="s">
        <v>1551</v>
      </c>
      <c r="D68" s="91" t="s">
        <v>785</v>
      </c>
      <c r="E68" s="93" t="str">
        <f t="shared" ref="E68:E77" si="3">"6조" &amp; " - " &amp; D$66 &amp; " - " &amp; $A68</f>
        <v>6조 - Virtual Machine - Availability</v>
      </c>
      <c r="F68" s="91" t="s">
        <v>785</v>
      </c>
      <c r="G68" s="93" t="str">
        <f t="shared" ref="G68:G77" si="4">"6조" &amp; " - " &amp; F$66 &amp; " - " &amp; $A68</f>
        <v>6조 - Microkernel - Availability</v>
      </c>
      <c r="H68" s="49"/>
    </row>
    <row r="69" ht="16.5" customHeight="1">
      <c r="A69" s="42" t="s">
        <v>47</v>
      </c>
      <c r="B69" s="97" t="s">
        <v>680</v>
      </c>
      <c r="C69" s="98" t="s">
        <v>1556</v>
      </c>
      <c r="D69" s="91" t="s">
        <v>785</v>
      </c>
      <c r="E69" s="104" t="str">
        <f t="shared" si="3"/>
        <v>6조 - Virtual Machine - Deployability</v>
      </c>
      <c r="F69" s="91" t="s">
        <v>785</v>
      </c>
      <c r="G69" s="93" t="str">
        <f t="shared" si="4"/>
        <v>6조 - Microkernel - Deployability</v>
      </c>
      <c r="H69" s="49"/>
    </row>
    <row r="70" ht="16.5" customHeight="1">
      <c r="A70" s="42" t="s">
        <v>80</v>
      </c>
      <c r="B70" s="97" t="s">
        <v>680</v>
      </c>
      <c r="C70" s="98" t="s">
        <v>1561</v>
      </c>
      <c r="D70" s="91" t="s">
        <v>785</v>
      </c>
      <c r="E70" s="93" t="str">
        <f t="shared" si="3"/>
        <v>6조 - Virtual Machine - Integrability</v>
      </c>
      <c r="F70" s="91" t="s">
        <v>785</v>
      </c>
      <c r="G70" s="93" t="str">
        <f t="shared" si="4"/>
        <v>6조 - Microkernel - Integrability</v>
      </c>
      <c r="H70" s="49"/>
    </row>
    <row r="71" ht="16.5" customHeight="1">
      <c r="A71" s="42" t="s">
        <v>117</v>
      </c>
      <c r="B71" s="97" t="s">
        <v>673</v>
      </c>
      <c r="C71" s="98" t="s">
        <v>1565</v>
      </c>
      <c r="D71" s="91" t="s">
        <v>785</v>
      </c>
      <c r="E71" s="93" t="str">
        <f t="shared" si="3"/>
        <v>6조 - Virtual Machine - Energy Efficiency</v>
      </c>
      <c r="F71" s="91" t="s">
        <v>785</v>
      </c>
      <c r="G71" s="93" t="str">
        <f t="shared" si="4"/>
        <v>6조 - Microkernel - Energy Efficiency</v>
      </c>
      <c r="H71" s="49"/>
    </row>
    <row r="72" ht="16.5" customHeight="1">
      <c r="A72" s="42" t="s">
        <v>151</v>
      </c>
      <c r="B72" s="97" t="s">
        <v>680</v>
      </c>
      <c r="C72" s="98" t="s">
        <v>1569</v>
      </c>
      <c r="D72" s="91" t="s">
        <v>785</v>
      </c>
      <c r="E72" s="93" t="str">
        <f t="shared" si="3"/>
        <v>6조 - Virtual Machine - Modifiability</v>
      </c>
      <c r="F72" s="91" t="s">
        <v>785</v>
      </c>
      <c r="G72" s="93" t="str">
        <f t="shared" si="4"/>
        <v>6조 - Microkernel - Modifiability</v>
      </c>
      <c r="H72" s="49"/>
    </row>
    <row r="73" ht="16.5" customHeight="1">
      <c r="A73" s="42" t="s">
        <v>186</v>
      </c>
      <c r="B73" s="97" t="s">
        <v>693</v>
      </c>
      <c r="C73" s="98" t="s">
        <v>1573</v>
      </c>
      <c r="D73" s="91" t="s">
        <v>785</v>
      </c>
      <c r="E73" s="93" t="str">
        <f t="shared" si="3"/>
        <v>6조 - Virtual Machine - Performance</v>
      </c>
      <c r="F73" s="91" t="s">
        <v>785</v>
      </c>
      <c r="G73" s="93" t="str">
        <f t="shared" si="4"/>
        <v>6조 - Microkernel - Performance</v>
      </c>
      <c r="H73" s="49"/>
    </row>
    <row r="74" ht="16.5" customHeight="1">
      <c r="A74" s="42" t="s">
        <v>221</v>
      </c>
      <c r="B74" s="97" t="s">
        <v>680</v>
      </c>
      <c r="C74" s="98" t="s">
        <v>1577</v>
      </c>
      <c r="D74" s="91" t="s">
        <v>785</v>
      </c>
      <c r="E74" s="93" t="str">
        <f t="shared" si="3"/>
        <v>6조 - Virtual Machine - Safety</v>
      </c>
      <c r="F74" s="91" t="s">
        <v>785</v>
      </c>
      <c r="G74" s="93" t="str">
        <f t="shared" si="4"/>
        <v>6조 - Microkernel - Safety</v>
      </c>
    </row>
    <row r="75" ht="16.5" customHeight="1">
      <c r="A75" s="42" t="s">
        <v>261</v>
      </c>
      <c r="B75" s="97" t="s">
        <v>680</v>
      </c>
      <c r="C75" s="98" t="s">
        <v>1578</v>
      </c>
      <c r="D75" s="91" t="s">
        <v>785</v>
      </c>
      <c r="E75" s="93" t="str">
        <f t="shared" si="3"/>
        <v>6조 - Virtual Machine - Security</v>
      </c>
      <c r="F75" s="91" t="s">
        <v>785</v>
      </c>
      <c r="G75" s="93" t="str">
        <f t="shared" si="4"/>
        <v>6조 - Microkernel - Security</v>
      </c>
    </row>
    <row r="76" ht="16.5" customHeight="1">
      <c r="A76" s="42" t="s">
        <v>310</v>
      </c>
      <c r="B76" s="97" t="s">
        <v>680</v>
      </c>
      <c r="C76" s="98" t="s">
        <v>1579</v>
      </c>
      <c r="D76" s="91" t="s">
        <v>785</v>
      </c>
      <c r="E76" s="93" t="str">
        <f t="shared" si="3"/>
        <v>6조 - Virtual Machine - Testability</v>
      </c>
      <c r="F76" s="91" t="s">
        <v>785</v>
      </c>
      <c r="G76" s="93" t="str">
        <f t="shared" si="4"/>
        <v>6조 - Microkernel - Testability</v>
      </c>
    </row>
    <row r="77" ht="16.5" customHeight="1">
      <c r="A77" s="42" t="s">
        <v>346</v>
      </c>
      <c r="B77" s="97" t="s">
        <v>680</v>
      </c>
      <c r="C77" s="98" t="s">
        <v>1580</v>
      </c>
      <c r="D77" s="91" t="s">
        <v>785</v>
      </c>
      <c r="E77" s="93" t="str">
        <f t="shared" si="3"/>
        <v>6조 - Virtual Machine - Usability</v>
      </c>
      <c r="F77" s="91" t="s">
        <v>785</v>
      </c>
      <c r="G77" s="93" t="str">
        <f t="shared" si="4"/>
        <v>6조 - Microkernel - Usability</v>
      </c>
    </row>
    <row r="78" ht="16.5" customHeight="1">
      <c r="A78" s="49"/>
      <c r="B78" s="56" t="s">
        <v>785</v>
      </c>
      <c r="C78" s="56" t="s">
        <v>785</v>
      </c>
      <c r="D78" s="56" t="s">
        <v>785</v>
      </c>
      <c r="E78" s="56" t="s">
        <v>785</v>
      </c>
      <c r="F78" s="56" t="s">
        <v>785</v>
      </c>
      <c r="G78" s="56" t="s">
        <v>785</v>
      </c>
    </row>
    <row r="79" ht="16.5" customHeight="1">
      <c r="A79" s="39" t="s">
        <v>493</v>
      </c>
      <c r="B79" s="85" t="s">
        <v>672</v>
      </c>
      <c r="C79" s="30"/>
      <c r="D79" s="85" t="s">
        <v>495</v>
      </c>
      <c r="E79" s="30"/>
    </row>
    <row r="80" ht="16.5" customHeight="1">
      <c r="A80" s="31"/>
      <c r="B80" s="41" t="s">
        <v>11</v>
      </c>
      <c r="C80" s="41" t="s">
        <v>12</v>
      </c>
      <c r="D80" s="41" t="s">
        <v>11</v>
      </c>
      <c r="E80" s="41" t="s">
        <v>12</v>
      </c>
    </row>
    <row r="81" ht="16.5" customHeight="1">
      <c r="A81" s="42" t="s">
        <v>14</v>
      </c>
      <c r="B81" s="97" t="s">
        <v>680</v>
      </c>
      <c r="C81" s="186" t="s">
        <v>1591</v>
      </c>
      <c r="D81" s="97" t="s">
        <v>673</v>
      </c>
      <c r="E81" s="98" t="s">
        <v>1592</v>
      </c>
    </row>
    <row r="82" ht="16.5" customHeight="1">
      <c r="A82" s="42" t="s">
        <v>47</v>
      </c>
      <c r="B82" s="97" t="s">
        <v>680</v>
      </c>
      <c r="C82" s="195" t="s">
        <v>1595</v>
      </c>
      <c r="D82" s="97" t="s">
        <v>736</v>
      </c>
      <c r="E82" s="98" t="s">
        <v>1598</v>
      </c>
    </row>
    <row r="83" ht="16.5" customHeight="1">
      <c r="A83" s="42" t="s">
        <v>80</v>
      </c>
      <c r="B83" s="97" t="s">
        <v>736</v>
      </c>
      <c r="C83" s="195" t="s">
        <v>1601</v>
      </c>
      <c r="D83" s="97" t="s">
        <v>680</v>
      </c>
      <c r="E83" s="98" t="s">
        <v>1603</v>
      </c>
    </row>
    <row r="84" ht="16.5" customHeight="1">
      <c r="A84" s="42" t="s">
        <v>117</v>
      </c>
      <c r="B84" s="97" t="s">
        <v>673</v>
      </c>
      <c r="C84" s="101" t="s">
        <v>1605</v>
      </c>
      <c r="D84" s="97" t="s">
        <v>678</v>
      </c>
      <c r="E84" s="98" t="s">
        <v>1607</v>
      </c>
    </row>
    <row r="85" ht="16.5" customHeight="1">
      <c r="A85" s="42" t="s">
        <v>151</v>
      </c>
      <c r="B85" s="97" t="s">
        <v>680</v>
      </c>
      <c r="C85" s="186" t="s">
        <v>1608</v>
      </c>
      <c r="D85" s="97" t="s">
        <v>680</v>
      </c>
      <c r="E85" s="98" t="s">
        <v>1609</v>
      </c>
    </row>
    <row r="86" ht="16.5" customHeight="1">
      <c r="A86" s="42" t="s">
        <v>186</v>
      </c>
      <c r="B86" s="97" t="s">
        <v>673</v>
      </c>
      <c r="C86" s="186" t="s">
        <v>1610</v>
      </c>
      <c r="D86" s="97" t="s">
        <v>678</v>
      </c>
      <c r="E86" s="98" t="s">
        <v>1611</v>
      </c>
    </row>
    <row r="87" ht="16.5" customHeight="1">
      <c r="A87" s="42" t="s">
        <v>221</v>
      </c>
      <c r="B87" s="97" t="s">
        <v>680</v>
      </c>
      <c r="C87" s="101" t="s">
        <v>1612</v>
      </c>
      <c r="D87" s="97" t="s">
        <v>678</v>
      </c>
      <c r="E87" s="98" t="s">
        <v>1613</v>
      </c>
    </row>
    <row r="88" ht="16.5" customHeight="1">
      <c r="A88" s="42" t="s">
        <v>261</v>
      </c>
      <c r="B88" s="97" t="s">
        <v>736</v>
      </c>
      <c r="C88" s="101" t="s">
        <v>1615</v>
      </c>
      <c r="D88" s="97" t="s">
        <v>680</v>
      </c>
      <c r="E88" s="98" t="s">
        <v>1617</v>
      </c>
    </row>
    <row r="89" ht="16.5" customHeight="1">
      <c r="A89" s="42" t="s">
        <v>310</v>
      </c>
      <c r="B89" s="97" t="s">
        <v>680</v>
      </c>
      <c r="C89" s="195" t="s">
        <v>1619</v>
      </c>
      <c r="D89" s="97" t="s">
        <v>680</v>
      </c>
      <c r="E89" s="98" t="s">
        <v>1621</v>
      </c>
    </row>
    <row r="90" ht="16.5" customHeight="1">
      <c r="A90" s="42" t="s">
        <v>346</v>
      </c>
      <c r="B90" s="97" t="s">
        <v>678</v>
      </c>
      <c r="C90" s="186" t="s">
        <v>1623</v>
      </c>
      <c r="D90" s="97" t="s">
        <v>680</v>
      </c>
      <c r="E90" s="98" t="s">
        <v>1625</v>
      </c>
    </row>
    <row r="91" ht="16.5" customHeight="1">
      <c r="A91" s="49"/>
      <c r="B91" s="56" t="s">
        <v>785</v>
      </c>
      <c r="C91" s="49"/>
      <c r="D91" s="56" t="s">
        <v>785</v>
      </c>
      <c r="E91" s="49"/>
      <c r="F91" s="56" t="s">
        <v>785</v>
      </c>
      <c r="G91" s="49"/>
    </row>
    <row r="92" ht="16.5" customHeight="1">
      <c r="A92" s="39" t="s">
        <v>493</v>
      </c>
      <c r="B92" s="85" t="s">
        <v>550</v>
      </c>
      <c r="C92" s="30"/>
      <c r="D92" s="80" t="s">
        <v>551</v>
      </c>
      <c r="E92" s="30"/>
    </row>
    <row r="93" ht="16.5" customHeight="1">
      <c r="A93" s="31"/>
      <c r="B93" s="41" t="s">
        <v>11</v>
      </c>
      <c r="C93" s="41" t="s">
        <v>12</v>
      </c>
      <c r="D93" s="41" t="s">
        <v>11</v>
      </c>
      <c r="E93" s="41" t="s">
        <v>12</v>
      </c>
    </row>
    <row r="94" ht="16.5" customHeight="1">
      <c r="A94" s="42" t="s">
        <v>14</v>
      </c>
      <c r="B94" s="97" t="s">
        <v>673</v>
      </c>
      <c r="C94" s="98" t="s">
        <v>1633</v>
      </c>
      <c r="D94" s="97" t="s">
        <v>680</v>
      </c>
      <c r="E94" s="196" t="s">
        <v>1635</v>
      </c>
    </row>
    <row r="95" ht="16.5" customHeight="1">
      <c r="A95" s="42" t="s">
        <v>47</v>
      </c>
      <c r="B95" s="97" t="s">
        <v>680</v>
      </c>
      <c r="C95" s="98" t="s">
        <v>1637</v>
      </c>
      <c r="D95" s="97" t="s">
        <v>680</v>
      </c>
      <c r="E95" s="98" t="s">
        <v>1639</v>
      </c>
    </row>
    <row r="96" ht="16.5" customHeight="1">
      <c r="A96" s="42" t="s">
        <v>80</v>
      </c>
      <c r="B96" s="97" t="s">
        <v>736</v>
      </c>
      <c r="C96" s="98" t="s">
        <v>1642</v>
      </c>
      <c r="D96" s="97" t="s">
        <v>673</v>
      </c>
      <c r="E96" s="98" t="s">
        <v>1643</v>
      </c>
    </row>
    <row r="97" ht="16.5" customHeight="1">
      <c r="A97" s="42" t="s">
        <v>117</v>
      </c>
      <c r="B97" s="97" t="s">
        <v>673</v>
      </c>
      <c r="C97" s="98" t="s">
        <v>1646</v>
      </c>
      <c r="D97" s="97" t="s">
        <v>678</v>
      </c>
      <c r="E97" s="98" t="s">
        <v>1647</v>
      </c>
    </row>
    <row r="98" ht="16.5" customHeight="1">
      <c r="A98" s="42" t="s">
        <v>151</v>
      </c>
      <c r="B98" s="97" t="s">
        <v>680</v>
      </c>
      <c r="C98" s="98" t="s">
        <v>1648</v>
      </c>
      <c r="D98" s="97" t="s">
        <v>680</v>
      </c>
      <c r="E98" s="174" t="s">
        <v>1649</v>
      </c>
    </row>
    <row r="99" ht="16.5" customHeight="1">
      <c r="A99" s="42" t="s">
        <v>186</v>
      </c>
      <c r="B99" s="97" t="s">
        <v>673</v>
      </c>
      <c r="C99" s="98" t="s">
        <v>1650</v>
      </c>
      <c r="D99" s="97" t="s">
        <v>680</v>
      </c>
      <c r="E99" s="98" t="s">
        <v>1651</v>
      </c>
    </row>
    <row r="100" ht="16.5" customHeight="1">
      <c r="A100" s="42" t="s">
        <v>221</v>
      </c>
      <c r="B100" s="97" t="s">
        <v>673</v>
      </c>
      <c r="C100" s="98" t="s">
        <v>1652</v>
      </c>
      <c r="D100" s="97" t="s">
        <v>678</v>
      </c>
      <c r="E100" s="196" t="s">
        <v>1653</v>
      </c>
    </row>
    <row r="101" ht="16.5" customHeight="1">
      <c r="A101" s="42" t="s">
        <v>261</v>
      </c>
      <c r="B101" s="97" t="s">
        <v>693</v>
      </c>
      <c r="C101" s="98" t="s">
        <v>1654</v>
      </c>
      <c r="D101" s="97" t="s">
        <v>673</v>
      </c>
      <c r="E101" s="98" t="s">
        <v>1655</v>
      </c>
    </row>
    <row r="102" ht="16.5" customHeight="1">
      <c r="A102" s="42" t="s">
        <v>310</v>
      </c>
      <c r="B102" s="97" t="s">
        <v>673</v>
      </c>
      <c r="C102" s="98" t="s">
        <v>1656</v>
      </c>
      <c r="D102" s="97" t="s">
        <v>673</v>
      </c>
      <c r="E102" s="98" t="s">
        <v>1657</v>
      </c>
    </row>
    <row r="103" ht="16.5" customHeight="1">
      <c r="A103" s="42" t="s">
        <v>346</v>
      </c>
      <c r="B103" s="97" t="s">
        <v>678</v>
      </c>
      <c r="C103" s="98" t="s">
        <v>1658</v>
      </c>
      <c r="D103" s="97" t="s">
        <v>678</v>
      </c>
      <c r="E103" s="98" t="s">
        <v>1659</v>
      </c>
    </row>
    <row r="104" ht="16.5" customHeight="1">
      <c r="A104" s="49"/>
      <c r="B104" s="56" t="s">
        <v>785</v>
      </c>
      <c r="C104" s="49"/>
      <c r="D104" s="56" t="s">
        <v>785</v>
      </c>
      <c r="E104" s="49"/>
      <c r="F104" s="49"/>
      <c r="G104" s="49"/>
    </row>
    <row r="105" ht="16.5" customHeight="1">
      <c r="A105" s="39" t="s">
        <v>493</v>
      </c>
      <c r="B105" s="85" t="s">
        <v>653</v>
      </c>
      <c r="C105" s="30"/>
      <c r="D105" s="80" t="s">
        <v>947</v>
      </c>
      <c r="E105" s="30"/>
    </row>
    <row r="106" ht="16.5" customHeight="1">
      <c r="A106" s="31"/>
      <c r="B106" s="41" t="s">
        <v>11</v>
      </c>
      <c r="C106" s="41" t="s">
        <v>12</v>
      </c>
      <c r="D106" s="41" t="s">
        <v>11</v>
      </c>
      <c r="E106" s="41" t="s">
        <v>12</v>
      </c>
    </row>
    <row r="107" ht="16.5" customHeight="1">
      <c r="A107" s="42" t="s">
        <v>14</v>
      </c>
      <c r="B107" s="97" t="s">
        <v>678</v>
      </c>
      <c r="C107" s="98" t="s">
        <v>1662</v>
      </c>
      <c r="D107" s="97" t="s">
        <v>736</v>
      </c>
      <c r="E107" s="98" t="s">
        <v>1663</v>
      </c>
    </row>
    <row r="108" ht="16.5" customHeight="1">
      <c r="A108" s="42" t="s">
        <v>47</v>
      </c>
      <c r="B108" s="97" t="s">
        <v>678</v>
      </c>
      <c r="C108" s="98" t="s">
        <v>1665</v>
      </c>
      <c r="D108" s="97" t="s">
        <v>736</v>
      </c>
      <c r="E108" s="98" t="s">
        <v>1666</v>
      </c>
    </row>
    <row r="109" ht="16.5" customHeight="1">
      <c r="A109" s="42" t="s">
        <v>80</v>
      </c>
      <c r="B109" s="97" t="s">
        <v>736</v>
      </c>
      <c r="C109" s="98" t="s">
        <v>1667</v>
      </c>
      <c r="D109" s="97" t="s">
        <v>673</v>
      </c>
      <c r="E109" s="98" t="s">
        <v>1669</v>
      </c>
    </row>
    <row r="110" ht="16.5" customHeight="1">
      <c r="A110" s="42" t="s">
        <v>117</v>
      </c>
      <c r="B110" s="97" t="s">
        <v>673</v>
      </c>
      <c r="C110" s="98" t="s">
        <v>1670</v>
      </c>
      <c r="D110" s="97" t="s">
        <v>693</v>
      </c>
      <c r="E110" s="98" t="s">
        <v>1672</v>
      </c>
    </row>
    <row r="111" ht="16.5" customHeight="1">
      <c r="A111" s="42" t="s">
        <v>151</v>
      </c>
      <c r="B111" s="97" t="s">
        <v>736</v>
      </c>
      <c r="C111" s="98" t="s">
        <v>1673</v>
      </c>
      <c r="D111" s="97" t="s">
        <v>680</v>
      </c>
      <c r="E111" s="98" t="s">
        <v>1674</v>
      </c>
    </row>
    <row r="112" ht="16.5" customHeight="1">
      <c r="A112" s="42" t="s">
        <v>186</v>
      </c>
      <c r="B112" s="97" t="s">
        <v>680</v>
      </c>
      <c r="C112" s="98" t="s">
        <v>1675</v>
      </c>
      <c r="D112" s="97" t="s">
        <v>693</v>
      </c>
      <c r="E112" s="98" t="s">
        <v>1677</v>
      </c>
    </row>
    <row r="113" ht="16.5" customHeight="1">
      <c r="A113" s="42" t="s">
        <v>221</v>
      </c>
      <c r="B113" s="97" t="s">
        <v>680</v>
      </c>
      <c r="C113" s="98" t="s">
        <v>1678</v>
      </c>
      <c r="D113" s="97" t="s">
        <v>678</v>
      </c>
      <c r="E113" s="98" t="s">
        <v>1679</v>
      </c>
    </row>
    <row r="114" ht="16.5" customHeight="1">
      <c r="A114" s="42" t="s">
        <v>261</v>
      </c>
      <c r="B114" s="97" t="s">
        <v>680</v>
      </c>
      <c r="C114" s="98" t="s">
        <v>1681</v>
      </c>
      <c r="D114" s="97" t="s">
        <v>673</v>
      </c>
      <c r="E114" s="98" t="s">
        <v>1682</v>
      </c>
    </row>
    <row r="115" ht="16.5" customHeight="1">
      <c r="A115" s="42" t="s">
        <v>310</v>
      </c>
      <c r="B115" s="97" t="s">
        <v>736</v>
      </c>
      <c r="C115" s="98" t="s">
        <v>1684</v>
      </c>
      <c r="D115" s="97" t="s">
        <v>693</v>
      </c>
      <c r="E115" s="98" t="s">
        <v>1685</v>
      </c>
    </row>
    <row r="116" ht="16.5" customHeight="1">
      <c r="A116" s="42" t="s">
        <v>346</v>
      </c>
      <c r="B116" s="97" t="s">
        <v>680</v>
      </c>
      <c r="C116" s="98" t="s">
        <v>1686</v>
      </c>
      <c r="D116" s="97" t="s">
        <v>678</v>
      </c>
      <c r="E116" s="98" t="s">
        <v>1687</v>
      </c>
    </row>
    <row r="117" ht="16.5" customHeight="1">
      <c r="A117" s="49"/>
      <c r="B117" s="56" t="s">
        <v>785</v>
      </c>
      <c r="C117" s="49"/>
      <c r="D117" s="56" t="s">
        <v>785</v>
      </c>
      <c r="E117" s="49"/>
      <c r="F117" s="49"/>
      <c r="G117" s="49"/>
    </row>
    <row r="118" ht="16.5" customHeight="1">
      <c r="A118" s="39" t="s">
        <v>656</v>
      </c>
      <c r="B118" s="80" t="s">
        <v>657</v>
      </c>
      <c r="C118" s="30"/>
      <c r="D118" s="80" t="s">
        <v>658</v>
      </c>
      <c r="E118" s="30"/>
      <c r="F118" s="80" t="s">
        <v>659</v>
      </c>
      <c r="G118" s="30"/>
    </row>
    <row r="119" ht="16.5" customHeight="1">
      <c r="A119" s="31"/>
      <c r="B119" s="41" t="s">
        <v>11</v>
      </c>
      <c r="C119" s="41" t="s">
        <v>12</v>
      </c>
      <c r="D119" s="41" t="s">
        <v>11</v>
      </c>
      <c r="E119" s="41" t="s">
        <v>12</v>
      </c>
      <c r="F119" s="41" t="s">
        <v>11</v>
      </c>
      <c r="G119" s="41" t="s">
        <v>12</v>
      </c>
    </row>
    <row r="120" ht="16.5" customHeight="1">
      <c r="A120" s="42" t="s">
        <v>14</v>
      </c>
      <c r="B120" s="91" t="s">
        <v>785</v>
      </c>
      <c r="C120" s="93" t="str">
        <f t="shared" ref="C120:C129" si="5">"6조" &amp; " - " &amp; B$118 &amp; " - " &amp; $A120</f>
        <v>6조 - Container-based - Availability</v>
      </c>
      <c r="D120" s="91" t="s">
        <v>785</v>
      </c>
      <c r="E120" s="93" t="str">
        <f t="shared" ref="E120:E129" si="6">"6조" &amp; " - " &amp; D$118 &amp; " - " &amp; $A120</f>
        <v>6조 - Cloud-based - Availability</v>
      </c>
      <c r="F120" s="97" t="s">
        <v>680</v>
      </c>
      <c r="G120" s="197" t="s">
        <v>1690</v>
      </c>
    </row>
    <row r="121" ht="16.5" customHeight="1">
      <c r="A121" s="42" t="s">
        <v>47</v>
      </c>
      <c r="B121" s="91" t="s">
        <v>785</v>
      </c>
      <c r="C121" s="93" t="str">
        <f t="shared" si="5"/>
        <v>6조 - Container-based - Deployability</v>
      </c>
      <c r="D121" s="91" t="s">
        <v>785</v>
      </c>
      <c r="E121" s="93" t="str">
        <f t="shared" si="6"/>
        <v>6조 - Cloud-based - Deployability</v>
      </c>
      <c r="F121" s="97" t="s">
        <v>693</v>
      </c>
      <c r="G121" s="98" t="s">
        <v>1691</v>
      </c>
    </row>
    <row r="122" ht="16.5" customHeight="1">
      <c r="A122" s="42" t="s">
        <v>80</v>
      </c>
      <c r="B122" s="91" t="s">
        <v>785</v>
      </c>
      <c r="C122" s="93" t="str">
        <f t="shared" si="5"/>
        <v>6조 - Container-based - Integrability</v>
      </c>
      <c r="D122" s="91" t="s">
        <v>785</v>
      </c>
      <c r="E122" s="93" t="str">
        <f t="shared" si="6"/>
        <v>6조 - Cloud-based - Integrability</v>
      </c>
      <c r="F122" s="97" t="s">
        <v>680</v>
      </c>
      <c r="G122" s="98" t="s">
        <v>1692</v>
      </c>
    </row>
    <row r="123" ht="16.5" customHeight="1">
      <c r="A123" s="42" t="s">
        <v>117</v>
      </c>
      <c r="B123" s="91" t="s">
        <v>785</v>
      </c>
      <c r="C123" s="93" t="str">
        <f t="shared" si="5"/>
        <v>6조 - Container-based - Energy Efficiency</v>
      </c>
      <c r="D123" s="91" t="s">
        <v>785</v>
      </c>
      <c r="E123" s="93" t="str">
        <f t="shared" si="6"/>
        <v>6조 - Cloud-based - Energy Efficiency</v>
      </c>
      <c r="F123" s="97" t="s">
        <v>680</v>
      </c>
      <c r="G123" s="98" t="s">
        <v>1693</v>
      </c>
    </row>
    <row r="124" ht="16.5" customHeight="1">
      <c r="A124" s="42" t="s">
        <v>151</v>
      </c>
      <c r="B124" s="91" t="s">
        <v>785</v>
      </c>
      <c r="C124" s="93" t="str">
        <f t="shared" si="5"/>
        <v>6조 - Container-based - Modifiability</v>
      </c>
      <c r="D124" s="91" t="s">
        <v>785</v>
      </c>
      <c r="E124" s="93" t="str">
        <f t="shared" si="6"/>
        <v>6조 - Cloud-based - Modifiability</v>
      </c>
      <c r="F124" s="97" t="s">
        <v>678</v>
      </c>
      <c r="G124" s="98" t="s">
        <v>1694</v>
      </c>
    </row>
    <row r="125" ht="16.5" customHeight="1">
      <c r="A125" s="42" t="s">
        <v>186</v>
      </c>
      <c r="B125" s="91" t="s">
        <v>785</v>
      </c>
      <c r="C125" s="93" t="str">
        <f t="shared" si="5"/>
        <v>6조 - Container-based - Performance</v>
      </c>
      <c r="D125" s="91" t="s">
        <v>785</v>
      </c>
      <c r="E125" s="93" t="str">
        <f t="shared" si="6"/>
        <v>6조 - Cloud-based - Performance</v>
      </c>
      <c r="F125" s="97" t="s">
        <v>736</v>
      </c>
      <c r="G125" s="98" t="s">
        <v>1695</v>
      </c>
    </row>
    <row r="126" ht="16.5" customHeight="1">
      <c r="A126" s="42" t="s">
        <v>221</v>
      </c>
      <c r="B126" s="91" t="s">
        <v>785</v>
      </c>
      <c r="C126" s="93" t="str">
        <f t="shared" si="5"/>
        <v>6조 - Container-based - Safety</v>
      </c>
      <c r="D126" s="91" t="s">
        <v>785</v>
      </c>
      <c r="E126" s="93" t="str">
        <f t="shared" si="6"/>
        <v>6조 - Cloud-based - Safety</v>
      </c>
      <c r="F126" s="97" t="s">
        <v>680</v>
      </c>
      <c r="G126" s="197" t="s">
        <v>1696</v>
      </c>
    </row>
    <row r="127" ht="16.5" customHeight="1">
      <c r="A127" s="42" t="s">
        <v>261</v>
      </c>
      <c r="B127" s="91" t="s">
        <v>785</v>
      </c>
      <c r="C127" s="93" t="str">
        <f t="shared" si="5"/>
        <v>6조 - Container-based - Security</v>
      </c>
      <c r="D127" s="91" t="s">
        <v>785</v>
      </c>
      <c r="E127" s="93" t="str">
        <f t="shared" si="6"/>
        <v>6조 - Cloud-based - Security</v>
      </c>
      <c r="F127" s="97" t="s">
        <v>673</v>
      </c>
      <c r="G127" s="98" t="s">
        <v>1697</v>
      </c>
    </row>
    <row r="128" ht="16.5" customHeight="1">
      <c r="A128" s="42" t="s">
        <v>310</v>
      </c>
      <c r="B128" s="91" t="s">
        <v>785</v>
      </c>
      <c r="C128" s="93" t="str">
        <f t="shared" si="5"/>
        <v>6조 - Container-based - Testability</v>
      </c>
      <c r="D128" s="91" t="s">
        <v>785</v>
      </c>
      <c r="E128" s="93" t="str">
        <f t="shared" si="6"/>
        <v>6조 - Cloud-based - Testability</v>
      </c>
      <c r="F128" s="97" t="s">
        <v>673</v>
      </c>
      <c r="G128" s="98" t="s">
        <v>1698</v>
      </c>
    </row>
    <row r="129" ht="16.5" customHeight="1">
      <c r="A129" s="42" t="s">
        <v>346</v>
      </c>
      <c r="B129" s="91" t="s">
        <v>785</v>
      </c>
      <c r="C129" s="93" t="str">
        <f t="shared" si="5"/>
        <v>6조 - Container-based - Usability</v>
      </c>
      <c r="D129" s="91" t="s">
        <v>785</v>
      </c>
      <c r="E129" s="93" t="str">
        <f t="shared" si="6"/>
        <v>6조 - Cloud-based - Usability</v>
      </c>
      <c r="F129" s="97" t="s">
        <v>680</v>
      </c>
      <c r="G129" s="98" t="s">
        <v>1699</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39" t="s">
        <v>666</v>
      </c>
      <c r="B1" s="80" t="s">
        <v>0</v>
      </c>
      <c r="C1" s="30"/>
      <c r="D1" s="80" t="s">
        <v>1</v>
      </c>
      <c r="E1" s="30"/>
      <c r="F1" s="80" t="s">
        <v>2</v>
      </c>
      <c r="G1" s="30"/>
    </row>
    <row r="2" ht="16.5" customHeight="1">
      <c r="A2" s="31"/>
      <c r="B2" s="41" t="s">
        <v>11</v>
      </c>
      <c r="C2" s="41" t="s">
        <v>12</v>
      </c>
      <c r="D2" s="41" t="s">
        <v>11</v>
      </c>
      <c r="E2" s="41" t="s">
        <v>12</v>
      </c>
      <c r="F2" s="41" t="s">
        <v>11</v>
      </c>
      <c r="G2" s="41" t="s">
        <v>12</v>
      </c>
    </row>
    <row r="3" ht="16.5" customHeight="1">
      <c r="A3" s="42" t="s">
        <v>14</v>
      </c>
      <c r="B3" s="91" t="s">
        <v>785</v>
      </c>
      <c r="C3" s="93" t="str">
        <f t="shared" ref="C3:C12" si="1">"7조" &amp; " - " &amp; B$1 &amp; " - " &amp; $A3</f>
        <v>7조 - Batch Sequential - Availability</v>
      </c>
      <c r="D3" s="91" t="s">
        <v>785</v>
      </c>
      <c r="E3" s="93" t="str">
        <f t="shared" ref="E3:E12" si="2">"7조" &amp; " - " &amp; D$1 &amp; " - " &amp; $A3</f>
        <v>7조 - Pipe and Filter - Availability</v>
      </c>
      <c r="F3" s="91" t="s">
        <v>785</v>
      </c>
      <c r="G3" s="93" t="str">
        <f t="shared" ref="G3:G12" si="3">"7조" &amp; " - " &amp; F$1 &amp; " - " &amp; $A3</f>
        <v>7조 - Process Control - Availability</v>
      </c>
    </row>
    <row r="4" ht="16.5" customHeight="1">
      <c r="A4" s="42" t="s">
        <v>47</v>
      </c>
      <c r="B4" s="91" t="s">
        <v>785</v>
      </c>
      <c r="C4" s="93" t="str">
        <f t="shared" si="1"/>
        <v>7조 - Batch Sequential - Deployability</v>
      </c>
      <c r="D4" s="91" t="s">
        <v>785</v>
      </c>
      <c r="E4" s="93" t="str">
        <f t="shared" si="2"/>
        <v>7조 - Pipe and Filter - Deployability</v>
      </c>
      <c r="F4" s="91" t="s">
        <v>785</v>
      </c>
      <c r="G4" s="93" t="str">
        <f t="shared" si="3"/>
        <v>7조 - Process Control - Deployability</v>
      </c>
    </row>
    <row r="5" ht="16.5" customHeight="1">
      <c r="A5" s="42" t="s">
        <v>80</v>
      </c>
      <c r="B5" s="91" t="s">
        <v>785</v>
      </c>
      <c r="C5" s="93" t="str">
        <f t="shared" si="1"/>
        <v>7조 - Batch Sequential - Integrability</v>
      </c>
      <c r="D5" s="91" t="s">
        <v>785</v>
      </c>
      <c r="E5" s="104" t="str">
        <f t="shared" si="2"/>
        <v>7조 - Pipe and Filter - Integrability</v>
      </c>
      <c r="F5" s="91" t="s">
        <v>785</v>
      </c>
      <c r="G5" s="93" t="str">
        <f t="shared" si="3"/>
        <v>7조 - Process Control - Integrability</v>
      </c>
    </row>
    <row r="6" ht="16.5" customHeight="1">
      <c r="A6" s="42" t="s">
        <v>117</v>
      </c>
      <c r="B6" s="91" t="s">
        <v>785</v>
      </c>
      <c r="C6" s="93" t="str">
        <f t="shared" si="1"/>
        <v>7조 - Batch Sequential - Energy Efficiency</v>
      </c>
      <c r="D6" s="91" t="s">
        <v>785</v>
      </c>
      <c r="E6" s="93" t="str">
        <f t="shared" si="2"/>
        <v>7조 - Pipe and Filter - Energy Efficiency</v>
      </c>
      <c r="F6" s="91" t="s">
        <v>785</v>
      </c>
      <c r="G6" s="93" t="str">
        <f t="shared" si="3"/>
        <v>7조 - Process Control - Energy Efficiency</v>
      </c>
    </row>
    <row r="7" ht="16.5" customHeight="1">
      <c r="A7" s="42" t="s">
        <v>151</v>
      </c>
      <c r="B7" s="91" t="s">
        <v>785</v>
      </c>
      <c r="C7" s="93" t="str">
        <f t="shared" si="1"/>
        <v>7조 - Batch Sequential - Modifiability</v>
      </c>
      <c r="D7" s="91" t="s">
        <v>785</v>
      </c>
      <c r="E7" s="93" t="str">
        <f t="shared" si="2"/>
        <v>7조 - Pipe and Filter - Modifiability</v>
      </c>
      <c r="F7" s="91" t="s">
        <v>785</v>
      </c>
      <c r="G7" s="93" t="str">
        <f t="shared" si="3"/>
        <v>7조 - Process Control - Modifiability</v>
      </c>
    </row>
    <row r="8" ht="16.5" customHeight="1">
      <c r="A8" s="42" t="s">
        <v>186</v>
      </c>
      <c r="B8" s="91" t="s">
        <v>785</v>
      </c>
      <c r="C8" s="93" t="str">
        <f t="shared" si="1"/>
        <v>7조 - Batch Sequential - Performance</v>
      </c>
      <c r="D8" s="91" t="s">
        <v>785</v>
      </c>
      <c r="E8" s="93" t="str">
        <f t="shared" si="2"/>
        <v>7조 - Pipe and Filter - Performance</v>
      </c>
      <c r="F8" s="91" t="s">
        <v>785</v>
      </c>
      <c r="G8" s="93" t="str">
        <f t="shared" si="3"/>
        <v>7조 - Process Control - Performance</v>
      </c>
    </row>
    <row r="9" ht="16.5" customHeight="1">
      <c r="A9" s="42" t="s">
        <v>221</v>
      </c>
      <c r="B9" s="91" t="s">
        <v>785</v>
      </c>
      <c r="C9" s="93" t="str">
        <f t="shared" si="1"/>
        <v>7조 - Batch Sequential - Safety</v>
      </c>
      <c r="D9" s="91" t="s">
        <v>785</v>
      </c>
      <c r="E9" s="93" t="str">
        <f t="shared" si="2"/>
        <v>7조 - Pipe and Filter - Safety</v>
      </c>
      <c r="F9" s="91" t="s">
        <v>785</v>
      </c>
      <c r="G9" s="93" t="str">
        <f t="shared" si="3"/>
        <v>7조 - Process Control - Safety</v>
      </c>
    </row>
    <row r="10" ht="16.5" customHeight="1">
      <c r="A10" s="42" t="s">
        <v>261</v>
      </c>
      <c r="B10" s="91" t="s">
        <v>785</v>
      </c>
      <c r="C10" s="93" t="str">
        <f t="shared" si="1"/>
        <v>7조 - Batch Sequential - Security</v>
      </c>
      <c r="D10" s="91" t="s">
        <v>785</v>
      </c>
      <c r="E10" s="93" t="str">
        <f t="shared" si="2"/>
        <v>7조 - Pipe and Filter - Security</v>
      </c>
      <c r="F10" s="91" t="s">
        <v>785</v>
      </c>
      <c r="G10" s="93" t="str">
        <f t="shared" si="3"/>
        <v>7조 - Process Control - Security</v>
      </c>
    </row>
    <row r="11" ht="16.5" customHeight="1">
      <c r="A11" s="42" t="s">
        <v>310</v>
      </c>
      <c r="B11" s="91" t="s">
        <v>785</v>
      </c>
      <c r="C11" s="93" t="str">
        <f t="shared" si="1"/>
        <v>7조 - Batch Sequential - Testability</v>
      </c>
      <c r="D11" s="91" t="s">
        <v>785</v>
      </c>
      <c r="E11" s="93" t="str">
        <f t="shared" si="2"/>
        <v>7조 - Pipe and Filter - Testability</v>
      </c>
      <c r="F11" s="91" t="s">
        <v>785</v>
      </c>
      <c r="G11" s="93" t="str">
        <f t="shared" si="3"/>
        <v>7조 - Process Control - Testability</v>
      </c>
    </row>
    <row r="12" ht="16.5" customHeight="1">
      <c r="A12" s="42" t="s">
        <v>346</v>
      </c>
      <c r="B12" s="91" t="s">
        <v>785</v>
      </c>
      <c r="C12" s="93" t="str">
        <f t="shared" si="1"/>
        <v>7조 - Batch Sequential - Usability</v>
      </c>
      <c r="D12" s="91" t="s">
        <v>785</v>
      </c>
      <c r="E12" s="93" t="str">
        <f t="shared" si="2"/>
        <v>7조 - Pipe and Filter - Usability</v>
      </c>
      <c r="F12" s="91" t="s">
        <v>785</v>
      </c>
      <c r="G12" s="93" t="str">
        <f t="shared" si="3"/>
        <v>7조 - Process Control - Usability</v>
      </c>
    </row>
    <row r="13" ht="16.5" customHeight="1">
      <c r="A13" s="49"/>
      <c r="B13" s="56" t="s">
        <v>785</v>
      </c>
      <c r="C13" s="56" t="s">
        <v>785</v>
      </c>
      <c r="D13" s="56" t="s">
        <v>785</v>
      </c>
      <c r="E13" s="56" t="s">
        <v>785</v>
      </c>
      <c r="F13" s="56" t="s">
        <v>785</v>
      </c>
      <c r="G13" s="49"/>
    </row>
    <row r="14" ht="16.5" customHeight="1">
      <c r="A14" s="50" t="s">
        <v>3</v>
      </c>
      <c r="B14" s="85" t="s">
        <v>668</v>
      </c>
      <c r="C14" s="30"/>
      <c r="D14" s="85" t="s">
        <v>8</v>
      </c>
      <c r="E14" s="30"/>
      <c r="F14" s="49"/>
      <c r="G14" s="49"/>
    </row>
    <row r="15" ht="16.5" customHeight="1">
      <c r="A15" s="51"/>
      <c r="B15" s="52" t="s">
        <v>11</v>
      </c>
      <c r="C15" s="86" t="s">
        <v>12</v>
      </c>
      <c r="D15" s="52" t="s">
        <v>11</v>
      </c>
      <c r="E15" s="86" t="s">
        <v>12</v>
      </c>
      <c r="F15" s="49"/>
      <c r="G15" s="49"/>
    </row>
    <row r="16" ht="16.5" customHeight="1">
      <c r="A16" s="42" t="s">
        <v>14</v>
      </c>
      <c r="B16" s="91" t="s">
        <v>785</v>
      </c>
      <c r="C16" s="93" t="str">
        <f t="shared" ref="C16:C25" si="4">"7조" &amp; " - " &amp; B$14 &amp; " - " &amp; $A16</f>
        <v>7조 - Shared Respository - Availability</v>
      </c>
      <c r="D16" s="91" t="s">
        <v>785</v>
      </c>
      <c r="E16" s="93" t="str">
        <f t="shared" ref="E16:E25" si="5">"7조" &amp; " - " &amp; D$14 &amp; " - " &amp; $A16</f>
        <v>7조 - Blackboard - Availability</v>
      </c>
      <c r="F16" s="49"/>
      <c r="G16" s="49"/>
    </row>
    <row r="17" ht="16.5" customHeight="1">
      <c r="A17" s="42" t="s">
        <v>47</v>
      </c>
      <c r="B17" s="91" t="s">
        <v>785</v>
      </c>
      <c r="C17" s="93" t="str">
        <f t="shared" si="4"/>
        <v>7조 - Shared Respository - Deployability</v>
      </c>
      <c r="D17" s="91" t="s">
        <v>785</v>
      </c>
      <c r="E17" s="93" t="str">
        <f t="shared" si="5"/>
        <v>7조 - Blackboard - Deployability</v>
      </c>
      <c r="F17" s="49"/>
      <c r="G17" s="49"/>
    </row>
    <row r="18" ht="16.5" customHeight="1">
      <c r="A18" s="42" t="s">
        <v>80</v>
      </c>
      <c r="B18" s="91" t="s">
        <v>785</v>
      </c>
      <c r="C18" s="93" t="str">
        <f t="shared" si="4"/>
        <v>7조 - Shared Respository - Integrability</v>
      </c>
      <c r="D18" s="91" t="s">
        <v>785</v>
      </c>
      <c r="E18" s="93" t="str">
        <f t="shared" si="5"/>
        <v>7조 - Blackboard - Integrability</v>
      </c>
      <c r="F18" s="49"/>
      <c r="G18" s="49"/>
    </row>
    <row r="19" ht="16.5" customHeight="1">
      <c r="A19" s="42" t="s">
        <v>117</v>
      </c>
      <c r="B19" s="91" t="s">
        <v>785</v>
      </c>
      <c r="C19" s="93" t="str">
        <f t="shared" si="4"/>
        <v>7조 - Shared Respository - Energy Efficiency</v>
      </c>
      <c r="D19" s="91" t="s">
        <v>785</v>
      </c>
      <c r="E19" s="93" t="str">
        <f t="shared" si="5"/>
        <v>7조 - Blackboard - Energy Efficiency</v>
      </c>
      <c r="F19" s="49"/>
      <c r="G19" s="49"/>
    </row>
    <row r="20" ht="16.5" customHeight="1">
      <c r="A20" s="42" t="s">
        <v>151</v>
      </c>
      <c r="B20" s="91" t="s">
        <v>785</v>
      </c>
      <c r="C20" s="93" t="str">
        <f t="shared" si="4"/>
        <v>7조 - Shared Respository - Modifiability</v>
      </c>
      <c r="D20" s="91" t="s">
        <v>785</v>
      </c>
      <c r="E20" s="93" t="str">
        <f t="shared" si="5"/>
        <v>7조 - Blackboard - Modifiability</v>
      </c>
      <c r="F20" s="49"/>
      <c r="G20" s="49"/>
    </row>
    <row r="21" ht="16.5" customHeight="1">
      <c r="A21" s="42" t="s">
        <v>186</v>
      </c>
      <c r="B21" s="91" t="s">
        <v>785</v>
      </c>
      <c r="C21" s="93" t="str">
        <f t="shared" si="4"/>
        <v>7조 - Shared Respository - Performance</v>
      </c>
      <c r="D21" s="91" t="s">
        <v>785</v>
      </c>
      <c r="E21" s="93" t="str">
        <f t="shared" si="5"/>
        <v>7조 - Blackboard - Performance</v>
      </c>
      <c r="F21" s="49"/>
      <c r="G21" s="49"/>
    </row>
    <row r="22" ht="16.5" customHeight="1">
      <c r="A22" s="42" t="s">
        <v>221</v>
      </c>
      <c r="B22" s="91" t="s">
        <v>785</v>
      </c>
      <c r="C22" s="93" t="str">
        <f t="shared" si="4"/>
        <v>7조 - Shared Respository - Safety</v>
      </c>
      <c r="D22" s="91" t="s">
        <v>785</v>
      </c>
      <c r="E22" s="93" t="str">
        <f t="shared" si="5"/>
        <v>7조 - Blackboard - Safety</v>
      </c>
      <c r="F22" s="49"/>
      <c r="G22" s="49"/>
    </row>
    <row r="23" ht="16.5" customHeight="1">
      <c r="A23" s="42" t="s">
        <v>261</v>
      </c>
      <c r="B23" s="91" t="s">
        <v>785</v>
      </c>
      <c r="C23" s="93" t="str">
        <f t="shared" si="4"/>
        <v>7조 - Shared Respository - Security</v>
      </c>
      <c r="D23" s="91" t="s">
        <v>785</v>
      </c>
      <c r="E23" s="93" t="str">
        <f t="shared" si="5"/>
        <v>7조 - Blackboard - Security</v>
      </c>
      <c r="F23" s="49"/>
      <c r="G23" s="49"/>
    </row>
    <row r="24" ht="16.5" customHeight="1">
      <c r="A24" s="42" t="s">
        <v>310</v>
      </c>
      <c r="B24" s="91" t="s">
        <v>785</v>
      </c>
      <c r="C24" s="93" t="str">
        <f t="shared" si="4"/>
        <v>7조 - Shared Respository - Testability</v>
      </c>
      <c r="D24" s="91" t="s">
        <v>785</v>
      </c>
      <c r="E24" s="93" t="str">
        <f t="shared" si="5"/>
        <v>7조 - Blackboard - Testability</v>
      </c>
      <c r="F24" s="49"/>
      <c r="G24" s="49"/>
    </row>
    <row r="25" ht="16.5" customHeight="1">
      <c r="A25" s="42" t="s">
        <v>346</v>
      </c>
      <c r="B25" s="91" t="s">
        <v>785</v>
      </c>
      <c r="C25" s="93" t="str">
        <f t="shared" si="4"/>
        <v>7조 - Shared Respository - Usability</v>
      </c>
      <c r="D25" s="91" t="s">
        <v>785</v>
      </c>
      <c r="E25" s="93" t="str">
        <f t="shared" si="5"/>
        <v>7조 - Blackboard - Usability</v>
      </c>
      <c r="F25" s="49"/>
      <c r="G25" s="49"/>
    </row>
    <row r="26" ht="16.5" customHeight="1">
      <c r="A26" s="49"/>
      <c r="B26" s="56" t="s">
        <v>785</v>
      </c>
      <c r="C26" s="56" t="s">
        <v>785</v>
      </c>
      <c r="D26" s="56" t="s">
        <v>785</v>
      </c>
      <c r="E26" s="56" t="s">
        <v>785</v>
      </c>
      <c r="F26" s="49"/>
      <c r="G26" s="49"/>
    </row>
    <row r="27" ht="16.5" customHeight="1">
      <c r="A27" s="50" t="s">
        <v>4</v>
      </c>
      <c r="B27" s="85" t="s">
        <v>6</v>
      </c>
      <c r="C27" s="30"/>
      <c r="D27" s="85" t="s">
        <v>9</v>
      </c>
      <c r="E27" s="30"/>
      <c r="F27" s="49"/>
      <c r="G27" s="49"/>
    </row>
    <row r="28" ht="16.5" customHeight="1">
      <c r="A28" s="53"/>
      <c r="B28" s="41" t="s">
        <v>11</v>
      </c>
      <c r="C28" s="58" t="s">
        <v>12</v>
      </c>
      <c r="D28" s="41" t="s">
        <v>11</v>
      </c>
      <c r="E28" s="58" t="s">
        <v>12</v>
      </c>
      <c r="F28" s="49"/>
      <c r="G28" s="49"/>
    </row>
    <row r="29" ht="16.5" customHeight="1">
      <c r="A29" s="42" t="s">
        <v>14</v>
      </c>
      <c r="B29" s="91" t="s">
        <v>785</v>
      </c>
      <c r="C29" s="93" t="str">
        <f t="shared" ref="C29:C38" si="6">"7조" &amp; " - " &amp; B$27 &amp; " - " &amp; $A29</f>
        <v>7조 - Non-Buffered Event Based - Availability</v>
      </c>
      <c r="D29" s="91" t="s">
        <v>785</v>
      </c>
      <c r="E29" s="93" t="str">
        <f t="shared" ref="E29:E38" si="7">"7조" &amp; " - " &amp; D$27 &amp; " - " &amp; $A29</f>
        <v>7조 - Buffered Message Based - Availability</v>
      </c>
      <c r="F29" s="49"/>
      <c r="G29" s="49"/>
    </row>
    <row r="30" ht="16.5" customHeight="1">
      <c r="A30" s="42" t="s">
        <v>47</v>
      </c>
      <c r="B30" s="91" t="s">
        <v>785</v>
      </c>
      <c r="C30" s="93" t="str">
        <f t="shared" si="6"/>
        <v>7조 - Non-Buffered Event Based - Deployability</v>
      </c>
      <c r="D30" s="91" t="s">
        <v>785</v>
      </c>
      <c r="E30" s="93" t="str">
        <f t="shared" si="7"/>
        <v>7조 - Buffered Message Based - Deployability</v>
      </c>
      <c r="F30" s="49"/>
      <c r="G30" s="49"/>
    </row>
    <row r="31" ht="16.5" customHeight="1">
      <c r="A31" s="42" t="s">
        <v>80</v>
      </c>
      <c r="B31" s="91" t="s">
        <v>785</v>
      </c>
      <c r="C31" s="93" t="str">
        <f t="shared" si="6"/>
        <v>7조 - Non-Buffered Event Based - Integrability</v>
      </c>
      <c r="D31" s="91" t="s">
        <v>785</v>
      </c>
      <c r="E31" s="93" t="str">
        <f t="shared" si="7"/>
        <v>7조 - Buffered Message Based - Integrability</v>
      </c>
      <c r="F31" s="49"/>
      <c r="G31" s="49"/>
    </row>
    <row r="32" ht="16.5" customHeight="1">
      <c r="A32" s="42" t="s">
        <v>117</v>
      </c>
      <c r="B32" s="91" t="s">
        <v>785</v>
      </c>
      <c r="C32" s="93" t="str">
        <f t="shared" si="6"/>
        <v>7조 - Non-Buffered Event Based - Energy Efficiency</v>
      </c>
      <c r="D32" s="91" t="s">
        <v>785</v>
      </c>
      <c r="E32" s="93" t="str">
        <f t="shared" si="7"/>
        <v>7조 - Buffered Message Based - Energy Efficiency</v>
      </c>
      <c r="F32" s="49"/>
      <c r="G32" s="49"/>
    </row>
    <row r="33" ht="16.5" customHeight="1">
      <c r="A33" s="42" t="s">
        <v>151</v>
      </c>
      <c r="B33" s="91" t="s">
        <v>785</v>
      </c>
      <c r="C33" s="93" t="str">
        <f t="shared" si="6"/>
        <v>7조 - Non-Buffered Event Based - Modifiability</v>
      </c>
      <c r="D33" s="91" t="s">
        <v>785</v>
      </c>
      <c r="E33" s="93" t="str">
        <f t="shared" si="7"/>
        <v>7조 - Buffered Message Based - Modifiability</v>
      </c>
      <c r="F33" s="49"/>
      <c r="G33" s="49"/>
    </row>
    <row r="34" ht="16.5" customHeight="1">
      <c r="A34" s="42" t="s">
        <v>186</v>
      </c>
      <c r="B34" s="91" t="s">
        <v>785</v>
      </c>
      <c r="C34" s="93" t="str">
        <f t="shared" si="6"/>
        <v>7조 - Non-Buffered Event Based - Performance</v>
      </c>
      <c r="D34" s="91" t="s">
        <v>785</v>
      </c>
      <c r="E34" s="93" t="str">
        <f t="shared" si="7"/>
        <v>7조 - Buffered Message Based - Performance</v>
      </c>
      <c r="F34" s="49"/>
      <c r="G34" s="49"/>
    </row>
    <row r="35" ht="16.5" customHeight="1">
      <c r="A35" s="42" t="s">
        <v>221</v>
      </c>
      <c r="B35" s="91" t="s">
        <v>785</v>
      </c>
      <c r="C35" s="93" t="str">
        <f t="shared" si="6"/>
        <v>7조 - Non-Buffered Event Based - Safety</v>
      </c>
      <c r="D35" s="91" t="s">
        <v>785</v>
      </c>
      <c r="E35" s="93" t="str">
        <f t="shared" si="7"/>
        <v>7조 - Buffered Message Based - Safety</v>
      </c>
      <c r="F35" s="49"/>
      <c r="G35" s="49"/>
    </row>
    <row r="36" ht="16.5" customHeight="1">
      <c r="A36" s="42" t="s">
        <v>261</v>
      </c>
      <c r="B36" s="91" t="s">
        <v>785</v>
      </c>
      <c r="C36" s="93" t="str">
        <f t="shared" si="6"/>
        <v>7조 - Non-Buffered Event Based - Security</v>
      </c>
      <c r="D36" s="91" t="s">
        <v>785</v>
      </c>
      <c r="E36" s="93" t="str">
        <f t="shared" si="7"/>
        <v>7조 - Buffered Message Based - Security</v>
      </c>
      <c r="F36" s="49"/>
      <c r="G36" s="49"/>
    </row>
    <row r="37" ht="16.5" customHeight="1">
      <c r="A37" s="42" t="s">
        <v>310</v>
      </c>
      <c r="B37" s="91" t="s">
        <v>785</v>
      </c>
      <c r="C37" s="93" t="str">
        <f t="shared" si="6"/>
        <v>7조 - Non-Buffered Event Based - Testability</v>
      </c>
      <c r="D37" s="91" t="s">
        <v>785</v>
      </c>
      <c r="E37" s="93" t="str">
        <f t="shared" si="7"/>
        <v>7조 - Buffered Message Based - Testability</v>
      </c>
      <c r="F37" s="49"/>
      <c r="G37" s="49"/>
    </row>
    <row r="38" ht="16.5" customHeight="1">
      <c r="A38" s="42" t="s">
        <v>346</v>
      </c>
      <c r="B38" s="91" t="s">
        <v>785</v>
      </c>
      <c r="C38" s="93" t="str">
        <f t="shared" si="6"/>
        <v>7조 - Non-Buffered Event Based - Usability</v>
      </c>
      <c r="D38" s="91" t="s">
        <v>785</v>
      </c>
      <c r="E38" s="93" t="str">
        <f t="shared" si="7"/>
        <v>7조 - Buffered Message Based - Usability</v>
      </c>
      <c r="F38" s="49"/>
      <c r="G38" s="49"/>
    </row>
    <row r="39" ht="16.5" customHeight="1">
      <c r="A39" s="49"/>
      <c r="B39" s="56" t="s">
        <v>785</v>
      </c>
      <c r="C39" s="56" t="s">
        <v>785</v>
      </c>
      <c r="D39" s="56" t="s">
        <v>785</v>
      </c>
      <c r="E39" s="56" t="s">
        <v>785</v>
      </c>
      <c r="F39" s="49"/>
      <c r="G39" s="49"/>
    </row>
    <row r="40" ht="16.5" customHeight="1">
      <c r="A40" s="50" t="s">
        <v>7</v>
      </c>
      <c r="B40" s="80" t="s">
        <v>10</v>
      </c>
      <c r="C40" s="30"/>
      <c r="D40" s="80" t="s">
        <v>13</v>
      </c>
      <c r="E40" s="30"/>
      <c r="F40" s="49"/>
      <c r="G40" s="49"/>
      <c r="H40" s="49"/>
    </row>
    <row r="41" ht="16.5" customHeight="1">
      <c r="A41" s="53"/>
      <c r="B41" s="41" t="s">
        <v>11</v>
      </c>
      <c r="C41" s="41" t="s">
        <v>12</v>
      </c>
      <c r="D41" s="41" t="s">
        <v>11</v>
      </c>
      <c r="E41" s="41" t="s">
        <v>12</v>
      </c>
      <c r="F41" s="49"/>
      <c r="G41" s="49"/>
      <c r="H41" s="49"/>
      <c r="I41" s="54"/>
    </row>
    <row r="42" ht="16.5" customHeight="1">
      <c r="A42" s="42" t="s">
        <v>14</v>
      </c>
      <c r="B42" s="91" t="s">
        <v>785</v>
      </c>
      <c r="C42" s="93" t="str">
        <f t="shared" ref="C42:C51" si="8">"7조" &amp; " - " &amp; B$40 &amp; " - " &amp; $A42</f>
        <v>7조 - MVC - Availability</v>
      </c>
      <c r="D42" s="91" t="s">
        <v>785</v>
      </c>
      <c r="E42" s="93" t="str">
        <f t="shared" ref="E42:E51" si="9">"7조" &amp; " - " &amp; D$40 &amp; " - " &amp; $A42</f>
        <v>7조 - PAC - Availability</v>
      </c>
      <c r="F42" s="49"/>
      <c r="G42" s="49"/>
      <c r="H42" s="49"/>
    </row>
    <row r="43" ht="16.5" customHeight="1">
      <c r="A43" s="42" t="s">
        <v>47</v>
      </c>
      <c r="B43" s="91" t="s">
        <v>785</v>
      </c>
      <c r="C43" s="93" t="str">
        <f t="shared" si="8"/>
        <v>7조 - MVC - Deployability</v>
      </c>
      <c r="D43" s="91" t="s">
        <v>785</v>
      </c>
      <c r="E43" s="93" t="str">
        <f t="shared" si="9"/>
        <v>7조 - PAC - Deployability</v>
      </c>
      <c r="F43" s="49"/>
      <c r="G43" s="49"/>
      <c r="H43" s="49"/>
    </row>
    <row r="44" ht="16.5" customHeight="1">
      <c r="A44" s="42" t="s">
        <v>80</v>
      </c>
      <c r="B44" s="91" t="s">
        <v>785</v>
      </c>
      <c r="C44" s="93" t="str">
        <f t="shared" si="8"/>
        <v>7조 - MVC - Integrability</v>
      </c>
      <c r="D44" s="91" t="s">
        <v>785</v>
      </c>
      <c r="E44" s="93" t="str">
        <f t="shared" si="9"/>
        <v>7조 - PAC - Integrability</v>
      </c>
      <c r="F44" s="49"/>
      <c r="G44" s="49"/>
      <c r="H44" s="49"/>
    </row>
    <row r="45" ht="16.5" customHeight="1">
      <c r="A45" s="42" t="s">
        <v>117</v>
      </c>
      <c r="B45" s="91" t="s">
        <v>785</v>
      </c>
      <c r="C45" s="93" t="str">
        <f t="shared" si="8"/>
        <v>7조 - MVC - Energy Efficiency</v>
      </c>
      <c r="D45" s="91" t="s">
        <v>785</v>
      </c>
      <c r="E45" s="93" t="str">
        <f t="shared" si="9"/>
        <v>7조 - PAC - Energy Efficiency</v>
      </c>
      <c r="F45" s="49"/>
      <c r="G45" s="49"/>
      <c r="H45" s="49"/>
    </row>
    <row r="46" ht="16.5" customHeight="1">
      <c r="A46" s="42" t="s">
        <v>151</v>
      </c>
      <c r="B46" s="91" t="s">
        <v>785</v>
      </c>
      <c r="C46" s="93" t="str">
        <f t="shared" si="8"/>
        <v>7조 - MVC - Modifiability</v>
      </c>
      <c r="D46" s="91" t="s">
        <v>785</v>
      </c>
      <c r="E46" s="93" t="str">
        <f t="shared" si="9"/>
        <v>7조 - PAC - Modifiability</v>
      </c>
      <c r="F46" s="49"/>
      <c r="G46" s="49"/>
      <c r="H46" s="49"/>
    </row>
    <row r="47" ht="16.5" customHeight="1">
      <c r="A47" s="42" t="s">
        <v>186</v>
      </c>
      <c r="B47" s="91" t="s">
        <v>785</v>
      </c>
      <c r="C47" s="93" t="str">
        <f t="shared" si="8"/>
        <v>7조 - MVC - Performance</v>
      </c>
      <c r="D47" s="91" t="s">
        <v>785</v>
      </c>
      <c r="E47" s="93" t="str">
        <f t="shared" si="9"/>
        <v>7조 - PAC - Performance</v>
      </c>
      <c r="F47" s="49"/>
      <c r="G47" s="49"/>
      <c r="H47" s="49"/>
    </row>
    <row r="48" ht="16.5" customHeight="1">
      <c r="A48" s="42" t="s">
        <v>221</v>
      </c>
      <c r="B48" s="91" t="s">
        <v>785</v>
      </c>
      <c r="C48" s="93" t="str">
        <f t="shared" si="8"/>
        <v>7조 - MVC - Safety</v>
      </c>
      <c r="D48" s="91" t="s">
        <v>785</v>
      </c>
      <c r="E48" s="93" t="str">
        <f t="shared" si="9"/>
        <v>7조 - PAC - Safety</v>
      </c>
      <c r="F48" s="49"/>
      <c r="G48" s="49"/>
      <c r="H48" s="49"/>
    </row>
    <row r="49" ht="16.5" customHeight="1">
      <c r="A49" s="42" t="s">
        <v>261</v>
      </c>
      <c r="B49" s="91" t="s">
        <v>785</v>
      </c>
      <c r="C49" s="93" t="str">
        <f t="shared" si="8"/>
        <v>7조 - MVC - Security</v>
      </c>
      <c r="D49" s="91" t="s">
        <v>785</v>
      </c>
      <c r="E49" s="93" t="str">
        <f t="shared" si="9"/>
        <v>7조 - PAC - Security</v>
      </c>
      <c r="F49" s="49"/>
      <c r="G49" s="49"/>
      <c r="H49" s="49"/>
    </row>
    <row r="50" ht="16.5" customHeight="1">
      <c r="A50" s="42" t="s">
        <v>310</v>
      </c>
      <c r="B50" s="91" t="s">
        <v>785</v>
      </c>
      <c r="C50" s="93" t="str">
        <f t="shared" si="8"/>
        <v>7조 - MVC - Testability</v>
      </c>
      <c r="D50" s="91" t="s">
        <v>785</v>
      </c>
      <c r="E50" s="93" t="str">
        <f t="shared" si="9"/>
        <v>7조 - PAC - Testability</v>
      </c>
      <c r="F50" s="49"/>
      <c r="G50" s="56" t="s">
        <v>785</v>
      </c>
      <c r="H50" s="49"/>
      <c r="I50" s="55"/>
    </row>
    <row r="51" ht="16.5" customHeight="1">
      <c r="A51" s="42" t="s">
        <v>346</v>
      </c>
      <c r="B51" s="91" t="s">
        <v>785</v>
      </c>
      <c r="C51" s="93" t="str">
        <f t="shared" si="8"/>
        <v>7조 - MVC - Usability</v>
      </c>
      <c r="D51" s="91" t="s">
        <v>785</v>
      </c>
      <c r="E51" s="93" t="str">
        <f t="shared" si="9"/>
        <v>7조 - PAC - Usability</v>
      </c>
      <c r="F51" s="49"/>
      <c r="G51" s="56" t="s">
        <v>785</v>
      </c>
      <c r="H51" s="49"/>
      <c r="I51" s="54"/>
    </row>
    <row r="52" ht="16.5" customHeight="1">
      <c r="A52" s="49"/>
      <c r="B52" s="56" t="s">
        <v>785</v>
      </c>
      <c r="C52" s="49"/>
      <c r="D52" s="56" t="s">
        <v>785</v>
      </c>
      <c r="E52" s="49"/>
      <c r="F52" s="49"/>
      <c r="G52" s="49"/>
    </row>
    <row r="53" ht="16.5" customHeight="1">
      <c r="A53" s="50" t="s">
        <v>413</v>
      </c>
      <c r="B53" s="85" t="s">
        <v>414</v>
      </c>
      <c r="C53" s="30"/>
      <c r="D53" s="85" t="s">
        <v>415</v>
      </c>
      <c r="E53" s="30"/>
      <c r="F53" s="49"/>
      <c r="G53" s="56" t="s">
        <v>785</v>
      </c>
      <c r="H53" s="49"/>
    </row>
    <row r="54" ht="16.5" customHeight="1">
      <c r="A54" s="53"/>
      <c r="B54" s="41" t="s">
        <v>11</v>
      </c>
      <c r="C54" s="58" t="s">
        <v>12</v>
      </c>
      <c r="D54" s="41" t="s">
        <v>11</v>
      </c>
      <c r="E54" s="58" t="s">
        <v>12</v>
      </c>
      <c r="F54" s="49"/>
      <c r="G54" s="56" t="s">
        <v>785</v>
      </c>
      <c r="H54" s="49"/>
    </row>
    <row r="55" ht="16.5" customHeight="1">
      <c r="A55" s="42" t="s">
        <v>14</v>
      </c>
      <c r="B55" s="91" t="s">
        <v>785</v>
      </c>
      <c r="C55" s="93" t="str">
        <f t="shared" ref="C55:C64" si="10">"7조" &amp; " - " &amp; B$53 &amp; " - " &amp; $A55</f>
        <v>7조 - Main-subroutine - Availability</v>
      </c>
      <c r="D55" s="91" t="s">
        <v>785</v>
      </c>
      <c r="E55" s="93" t="str">
        <f t="shared" ref="E55:E64" si="11">"7조" &amp; " - " &amp; D$53 &amp; " - " &amp; $A55</f>
        <v>7조 - Master-Slave - Availability</v>
      </c>
      <c r="F55" s="49"/>
      <c r="G55" s="56" t="s">
        <v>785</v>
      </c>
      <c r="H55" s="49"/>
    </row>
    <row r="56" ht="16.5" customHeight="1">
      <c r="A56" s="42" t="s">
        <v>47</v>
      </c>
      <c r="B56" s="91" t="s">
        <v>785</v>
      </c>
      <c r="C56" s="104" t="str">
        <f t="shared" si="10"/>
        <v>7조 - Main-subroutine - Deployability</v>
      </c>
      <c r="D56" s="91" t="s">
        <v>785</v>
      </c>
      <c r="E56" s="93" t="str">
        <f t="shared" si="11"/>
        <v>7조 - Master-Slave - Deployability</v>
      </c>
      <c r="F56" s="49"/>
      <c r="G56" s="56" t="s">
        <v>785</v>
      </c>
      <c r="H56" s="49"/>
    </row>
    <row r="57" ht="16.5" customHeight="1">
      <c r="A57" s="42" t="s">
        <v>80</v>
      </c>
      <c r="B57" s="91" t="s">
        <v>785</v>
      </c>
      <c r="C57" s="93" t="str">
        <f t="shared" si="10"/>
        <v>7조 - Main-subroutine - Integrability</v>
      </c>
      <c r="D57" s="91" t="s">
        <v>785</v>
      </c>
      <c r="E57" s="93" t="str">
        <f t="shared" si="11"/>
        <v>7조 - Master-Slave - Integrability</v>
      </c>
      <c r="F57" s="49"/>
      <c r="G57" s="56" t="s">
        <v>785</v>
      </c>
      <c r="H57" s="49"/>
    </row>
    <row r="58" ht="16.5" customHeight="1">
      <c r="A58" s="42" t="s">
        <v>117</v>
      </c>
      <c r="B58" s="91" t="s">
        <v>785</v>
      </c>
      <c r="C58" s="93" t="str">
        <f t="shared" si="10"/>
        <v>7조 - Main-subroutine - Energy Efficiency</v>
      </c>
      <c r="D58" s="91" t="s">
        <v>785</v>
      </c>
      <c r="E58" s="93" t="str">
        <f t="shared" si="11"/>
        <v>7조 - Master-Slave - Energy Efficiency</v>
      </c>
      <c r="F58" s="49"/>
      <c r="G58" s="56" t="s">
        <v>785</v>
      </c>
      <c r="H58" s="49"/>
    </row>
    <row r="59" ht="16.5" customHeight="1">
      <c r="A59" s="42" t="s">
        <v>151</v>
      </c>
      <c r="B59" s="91" t="s">
        <v>785</v>
      </c>
      <c r="C59" s="93" t="str">
        <f t="shared" si="10"/>
        <v>7조 - Main-subroutine - Modifiability</v>
      </c>
      <c r="D59" s="91" t="s">
        <v>785</v>
      </c>
      <c r="E59" s="93" t="str">
        <f t="shared" si="11"/>
        <v>7조 - Master-Slave - Modifiability</v>
      </c>
      <c r="F59" s="49"/>
      <c r="G59" s="56" t="s">
        <v>785</v>
      </c>
      <c r="H59" s="49"/>
    </row>
    <row r="60" ht="16.5" customHeight="1">
      <c r="A60" s="42" t="s">
        <v>186</v>
      </c>
      <c r="B60" s="91" t="s">
        <v>785</v>
      </c>
      <c r="C60" s="93" t="str">
        <f t="shared" si="10"/>
        <v>7조 - Main-subroutine - Performance</v>
      </c>
      <c r="D60" s="91" t="s">
        <v>785</v>
      </c>
      <c r="E60" s="93" t="str">
        <f t="shared" si="11"/>
        <v>7조 - Master-Slave - Performance</v>
      </c>
      <c r="F60" s="49"/>
      <c r="G60" s="56" t="s">
        <v>785</v>
      </c>
      <c r="H60" s="49"/>
      <c r="I60" s="55"/>
    </row>
    <row r="61" ht="16.5" customHeight="1">
      <c r="A61" s="42" t="s">
        <v>221</v>
      </c>
      <c r="B61" s="91" t="s">
        <v>785</v>
      </c>
      <c r="C61" s="93" t="str">
        <f t="shared" si="10"/>
        <v>7조 - Main-subroutine - Safety</v>
      </c>
      <c r="D61" s="91" t="s">
        <v>785</v>
      </c>
      <c r="E61" s="93" t="str">
        <f t="shared" si="11"/>
        <v>7조 - Master-Slave - Safety</v>
      </c>
      <c r="F61" s="49"/>
      <c r="G61" s="56" t="s">
        <v>785</v>
      </c>
      <c r="H61" s="49"/>
      <c r="I61" s="54"/>
    </row>
    <row r="62" ht="16.5" customHeight="1">
      <c r="A62" s="42" t="s">
        <v>261</v>
      </c>
      <c r="B62" s="91" t="s">
        <v>785</v>
      </c>
      <c r="C62" s="93" t="str">
        <f t="shared" si="10"/>
        <v>7조 - Main-subroutine - Security</v>
      </c>
      <c r="D62" s="91" t="s">
        <v>785</v>
      </c>
      <c r="E62" s="93" t="str">
        <f t="shared" si="11"/>
        <v>7조 - Master-Slave - Security</v>
      </c>
      <c r="F62" s="49"/>
      <c r="G62" s="56" t="s">
        <v>785</v>
      </c>
      <c r="H62" s="49"/>
    </row>
    <row r="63" ht="16.5" customHeight="1">
      <c r="A63" s="42" t="s">
        <v>310</v>
      </c>
      <c r="B63" s="91" t="s">
        <v>785</v>
      </c>
      <c r="C63" s="93" t="str">
        <f t="shared" si="10"/>
        <v>7조 - Main-subroutine - Testability</v>
      </c>
      <c r="D63" s="91" t="s">
        <v>785</v>
      </c>
      <c r="E63" s="93" t="str">
        <f t="shared" si="11"/>
        <v>7조 - Master-Slave - Testability</v>
      </c>
      <c r="F63" s="49"/>
      <c r="G63" s="56" t="s">
        <v>785</v>
      </c>
      <c r="H63" s="49"/>
    </row>
    <row r="64" ht="16.5" customHeight="1">
      <c r="A64" s="42" t="s">
        <v>346</v>
      </c>
      <c r="B64" s="91" t="s">
        <v>785</v>
      </c>
      <c r="C64" s="93" t="str">
        <f t="shared" si="10"/>
        <v>7조 - Main-subroutine - Usability</v>
      </c>
      <c r="D64" s="91" t="s">
        <v>785</v>
      </c>
      <c r="E64" s="93" t="str">
        <f t="shared" si="11"/>
        <v>7조 - Master-Slave - Usability</v>
      </c>
      <c r="F64" s="49"/>
      <c r="G64" s="56" t="s">
        <v>785</v>
      </c>
      <c r="H64" s="49"/>
    </row>
    <row r="65" ht="16.5" customHeight="1">
      <c r="A65" s="49"/>
      <c r="B65" s="56" t="s">
        <v>785</v>
      </c>
      <c r="C65" s="56" t="s">
        <v>785</v>
      </c>
      <c r="D65" s="56" t="s">
        <v>785</v>
      </c>
      <c r="E65" s="56" t="s">
        <v>785</v>
      </c>
      <c r="F65" s="49"/>
      <c r="G65" s="56" t="s">
        <v>785</v>
      </c>
      <c r="H65" s="49"/>
    </row>
    <row r="66" ht="16.5" customHeight="1">
      <c r="A66" s="50" t="s">
        <v>413</v>
      </c>
      <c r="B66" s="85" t="s">
        <v>420</v>
      </c>
      <c r="C66" s="30"/>
      <c r="D66" s="85" t="s">
        <v>421</v>
      </c>
      <c r="E66" s="30"/>
      <c r="F66" s="85" t="s">
        <v>422</v>
      </c>
      <c r="G66" s="30"/>
      <c r="H66" s="49"/>
    </row>
    <row r="67" ht="16.5" customHeight="1">
      <c r="A67" s="53"/>
      <c r="B67" s="41" t="s">
        <v>11</v>
      </c>
      <c r="C67" s="58" t="s">
        <v>12</v>
      </c>
      <c r="D67" s="41" t="s">
        <v>11</v>
      </c>
      <c r="E67" s="58" t="s">
        <v>12</v>
      </c>
      <c r="F67" s="41" t="s">
        <v>11</v>
      </c>
      <c r="G67" s="58" t="s">
        <v>12</v>
      </c>
      <c r="H67" s="49"/>
    </row>
    <row r="68" ht="16.5" customHeight="1">
      <c r="A68" s="42" t="s">
        <v>14</v>
      </c>
      <c r="B68" s="91" t="s">
        <v>785</v>
      </c>
      <c r="C68" s="93" t="str">
        <f t="shared" ref="C68:C77" si="12">"7조" &amp; " - " &amp; B$66 &amp; " - " &amp; $A68</f>
        <v>7조 - Layered - Availability</v>
      </c>
      <c r="D68" s="91" t="s">
        <v>785</v>
      </c>
      <c r="E68" s="93" t="str">
        <f t="shared" ref="E68:E77" si="13">"7조" &amp; " - " &amp; D$66 &amp; " - " &amp; $A68</f>
        <v>7조 - Virtual Machine - Availability</v>
      </c>
      <c r="F68" s="91" t="s">
        <v>785</v>
      </c>
      <c r="G68" s="93" t="str">
        <f t="shared" ref="G68:G77" si="14">"7조" &amp; " - " &amp; F$66 &amp; " - " &amp; $A68</f>
        <v>7조 - Microkernel - Availability</v>
      </c>
      <c r="H68" s="49"/>
    </row>
    <row r="69" ht="16.5" customHeight="1">
      <c r="A69" s="42" t="s">
        <v>47</v>
      </c>
      <c r="B69" s="91" t="s">
        <v>785</v>
      </c>
      <c r="C69" s="93" t="str">
        <f t="shared" si="12"/>
        <v>7조 - Layered - Deployability</v>
      </c>
      <c r="D69" s="91" t="s">
        <v>785</v>
      </c>
      <c r="E69" s="104" t="str">
        <f t="shared" si="13"/>
        <v>7조 - Virtual Machine - Deployability</v>
      </c>
      <c r="F69" s="91" t="s">
        <v>785</v>
      </c>
      <c r="G69" s="93" t="str">
        <f t="shared" si="14"/>
        <v>7조 - Microkernel - Deployability</v>
      </c>
      <c r="H69" s="49"/>
    </row>
    <row r="70" ht="16.5" customHeight="1">
      <c r="A70" s="42" t="s">
        <v>80</v>
      </c>
      <c r="B70" s="91" t="s">
        <v>785</v>
      </c>
      <c r="C70" s="93" t="str">
        <f t="shared" si="12"/>
        <v>7조 - Layered - Integrability</v>
      </c>
      <c r="D70" s="91" t="s">
        <v>785</v>
      </c>
      <c r="E70" s="93" t="str">
        <f t="shared" si="13"/>
        <v>7조 - Virtual Machine - Integrability</v>
      </c>
      <c r="F70" s="91" t="s">
        <v>785</v>
      </c>
      <c r="G70" s="93" t="str">
        <f t="shared" si="14"/>
        <v>7조 - Microkernel - Integrability</v>
      </c>
      <c r="H70" s="49"/>
    </row>
    <row r="71" ht="16.5" customHeight="1">
      <c r="A71" s="42" t="s">
        <v>117</v>
      </c>
      <c r="B71" s="91" t="s">
        <v>785</v>
      </c>
      <c r="C71" s="93" t="str">
        <f t="shared" si="12"/>
        <v>7조 - Layered - Energy Efficiency</v>
      </c>
      <c r="D71" s="91" t="s">
        <v>785</v>
      </c>
      <c r="E71" s="93" t="str">
        <f t="shared" si="13"/>
        <v>7조 - Virtual Machine - Energy Efficiency</v>
      </c>
      <c r="F71" s="91" t="s">
        <v>785</v>
      </c>
      <c r="G71" s="93" t="str">
        <f t="shared" si="14"/>
        <v>7조 - Microkernel - Energy Efficiency</v>
      </c>
      <c r="H71" s="49"/>
    </row>
    <row r="72" ht="16.5" customHeight="1">
      <c r="A72" s="42" t="s">
        <v>151</v>
      </c>
      <c r="B72" s="91" t="s">
        <v>785</v>
      </c>
      <c r="C72" s="93" t="str">
        <f t="shared" si="12"/>
        <v>7조 - Layered - Modifiability</v>
      </c>
      <c r="D72" s="91" t="s">
        <v>785</v>
      </c>
      <c r="E72" s="93" t="str">
        <f t="shared" si="13"/>
        <v>7조 - Virtual Machine - Modifiability</v>
      </c>
      <c r="F72" s="91" t="s">
        <v>785</v>
      </c>
      <c r="G72" s="93" t="str">
        <f t="shared" si="14"/>
        <v>7조 - Microkernel - Modifiability</v>
      </c>
      <c r="H72" s="49"/>
    </row>
    <row r="73" ht="16.5" customHeight="1">
      <c r="A73" s="42" t="s">
        <v>186</v>
      </c>
      <c r="B73" s="91" t="s">
        <v>785</v>
      </c>
      <c r="C73" s="93" t="str">
        <f t="shared" si="12"/>
        <v>7조 - Layered - Performance</v>
      </c>
      <c r="D73" s="91" t="s">
        <v>785</v>
      </c>
      <c r="E73" s="93" t="str">
        <f t="shared" si="13"/>
        <v>7조 - Virtual Machine - Performance</v>
      </c>
      <c r="F73" s="91" t="s">
        <v>785</v>
      </c>
      <c r="G73" s="93" t="str">
        <f t="shared" si="14"/>
        <v>7조 - Microkernel - Performance</v>
      </c>
      <c r="H73" s="49"/>
    </row>
    <row r="74" ht="16.5" customHeight="1">
      <c r="A74" s="42" t="s">
        <v>221</v>
      </c>
      <c r="B74" s="91" t="s">
        <v>785</v>
      </c>
      <c r="C74" s="93" t="str">
        <f t="shared" si="12"/>
        <v>7조 - Layered - Safety</v>
      </c>
      <c r="D74" s="91" t="s">
        <v>785</v>
      </c>
      <c r="E74" s="93" t="str">
        <f t="shared" si="13"/>
        <v>7조 - Virtual Machine - Safety</v>
      </c>
      <c r="F74" s="91" t="s">
        <v>785</v>
      </c>
      <c r="G74" s="93" t="str">
        <f t="shared" si="14"/>
        <v>7조 - Microkernel - Safety</v>
      </c>
    </row>
    <row r="75" ht="16.5" customHeight="1">
      <c r="A75" s="42" t="s">
        <v>261</v>
      </c>
      <c r="B75" s="91" t="s">
        <v>785</v>
      </c>
      <c r="C75" s="93" t="str">
        <f t="shared" si="12"/>
        <v>7조 - Layered - Security</v>
      </c>
      <c r="D75" s="91" t="s">
        <v>785</v>
      </c>
      <c r="E75" s="93" t="str">
        <f t="shared" si="13"/>
        <v>7조 - Virtual Machine - Security</v>
      </c>
      <c r="F75" s="91" t="s">
        <v>785</v>
      </c>
      <c r="G75" s="93" t="str">
        <f t="shared" si="14"/>
        <v>7조 - Microkernel - Security</v>
      </c>
    </row>
    <row r="76" ht="16.5" customHeight="1">
      <c r="A76" s="42" t="s">
        <v>310</v>
      </c>
      <c r="B76" s="91" t="s">
        <v>785</v>
      </c>
      <c r="C76" s="93" t="str">
        <f t="shared" si="12"/>
        <v>7조 - Layered - Testability</v>
      </c>
      <c r="D76" s="91" t="s">
        <v>785</v>
      </c>
      <c r="E76" s="93" t="str">
        <f t="shared" si="13"/>
        <v>7조 - Virtual Machine - Testability</v>
      </c>
      <c r="F76" s="91" t="s">
        <v>785</v>
      </c>
      <c r="G76" s="93" t="str">
        <f t="shared" si="14"/>
        <v>7조 - Microkernel - Testability</v>
      </c>
    </row>
    <row r="77" ht="16.5" customHeight="1">
      <c r="A77" s="42" t="s">
        <v>346</v>
      </c>
      <c r="B77" s="91" t="s">
        <v>785</v>
      </c>
      <c r="C77" s="93" t="str">
        <f t="shared" si="12"/>
        <v>7조 - Layered - Usability</v>
      </c>
      <c r="D77" s="91" t="s">
        <v>785</v>
      </c>
      <c r="E77" s="93" t="str">
        <f t="shared" si="13"/>
        <v>7조 - Virtual Machine - Usability</v>
      </c>
      <c r="F77" s="91" t="s">
        <v>785</v>
      </c>
      <c r="G77" s="93" t="str">
        <f t="shared" si="14"/>
        <v>7조 - Microkernel - Usability</v>
      </c>
    </row>
    <row r="78" ht="16.5" customHeight="1">
      <c r="A78" s="49"/>
      <c r="B78" s="56" t="s">
        <v>785</v>
      </c>
      <c r="C78" s="56" t="s">
        <v>785</v>
      </c>
      <c r="D78" s="56" t="s">
        <v>785</v>
      </c>
      <c r="E78" s="56" t="s">
        <v>785</v>
      </c>
      <c r="F78" s="56" t="s">
        <v>785</v>
      </c>
      <c r="G78" s="56" t="s">
        <v>785</v>
      </c>
    </row>
    <row r="79" ht="16.5" customHeight="1">
      <c r="A79" s="39" t="s">
        <v>493</v>
      </c>
      <c r="B79" s="85" t="s">
        <v>672</v>
      </c>
      <c r="C79" s="30"/>
      <c r="D79" s="85" t="s">
        <v>495</v>
      </c>
      <c r="E79" s="30"/>
    </row>
    <row r="80" ht="16.5" customHeight="1">
      <c r="A80" s="31"/>
      <c r="B80" s="41" t="s">
        <v>11</v>
      </c>
      <c r="C80" s="41" t="s">
        <v>12</v>
      </c>
      <c r="D80" s="41" t="s">
        <v>11</v>
      </c>
      <c r="E80" s="41" t="s">
        <v>12</v>
      </c>
    </row>
    <row r="81" ht="16.5" customHeight="1">
      <c r="A81" s="42" t="s">
        <v>14</v>
      </c>
      <c r="B81" s="91" t="s">
        <v>785</v>
      </c>
      <c r="C81" s="93" t="str">
        <f t="shared" ref="C81:C90" si="15">"7조" &amp; " - " &amp; B$79 &amp; " - " &amp; $A81</f>
        <v>7조 - Multi-tier - Availability</v>
      </c>
      <c r="D81" s="91" t="s">
        <v>785</v>
      </c>
      <c r="E81" s="93" t="str">
        <f t="shared" ref="E81:E90" si="16">"7조" &amp; " - " &amp; D$79 &amp; " - " &amp; $A81</f>
        <v>7조 - Client-Server - Availability</v>
      </c>
    </row>
    <row r="82" ht="16.5" customHeight="1">
      <c r="A82" s="42" t="s">
        <v>47</v>
      </c>
      <c r="B82" s="91" t="s">
        <v>785</v>
      </c>
      <c r="C82" s="93" t="str">
        <f t="shared" si="15"/>
        <v>7조 - Multi-tier - Deployability</v>
      </c>
      <c r="D82" s="91" t="s">
        <v>785</v>
      </c>
      <c r="E82" s="93" t="str">
        <f t="shared" si="16"/>
        <v>7조 - Client-Server - Deployability</v>
      </c>
    </row>
    <row r="83" ht="16.5" customHeight="1">
      <c r="A83" s="42" t="s">
        <v>80</v>
      </c>
      <c r="B83" s="91" t="s">
        <v>785</v>
      </c>
      <c r="C83" s="93" t="str">
        <f t="shared" si="15"/>
        <v>7조 - Multi-tier - Integrability</v>
      </c>
      <c r="D83" s="91" t="s">
        <v>785</v>
      </c>
      <c r="E83" s="93" t="str">
        <f t="shared" si="16"/>
        <v>7조 - Client-Server - Integrability</v>
      </c>
    </row>
    <row r="84" ht="16.5" customHeight="1">
      <c r="A84" s="42" t="s">
        <v>117</v>
      </c>
      <c r="B84" s="91" t="s">
        <v>785</v>
      </c>
      <c r="C84" s="93" t="str">
        <f t="shared" si="15"/>
        <v>7조 - Multi-tier - Energy Efficiency</v>
      </c>
      <c r="D84" s="91" t="s">
        <v>785</v>
      </c>
      <c r="E84" s="93" t="str">
        <f t="shared" si="16"/>
        <v>7조 - Client-Server - Energy Efficiency</v>
      </c>
    </row>
    <row r="85" ht="16.5" customHeight="1">
      <c r="A85" s="42" t="s">
        <v>151</v>
      </c>
      <c r="B85" s="91" t="s">
        <v>785</v>
      </c>
      <c r="C85" s="93" t="str">
        <f t="shared" si="15"/>
        <v>7조 - Multi-tier - Modifiability</v>
      </c>
      <c r="D85" s="91" t="s">
        <v>785</v>
      </c>
      <c r="E85" s="93" t="str">
        <f t="shared" si="16"/>
        <v>7조 - Client-Server - Modifiability</v>
      </c>
    </row>
    <row r="86" ht="16.5" customHeight="1">
      <c r="A86" s="42" t="s">
        <v>186</v>
      </c>
      <c r="B86" s="91" t="s">
        <v>785</v>
      </c>
      <c r="C86" s="93" t="str">
        <f t="shared" si="15"/>
        <v>7조 - Multi-tier - Performance</v>
      </c>
      <c r="D86" s="91" t="s">
        <v>785</v>
      </c>
      <c r="E86" s="93" t="str">
        <f t="shared" si="16"/>
        <v>7조 - Client-Server - Performance</v>
      </c>
    </row>
    <row r="87" ht="16.5" customHeight="1">
      <c r="A87" s="42" t="s">
        <v>221</v>
      </c>
      <c r="B87" s="91" t="s">
        <v>785</v>
      </c>
      <c r="C87" s="93" t="str">
        <f t="shared" si="15"/>
        <v>7조 - Multi-tier - Safety</v>
      </c>
      <c r="D87" s="91" t="s">
        <v>785</v>
      </c>
      <c r="E87" s="93" t="str">
        <f t="shared" si="16"/>
        <v>7조 - Client-Server - Safety</v>
      </c>
    </row>
    <row r="88" ht="16.5" customHeight="1">
      <c r="A88" s="42" t="s">
        <v>261</v>
      </c>
      <c r="B88" s="91" t="s">
        <v>785</v>
      </c>
      <c r="C88" s="93" t="str">
        <f t="shared" si="15"/>
        <v>7조 - Multi-tier - Security</v>
      </c>
      <c r="D88" s="91" t="s">
        <v>785</v>
      </c>
      <c r="E88" s="93" t="str">
        <f t="shared" si="16"/>
        <v>7조 - Client-Server - Security</v>
      </c>
    </row>
    <row r="89" ht="16.5" customHeight="1">
      <c r="A89" s="42" t="s">
        <v>310</v>
      </c>
      <c r="B89" s="91" t="s">
        <v>785</v>
      </c>
      <c r="C89" s="93" t="str">
        <f t="shared" si="15"/>
        <v>7조 - Multi-tier - Testability</v>
      </c>
      <c r="D89" s="91" t="s">
        <v>785</v>
      </c>
      <c r="E89" s="93" t="str">
        <f t="shared" si="16"/>
        <v>7조 - Client-Server - Testability</v>
      </c>
    </row>
    <row r="90" ht="16.5" customHeight="1">
      <c r="A90" s="42" t="s">
        <v>346</v>
      </c>
      <c r="B90" s="91" t="s">
        <v>785</v>
      </c>
      <c r="C90" s="93" t="str">
        <f t="shared" si="15"/>
        <v>7조 - Multi-tier - Usability</v>
      </c>
      <c r="D90" s="91" t="s">
        <v>785</v>
      </c>
      <c r="E90" s="93" t="str">
        <f t="shared" si="16"/>
        <v>7조 - Client-Server - Usability</v>
      </c>
    </row>
    <row r="91" ht="16.5" customHeight="1">
      <c r="A91" s="49"/>
      <c r="B91" s="56" t="s">
        <v>785</v>
      </c>
      <c r="C91" s="49"/>
      <c r="D91" s="56" t="s">
        <v>785</v>
      </c>
      <c r="E91" s="49"/>
      <c r="F91" s="56" t="s">
        <v>785</v>
      </c>
      <c r="G91" s="49"/>
    </row>
    <row r="92" ht="16.5" customHeight="1">
      <c r="A92" s="39" t="s">
        <v>493</v>
      </c>
      <c r="B92" s="85" t="s">
        <v>550</v>
      </c>
      <c r="C92" s="30"/>
      <c r="D92" s="80" t="s">
        <v>551</v>
      </c>
      <c r="E92" s="30"/>
    </row>
    <row r="93" ht="16.5" customHeight="1">
      <c r="A93" s="31"/>
      <c r="B93" s="41" t="s">
        <v>11</v>
      </c>
      <c r="C93" s="41" t="s">
        <v>12</v>
      </c>
      <c r="D93" s="41" t="s">
        <v>11</v>
      </c>
      <c r="E93" s="41" t="s">
        <v>12</v>
      </c>
    </row>
    <row r="94" ht="16.5" customHeight="1">
      <c r="A94" s="42" t="s">
        <v>14</v>
      </c>
      <c r="B94" s="91" t="s">
        <v>785</v>
      </c>
      <c r="C94" s="93" t="str">
        <f t="shared" ref="C94:C103" si="17">"7조" &amp; " - " &amp; B$92 &amp; " - " &amp; $A94</f>
        <v>7조 - Broker - Availability</v>
      </c>
      <c r="D94" s="91" t="s">
        <v>785</v>
      </c>
      <c r="E94" s="93" t="str">
        <f t="shared" ref="E94:E103" si="18">"7조" &amp; " - " &amp; D$92 &amp; " - " &amp; $A94</f>
        <v>7조 - Dispatcher - Availability</v>
      </c>
    </row>
    <row r="95" ht="16.5" customHeight="1">
      <c r="A95" s="42" t="s">
        <v>47</v>
      </c>
      <c r="B95" s="91" t="s">
        <v>785</v>
      </c>
      <c r="C95" s="93" t="str">
        <f t="shared" si="17"/>
        <v>7조 - Broker - Deployability</v>
      </c>
      <c r="D95" s="91" t="s">
        <v>785</v>
      </c>
      <c r="E95" s="93" t="str">
        <f t="shared" si="18"/>
        <v>7조 - Dispatcher - Deployability</v>
      </c>
    </row>
    <row r="96" ht="16.5" customHeight="1">
      <c r="A96" s="42" t="s">
        <v>80</v>
      </c>
      <c r="B96" s="91" t="s">
        <v>785</v>
      </c>
      <c r="C96" s="93" t="str">
        <f t="shared" si="17"/>
        <v>7조 - Broker - Integrability</v>
      </c>
      <c r="D96" s="91" t="s">
        <v>785</v>
      </c>
      <c r="E96" s="93" t="str">
        <f t="shared" si="18"/>
        <v>7조 - Dispatcher - Integrability</v>
      </c>
    </row>
    <row r="97" ht="16.5" customHeight="1">
      <c r="A97" s="42" t="s">
        <v>117</v>
      </c>
      <c r="B97" s="91" t="s">
        <v>785</v>
      </c>
      <c r="C97" s="93" t="str">
        <f t="shared" si="17"/>
        <v>7조 - Broker - Energy Efficiency</v>
      </c>
      <c r="D97" s="91" t="s">
        <v>785</v>
      </c>
      <c r="E97" s="93" t="str">
        <f t="shared" si="18"/>
        <v>7조 - Dispatcher - Energy Efficiency</v>
      </c>
    </row>
    <row r="98" ht="16.5" customHeight="1">
      <c r="A98" s="42" t="s">
        <v>151</v>
      </c>
      <c r="B98" s="91" t="s">
        <v>785</v>
      </c>
      <c r="C98" s="93" t="str">
        <f t="shared" si="17"/>
        <v>7조 - Broker - Modifiability</v>
      </c>
      <c r="D98" s="91" t="s">
        <v>785</v>
      </c>
      <c r="E98" s="93" t="str">
        <f t="shared" si="18"/>
        <v>7조 - Dispatcher - Modifiability</v>
      </c>
    </row>
    <row r="99" ht="16.5" customHeight="1">
      <c r="A99" s="42" t="s">
        <v>186</v>
      </c>
      <c r="B99" s="91" t="s">
        <v>785</v>
      </c>
      <c r="C99" s="93" t="str">
        <f t="shared" si="17"/>
        <v>7조 - Broker - Performance</v>
      </c>
      <c r="D99" s="91" t="s">
        <v>785</v>
      </c>
      <c r="E99" s="93" t="str">
        <f t="shared" si="18"/>
        <v>7조 - Dispatcher - Performance</v>
      </c>
    </row>
    <row r="100" ht="16.5" customHeight="1">
      <c r="A100" s="42" t="s">
        <v>221</v>
      </c>
      <c r="B100" s="91" t="s">
        <v>785</v>
      </c>
      <c r="C100" s="93" t="str">
        <f t="shared" si="17"/>
        <v>7조 - Broker - Safety</v>
      </c>
      <c r="D100" s="91" t="s">
        <v>785</v>
      </c>
      <c r="E100" s="93" t="str">
        <f t="shared" si="18"/>
        <v>7조 - Dispatcher - Safety</v>
      </c>
    </row>
    <row r="101" ht="16.5" customHeight="1">
      <c r="A101" s="42" t="s">
        <v>261</v>
      </c>
      <c r="B101" s="91" t="s">
        <v>785</v>
      </c>
      <c r="C101" s="93" t="str">
        <f t="shared" si="17"/>
        <v>7조 - Broker - Security</v>
      </c>
      <c r="D101" s="91" t="s">
        <v>785</v>
      </c>
      <c r="E101" s="93" t="str">
        <f t="shared" si="18"/>
        <v>7조 - Dispatcher - Security</v>
      </c>
    </row>
    <row r="102" ht="16.5" customHeight="1">
      <c r="A102" s="42" t="s">
        <v>310</v>
      </c>
      <c r="B102" s="91" t="s">
        <v>785</v>
      </c>
      <c r="C102" s="93" t="str">
        <f t="shared" si="17"/>
        <v>7조 - Broker - Testability</v>
      </c>
      <c r="D102" s="91" t="s">
        <v>785</v>
      </c>
      <c r="E102" s="93" t="str">
        <f t="shared" si="18"/>
        <v>7조 - Dispatcher - Testability</v>
      </c>
    </row>
    <row r="103" ht="16.5" customHeight="1">
      <c r="A103" s="42" t="s">
        <v>346</v>
      </c>
      <c r="B103" s="91" t="s">
        <v>785</v>
      </c>
      <c r="C103" s="93" t="str">
        <f t="shared" si="17"/>
        <v>7조 - Broker - Usability</v>
      </c>
      <c r="D103" s="91" t="s">
        <v>785</v>
      </c>
      <c r="E103" s="93" t="str">
        <f t="shared" si="18"/>
        <v>7조 - Dispatcher - Usability</v>
      </c>
    </row>
    <row r="104" ht="16.5" customHeight="1">
      <c r="A104" s="49"/>
      <c r="B104" s="56" t="s">
        <v>785</v>
      </c>
      <c r="C104" s="49"/>
      <c r="D104" s="56" t="s">
        <v>785</v>
      </c>
      <c r="E104" s="49"/>
      <c r="F104" s="49"/>
      <c r="G104" s="49"/>
    </row>
    <row r="105" ht="16.5" customHeight="1">
      <c r="A105" s="39" t="s">
        <v>493</v>
      </c>
      <c r="B105" s="85" t="s">
        <v>653</v>
      </c>
      <c r="C105" s="30"/>
      <c r="D105" s="80" t="s">
        <v>947</v>
      </c>
      <c r="E105" s="30"/>
    </row>
    <row r="106" ht="16.5" customHeight="1">
      <c r="A106" s="31"/>
      <c r="B106" s="41" t="s">
        <v>11</v>
      </c>
      <c r="C106" s="41" t="s">
        <v>12</v>
      </c>
      <c r="D106" s="41" t="s">
        <v>11</v>
      </c>
      <c r="E106" s="41" t="s">
        <v>12</v>
      </c>
    </row>
    <row r="107" ht="16.5" customHeight="1">
      <c r="A107" s="42" t="s">
        <v>14</v>
      </c>
      <c r="B107" s="91" t="s">
        <v>785</v>
      </c>
      <c r="C107" s="93" t="str">
        <f t="shared" ref="C107:C116" si="19">"7조" &amp; " - " &amp; B$105 &amp; " - " &amp; $A107</f>
        <v>7조 - SOA - Availability</v>
      </c>
      <c r="D107" s="91" t="s">
        <v>785</v>
      </c>
      <c r="E107" s="93" t="str">
        <f t="shared" ref="E107:E116" si="20">"7조" &amp; " - " &amp; D$105 &amp; " - " &amp; $A107</f>
        <v>7조 - Mico-Service - Availability</v>
      </c>
    </row>
    <row r="108" ht="16.5" customHeight="1">
      <c r="A108" s="42" t="s">
        <v>47</v>
      </c>
      <c r="B108" s="91" t="s">
        <v>785</v>
      </c>
      <c r="C108" s="93" t="str">
        <f t="shared" si="19"/>
        <v>7조 - SOA - Deployability</v>
      </c>
      <c r="D108" s="91" t="s">
        <v>785</v>
      </c>
      <c r="E108" s="93" t="str">
        <f t="shared" si="20"/>
        <v>7조 - Mico-Service - Deployability</v>
      </c>
    </row>
    <row r="109" ht="16.5" customHeight="1">
      <c r="A109" s="42" t="s">
        <v>80</v>
      </c>
      <c r="B109" s="91" t="s">
        <v>785</v>
      </c>
      <c r="C109" s="93" t="str">
        <f t="shared" si="19"/>
        <v>7조 - SOA - Integrability</v>
      </c>
      <c r="D109" s="91" t="s">
        <v>785</v>
      </c>
      <c r="E109" s="93" t="str">
        <f t="shared" si="20"/>
        <v>7조 - Mico-Service - Integrability</v>
      </c>
    </row>
    <row r="110" ht="16.5" customHeight="1">
      <c r="A110" s="42" t="s">
        <v>117</v>
      </c>
      <c r="B110" s="91" t="s">
        <v>785</v>
      </c>
      <c r="C110" s="93" t="str">
        <f t="shared" si="19"/>
        <v>7조 - SOA - Energy Efficiency</v>
      </c>
      <c r="D110" s="91" t="s">
        <v>785</v>
      </c>
      <c r="E110" s="93" t="str">
        <f t="shared" si="20"/>
        <v>7조 - Mico-Service - Energy Efficiency</v>
      </c>
    </row>
    <row r="111" ht="16.5" customHeight="1">
      <c r="A111" s="42" t="s">
        <v>151</v>
      </c>
      <c r="B111" s="91" t="s">
        <v>785</v>
      </c>
      <c r="C111" s="93" t="str">
        <f t="shared" si="19"/>
        <v>7조 - SOA - Modifiability</v>
      </c>
      <c r="D111" s="91" t="s">
        <v>785</v>
      </c>
      <c r="E111" s="93" t="str">
        <f t="shared" si="20"/>
        <v>7조 - Mico-Service - Modifiability</v>
      </c>
    </row>
    <row r="112" ht="16.5" customHeight="1">
      <c r="A112" s="42" t="s">
        <v>186</v>
      </c>
      <c r="B112" s="91" t="s">
        <v>785</v>
      </c>
      <c r="C112" s="93" t="str">
        <f t="shared" si="19"/>
        <v>7조 - SOA - Performance</v>
      </c>
      <c r="D112" s="91" t="s">
        <v>785</v>
      </c>
      <c r="E112" s="93" t="str">
        <f t="shared" si="20"/>
        <v>7조 - Mico-Service - Performance</v>
      </c>
    </row>
    <row r="113" ht="16.5" customHeight="1">
      <c r="A113" s="42" t="s">
        <v>221</v>
      </c>
      <c r="B113" s="91" t="s">
        <v>785</v>
      </c>
      <c r="C113" s="93" t="str">
        <f t="shared" si="19"/>
        <v>7조 - SOA - Safety</v>
      </c>
      <c r="D113" s="91" t="s">
        <v>785</v>
      </c>
      <c r="E113" s="93" t="str">
        <f t="shared" si="20"/>
        <v>7조 - Mico-Service - Safety</v>
      </c>
    </row>
    <row r="114" ht="16.5" customHeight="1">
      <c r="A114" s="42" t="s">
        <v>261</v>
      </c>
      <c r="B114" s="91" t="s">
        <v>785</v>
      </c>
      <c r="C114" s="93" t="str">
        <f t="shared" si="19"/>
        <v>7조 - SOA - Security</v>
      </c>
      <c r="D114" s="91" t="s">
        <v>785</v>
      </c>
      <c r="E114" s="93" t="str">
        <f t="shared" si="20"/>
        <v>7조 - Mico-Service - Security</v>
      </c>
    </row>
    <row r="115" ht="16.5" customHeight="1">
      <c r="A115" s="42" t="s">
        <v>310</v>
      </c>
      <c r="B115" s="91" t="s">
        <v>785</v>
      </c>
      <c r="C115" s="93" t="str">
        <f t="shared" si="19"/>
        <v>7조 - SOA - Testability</v>
      </c>
      <c r="D115" s="91" t="s">
        <v>785</v>
      </c>
      <c r="E115" s="93" t="str">
        <f t="shared" si="20"/>
        <v>7조 - Mico-Service - Testability</v>
      </c>
    </row>
    <row r="116" ht="16.5" customHeight="1">
      <c r="A116" s="42" t="s">
        <v>346</v>
      </c>
      <c r="B116" s="91" t="s">
        <v>785</v>
      </c>
      <c r="C116" s="93" t="str">
        <f t="shared" si="19"/>
        <v>7조 - SOA - Usability</v>
      </c>
      <c r="D116" s="91" t="s">
        <v>785</v>
      </c>
      <c r="E116" s="93" t="str">
        <f t="shared" si="20"/>
        <v>7조 - Mico-Service - Usability</v>
      </c>
    </row>
    <row r="117" ht="16.5" customHeight="1">
      <c r="A117" s="49"/>
      <c r="B117" s="56" t="s">
        <v>785</v>
      </c>
      <c r="C117" s="49"/>
      <c r="D117" s="56" t="s">
        <v>785</v>
      </c>
      <c r="E117" s="49"/>
      <c r="F117" s="49"/>
      <c r="G117" s="49"/>
    </row>
    <row r="118" ht="16.5" customHeight="1">
      <c r="A118" s="39" t="s">
        <v>656</v>
      </c>
      <c r="B118" s="80" t="s">
        <v>657</v>
      </c>
      <c r="C118" s="30"/>
      <c r="D118" s="80" t="s">
        <v>658</v>
      </c>
      <c r="E118" s="30"/>
      <c r="F118" s="80" t="s">
        <v>659</v>
      </c>
      <c r="G118" s="30"/>
    </row>
    <row r="119" ht="16.5" customHeight="1">
      <c r="A119" s="31"/>
      <c r="B119" s="41" t="s">
        <v>11</v>
      </c>
      <c r="C119" s="41" t="s">
        <v>12</v>
      </c>
      <c r="D119" s="41" t="s">
        <v>11</v>
      </c>
      <c r="E119" s="41" t="s">
        <v>12</v>
      </c>
      <c r="F119" s="41" t="s">
        <v>11</v>
      </c>
      <c r="G119" s="41" t="s">
        <v>12</v>
      </c>
    </row>
    <row r="120" ht="16.5" customHeight="1">
      <c r="A120" s="42" t="s">
        <v>14</v>
      </c>
      <c r="B120" s="91" t="s">
        <v>785</v>
      </c>
      <c r="C120" s="93" t="str">
        <f t="shared" ref="C120:C129" si="21">"7조" &amp; " - " &amp; B$118 &amp; " - " &amp; $A120</f>
        <v>7조 - Container-based - Availability</v>
      </c>
      <c r="D120" s="91" t="s">
        <v>785</v>
      </c>
      <c r="E120" s="93" t="str">
        <f t="shared" ref="E120:E129" si="22">"7조" &amp; " - " &amp; D$118 &amp; " - " &amp; $A120</f>
        <v>7조 - Cloud-based - Availability</v>
      </c>
      <c r="F120" s="91" t="s">
        <v>785</v>
      </c>
      <c r="G120" s="93" t="str">
        <f t="shared" ref="G120:G129" si="23">"7조" &amp; " - " &amp; F$118 &amp; " - " &amp; $A120</f>
        <v>7조 - Edge-based - Availability</v>
      </c>
    </row>
    <row r="121" ht="16.5" customHeight="1">
      <c r="A121" s="42" t="s">
        <v>47</v>
      </c>
      <c r="B121" s="91" t="s">
        <v>785</v>
      </c>
      <c r="C121" s="93" t="str">
        <f t="shared" si="21"/>
        <v>7조 - Container-based - Deployability</v>
      </c>
      <c r="D121" s="91" t="s">
        <v>785</v>
      </c>
      <c r="E121" s="93" t="str">
        <f t="shared" si="22"/>
        <v>7조 - Cloud-based - Deployability</v>
      </c>
      <c r="F121" s="91" t="s">
        <v>785</v>
      </c>
      <c r="G121" s="93" t="str">
        <f t="shared" si="23"/>
        <v>7조 - Edge-based - Deployability</v>
      </c>
    </row>
    <row r="122" ht="16.5" customHeight="1">
      <c r="A122" s="42" t="s">
        <v>80</v>
      </c>
      <c r="B122" s="91" t="s">
        <v>785</v>
      </c>
      <c r="C122" s="93" t="str">
        <f t="shared" si="21"/>
        <v>7조 - Container-based - Integrability</v>
      </c>
      <c r="D122" s="91" t="s">
        <v>785</v>
      </c>
      <c r="E122" s="93" t="str">
        <f t="shared" si="22"/>
        <v>7조 - Cloud-based - Integrability</v>
      </c>
      <c r="F122" s="91" t="s">
        <v>785</v>
      </c>
      <c r="G122" s="93" t="str">
        <f t="shared" si="23"/>
        <v>7조 - Edge-based - Integrability</v>
      </c>
    </row>
    <row r="123" ht="16.5" customHeight="1">
      <c r="A123" s="42" t="s">
        <v>117</v>
      </c>
      <c r="B123" s="91" t="s">
        <v>785</v>
      </c>
      <c r="C123" s="93" t="str">
        <f t="shared" si="21"/>
        <v>7조 - Container-based - Energy Efficiency</v>
      </c>
      <c r="D123" s="91" t="s">
        <v>785</v>
      </c>
      <c r="E123" s="93" t="str">
        <f t="shared" si="22"/>
        <v>7조 - Cloud-based - Energy Efficiency</v>
      </c>
      <c r="F123" s="91" t="s">
        <v>785</v>
      </c>
      <c r="G123" s="93" t="str">
        <f t="shared" si="23"/>
        <v>7조 - Edge-based - Energy Efficiency</v>
      </c>
    </row>
    <row r="124" ht="16.5" customHeight="1">
      <c r="A124" s="42" t="s">
        <v>151</v>
      </c>
      <c r="B124" s="91" t="s">
        <v>785</v>
      </c>
      <c r="C124" s="93" t="str">
        <f t="shared" si="21"/>
        <v>7조 - Container-based - Modifiability</v>
      </c>
      <c r="D124" s="91" t="s">
        <v>785</v>
      </c>
      <c r="E124" s="93" t="str">
        <f t="shared" si="22"/>
        <v>7조 - Cloud-based - Modifiability</v>
      </c>
      <c r="F124" s="91" t="s">
        <v>785</v>
      </c>
      <c r="G124" s="93" t="str">
        <f t="shared" si="23"/>
        <v>7조 - Edge-based - Modifiability</v>
      </c>
    </row>
    <row r="125" ht="16.5" customHeight="1">
      <c r="A125" s="42" t="s">
        <v>186</v>
      </c>
      <c r="B125" s="91" t="s">
        <v>785</v>
      </c>
      <c r="C125" s="93" t="str">
        <f t="shared" si="21"/>
        <v>7조 - Container-based - Performance</v>
      </c>
      <c r="D125" s="91" t="s">
        <v>785</v>
      </c>
      <c r="E125" s="93" t="str">
        <f t="shared" si="22"/>
        <v>7조 - Cloud-based - Performance</v>
      </c>
      <c r="F125" s="91" t="s">
        <v>785</v>
      </c>
      <c r="G125" s="93" t="str">
        <f t="shared" si="23"/>
        <v>7조 - Edge-based - Performance</v>
      </c>
    </row>
    <row r="126" ht="16.5" customHeight="1">
      <c r="A126" s="42" t="s">
        <v>221</v>
      </c>
      <c r="B126" s="91" t="s">
        <v>785</v>
      </c>
      <c r="C126" s="93" t="str">
        <f t="shared" si="21"/>
        <v>7조 - Container-based - Safety</v>
      </c>
      <c r="D126" s="91" t="s">
        <v>785</v>
      </c>
      <c r="E126" s="93" t="str">
        <f t="shared" si="22"/>
        <v>7조 - Cloud-based - Safety</v>
      </c>
      <c r="F126" s="91" t="s">
        <v>785</v>
      </c>
      <c r="G126" s="93" t="str">
        <f t="shared" si="23"/>
        <v>7조 - Edge-based - Safety</v>
      </c>
    </row>
    <row r="127" ht="16.5" customHeight="1">
      <c r="A127" s="42" t="s">
        <v>261</v>
      </c>
      <c r="B127" s="91" t="s">
        <v>785</v>
      </c>
      <c r="C127" s="93" t="str">
        <f t="shared" si="21"/>
        <v>7조 - Container-based - Security</v>
      </c>
      <c r="D127" s="91" t="s">
        <v>785</v>
      </c>
      <c r="E127" s="93" t="str">
        <f t="shared" si="22"/>
        <v>7조 - Cloud-based - Security</v>
      </c>
      <c r="F127" s="91" t="s">
        <v>785</v>
      </c>
      <c r="G127" s="93" t="str">
        <f t="shared" si="23"/>
        <v>7조 - Edge-based - Security</v>
      </c>
    </row>
    <row r="128" ht="16.5" customHeight="1">
      <c r="A128" s="42" t="s">
        <v>310</v>
      </c>
      <c r="B128" s="91" t="s">
        <v>785</v>
      </c>
      <c r="C128" s="93" t="str">
        <f t="shared" si="21"/>
        <v>7조 - Container-based - Testability</v>
      </c>
      <c r="D128" s="91" t="s">
        <v>785</v>
      </c>
      <c r="E128" s="93" t="str">
        <f t="shared" si="22"/>
        <v>7조 - Cloud-based - Testability</v>
      </c>
      <c r="F128" s="91" t="s">
        <v>785</v>
      </c>
      <c r="G128" s="93" t="str">
        <f t="shared" si="23"/>
        <v>7조 - Edge-based - Testability</v>
      </c>
    </row>
    <row r="129" ht="16.5" customHeight="1">
      <c r="A129" s="42" t="s">
        <v>346</v>
      </c>
      <c r="B129" s="91" t="s">
        <v>785</v>
      </c>
      <c r="C129" s="93" t="str">
        <f t="shared" si="21"/>
        <v>7조 - Container-based - Usability</v>
      </c>
      <c r="D129" s="91" t="s">
        <v>785</v>
      </c>
      <c r="E129" s="93" t="str">
        <f t="shared" si="22"/>
        <v>7조 - Cloud-based - Usability</v>
      </c>
      <c r="F129" s="91" t="s">
        <v>785</v>
      </c>
      <c r="G129" s="93" t="str">
        <f t="shared" si="23"/>
        <v>7조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39" t="s">
        <v>666</v>
      </c>
      <c r="B1" s="80" t="s">
        <v>0</v>
      </c>
      <c r="C1" s="30"/>
      <c r="D1" s="80" t="s">
        <v>1</v>
      </c>
      <c r="E1" s="30"/>
      <c r="F1" s="80" t="s">
        <v>2</v>
      </c>
      <c r="G1" s="30"/>
    </row>
    <row r="2" ht="16.5" customHeight="1">
      <c r="A2" s="31"/>
      <c r="B2" s="41" t="s">
        <v>11</v>
      </c>
      <c r="C2" s="41" t="s">
        <v>12</v>
      </c>
      <c r="D2" s="41" t="s">
        <v>11</v>
      </c>
      <c r="E2" s="41" t="s">
        <v>12</v>
      </c>
      <c r="F2" s="41" t="s">
        <v>11</v>
      </c>
      <c r="G2" s="41" t="s">
        <v>12</v>
      </c>
    </row>
    <row r="3" ht="16.5" customHeight="1">
      <c r="A3" s="42" t="s">
        <v>14</v>
      </c>
      <c r="B3" s="91" t="s">
        <v>785</v>
      </c>
      <c r="C3" s="93" t="str">
        <f t="shared" ref="C3:C12" si="1">"8조" &amp; " - " &amp; B$1 &amp; " - " &amp; $A3</f>
        <v>8조 - Batch Sequential - Availability</v>
      </c>
      <c r="D3" s="91" t="s">
        <v>785</v>
      </c>
      <c r="E3" s="93" t="str">
        <f t="shared" ref="E3:E12" si="2">"8조" &amp; " - " &amp; D$1 &amp; " - " &amp; $A3</f>
        <v>8조 - Pipe and Filter - Availability</v>
      </c>
      <c r="F3" s="91" t="s">
        <v>785</v>
      </c>
      <c r="G3" s="93" t="str">
        <f t="shared" ref="G3:G12" si="3">"8조" &amp; " - " &amp; F$1 &amp; " - " &amp; $A3</f>
        <v>8조 - Process Control - Availability</v>
      </c>
    </row>
    <row r="4" ht="16.5" customHeight="1">
      <c r="A4" s="42" t="s">
        <v>47</v>
      </c>
      <c r="B4" s="91" t="s">
        <v>785</v>
      </c>
      <c r="C4" s="93" t="str">
        <f t="shared" si="1"/>
        <v>8조 - Batch Sequential - Deployability</v>
      </c>
      <c r="D4" s="91" t="s">
        <v>785</v>
      </c>
      <c r="E4" s="93" t="str">
        <f t="shared" si="2"/>
        <v>8조 - Pipe and Filter - Deployability</v>
      </c>
      <c r="F4" s="91" t="s">
        <v>785</v>
      </c>
      <c r="G4" s="93" t="str">
        <f t="shared" si="3"/>
        <v>8조 - Process Control - Deployability</v>
      </c>
    </row>
    <row r="5" ht="16.5" customHeight="1">
      <c r="A5" s="42" t="s">
        <v>80</v>
      </c>
      <c r="B5" s="91" t="s">
        <v>785</v>
      </c>
      <c r="C5" s="93" t="str">
        <f t="shared" si="1"/>
        <v>8조 - Batch Sequential - Integrability</v>
      </c>
      <c r="D5" s="91" t="s">
        <v>785</v>
      </c>
      <c r="E5" s="104" t="str">
        <f t="shared" si="2"/>
        <v>8조 - Pipe and Filter - Integrability</v>
      </c>
      <c r="F5" s="91" t="s">
        <v>785</v>
      </c>
      <c r="G5" s="93" t="str">
        <f t="shared" si="3"/>
        <v>8조 - Process Control - Integrability</v>
      </c>
    </row>
    <row r="6" ht="16.5" customHeight="1">
      <c r="A6" s="42" t="s">
        <v>117</v>
      </c>
      <c r="B6" s="91" t="s">
        <v>785</v>
      </c>
      <c r="C6" s="93" t="str">
        <f t="shared" si="1"/>
        <v>8조 - Batch Sequential - Energy Efficiency</v>
      </c>
      <c r="D6" s="91" t="s">
        <v>785</v>
      </c>
      <c r="E6" s="93" t="str">
        <f t="shared" si="2"/>
        <v>8조 - Pipe and Filter - Energy Efficiency</v>
      </c>
      <c r="F6" s="91" t="s">
        <v>785</v>
      </c>
      <c r="G6" s="93" t="str">
        <f t="shared" si="3"/>
        <v>8조 - Process Control - Energy Efficiency</v>
      </c>
    </row>
    <row r="7" ht="16.5" customHeight="1">
      <c r="A7" s="42" t="s">
        <v>151</v>
      </c>
      <c r="B7" s="91" t="s">
        <v>785</v>
      </c>
      <c r="C7" s="93" t="str">
        <f t="shared" si="1"/>
        <v>8조 - Batch Sequential - Modifiability</v>
      </c>
      <c r="D7" s="91" t="s">
        <v>785</v>
      </c>
      <c r="E7" s="93" t="str">
        <f t="shared" si="2"/>
        <v>8조 - Pipe and Filter - Modifiability</v>
      </c>
      <c r="F7" s="91" t="s">
        <v>785</v>
      </c>
      <c r="G7" s="93" t="str">
        <f t="shared" si="3"/>
        <v>8조 - Process Control - Modifiability</v>
      </c>
    </row>
    <row r="8" ht="16.5" customHeight="1">
      <c r="A8" s="42" t="s">
        <v>186</v>
      </c>
      <c r="B8" s="91" t="s">
        <v>785</v>
      </c>
      <c r="C8" s="93" t="str">
        <f t="shared" si="1"/>
        <v>8조 - Batch Sequential - Performance</v>
      </c>
      <c r="D8" s="91" t="s">
        <v>785</v>
      </c>
      <c r="E8" s="93" t="str">
        <f t="shared" si="2"/>
        <v>8조 - Pipe and Filter - Performance</v>
      </c>
      <c r="F8" s="91" t="s">
        <v>785</v>
      </c>
      <c r="G8" s="93" t="str">
        <f t="shared" si="3"/>
        <v>8조 - Process Control - Performance</v>
      </c>
    </row>
    <row r="9" ht="16.5" customHeight="1">
      <c r="A9" s="42" t="s">
        <v>221</v>
      </c>
      <c r="B9" s="91" t="s">
        <v>785</v>
      </c>
      <c r="C9" s="93" t="str">
        <f t="shared" si="1"/>
        <v>8조 - Batch Sequential - Safety</v>
      </c>
      <c r="D9" s="91" t="s">
        <v>785</v>
      </c>
      <c r="E9" s="93" t="str">
        <f t="shared" si="2"/>
        <v>8조 - Pipe and Filter - Safety</v>
      </c>
      <c r="F9" s="91" t="s">
        <v>785</v>
      </c>
      <c r="G9" s="93" t="str">
        <f t="shared" si="3"/>
        <v>8조 - Process Control - Safety</v>
      </c>
    </row>
    <row r="10" ht="16.5" customHeight="1">
      <c r="A10" s="42" t="s">
        <v>261</v>
      </c>
      <c r="B10" s="91" t="s">
        <v>785</v>
      </c>
      <c r="C10" s="93" t="str">
        <f t="shared" si="1"/>
        <v>8조 - Batch Sequential - Security</v>
      </c>
      <c r="D10" s="91" t="s">
        <v>785</v>
      </c>
      <c r="E10" s="93" t="str">
        <f t="shared" si="2"/>
        <v>8조 - Pipe and Filter - Security</v>
      </c>
      <c r="F10" s="91" t="s">
        <v>785</v>
      </c>
      <c r="G10" s="93" t="str">
        <f t="shared" si="3"/>
        <v>8조 - Process Control - Security</v>
      </c>
    </row>
    <row r="11" ht="16.5" customHeight="1">
      <c r="A11" s="42" t="s">
        <v>310</v>
      </c>
      <c r="B11" s="91" t="s">
        <v>785</v>
      </c>
      <c r="C11" s="93" t="str">
        <f t="shared" si="1"/>
        <v>8조 - Batch Sequential - Testability</v>
      </c>
      <c r="D11" s="91" t="s">
        <v>785</v>
      </c>
      <c r="E11" s="93" t="str">
        <f t="shared" si="2"/>
        <v>8조 - Pipe and Filter - Testability</v>
      </c>
      <c r="F11" s="91" t="s">
        <v>785</v>
      </c>
      <c r="G11" s="93" t="str">
        <f t="shared" si="3"/>
        <v>8조 - Process Control - Testability</v>
      </c>
    </row>
    <row r="12" ht="16.5" customHeight="1">
      <c r="A12" s="42" t="s">
        <v>346</v>
      </c>
      <c r="B12" s="91" t="s">
        <v>785</v>
      </c>
      <c r="C12" s="93" t="str">
        <f t="shared" si="1"/>
        <v>8조 - Batch Sequential - Usability</v>
      </c>
      <c r="D12" s="91" t="s">
        <v>785</v>
      </c>
      <c r="E12" s="93" t="str">
        <f t="shared" si="2"/>
        <v>8조 - Pipe and Filter - Usability</v>
      </c>
      <c r="F12" s="91" t="s">
        <v>785</v>
      </c>
      <c r="G12" s="93" t="str">
        <f t="shared" si="3"/>
        <v>8조 - Process Control - Usability</v>
      </c>
    </row>
    <row r="13" ht="16.5" customHeight="1">
      <c r="A13" s="49"/>
      <c r="B13" s="56" t="s">
        <v>785</v>
      </c>
      <c r="C13" s="56" t="s">
        <v>785</v>
      </c>
      <c r="D13" s="56" t="s">
        <v>785</v>
      </c>
      <c r="E13" s="56" t="s">
        <v>785</v>
      </c>
      <c r="F13" s="56" t="s">
        <v>785</v>
      </c>
      <c r="G13" s="49"/>
    </row>
    <row r="14" ht="16.5" customHeight="1">
      <c r="A14" s="50" t="s">
        <v>3</v>
      </c>
      <c r="B14" s="85" t="s">
        <v>668</v>
      </c>
      <c r="C14" s="30"/>
      <c r="D14" s="85" t="s">
        <v>8</v>
      </c>
      <c r="E14" s="30"/>
      <c r="F14" s="49"/>
      <c r="G14" s="49"/>
    </row>
    <row r="15" ht="16.5" customHeight="1">
      <c r="A15" s="51"/>
      <c r="B15" s="52" t="s">
        <v>11</v>
      </c>
      <c r="C15" s="86" t="s">
        <v>12</v>
      </c>
      <c r="D15" s="52" t="s">
        <v>11</v>
      </c>
      <c r="E15" s="86" t="s">
        <v>12</v>
      </c>
      <c r="F15" s="49"/>
      <c r="G15" s="49"/>
    </row>
    <row r="16" ht="16.5" customHeight="1">
      <c r="A16" s="42" t="s">
        <v>14</v>
      </c>
      <c r="B16" s="91" t="s">
        <v>785</v>
      </c>
      <c r="C16" s="93" t="str">
        <f t="shared" ref="C16:C25" si="4">"8조" &amp; " - " &amp; B$14 &amp; " - " &amp; $A16</f>
        <v>8조 - Shared Respository - Availability</v>
      </c>
      <c r="D16" s="91" t="s">
        <v>785</v>
      </c>
      <c r="E16" s="93" t="str">
        <f t="shared" ref="E16:E25" si="5">"8조" &amp; " - " &amp; D$14 &amp; " - " &amp; $A16</f>
        <v>8조 - Blackboard - Availability</v>
      </c>
      <c r="F16" s="49"/>
      <c r="G16" s="49"/>
    </row>
    <row r="17" ht="16.5" customHeight="1">
      <c r="A17" s="42" t="s">
        <v>47</v>
      </c>
      <c r="B17" s="91" t="s">
        <v>785</v>
      </c>
      <c r="C17" s="93" t="str">
        <f t="shared" si="4"/>
        <v>8조 - Shared Respository - Deployability</v>
      </c>
      <c r="D17" s="91" t="s">
        <v>785</v>
      </c>
      <c r="E17" s="93" t="str">
        <f t="shared" si="5"/>
        <v>8조 - Blackboard - Deployability</v>
      </c>
      <c r="F17" s="49"/>
      <c r="G17" s="49"/>
    </row>
    <row r="18" ht="16.5" customHeight="1">
      <c r="A18" s="42" t="s">
        <v>80</v>
      </c>
      <c r="B18" s="91" t="s">
        <v>785</v>
      </c>
      <c r="C18" s="93" t="str">
        <f t="shared" si="4"/>
        <v>8조 - Shared Respository - Integrability</v>
      </c>
      <c r="D18" s="91" t="s">
        <v>785</v>
      </c>
      <c r="E18" s="93" t="str">
        <f t="shared" si="5"/>
        <v>8조 - Blackboard - Integrability</v>
      </c>
      <c r="F18" s="49"/>
      <c r="G18" s="49"/>
    </row>
    <row r="19" ht="16.5" customHeight="1">
      <c r="A19" s="42" t="s">
        <v>117</v>
      </c>
      <c r="B19" s="91" t="s">
        <v>785</v>
      </c>
      <c r="C19" s="93" t="str">
        <f t="shared" si="4"/>
        <v>8조 - Shared Respository - Energy Efficiency</v>
      </c>
      <c r="D19" s="91" t="s">
        <v>785</v>
      </c>
      <c r="E19" s="93" t="str">
        <f t="shared" si="5"/>
        <v>8조 - Blackboard - Energy Efficiency</v>
      </c>
      <c r="F19" s="49"/>
      <c r="G19" s="49"/>
    </row>
    <row r="20" ht="16.5" customHeight="1">
      <c r="A20" s="42" t="s">
        <v>151</v>
      </c>
      <c r="B20" s="91" t="s">
        <v>785</v>
      </c>
      <c r="C20" s="93" t="str">
        <f t="shared" si="4"/>
        <v>8조 - Shared Respository - Modifiability</v>
      </c>
      <c r="D20" s="91" t="s">
        <v>785</v>
      </c>
      <c r="E20" s="93" t="str">
        <f t="shared" si="5"/>
        <v>8조 - Blackboard - Modifiability</v>
      </c>
      <c r="F20" s="49"/>
      <c r="G20" s="49"/>
    </row>
    <row r="21" ht="16.5" customHeight="1">
      <c r="A21" s="42" t="s">
        <v>186</v>
      </c>
      <c r="B21" s="91" t="s">
        <v>785</v>
      </c>
      <c r="C21" s="93" t="str">
        <f t="shared" si="4"/>
        <v>8조 - Shared Respository - Performance</v>
      </c>
      <c r="D21" s="91" t="s">
        <v>785</v>
      </c>
      <c r="E21" s="93" t="str">
        <f t="shared" si="5"/>
        <v>8조 - Blackboard - Performance</v>
      </c>
      <c r="F21" s="49"/>
      <c r="G21" s="49"/>
    </row>
    <row r="22" ht="16.5" customHeight="1">
      <c r="A22" s="42" t="s">
        <v>221</v>
      </c>
      <c r="B22" s="91" t="s">
        <v>785</v>
      </c>
      <c r="C22" s="93" t="str">
        <f t="shared" si="4"/>
        <v>8조 - Shared Respository - Safety</v>
      </c>
      <c r="D22" s="91" t="s">
        <v>785</v>
      </c>
      <c r="E22" s="93" t="str">
        <f t="shared" si="5"/>
        <v>8조 - Blackboard - Safety</v>
      </c>
      <c r="F22" s="49"/>
      <c r="G22" s="49"/>
    </row>
    <row r="23" ht="16.5" customHeight="1">
      <c r="A23" s="42" t="s">
        <v>261</v>
      </c>
      <c r="B23" s="91" t="s">
        <v>785</v>
      </c>
      <c r="C23" s="93" t="str">
        <f t="shared" si="4"/>
        <v>8조 - Shared Respository - Security</v>
      </c>
      <c r="D23" s="91" t="s">
        <v>785</v>
      </c>
      <c r="E23" s="93" t="str">
        <f t="shared" si="5"/>
        <v>8조 - Blackboard - Security</v>
      </c>
      <c r="F23" s="49"/>
      <c r="G23" s="49"/>
    </row>
    <row r="24" ht="16.5" customHeight="1">
      <c r="A24" s="42" t="s">
        <v>310</v>
      </c>
      <c r="B24" s="91" t="s">
        <v>785</v>
      </c>
      <c r="C24" s="93" t="str">
        <f t="shared" si="4"/>
        <v>8조 - Shared Respository - Testability</v>
      </c>
      <c r="D24" s="91" t="s">
        <v>785</v>
      </c>
      <c r="E24" s="93" t="str">
        <f t="shared" si="5"/>
        <v>8조 - Blackboard - Testability</v>
      </c>
      <c r="F24" s="49"/>
      <c r="G24" s="49"/>
    </row>
    <row r="25" ht="16.5" customHeight="1">
      <c r="A25" s="42" t="s">
        <v>346</v>
      </c>
      <c r="B25" s="91" t="s">
        <v>785</v>
      </c>
      <c r="C25" s="93" t="str">
        <f t="shared" si="4"/>
        <v>8조 - Shared Respository - Usability</v>
      </c>
      <c r="D25" s="91" t="s">
        <v>785</v>
      </c>
      <c r="E25" s="93" t="str">
        <f t="shared" si="5"/>
        <v>8조 - Blackboard - Usability</v>
      </c>
      <c r="F25" s="49"/>
      <c r="G25" s="49"/>
    </row>
    <row r="26" ht="16.5" customHeight="1">
      <c r="A26" s="49"/>
      <c r="B26" s="56" t="s">
        <v>785</v>
      </c>
      <c r="C26" s="56" t="s">
        <v>785</v>
      </c>
      <c r="D26" s="56" t="s">
        <v>785</v>
      </c>
      <c r="E26" s="56" t="s">
        <v>785</v>
      </c>
      <c r="F26" s="49"/>
      <c r="G26" s="49"/>
    </row>
    <row r="27" ht="16.5" customHeight="1">
      <c r="A27" s="50" t="s">
        <v>4</v>
      </c>
      <c r="B27" s="85" t="s">
        <v>6</v>
      </c>
      <c r="C27" s="30"/>
      <c r="D27" s="85" t="s">
        <v>9</v>
      </c>
      <c r="E27" s="30"/>
      <c r="F27" s="49"/>
      <c r="G27" s="49"/>
    </row>
    <row r="28" ht="16.5" customHeight="1">
      <c r="A28" s="53"/>
      <c r="B28" s="41" t="s">
        <v>11</v>
      </c>
      <c r="C28" s="58" t="s">
        <v>12</v>
      </c>
      <c r="D28" s="41" t="s">
        <v>11</v>
      </c>
      <c r="E28" s="58" t="s">
        <v>12</v>
      </c>
      <c r="F28" s="49"/>
      <c r="G28" s="49"/>
    </row>
    <row r="29" ht="16.5" customHeight="1">
      <c r="A29" s="42" t="s">
        <v>14</v>
      </c>
      <c r="B29" s="91" t="s">
        <v>785</v>
      </c>
      <c r="C29" s="93" t="str">
        <f t="shared" ref="C29:C38" si="6">"8조" &amp; " - " &amp; B$27 &amp; " - " &amp; $A29</f>
        <v>8조 - Non-Buffered Event Based - Availability</v>
      </c>
      <c r="D29" s="91" t="s">
        <v>785</v>
      </c>
      <c r="E29" s="93" t="str">
        <f t="shared" ref="E29:E38" si="7">"8조" &amp; " - " &amp; D$27 &amp; " - " &amp; $A29</f>
        <v>8조 - Buffered Message Based - Availability</v>
      </c>
      <c r="F29" s="49"/>
      <c r="G29" s="49"/>
    </row>
    <row r="30" ht="16.5" customHeight="1">
      <c r="A30" s="42" t="s">
        <v>47</v>
      </c>
      <c r="B30" s="91" t="s">
        <v>785</v>
      </c>
      <c r="C30" s="93" t="str">
        <f t="shared" si="6"/>
        <v>8조 - Non-Buffered Event Based - Deployability</v>
      </c>
      <c r="D30" s="91" t="s">
        <v>785</v>
      </c>
      <c r="E30" s="93" t="str">
        <f t="shared" si="7"/>
        <v>8조 - Buffered Message Based - Deployability</v>
      </c>
      <c r="F30" s="49"/>
      <c r="G30" s="49"/>
    </row>
    <row r="31" ht="16.5" customHeight="1">
      <c r="A31" s="42" t="s">
        <v>80</v>
      </c>
      <c r="B31" s="91" t="s">
        <v>785</v>
      </c>
      <c r="C31" s="93" t="str">
        <f t="shared" si="6"/>
        <v>8조 - Non-Buffered Event Based - Integrability</v>
      </c>
      <c r="D31" s="91" t="s">
        <v>785</v>
      </c>
      <c r="E31" s="93" t="str">
        <f t="shared" si="7"/>
        <v>8조 - Buffered Message Based - Integrability</v>
      </c>
      <c r="F31" s="49"/>
      <c r="G31" s="49"/>
    </row>
    <row r="32" ht="16.5" customHeight="1">
      <c r="A32" s="42" t="s">
        <v>117</v>
      </c>
      <c r="B32" s="91" t="s">
        <v>785</v>
      </c>
      <c r="C32" s="93" t="str">
        <f t="shared" si="6"/>
        <v>8조 - Non-Buffered Event Based - Energy Efficiency</v>
      </c>
      <c r="D32" s="91" t="s">
        <v>785</v>
      </c>
      <c r="E32" s="93" t="str">
        <f t="shared" si="7"/>
        <v>8조 - Buffered Message Based - Energy Efficiency</v>
      </c>
      <c r="F32" s="49"/>
      <c r="G32" s="49"/>
    </row>
    <row r="33" ht="16.5" customHeight="1">
      <c r="A33" s="42" t="s">
        <v>151</v>
      </c>
      <c r="B33" s="91" t="s">
        <v>785</v>
      </c>
      <c r="C33" s="93" t="str">
        <f t="shared" si="6"/>
        <v>8조 - Non-Buffered Event Based - Modifiability</v>
      </c>
      <c r="D33" s="91" t="s">
        <v>785</v>
      </c>
      <c r="E33" s="93" t="str">
        <f t="shared" si="7"/>
        <v>8조 - Buffered Message Based - Modifiability</v>
      </c>
      <c r="F33" s="49"/>
      <c r="G33" s="49"/>
    </row>
    <row r="34" ht="16.5" customHeight="1">
      <c r="A34" s="42" t="s">
        <v>186</v>
      </c>
      <c r="B34" s="91" t="s">
        <v>785</v>
      </c>
      <c r="C34" s="93" t="str">
        <f t="shared" si="6"/>
        <v>8조 - Non-Buffered Event Based - Performance</v>
      </c>
      <c r="D34" s="91" t="s">
        <v>785</v>
      </c>
      <c r="E34" s="93" t="str">
        <f t="shared" si="7"/>
        <v>8조 - Buffered Message Based - Performance</v>
      </c>
      <c r="F34" s="49"/>
      <c r="G34" s="49"/>
    </row>
    <row r="35" ht="16.5" customHeight="1">
      <c r="A35" s="42" t="s">
        <v>221</v>
      </c>
      <c r="B35" s="91" t="s">
        <v>785</v>
      </c>
      <c r="C35" s="93" t="str">
        <f t="shared" si="6"/>
        <v>8조 - Non-Buffered Event Based - Safety</v>
      </c>
      <c r="D35" s="91" t="s">
        <v>785</v>
      </c>
      <c r="E35" s="93" t="str">
        <f t="shared" si="7"/>
        <v>8조 - Buffered Message Based - Safety</v>
      </c>
      <c r="F35" s="49"/>
      <c r="G35" s="49"/>
    </row>
    <row r="36" ht="16.5" customHeight="1">
      <c r="A36" s="42" t="s">
        <v>261</v>
      </c>
      <c r="B36" s="91" t="s">
        <v>785</v>
      </c>
      <c r="C36" s="93" t="str">
        <f t="shared" si="6"/>
        <v>8조 - Non-Buffered Event Based - Security</v>
      </c>
      <c r="D36" s="91" t="s">
        <v>785</v>
      </c>
      <c r="E36" s="93" t="str">
        <f t="shared" si="7"/>
        <v>8조 - Buffered Message Based - Security</v>
      </c>
      <c r="F36" s="49"/>
      <c r="G36" s="49"/>
    </row>
    <row r="37" ht="16.5" customHeight="1">
      <c r="A37" s="42" t="s">
        <v>310</v>
      </c>
      <c r="B37" s="91" t="s">
        <v>785</v>
      </c>
      <c r="C37" s="93" t="str">
        <f t="shared" si="6"/>
        <v>8조 - Non-Buffered Event Based - Testability</v>
      </c>
      <c r="D37" s="91" t="s">
        <v>785</v>
      </c>
      <c r="E37" s="93" t="str">
        <f t="shared" si="7"/>
        <v>8조 - Buffered Message Based - Testability</v>
      </c>
      <c r="F37" s="49"/>
      <c r="G37" s="49"/>
    </row>
    <row r="38" ht="16.5" customHeight="1">
      <c r="A38" s="42" t="s">
        <v>346</v>
      </c>
      <c r="B38" s="91" t="s">
        <v>785</v>
      </c>
      <c r="C38" s="93" t="str">
        <f t="shared" si="6"/>
        <v>8조 - Non-Buffered Event Based - Usability</v>
      </c>
      <c r="D38" s="91" t="s">
        <v>785</v>
      </c>
      <c r="E38" s="93" t="str">
        <f t="shared" si="7"/>
        <v>8조 - Buffered Message Based - Usability</v>
      </c>
      <c r="F38" s="49"/>
      <c r="G38" s="49"/>
    </row>
    <row r="39" ht="16.5" customHeight="1">
      <c r="A39" s="49"/>
      <c r="B39" s="56" t="s">
        <v>785</v>
      </c>
      <c r="C39" s="56" t="s">
        <v>785</v>
      </c>
      <c r="D39" s="56" t="s">
        <v>785</v>
      </c>
      <c r="E39" s="56" t="s">
        <v>785</v>
      </c>
      <c r="F39" s="49"/>
      <c r="G39" s="49"/>
    </row>
    <row r="40" ht="16.5" customHeight="1">
      <c r="A40" s="50" t="s">
        <v>7</v>
      </c>
      <c r="B40" s="80" t="s">
        <v>10</v>
      </c>
      <c r="C40" s="30"/>
      <c r="D40" s="80" t="s">
        <v>13</v>
      </c>
      <c r="E40" s="30"/>
      <c r="F40" s="49"/>
      <c r="G40" s="49"/>
      <c r="H40" s="49"/>
    </row>
    <row r="41" ht="16.5" customHeight="1">
      <c r="A41" s="53"/>
      <c r="B41" s="41" t="s">
        <v>11</v>
      </c>
      <c r="C41" s="41" t="s">
        <v>12</v>
      </c>
      <c r="D41" s="41" t="s">
        <v>11</v>
      </c>
      <c r="E41" s="41" t="s">
        <v>12</v>
      </c>
      <c r="F41" s="49"/>
      <c r="G41" s="49"/>
      <c r="H41" s="49"/>
      <c r="I41" s="54"/>
    </row>
    <row r="42" ht="16.5" customHeight="1">
      <c r="A42" s="42" t="s">
        <v>14</v>
      </c>
      <c r="B42" s="91" t="s">
        <v>785</v>
      </c>
      <c r="C42" s="93" t="str">
        <f t="shared" ref="C42:C51" si="8">"8조" &amp; " - " &amp; B$40 &amp; " - " &amp; $A42</f>
        <v>8조 - MVC - Availability</v>
      </c>
      <c r="D42" s="91" t="s">
        <v>785</v>
      </c>
      <c r="E42" s="93" t="str">
        <f t="shared" ref="E42:E51" si="9">"8조" &amp; " - " &amp; D$40 &amp; " - " &amp; $A42</f>
        <v>8조 - PAC - Availability</v>
      </c>
      <c r="F42" s="49"/>
      <c r="G42" s="49"/>
      <c r="H42" s="49"/>
    </row>
    <row r="43" ht="16.5" customHeight="1">
      <c r="A43" s="42" t="s">
        <v>47</v>
      </c>
      <c r="B43" s="91" t="s">
        <v>785</v>
      </c>
      <c r="C43" s="93" t="str">
        <f t="shared" si="8"/>
        <v>8조 - MVC - Deployability</v>
      </c>
      <c r="D43" s="91" t="s">
        <v>785</v>
      </c>
      <c r="E43" s="93" t="str">
        <f t="shared" si="9"/>
        <v>8조 - PAC - Deployability</v>
      </c>
      <c r="F43" s="49"/>
      <c r="G43" s="49"/>
      <c r="H43" s="49"/>
    </row>
    <row r="44" ht="16.5" customHeight="1">
      <c r="A44" s="42" t="s">
        <v>80</v>
      </c>
      <c r="B44" s="91" t="s">
        <v>785</v>
      </c>
      <c r="C44" s="93" t="str">
        <f t="shared" si="8"/>
        <v>8조 - MVC - Integrability</v>
      </c>
      <c r="D44" s="91" t="s">
        <v>785</v>
      </c>
      <c r="E44" s="93" t="str">
        <f t="shared" si="9"/>
        <v>8조 - PAC - Integrability</v>
      </c>
      <c r="F44" s="49"/>
      <c r="G44" s="49"/>
      <c r="H44" s="49"/>
    </row>
    <row r="45" ht="16.5" customHeight="1">
      <c r="A45" s="42" t="s">
        <v>117</v>
      </c>
      <c r="B45" s="91" t="s">
        <v>785</v>
      </c>
      <c r="C45" s="93" t="str">
        <f t="shared" si="8"/>
        <v>8조 - MVC - Energy Efficiency</v>
      </c>
      <c r="D45" s="91" t="s">
        <v>785</v>
      </c>
      <c r="E45" s="93" t="str">
        <f t="shared" si="9"/>
        <v>8조 - PAC - Energy Efficiency</v>
      </c>
      <c r="F45" s="49"/>
      <c r="G45" s="49"/>
      <c r="H45" s="49"/>
    </row>
    <row r="46" ht="16.5" customHeight="1">
      <c r="A46" s="42" t="s">
        <v>151</v>
      </c>
      <c r="B46" s="91" t="s">
        <v>785</v>
      </c>
      <c r="C46" s="93" t="str">
        <f t="shared" si="8"/>
        <v>8조 - MVC - Modifiability</v>
      </c>
      <c r="D46" s="91" t="s">
        <v>785</v>
      </c>
      <c r="E46" s="93" t="str">
        <f t="shared" si="9"/>
        <v>8조 - PAC - Modifiability</v>
      </c>
      <c r="F46" s="49"/>
      <c r="G46" s="49"/>
      <c r="H46" s="49"/>
    </row>
    <row r="47" ht="16.5" customHeight="1">
      <c r="A47" s="42" t="s">
        <v>186</v>
      </c>
      <c r="B47" s="91" t="s">
        <v>785</v>
      </c>
      <c r="C47" s="93" t="str">
        <f t="shared" si="8"/>
        <v>8조 - MVC - Performance</v>
      </c>
      <c r="D47" s="91" t="s">
        <v>785</v>
      </c>
      <c r="E47" s="93" t="str">
        <f t="shared" si="9"/>
        <v>8조 - PAC - Performance</v>
      </c>
      <c r="F47" s="49"/>
      <c r="G47" s="49"/>
      <c r="H47" s="49"/>
    </row>
    <row r="48" ht="16.5" customHeight="1">
      <c r="A48" s="42" t="s">
        <v>221</v>
      </c>
      <c r="B48" s="91" t="s">
        <v>785</v>
      </c>
      <c r="C48" s="93" t="str">
        <f t="shared" si="8"/>
        <v>8조 - MVC - Safety</v>
      </c>
      <c r="D48" s="91" t="s">
        <v>785</v>
      </c>
      <c r="E48" s="93" t="str">
        <f t="shared" si="9"/>
        <v>8조 - PAC - Safety</v>
      </c>
      <c r="F48" s="49"/>
      <c r="G48" s="49"/>
      <c r="H48" s="49"/>
    </row>
    <row r="49" ht="16.5" customHeight="1">
      <c r="A49" s="42" t="s">
        <v>261</v>
      </c>
      <c r="B49" s="91" t="s">
        <v>785</v>
      </c>
      <c r="C49" s="93" t="str">
        <f t="shared" si="8"/>
        <v>8조 - MVC - Security</v>
      </c>
      <c r="D49" s="91" t="s">
        <v>785</v>
      </c>
      <c r="E49" s="93" t="str">
        <f t="shared" si="9"/>
        <v>8조 - PAC - Security</v>
      </c>
      <c r="F49" s="49"/>
      <c r="G49" s="49"/>
      <c r="H49" s="49"/>
    </row>
    <row r="50" ht="16.5" customHeight="1">
      <c r="A50" s="42" t="s">
        <v>310</v>
      </c>
      <c r="B50" s="91" t="s">
        <v>785</v>
      </c>
      <c r="C50" s="93" t="str">
        <f t="shared" si="8"/>
        <v>8조 - MVC - Testability</v>
      </c>
      <c r="D50" s="91" t="s">
        <v>785</v>
      </c>
      <c r="E50" s="93" t="str">
        <f t="shared" si="9"/>
        <v>8조 - PAC - Testability</v>
      </c>
      <c r="F50" s="49"/>
      <c r="G50" s="56" t="s">
        <v>785</v>
      </c>
      <c r="H50" s="49"/>
      <c r="I50" s="55"/>
    </row>
    <row r="51" ht="16.5" customHeight="1">
      <c r="A51" s="42" t="s">
        <v>346</v>
      </c>
      <c r="B51" s="91" t="s">
        <v>785</v>
      </c>
      <c r="C51" s="93" t="str">
        <f t="shared" si="8"/>
        <v>8조 - MVC - Usability</v>
      </c>
      <c r="D51" s="91" t="s">
        <v>785</v>
      </c>
      <c r="E51" s="93" t="str">
        <f t="shared" si="9"/>
        <v>8조 - PAC - Usability</v>
      </c>
      <c r="F51" s="49"/>
      <c r="G51" s="56" t="s">
        <v>785</v>
      </c>
      <c r="H51" s="49"/>
      <c r="I51" s="54"/>
    </row>
    <row r="52" ht="16.5" customHeight="1">
      <c r="A52" s="49"/>
      <c r="B52" s="56" t="s">
        <v>785</v>
      </c>
      <c r="C52" s="49"/>
      <c r="D52" s="56" t="s">
        <v>785</v>
      </c>
      <c r="E52" s="49"/>
      <c r="F52" s="49"/>
      <c r="G52" s="49"/>
    </row>
    <row r="53" ht="16.5" customHeight="1">
      <c r="A53" s="50" t="s">
        <v>413</v>
      </c>
      <c r="B53" s="85" t="s">
        <v>414</v>
      </c>
      <c r="C53" s="30"/>
      <c r="D53" s="85" t="s">
        <v>415</v>
      </c>
      <c r="E53" s="30"/>
      <c r="F53" s="49"/>
      <c r="G53" s="56" t="s">
        <v>785</v>
      </c>
      <c r="H53" s="49"/>
    </row>
    <row r="54" ht="16.5" customHeight="1">
      <c r="A54" s="53"/>
      <c r="B54" s="41" t="s">
        <v>11</v>
      </c>
      <c r="C54" s="58" t="s">
        <v>12</v>
      </c>
      <c r="D54" s="41" t="s">
        <v>11</v>
      </c>
      <c r="E54" s="58" t="s">
        <v>12</v>
      </c>
      <c r="F54" s="49"/>
      <c r="G54" s="56" t="s">
        <v>785</v>
      </c>
      <c r="H54" s="49"/>
    </row>
    <row r="55" ht="16.5" customHeight="1">
      <c r="A55" s="42" t="s">
        <v>14</v>
      </c>
      <c r="B55" s="91" t="s">
        <v>785</v>
      </c>
      <c r="C55" s="93" t="str">
        <f t="shared" ref="C55:C64" si="10">"8조" &amp; " - " &amp; B$53 &amp; " - " &amp; $A55</f>
        <v>8조 - Main-subroutine - Availability</v>
      </c>
      <c r="D55" s="91" t="s">
        <v>785</v>
      </c>
      <c r="E55" s="93" t="str">
        <f t="shared" ref="E55:E64" si="11">"8조" &amp; " - " &amp; D$53 &amp; " - " &amp; $A55</f>
        <v>8조 - Master-Slave - Availability</v>
      </c>
      <c r="F55" s="49"/>
      <c r="G55" s="56" t="s">
        <v>785</v>
      </c>
      <c r="H55" s="49"/>
    </row>
    <row r="56" ht="16.5" customHeight="1">
      <c r="A56" s="42" t="s">
        <v>47</v>
      </c>
      <c r="B56" s="91" t="s">
        <v>785</v>
      </c>
      <c r="C56" s="104" t="str">
        <f t="shared" si="10"/>
        <v>8조 - Main-subroutine - Deployability</v>
      </c>
      <c r="D56" s="91" t="s">
        <v>785</v>
      </c>
      <c r="E56" s="93" t="str">
        <f t="shared" si="11"/>
        <v>8조 - Master-Slave - Deployability</v>
      </c>
      <c r="F56" s="49"/>
      <c r="G56" s="56" t="s">
        <v>785</v>
      </c>
      <c r="H56" s="49"/>
    </row>
    <row r="57" ht="16.5" customHeight="1">
      <c r="A57" s="42" t="s">
        <v>80</v>
      </c>
      <c r="B57" s="91" t="s">
        <v>785</v>
      </c>
      <c r="C57" s="93" t="str">
        <f t="shared" si="10"/>
        <v>8조 - Main-subroutine - Integrability</v>
      </c>
      <c r="D57" s="91" t="s">
        <v>785</v>
      </c>
      <c r="E57" s="93" t="str">
        <f t="shared" si="11"/>
        <v>8조 - Master-Slave - Integrability</v>
      </c>
      <c r="F57" s="49"/>
      <c r="G57" s="56" t="s">
        <v>785</v>
      </c>
      <c r="H57" s="49"/>
    </row>
    <row r="58" ht="16.5" customHeight="1">
      <c r="A58" s="42" t="s">
        <v>117</v>
      </c>
      <c r="B58" s="91" t="s">
        <v>785</v>
      </c>
      <c r="C58" s="93" t="str">
        <f t="shared" si="10"/>
        <v>8조 - Main-subroutine - Energy Efficiency</v>
      </c>
      <c r="D58" s="91" t="s">
        <v>785</v>
      </c>
      <c r="E58" s="93" t="str">
        <f t="shared" si="11"/>
        <v>8조 - Master-Slave - Energy Efficiency</v>
      </c>
      <c r="F58" s="49"/>
      <c r="G58" s="56" t="s">
        <v>785</v>
      </c>
      <c r="H58" s="49"/>
    </row>
    <row r="59" ht="16.5" customHeight="1">
      <c r="A59" s="42" t="s">
        <v>151</v>
      </c>
      <c r="B59" s="91" t="s">
        <v>785</v>
      </c>
      <c r="C59" s="93" t="str">
        <f t="shared" si="10"/>
        <v>8조 - Main-subroutine - Modifiability</v>
      </c>
      <c r="D59" s="91" t="s">
        <v>785</v>
      </c>
      <c r="E59" s="93" t="str">
        <f t="shared" si="11"/>
        <v>8조 - Master-Slave - Modifiability</v>
      </c>
      <c r="F59" s="49"/>
      <c r="G59" s="56" t="s">
        <v>785</v>
      </c>
      <c r="H59" s="49"/>
    </row>
    <row r="60" ht="16.5" customHeight="1">
      <c r="A60" s="42" t="s">
        <v>186</v>
      </c>
      <c r="B60" s="91" t="s">
        <v>785</v>
      </c>
      <c r="C60" s="93" t="str">
        <f t="shared" si="10"/>
        <v>8조 - Main-subroutine - Performance</v>
      </c>
      <c r="D60" s="91" t="s">
        <v>785</v>
      </c>
      <c r="E60" s="93" t="str">
        <f t="shared" si="11"/>
        <v>8조 - Master-Slave - Performance</v>
      </c>
      <c r="F60" s="49"/>
      <c r="G60" s="56" t="s">
        <v>785</v>
      </c>
      <c r="H60" s="49"/>
      <c r="I60" s="55"/>
    </row>
    <row r="61" ht="16.5" customHeight="1">
      <c r="A61" s="42" t="s">
        <v>221</v>
      </c>
      <c r="B61" s="91" t="s">
        <v>785</v>
      </c>
      <c r="C61" s="93" t="str">
        <f t="shared" si="10"/>
        <v>8조 - Main-subroutine - Safety</v>
      </c>
      <c r="D61" s="91" t="s">
        <v>785</v>
      </c>
      <c r="E61" s="93" t="str">
        <f t="shared" si="11"/>
        <v>8조 - Master-Slave - Safety</v>
      </c>
      <c r="F61" s="49"/>
      <c r="G61" s="56" t="s">
        <v>785</v>
      </c>
      <c r="H61" s="49"/>
      <c r="I61" s="54"/>
    </row>
    <row r="62" ht="16.5" customHeight="1">
      <c r="A62" s="42" t="s">
        <v>261</v>
      </c>
      <c r="B62" s="91" t="s">
        <v>785</v>
      </c>
      <c r="C62" s="93" t="str">
        <f t="shared" si="10"/>
        <v>8조 - Main-subroutine - Security</v>
      </c>
      <c r="D62" s="91" t="s">
        <v>785</v>
      </c>
      <c r="E62" s="93" t="str">
        <f t="shared" si="11"/>
        <v>8조 - Master-Slave - Security</v>
      </c>
      <c r="F62" s="49"/>
      <c r="G62" s="56" t="s">
        <v>785</v>
      </c>
      <c r="H62" s="49"/>
    </row>
    <row r="63" ht="16.5" customHeight="1">
      <c r="A63" s="42" t="s">
        <v>310</v>
      </c>
      <c r="B63" s="91" t="s">
        <v>785</v>
      </c>
      <c r="C63" s="93" t="str">
        <f t="shared" si="10"/>
        <v>8조 - Main-subroutine - Testability</v>
      </c>
      <c r="D63" s="91" t="s">
        <v>785</v>
      </c>
      <c r="E63" s="93" t="str">
        <f t="shared" si="11"/>
        <v>8조 - Master-Slave - Testability</v>
      </c>
      <c r="F63" s="49"/>
      <c r="G63" s="56" t="s">
        <v>785</v>
      </c>
      <c r="H63" s="49"/>
    </row>
    <row r="64" ht="16.5" customHeight="1">
      <c r="A64" s="42" t="s">
        <v>346</v>
      </c>
      <c r="B64" s="91" t="s">
        <v>785</v>
      </c>
      <c r="C64" s="93" t="str">
        <f t="shared" si="10"/>
        <v>8조 - Main-subroutine - Usability</v>
      </c>
      <c r="D64" s="91" t="s">
        <v>785</v>
      </c>
      <c r="E64" s="93" t="str">
        <f t="shared" si="11"/>
        <v>8조 - Master-Slave - Usability</v>
      </c>
      <c r="F64" s="49"/>
      <c r="G64" s="56" t="s">
        <v>785</v>
      </c>
      <c r="H64" s="49"/>
    </row>
    <row r="65" ht="16.5" customHeight="1">
      <c r="A65" s="49"/>
      <c r="B65" s="56" t="s">
        <v>785</v>
      </c>
      <c r="C65" s="56" t="s">
        <v>785</v>
      </c>
      <c r="D65" s="56" t="s">
        <v>785</v>
      </c>
      <c r="E65" s="56" t="s">
        <v>785</v>
      </c>
      <c r="F65" s="49"/>
      <c r="G65" s="56" t="s">
        <v>785</v>
      </c>
      <c r="H65" s="49"/>
    </row>
    <row r="66" ht="16.5" customHeight="1">
      <c r="A66" s="50" t="s">
        <v>413</v>
      </c>
      <c r="B66" s="85" t="s">
        <v>420</v>
      </c>
      <c r="C66" s="30"/>
      <c r="D66" s="85" t="s">
        <v>421</v>
      </c>
      <c r="E66" s="30"/>
      <c r="F66" s="85" t="s">
        <v>422</v>
      </c>
      <c r="G66" s="30"/>
      <c r="H66" s="49"/>
    </row>
    <row r="67" ht="16.5" customHeight="1">
      <c r="A67" s="53"/>
      <c r="B67" s="41" t="s">
        <v>11</v>
      </c>
      <c r="C67" s="58" t="s">
        <v>12</v>
      </c>
      <c r="D67" s="41" t="s">
        <v>11</v>
      </c>
      <c r="E67" s="58" t="s">
        <v>12</v>
      </c>
      <c r="F67" s="41" t="s">
        <v>11</v>
      </c>
      <c r="G67" s="58" t="s">
        <v>12</v>
      </c>
      <c r="H67" s="49"/>
    </row>
    <row r="68" ht="16.5" customHeight="1">
      <c r="A68" s="42" t="s">
        <v>14</v>
      </c>
      <c r="B68" s="91" t="s">
        <v>785</v>
      </c>
      <c r="C68" s="93" t="str">
        <f t="shared" ref="C68:C77" si="12">"8조" &amp; " - " &amp; B$66 &amp; " - " &amp; $A68</f>
        <v>8조 - Layered - Availability</v>
      </c>
      <c r="D68" s="91" t="s">
        <v>785</v>
      </c>
      <c r="E68" s="93" t="str">
        <f t="shared" ref="E68:E77" si="13">"8조" &amp; " - " &amp; D$66 &amp; " - " &amp; $A68</f>
        <v>8조 - Virtual Machine - Availability</v>
      </c>
      <c r="F68" s="91" t="s">
        <v>785</v>
      </c>
      <c r="G68" s="93" t="str">
        <f t="shared" ref="G68:G77" si="14">"8조" &amp; " - " &amp; F$66 &amp; " - " &amp; $A68</f>
        <v>8조 - Microkernel - Availability</v>
      </c>
      <c r="H68" s="49"/>
    </row>
    <row r="69" ht="16.5" customHeight="1">
      <c r="A69" s="42" t="s">
        <v>47</v>
      </c>
      <c r="B69" s="91" t="s">
        <v>785</v>
      </c>
      <c r="C69" s="93" t="str">
        <f t="shared" si="12"/>
        <v>8조 - Layered - Deployability</v>
      </c>
      <c r="D69" s="91" t="s">
        <v>785</v>
      </c>
      <c r="E69" s="104" t="str">
        <f t="shared" si="13"/>
        <v>8조 - Virtual Machine - Deployability</v>
      </c>
      <c r="F69" s="91" t="s">
        <v>785</v>
      </c>
      <c r="G69" s="93" t="str">
        <f t="shared" si="14"/>
        <v>8조 - Microkernel - Deployability</v>
      </c>
      <c r="H69" s="49"/>
    </row>
    <row r="70" ht="16.5" customHeight="1">
      <c r="A70" s="42" t="s">
        <v>80</v>
      </c>
      <c r="B70" s="91" t="s">
        <v>785</v>
      </c>
      <c r="C70" s="93" t="str">
        <f t="shared" si="12"/>
        <v>8조 - Layered - Integrability</v>
      </c>
      <c r="D70" s="91" t="s">
        <v>785</v>
      </c>
      <c r="E70" s="93" t="str">
        <f t="shared" si="13"/>
        <v>8조 - Virtual Machine - Integrability</v>
      </c>
      <c r="F70" s="91" t="s">
        <v>785</v>
      </c>
      <c r="G70" s="93" t="str">
        <f t="shared" si="14"/>
        <v>8조 - Microkernel - Integrability</v>
      </c>
      <c r="H70" s="49"/>
    </row>
    <row r="71" ht="16.5" customHeight="1">
      <c r="A71" s="42" t="s">
        <v>117</v>
      </c>
      <c r="B71" s="91" t="s">
        <v>785</v>
      </c>
      <c r="C71" s="93" t="str">
        <f t="shared" si="12"/>
        <v>8조 - Layered - Energy Efficiency</v>
      </c>
      <c r="D71" s="91" t="s">
        <v>785</v>
      </c>
      <c r="E71" s="93" t="str">
        <f t="shared" si="13"/>
        <v>8조 - Virtual Machine - Energy Efficiency</v>
      </c>
      <c r="F71" s="91" t="s">
        <v>785</v>
      </c>
      <c r="G71" s="93" t="str">
        <f t="shared" si="14"/>
        <v>8조 - Microkernel - Energy Efficiency</v>
      </c>
      <c r="H71" s="49"/>
    </row>
    <row r="72" ht="16.5" customHeight="1">
      <c r="A72" s="42" t="s">
        <v>151</v>
      </c>
      <c r="B72" s="91" t="s">
        <v>785</v>
      </c>
      <c r="C72" s="93" t="str">
        <f t="shared" si="12"/>
        <v>8조 - Layered - Modifiability</v>
      </c>
      <c r="D72" s="91" t="s">
        <v>785</v>
      </c>
      <c r="E72" s="93" t="str">
        <f t="shared" si="13"/>
        <v>8조 - Virtual Machine - Modifiability</v>
      </c>
      <c r="F72" s="91" t="s">
        <v>785</v>
      </c>
      <c r="G72" s="93" t="str">
        <f t="shared" si="14"/>
        <v>8조 - Microkernel - Modifiability</v>
      </c>
      <c r="H72" s="49"/>
    </row>
    <row r="73" ht="16.5" customHeight="1">
      <c r="A73" s="42" t="s">
        <v>186</v>
      </c>
      <c r="B73" s="91" t="s">
        <v>785</v>
      </c>
      <c r="C73" s="93" t="str">
        <f t="shared" si="12"/>
        <v>8조 - Layered - Performance</v>
      </c>
      <c r="D73" s="91" t="s">
        <v>785</v>
      </c>
      <c r="E73" s="93" t="str">
        <f t="shared" si="13"/>
        <v>8조 - Virtual Machine - Performance</v>
      </c>
      <c r="F73" s="91" t="s">
        <v>785</v>
      </c>
      <c r="G73" s="93" t="str">
        <f t="shared" si="14"/>
        <v>8조 - Microkernel - Performance</v>
      </c>
      <c r="H73" s="49"/>
    </row>
    <row r="74" ht="16.5" customHeight="1">
      <c r="A74" s="42" t="s">
        <v>221</v>
      </c>
      <c r="B74" s="91" t="s">
        <v>785</v>
      </c>
      <c r="C74" s="93" t="str">
        <f t="shared" si="12"/>
        <v>8조 - Layered - Safety</v>
      </c>
      <c r="D74" s="91" t="s">
        <v>785</v>
      </c>
      <c r="E74" s="93" t="str">
        <f t="shared" si="13"/>
        <v>8조 - Virtual Machine - Safety</v>
      </c>
      <c r="F74" s="91" t="s">
        <v>785</v>
      </c>
      <c r="G74" s="93" t="str">
        <f t="shared" si="14"/>
        <v>8조 - Microkernel - Safety</v>
      </c>
    </row>
    <row r="75" ht="16.5" customHeight="1">
      <c r="A75" s="42" t="s">
        <v>261</v>
      </c>
      <c r="B75" s="91" t="s">
        <v>785</v>
      </c>
      <c r="C75" s="93" t="str">
        <f t="shared" si="12"/>
        <v>8조 - Layered - Security</v>
      </c>
      <c r="D75" s="91" t="s">
        <v>785</v>
      </c>
      <c r="E75" s="93" t="str">
        <f t="shared" si="13"/>
        <v>8조 - Virtual Machine - Security</v>
      </c>
      <c r="F75" s="91" t="s">
        <v>785</v>
      </c>
      <c r="G75" s="93" t="str">
        <f t="shared" si="14"/>
        <v>8조 - Microkernel - Security</v>
      </c>
    </row>
    <row r="76" ht="16.5" customHeight="1">
      <c r="A76" s="42" t="s">
        <v>310</v>
      </c>
      <c r="B76" s="91" t="s">
        <v>785</v>
      </c>
      <c r="C76" s="93" t="str">
        <f t="shared" si="12"/>
        <v>8조 - Layered - Testability</v>
      </c>
      <c r="D76" s="91" t="s">
        <v>785</v>
      </c>
      <c r="E76" s="93" t="str">
        <f t="shared" si="13"/>
        <v>8조 - Virtual Machine - Testability</v>
      </c>
      <c r="F76" s="91" t="s">
        <v>785</v>
      </c>
      <c r="G76" s="93" t="str">
        <f t="shared" si="14"/>
        <v>8조 - Microkernel - Testability</v>
      </c>
    </row>
    <row r="77" ht="16.5" customHeight="1">
      <c r="A77" s="42" t="s">
        <v>346</v>
      </c>
      <c r="B77" s="91" t="s">
        <v>785</v>
      </c>
      <c r="C77" s="93" t="str">
        <f t="shared" si="12"/>
        <v>8조 - Layered - Usability</v>
      </c>
      <c r="D77" s="91" t="s">
        <v>785</v>
      </c>
      <c r="E77" s="93" t="str">
        <f t="shared" si="13"/>
        <v>8조 - Virtual Machine - Usability</v>
      </c>
      <c r="F77" s="91" t="s">
        <v>785</v>
      </c>
      <c r="G77" s="93" t="str">
        <f t="shared" si="14"/>
        <v>8조 - Microkernel - Usability</v>
      </c>
    </row>
    <row r="78" ht="16.5" customHeight="1">
      <c r="A78" s="49"/>
      <c r="B78" s="56" t="s">
        <v>785</v>
      </c>
      <c r="C78" s="56" t="s">
        <v>785</v>
      </c>
      <c r="D78" s="56" t="s">
        <v>785</v>
      </c>
      <c r="E78" s="56" t="s">
        <v>785</v>
      </c>
      <c r="F78" s="56" t="s">
        <v>785</v>
      </c>
      <c r="G78" s="56" t="s">
        <v>785</v>
      </c>
    </row>
    <row r="79" ht="16.5" customHeight="1">
      <c r="A79" s="39" t="s">
        <v>493</v>
      </c>
      <c r="B79" s="85" t="s">
        <v>672</v>
      </c>
      <c r="C79" s="30"/>
      <c r="D79" s="85" t="s">
        <v>495</v>
      </c>
      <c r="E79" s="30"/>
    </row>
    <row r="80" ht="16.5" customHeight="1">
      <c r="A80" s="31"/>
      <c r="B80" s="41" t="s">
        <v>11</v>
      </c>
      <c r="C80" s="41" t="s">
        <v>12</v>
      </c>
      <c r="D80" s="41" t="s">
        <v>11</v>
      </c>
      <c r="E80" s="41" t="s">
        <v>12</v>
      </c>
    </row>
    <row r="81" ht="16.5" customHeight="1">
      <c r="A81" s="42" t="s">
        <v>14</v>
      </c>
      <c r="B81" s="91" t="s">
        <v>785</v>
      </c>
      <c r="C81" s="93" t="str">
        <f t="shared" ref="C81:C90" si="15">"8조" &amp; " - " &amp; B$79 &amp; " - " &amp; $A81</f>
        <v>8조 - Multi-tier - Availability</v>
      </c>
      <c r="D81" s="91" t="s">
        <v>785</v>
      </c>
      <c r="E81" s="93" t="str">
        <f t="shared" ref="E81:E90" si="16">"8조" &amp; " - " &amp; D$79 &amp; " - " &amp; $A81</f>
        <v>8조 - Client-Server - Availability</v>
      </c>
    </row>
    <row r="82" ht="16.5" customHeight="1">
      <c r="A82" s="42" t="s">
        <v>47</v>
      </c>
      <c r="B82" s="91" t="s">
        <v>785</v>
      </c>
      <c r="C82" s="93" t="str">
        <f t="shared" si="15"/>
        <v>8조 - Multi-tier - Deployability</v>
      </c>
      <c r="D82" s="91" t="s">
        <v>785</v>
      </c>
      <c r="E82" s="93" t="str">
        <f t="shared" si="16"/>
        <v>8조 - Client-Server - Deployability</v>
      </c>
    </row>
    <row r="83" ht="16.5" customHeight="1">
      <c r="A83" s="42" t="s">
        <v>80</v>
      </c>
      <c r="B83" s="91" t="s">
        <v>785</v>
      </c>
      <c r="C83" s="93" t="str">
        <f t="shared" si="15"/>
        <v>8조 - Multi-tier - Integrability</v>
      </c>
      <c r="D83" s="91" t="s">
        <v>785</v>
      </c>
      <c r="E83" s="93" t="str">
        <f t="shared" si="16"/>
        <v>8조 - Client-Server - Integrability</v>
      </c>
    </row>
    <row r="84" ht="16.5" customHeight="1">
      <c r="A84" s="42" t="s">
        <v>117</v>
      </c>
      <c r="B84" s="91" t="s">
        <v>785</v>
      </c>
      <c r="C84" s="93" t="str">
        <f t="shared" si="15"/>
        <v>8조 - Multi-tier - Energy Efficiency</v>
      </c>
      <c r="D84" s="91" t="s">
        <v>785</v>
      </c>
      <c r="E84" s="93" t="str">
        <f t="shared" si="16"/>
        <v>8조 - Client-Server - Energy Efficiency</v>
      </c>
    </row>
    <row r="85" ht="16.5" customHeight="1">
      <c r="A85" s="42" t="s">
        <v>151</v>
      </c>
      <c r="B85" s="91" t="s">
        <v>785</v>
      </c>
      <c r="C85" s="93" t="str">
        <f t="shared" si="15"/>
        <v>8조 - Multi-tier - Modifiability</v>
      </c>
      <c r="D85" s="91" t="s">
        <v>785</v>
      </c>
      <c r="E85" s="93" t="str">
        <f t="shared" si="16"/>
        <v>8조 - Client-Server - Modifiability</v>
      </c>
    </row>
    <row r="86" ht="16.5" customHeight="1">
      <c r="A86" s="42" t="s">
        <v>186</v>
      </c>
      <c r="B86" s="91" t="s">
        <v>785</v>
      </c>
      <c r="C86" s="93" t="str">
        <f t="shared" si="15"/>
        <v>8조 - Multi-tier - Performance</v>
      </c>
      <c r="D86" s="91" t="s">
        <v>785</v>
      </c>
      <c r="E86" s="93" t="str">
        <f t="shared" si="16"/>
        <v>8조 - Client-Server - Performance</v>
      </c>
    </row>
    <row r="87" ht="16.5" customHeight="1">
      <c r="A87" s="42" t="s">
        <v>221</v>
      </c>
      <c r="B87" s="91" t="s">
        <v>785</v>
      </c>
      <c r="C87" s="93" t="str">
        <f t="shared" si="15"/>
        <v>8조 - Multi-tier - Safety</v>
      </c>
      <c r="D87" s="91" t="s">
        <v>785</v>
      </c>
      <c r="E87" s="93" t="str">
        <f t="shared" si="16"/>
        <v>8조 - Client-Server - Safety</v>
      </c>
    </row>
    <row r="88" ht="16.5" customHeight="1">
      <c r="A88" s="42" t="s">
        <v>261</v>
      </c>
      <c r="B88" s="91" t="s">
        <v>785</v>
      </c>
      <c r="C88" s="93" t="str">
        <f t="shared" si="15"/>
        <v>8조 - Multi-tier - Security</v>
      </c>
      <c r="D88" s="91" t="s">
        <v>785</v>
      </c>
      <c r="E88" s="93" t="str">
        <f t="shared" si="16"/>
        <v>8조 - Client-Server - Security</v>
      </c>
    </row>
    <row r="89" ht="16.5" customHeight="1">
      <c r="A89" s="42" t="s">
        <v>310</v>
      </c>
      <c r="B89" s="91" t="s">
        <v>785</v>
      </c>
      <c r="C89" s="93" t="str">
        <f t="shared" si="15"/>
        <v>8조 - Multi-tier - Testability</v>
      </c>
      <c r="D89" s="91" t="s">
        <v>785</v>
      </c>
      <c r="E89" s="93" t="str">
        <f t="shared" si="16"/>
        <v>8조 - Client-Server - Testability</v>
      </c>
    </row>
    <row r="90" ht="16.5" customHeight="1">
      <c r="A90" s="42" t="s">
        <v>346</v>
      </c>
      <c r="B90" s="91" t="s">
        <v>785</v>
      </c>
      <c r="C90" s="93" t="str">
        <f t="shared" si="15"/>
        <v>8조 - Multi-tier - Usability</v>
      </c>
      <c r="D90" s="91" t="s">
        <v>785</v>
      </c>
      <c r="E90" s="93" t="str">
        <f t="shared" si="16"/>
        <v>8조 - Client-Server - Usability</v>
      </c>
    </row>
    <row r="91" ht="16.5" customHeight="1">
      <c r="A91" s="49"/>
      <c r="B91" s="56" t="s">
        <v>785</v>
      </c>
      <c r="C91" s="49"/>
      <c r="D91" s="56" t="s">
        <v>785</v>
      </c>
      <c r="E91" s="49"/>
      <c r="F91" s="56" t="s">
        <v>785</v>
      </c>
      <c r="G91" s="49"/>
    </row>
    <row r="92" ht="16.5" customHeight="1">
      <c r="A92" s="39" t="s">
        <v>493</v>
      </c>
      <c r="B92" s="85" t="s">
        <v>550</v>
      </c>
      <c r="C92" s="30"/>
      <c r="D92" s="80" t="s">
        <v>551</v>
      </c>
      <c r="E92" s="30"/>
    </row>
    <row r="93" ht="16.5" customHeight="1">
      <c r="A93" s="31"/>
      <c r="B93" s="41" t="s">
        <v>11</v>
      </c>
      <c r="C93" s="41" t="s">
        <v>12</v>
      </c>
      <c r="D93" s="41" t="s">
        <v>11</v>
      </c>
      <c r="E93" s="41" t="s">
        <v>12</v>
      </c>
    </row>
    <row r="94" ht="16.5" customHeight="1">
      <c r="A94" s="42" t="s">
        <v>14</v>
      </c>
      <c r="B94" s="91" t="s">
        <v>785</v>
      </c>
      <c r="C94" s="93" t="str">
        <f t="shared" ref="C94:C103" si="17">"8조" &amp; " - " &amp; B$92 &amp; " - " &amp; $A94</f>
        <v>8조 - Broker - Availability</v>
      </c>
      <c r="D94" s="91" t="s">
        <v>785</v>
      </c>
      <c r="E94" s="93" t="str">
        <f t="shared" ref="E94:E103" si="18">"8조" &amp; " - " &amp; D$92 &amp; " - " &amp; $A94</f>
        <v>8조 - Dispatcher - Availability</v>
      </c>
    </row>
    <row r="95" ht="16.5" customHeight="1">
      <c r="A95" s="42" t="s">
        <v>47</v>
      </c>
      <c r="B95" s="91" t="s">
        <v>785</v>
      </c>
      <c r="C95" s="93" t="str">
        <f t="shared" si="17"/>
        <v>8조 - Broker - Deployability</v>
      </c>
      <c r="D95" s="91" t="s">
        <v>785</v>
      </c>
      <c r="E95" s="93" t="str">
        <f t="shared" si="18"/>
        <v>8조 - Dispatcher - Deployability</v>
      </c>
    </row>
    <row r="96" ht="16.5" customHeight="1">
      <c r="A96" s="42" t="s">
        <v>80</v>
      </c>
      <c r="B96" s="91" t="s">
        <v>785</v>
      </c>
      <c r="C96" s="93" t="str">
        <f t="shared" si="17"/>
        <v>8조 - Broker - Integrability</v>
      </c>
      <c r="D96" s="91" t="s">
        <v>785</v>
      </c>
      <c r="E96" s="93" t="str">
        <f t="shared" si="18"/>
        <v>8조 - Dispatcher - Integrability</v>
      </c>
    </row>
    <row r="97" ht="16.5" customHeight="1">
      <c r="A97" s="42" t="s">
        <v>117</v>
      </c>
      <c r="B97" s="91" t="s">
        <v>785</v>
      </c>
      <c r="C97" s="93" t="str">
        <f t="shared" si="17"/>
        <v>8조 - Broker - Energy Efficiency</v>
      </c>
      <c r="D97" s="91" t="s">
        <v>785</v>
      </c>
      <c r="E97" s="93" t="str">
        <f t="shared" si="18"/>
        <v>8조 - Dispatcher - Energy Efficiency</v>
      </c>
    </row>
    <row r="98" ht="16.5" customHeight="1">
      <c r="A98" s="42" t="s">
        <v>151</v>
      </c>
      <c r="B98" s="91" t="s">
        <v>785</v>
      </c>
      <c r="C98" s="93" t="str">
        <f t="shared" si="17"/>
        <v>8조 - Broker - Modifiability</v>
      </c>
      <c r="D98" s="91" t="s">
        <v>785</v>
      </c>
      <c r="E98" s="93" t="str">
        <f t="shared" si="18"/>
        <v>8조 - Dispatcher - Modifiability</v>
      </c>
    </row>
    <row r="99" ht="16.5" customHeight="1">
      <c r="A99" s="42" t="s">
        <v>186</v>
      </c>
      <c r="B99" s="91" t="s">
        <v>785</v>
      </c>
      <c r="C99" s="93" t="str">
        <f t="shared" si="17"/>
        <v>8조 - Broker - Performance</v>
      </c>
      <c r="D99" s="91" t="s">
        <v>785</v>
      </c>
      <c r="E99" s="93" t="str">
        <f t="shared" si="18"/>
        <v>8조 - Dispatcher - Performance</v>
      </c>
    </row>
    <row r="100" ht="16.5" customHeight="1">
      <c r="A100" s="42" t="s">
        <v>221</v>
      </c>
      <c r="B100" s="91" t="s">
        <v>785</v>
      </c>
      <c r="C100" s="93" t="str">
        <f t="shared" si="17"/>
        <v>8조 - Broker - Safety</v>
      </c>
      <c r="D100" s="91" t="s">
        <v>785</v>
      </c>
      <c r="E100" s="93" t="str">
        <f t="shared" si="18"/>
        <v>8조 - Dispatcher - Safety</v>
      </c>
    </row>
    <row r="101" ht="16.5" customHeight="1">
      <c r="A101" s="42" t="s">
        <v>261</v>
      </c>
      <c r="B101" s="91" t="s">
        <v>785</v>
      </c>
      <c r="C101" s="93" t="str">
        <f t="shared" si="17"/>
        <v>8조 - Broker - Security</v>
      </c>
      <c r="D101" s="91" t="s">
        <v>785</v>
      </c>
      <c r="E101" s="93" t="str">
        <f t="shared" si="18"/>
        <v>8조 - Dispatcher - Security</v>
      </c>
    </row>
    <row r="102" ht="16.5" customHeight="1">
      <c r="A102" s="42" t="s">
        <v>310</v>
      </c>
      <c r="B102" s="91" t="s">
        <v>785</v>
      </c>
      <c r="C102" s="93" t="str">
        <f t="shared" si="17"/>
        <v>8조 - Broker - Testability</v>
      </c>
      <c r="D102" s="91" t="s">
        <v>785</v>
      </c>
      <c r="E102" s="93" t="str">
        <f t="shared" si="18"/>
        <v>8조 - Dispatcher - Testability</v>
      </c>
    </row>
    <row r="103" ht="16.5" customHeight="1">
      <c r="A103" s="42" t="s">
        <v>346</v>
      </c>
      <c r="B103" s="91" t="s">
        <v>785</v>
      </c>
      <c r="C103" s="93" t="str">
        <f t="shared" si="17"/>
        <v>8조 - Broker - Usability</v>
      </c>
      <c r="D103" s="91" t="s">
        <v>785</v>
      </c>
      <c r="E103" s="93" t="str">
        <f t="shared" si="18"/>
        <v>8조 - Dispatcher - Usability</v>
      </c>
    </row>
    <row r="104" ht="16.5" customHeight="1">
      <c r="A104" s="49"/>
      <c r="B104" s="56" t="s">
        <v>785</v>
      </c>
      <c r="C104" s="49"/>
      <c r="D104" s="56" t="s">
        <v>785</v>
      </c>
      <c r="E104" s="49"/>
      <c r="F104" s="49"/>
      <c r="G104" s="49"/>
    </row>
    <row r="105" ht="16.5" customHeight="1">
      <c r="A105" s="39" t="s">
        <v>493</v>
      </c>
      <c r="B105" s="85" t="s">
        <v>653</v>
      </c>
      <c r="C105" s="30"/>
      <c r="D105" s="80" t="s">
        <v>947</v>
      </c>
      <c r="E105" s="30"/>
    </row>
    <row r="106" ht="16.5" customHeight="1">
      <c r="A106" s="31"/>
      <c r="B106" s="41" t="s">
        <v>11</v>
      </c>
      <c r="C106" s="41" t="s">
        <v>12</v>
      </c>
      <c r="D106" s="41" t="s">
        <v>11</v>
      </c>
      <c r="E106" s="41" t="s">
        <v>12</v>
      </c>
    </row>
    <row r="107" ht="16.5" customHeight="1">
      <c r="A107" s="42" t="s">
        <v>14</v>
      </c>
      <c r="B107" s="91" t="s">
        <v>785</v>
      </c>
      <c r="C107" s="93" t="str">
        <f t="shared" ref="C107:C116" si="19">"8조" &amp; " - " &amp; B$105 &amp; " - " &amp; $A107</f>
        <v>8조 - SOA - Availability</v>
      </c>
      <c r="D107" s="91" t="s">
        <v>785</v>
      </c>
      <c r="E107" s="93" t="str">
        <f t="shared" ref="E107:E116" si="20">"8조" &amp; " - " &amp; D$105 &amp; " - " &amp; $A107</f>
        <v>8조 - Mico-Service - Availability</v>
      </c>
    </row>
    <row r="108" ht="16.5" customHeight="1">
      <c r="A108" s="42" t="s">
        <v>47</v>
      </c>
      <c r="B108" s="91" t="s">
        <v>785</v>
      </c>
      <c r="C108" s="93" t="str">
        <f t="shared" si="19"/>
        <v>8조 - SOA - Deployability</v>
      </c>
      <c r="D108" s="91" t="s">
        <v>785</v>
      </c>
      <c r="E108" s="93" t="str">
        <f t="shared" si="20"/>
        <v>8조 - Mico-Service - Deployability</v>
      </c>
    </row>
    <row r="109" ht="16.5" customHeight="1">
      <c r="A109" s="42" t="s">
        <v>80</v>
      </c>
      <c r="B109" s="91" t="s">
        <v>785</v>
      </c>
      <c r="C109" s="93" t="str">
        <f t="shared" si="19"/>
        <v>8조 - SOA - Integrability</v>
      </c>
      <c r="D109" s="91" t="s">
        <v>785</v>
      </c>
      <c r="E109" s="93" t="str">
        <f t="shared" si="20"/>
        <v>8조 - Mico-Service - Integrability</v>
      </c>
    </row>
    <row r="110" ht="16.5" customHeight="1">
      <c r="A110" s="42" t="s">
        <v>117</v>
      </c>
      <c r="B110" s="91" t="s">
        <v>785</v>
      </c>
      <c r="C110" s="93" t="str">
        <f t="shared" si="19"/>
        <v>8조 - SOA - Energy Efficiency</v>
      </c>
      <c r="D110" s="91" t="s">
        <v>785</v>
      </c>
      <c r="E110" s="93" t="str">
        <f t="shared" si="20"/>
        <v>8조 - Mico-Service - Energy Efficiency</v>
      </c>
    </row>
    <row r="111" ht="16.5" customHeight="1">
      <c r="A111" s="42" t="s">
        <v>151</v>
      </c>
      <c r="B111" s="91" t="s">
        <v>785</v>
      </c>
      <c r="C111" s="93" t="str">
        <f t="shared" si="19"/>
        <v>8조 - SOA - Modifiability</v>
      </c>
      <c r="D111" s="91" t="s">
        <v>785</v>
      </c>
      <c r="E111" s="93" t="str">
        <f t="shared" si="20"/>
        <v>8조 - Mico-Service - Modifiability</v>
      </c>
    </row>
    <row r="112" ht="16.5" customHeight="1">
      <c r="A112" s="42" t="s">
        <v>186</v>
      </c>
      <c r="B112" s="91" t="s">
        <v>785</v>
      </c>
      <c r="C112" s="93" t="str">
        <f t="shared" si="19"/>
        <v>8조 - SOA - Performance</v>
      </c>
      <c r="D112" s="91" t="s">
        <v>785</v>
      </c>
      <c r="E112" s="93" t="str">
        <f t="shared" si="20"/>
        <v>8조 - Mico-Service - Performance</v>
      </c>
    </row>
    <row r="113" ht="16.5" customHeight="1">
      <c r="A113" s="42" t="s">
        <v>221</v>
      </c>
      <c r="B113" s="91" t="s">
        <v>785</v>
      </c>
      <c r="C113" s="93" t="str">
        <f t="shared" si="19"/>
        <v>8조 - SOA - Safety</v>
      </c>
      <c r="D113" s="91" t="s">
        <v>785</v>
      </c>
      <c r="E113" s="93" t="str">
        <f t="shared" si="20"/>
        <v>8조 - Mico-Service - Safety</v>
      </c>
    </row>
    <row r="114" ht="16.5" customHeight="1">
      <c r="A114" s="42" t="s">
        <v>261</v>
      </c>
      <c r="B114" s="91" t="s">
        <v>785</v>
      </c>
      <c r="C114" s="93" t="str">
        <f t="shared" si="19"/>
        <v>8조 - SOA - Security</v>
      </c>
      <c r="D114" s="91" t="s">
        <v>785</v>
      </c>
      <c r="E114" s="93" t="str">
        <f t="shared" si="20"/>
        <v>8조 - Mico-Service - Security</v>
      </c>
    </row>
    <row r="115" ht="16.5" customHeight="1">
      <c r="A115" s="42" t="s">
        <v>310</v>
      </c>
      <c r="B115" s="91" t="s">
        <v>785</v>
      </c>
      <c r="C115" s="93" t="str">
        <f t="shared" si="19"/>
        <v>8조 - SOA - Testability</v>
      </c>
      <c r="D115" s="91" t="s">
        <v>785</v>
      </c>
      <c r="E115" s="93" t="str">
        <f t="shared" si="20"/>
        <v>8조 - Mico-Service - Testability</v>
      </c>
    </row>
    <row r="116" ht="16.5" customHeight="1">
      <c r="A116" s="42" t="s">
        <v>346</v>
      </c>
      <c r="B116" s="91" t="s">
        <v>785</v>
      </c>
      <c r="C116" s="93" t="str">
        <f t="shared" si="19"/>
        <v>8조 - SOA - Usability</v>
      </c>
      <c r="D116" s="91" t="s">
        <v>785</v>
      </c>
      <c r="E116" s="93" t="str">
        <f t="shared" si="20"/>
        <v>8조 - Mico-Service - Usability</v>
      </c>
    </row>
    <row r="117" ht="16.5" customHeight="1">
      <c r="A117" s="49"/>
      <c r="B117" s="56" t="s">
        <v>785</v>
      </c>
      <c r="C117" s="49"/>
      <c r="D117" s="56" t="s">
        <v>785</v>
      </c>
      <c r="E117" s="49"/>
      <c r="F117" s="49"/>
      <c r="G117" s="49"/>
    </row>
    <row r="118" ht="16.5" customHeight="1">
      <c r="A118" s="39" t="s">
        <v>656</v>
      </c>
      <c r="B118" s="80" t="s">
        <v>657</v>
      </c>
      <c r="C118" s="30"/>
      <c r="D118" s="80" t="s">
        <v>658</v>
      </c>
      <c r="E118" s="30"/>
      <c r="F118" s="80" t="s">
        <v>659</v>
      </c>
      <c r="G118" s="30"/>
    </row>
    <row r="119" ht="16.5" customHeight="1">
      <c r="A119" s="31"/>
      <c r="B119" s="41" t="s">
        <v>11</v>
      </c>
      <c r="C119" s="41" t="s">
        <v>12</v>
      </c>
      <c r="D119" s="41" t="s">
        <v>11</v>
      </c>
      <c r="E119" s="41" t="s">
        <v>12</v>
      </c>
      <c r="F119" s="41" t="s">
        <v>11</v>
      </c>
      <c r="G119" s="41" t="s">
        <v>12</v>
      </c>
    </row>
    <row r="120" ht="16.5" customHeight="1">
      <c r="A120" s="42" t="s">
        <v>14</v>
      </c>
      <c r="B120" s="91" t="s">
        <v>785</v>
      </c>
      <c r="C120" s="93" t="str">
        <f t="shared" ref="C120:C129" si="21">"8조" &amp; " - " &amp; B$118 &amp; " - " &amp; $A120</f>
        <v>8조 - Container-based - Availability</v>
      </c>
      <c r="D120" s="91" t="s">
        <v>785</v>
      </c>
      <c r="E120" s="93" t="str">
        <f t="shared" ref="E120:E129" si="22">"8조" &amp; " - " &amp; D$118 &amp; " - " &amp; $A120</f>
        <v>8조 - Cloud-based - Availability</v>
      </c>
      <c r="F120" s="91" t="s">
        <v>785</v>
      </c>
      <c r="G120" s="93" t="str">
        <f t="shared" ref="G120:G129" si="23">"8조" &amp; " - " &amp; F$118 &amp; " - " &amp; $A120</f>
        <v>8조 - Edge-based - Availability</v>
      </c>
    </row>
    <row r="121" ht="16.5" customHeight="1">
      <c r="A121" s="42" t="s">
        <v>47</v>
      </c>
      <c r="B121" s="91" t="s">
        <v>785</v>
      </c>
      <c r="C121" s="93" t="str">
        <f t="shared" si="21"/>
        <v>8조 - Container-based - Deployability</v>
      </c>
      <c r="D121" s="91" t="s">
        <v>785</v>
      </c>
      <c r="E121" s="93" t="str">
        <f t="shared" si="22"/>
        <v>8조 - Cloud-based - Deployability</v>
      </c>
      <c r="F121" s="91" t="s">
        <v>785</v>
      </c>
      <c r="G121" s="93" t="str">
        <f t="shared" si="23"/>
        <v>8조 - Edge-based - Deployability</v>
      </c>
    </row>
    <row r="122" ht="16.5" customHeight="1">
      <c r="A122" s="42" t="s">
        <v>80</v>
      </c>
      <c r="B122" s="91" t="s">
        <v>785</v>
      </c>
      <c r="C122" s="93" t="str">
        <f t="shared" si="21"/>
        <v>8조 - Container-based - Integrability</v>
      </c>
      <c r="D122" s="91" t="s">
        <v>785</v>
      </c>
      <c r="E122" s="93" t="str">
        <f t="shared" si="22"/>
        <v>8조 - Cloud-based - Integrability</v>
      </c>
      <c r="F122" s="91" t="s">
        <v>785</v>
      </c>
      <c r="G122" s="93" t="str">
        <f t="shared" si="23"/>
        <v>8조 - Edge-based - Integrability</v>
      </c>
    </row>
    <row r="123" ht="16.5" customHeight="1">
      <c r="A123" s="42" t="s">
        <v>117</v>
      </c>
      <c r="B123" s="91" t="s">
        <v>785</v>
      </c>
      <c r="C123" s="93" t="str">
        <f t="shared" si="21"/>
        <v>8조 - Container-based - Energy Efficiency</v>
      </c>
      <c r="D123" s="91" t="s">
        <v>785</v>
      </c>
      <c r="E123" s="93" t="str">
        <f t="shared" si="22"/>
        <v>8조 - Cloud-based - Energy Efficiency</v>
      </c>
      <c r="F123" s="91" t="s">
        <v>785</v>
      </c>
      <c r="G123" s="93" t="str">
        <f t="shared" si="23"/>
        <v>8조 - Edge-based - Energy Efficiency</v>
      </c>
    </row>
    <row r="124" ht="16.5" customHeight="1">
      <c r="A124" s="42" t="s">
        <v>151</v>
      </c>
      <c r="B124" s="91" t="s">
        <v>785</v>
      </c>
      <c r="C124" s="93" t="str">
        <f t="shared" si="21"/>
        <v>8조 - Container-based - Modifiability</v>
      </c>
      <c r="D124" s="91" t="s">
        <v>785</v>
      </c>
      <c r="E124" s="93" t="str">
        <f t="shared" si="22"/>
        <v>8조 - Cloud-based - Modifiability</v>
      </c>
      <c r="F124" s="91" t="s">
        <v>785</v>
      </c>
      <c r="G124" s="93" t="str">
        <f t="shared" si="23"/>
        <v>8조 - Edge-based - Modifiability</v>
      </c>
    </row>
    <row r="125" ht="16.5" customHeight="1">
      <c r="A125" s="42" t="s">
        <v>186</v>
      </c>
      <c r="B125" s="91" t="s">
        <v>785</v>
      </c>
      <c r="C125" s="93" t="str">
        <f t="shared" si="21"/>
        <v>8조 - Container-based - Performance</v>
      </c>
      <c r="D125" s="91" t="s">
        <v>785</v>
      </c>
      <c r="E125" s="93" t="str">
        <f t="shared" si="22"/>
        <v>8조 - Cloud-based - Performance</v>
      </c>
      <c r="F125" s="91" t="s">
        <v>785</v>
      </c>
      <c r="G125" s="93" t="str">
        <f t="shared" si="23"/>
        <v>8조 - Edge-based - Performance</v>
      </c>
    </row>
    <row r="126" ht="16.5" customHeight="1">
      <c r="A126" s="42" t="s">
        <v>221</v>
      </c>
      <c r="B126" s="91" t="s">
        <v>785</v>
      </c>
      <c r="C126" s="93" t="str">
        <f t="shared" si="21"/>
        <v>8조 - Container-based - Safety</v>
      </c>
      <c r="D126" s="91" t="s">
        <v>785</v>
      </c>
      <c r="E126" s="93" t="str">
        <f t="shared" si="22"/>
        <v>8조 - Cloud-based - Safety</v>
      </c>
      <c r="F126" s="91" t="s">
        <v>785</v>
      </c>
      <c r="G126" s="93" t="str">
        <f t="shared" si="23"/>
        <v>8조 - Edge-based - Safety</v>
      </c>
    </row>
    <row r="127" ht="16.5" customHeight="1">
      <c r="A127" s="42" t="s">
        <v>261</v>
      </c>
      <c r="B127" s="91" t="s">
        <v>785</v>
      </c>
      <c r="C127" s="93" t="str">
        <f t="shared" si="21"/>
        <v>8조 - Container-based - Security</v>
      </c>
      <c r="D127" s="91" t="s">
        <v>785</v>
      </c>
      <c r="E127" s="93" t="str">
        <f t="shared" si="22"/>
        <v>8조 - Cloud-based - Security</v>
      </c>
      <c r="F127" s="91" t="s">
        <v>785</v>
      </c>
      <c r="G127" s="93" t="str">
        <f t="shared" si="23"/>
        <v>8조 - Edge-based - Security</v>
      </c>
    </row>
    <row r="128" ht="16.5" customHeight="1">
      <c r="A128" s="42" t="s">
        <v>310</v>
      </c>
      <c r="B128" s="91" t="s">
        <v>785</v>
      </c>
      <c r="C128" s="93" t="str">
        <f t="shared" si="21"/>
        <v>8조 - Container-based - Testability</v>
      </c>
      <c r="D128" s="91" t="s">
        <v>785</v>
      </c>
      <c r="E128" s="93" t="str">
        <f t="shared" si="22"/>
        <v>8조 - Cloud-based - Testability</v>
      </c>
      <c r="F128" s="91" t="s">
        <v>785</v>
      </c>
      <c r="G128" s="93" t="str">
        <f t="shared" si="23"/>
        <v>8조 - Edge-based - Testability</v>
      </c>
    </row>
    <row r="129" ht="16.5" customHeight="1">
      <c r="A129" s="42" t="s">
        <v>346</v>
      </c>
      <c r="B129" s="91" t="s">
        <v>785</v>
      </c>
      <c r="C129" s="93" t="str">
        <f t="shared" si="21"/>
        <v>8조 - Container-based - Usability</v>
      </c>
      <c r="D129" s="91" t="s">
        <v>785</v>
      </c>
      <c r="E129" s="93" t="str">
        <f t="shared" si="22"/>
        <v>8조 - Cloud-based - Usability</v>
      </c>
      <c r="F129" s="91" t="s">
        <v>785</v>
      </c>
      <c r="G129" s="93" t="str">
        <f t="shared" si="23"/>
        <v>8조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4.43" defaultRowHeight="15.0"/>
  <cols>
    <col customWidth="1" min="1" max="1" width="18.0"/>
    <col customWidth="1" min="2" max="2" width="14.71"/>
    <col customWidth="1" min="3" max="3" width="70.57"/>
    <col customWidth="1" min="4" max="4" width="9.86"/>
    <col customWidth="1" min="5" max="5" width="64.43"/>
    <col customWidth="1" min="6" max="6" width="11.43"/>
    <col customWidth="1" min="7" max="7" width="61.57"/>
    <col customWidth="1" min="8" max="8" width="8.86"/>
    <col customWidth="1" min="9" max="9" width="64.14"/>
  </cols>
  <sheetData>
    <row r="1" ht="16.5" customHeight="1">
      <c r="A1" s="39" t="s">
        <v>666</v>
      </c>
      <c r="B1" s="80" t="s">
        <v>0</v>
      </c>
      <c r="C1" s="30"/>
      <c r="D1" s="80" t="s">
        <v>1</v>
      </c>
      <c r="E1" s="30"/>
      <c r="F1" s="80" t="s">
        <v>2</v>
      </c>
      <c r="G1" s="30"/>
    </row>
    <row r="2" ht="16.5" customHeight="1">
      <c r="A2" s="31"/>
      <c r="B2" s="41" t="s">
        <v>11</v>
      </c>
      <c r="C2" s="41" t="s">
        <v>12</v>
      </c>
      <c r="D2" s="41" t="s">
        <v>11</v>
      </c>
      <c r="E2" s="41" t="s">
        <v>12</v>
      </c>
      <c r="F2" s="41" t="s">
        <v>11</v>
      </c>
      <c r="G2" s="41" t="s">
        <v>12</v>
      </c>
    </row>
    <row r="3" ht="16.5" customHeight="1">
      <c r="A3" s="42" t="s">
        <v>14</v>
      </c>
      <c r="B3" s="91" t="s">
        <v>785</v>
      </c>
      <c r="C3" s="93" t="str">
        <f t="shared" ref="C3:C12" si="1">"9조" &amp; " - " &amp; B$1 &amp; " - " &amp; $A3</f>
        <v>9조 - Batch Sequential - Availability</v>
      </c>
      <c r="D3" s="91" t="s">
        <v>785</v>
      </c>
      <c r="E3" s="93" t="str">
        <f t="shared" ref="E3:E12" si="2">"9조" &amp; " - " &amp; D$1 &amp; " - " &amp; $A3</f>
        <v>9조 - Pipe and Filter - Availability</v>
      </c>
      <c r="F3" s="91" t="s">
        <v>785</v>
      </c>
      <c r="G3" s="93" t="str">
        <f t="shared" ref="G3:G12" si="3">"9조" &amp; " - " &amp; F$1 &amp; " - " &amp; $A3</f>
        <v>9조 - Process Control - Availability</v>
      </c>
    </row>
    <row r="4" ht="16.5" customHeight="1">
      <c r="A4" s="42" t="s">
        <v>47</v>
      </c>
      <c r="B4" s="91" t="s">
        <v>785</v>
      </c>
      <c r="C4" s="93" t="str">
        <f t="shared" si="1"/>
        <v>9조 - Batch Sequential - Deployability</v>
      </c>
      <c r="D4" s="91" t="s">
        <v>785</v>
      </c>
      <c r="E4" s="93" t="str">
        <f t="shared" si="2"/>
        <v>9조 - Pipe and Filter - Deployability</v>
      </c>
      <c r="F4" s="91" t="s">
        <v>785</v>
      </c>
      <c r="G4" s="93" t="str">
        <f t="shared" si="3"/>
        <v>9조 - Process Control - Deployability</v>
      </c>
    </row>
    <row r="5" ht="16.5" customHeight="1">
      <c r="A5" s="42" t="s">
        <v>80</v>
      </c>
      <c r="B5" s="91" t="s">
        <v>785</v>
      </c>
      <c r="C5" s="93" t="str">
        <f t="shared" si="1"/>
        <v>9조 - Batch Sequential - Integrability</v>
      </c>
      <c r="D5" s="91" t="s">
        <v>785</v>
      </c>
      <c r="E5" s="104" t="str">
        <f t="shared" si="2"/>
        <v>9조 - Pipe and Filter - Integrability</v>
      </c>
      <c r="F5" s="91" t="s">
        <v>785</v>
      </c>
      <c r="G5" s="93" t="str">
        <f t="shared" si="3"/>
        <v>9조 - Process Control - Integrability</v>
      </c>
    </row>
    <row r="6" ht="16.5" customHeight="1">
      <c r="A6" s="42" t="s">
        <v>117</v>
      </c>
      <c r="B6" s="91" t="s">
        <v>785</v>
      </c>
      <c r="C6" s="93" t="str">
        <f t="shared" si="1"/>
        <v>9조 - Batch Sequential - Energy Efficiency</v>
      </c>
      <c r="D6" s="91" t="s">
        <v>785</v>
      </c>
      <c r="E6" s="93" t="str">
        <f t="shared" si="2"/>
        <v>9조 - Pipe and Filter - Energy Efficiency</v>
      </c>
      <c r="F6" s="91" t="s">
        <v>785</v>
      </c>
      <c r="G6" s="93" t="str">
        <f t="shared" si="3"/>
        <v>9조 - Process Control - Energy Efficiency</v>
      </c>
    </row>
    <row r="7" ht="16.5" customHeight="1">
      <c r="A7" s="42" t="s">
        <v>151</v>
      </c>
      <c r="B7" s="91" t="s">
        <v>785</v>
      </c>
      <c r="C7" s="93" t="str">
        <f t="shared" si="1"/>
        <v>9조 - Batch Sequential - Modifiability</v>
      </c>
      <c r="D7" s="91" t="s">
        <v>785</v>
      </c>
      <c r="E7" s="93" t="str">
        <f t="shared" si="2"/>
        <v>9조 - Pipe and Filter - Modifiability</v>
      </c>
      <c r="F7" s="91" t="s">
        <v>785</v>
      </c>
      <c r="G7" s="93" t="str">
        <f t="shared" si="3"/>
        <v>9조 - Process Control - Modifiability</v>
      </c>
    </row>
    <row r="8" ht="16.5" customHeight="1">
      <c r="A8" s="42" t="s">
        <v>186</v>
      </c>
      <c r="B8" s="91" t="s">
        <v>785</v>
      </c>
      <c r="C8" s="93" t="str">
        <f t="shared" si="1"/>
        <v>9조 - Batch Sequential - Performance</v>
      </c>
      <c r="D8" s="91" t="s">
        <v>785</v>
      </c>
      <c r="E8" s="93" t="str">
        <f t="shared" si="2"/>
        <v>9조 - Pipe and Filter - Performance</v>
      </c>
      <c r="F8" s="91" t="s">
        <v>785</v>
      </c>
      <c r="G8" s="93" t="str">
        <f t="shared" si="3"/>
        <v>9조 - Process Control - Performance</v>
      </c>
    </row>
    <row r="9" ht="16.5" customHeight="1">
      <c r="A9" s="42" t="s">
        <v>221</v>
      </c>
      <c r="B9" s="91" t="s">
        <v>785</v>
      </c>
      <c r="C9" s="93" t="str">
        <f t="shared" si="1"/>
        <v>9조 - Batch Sequential - Safety</v>
      </c>
      <c r="D9" s="91" t="s">
        <v>785</v>
      </c>
      <c r="E9" s="93" t="str">
        <f t="shared" si="2"/>
        <v>9조 - Pipe and Filter - Safety</v>
      </c>
      <c r="F9" s="91" t="s">
        <v>785</v>
      </c>
      <c r="G9" s="93" t="str">
        <f t="shared" si="3"/>
        <v>9조 - Process Control - Safety</v>
      </c>
    </row>
    <row r="10" ht="16.5" customHeight="1">
      <c r="A10" s="42" t="s">
        <v>261</v>
      </c>
      <c r="B10" s="91" t="s">
        <v>785</v>
      </c>
      <c r="C10" s="93" t="str">
        <f t="shared" si="1"/>
        <v>9조 - Batch Sequential - Security</v>
      </c>
      <c r="D10" s="91" t="s">
        <v>785</v>
      </c>
      <c r="E10" s="93" t="str">
        <f t="shared" si="2"/>
        <v>9조 - Pipe and Filter - Security</v>
      </c>
      <c r="F10" s="91" t="s">
        <v>785</v>
      </c>
      <c r="G10" s="93" t="str">
        <f t="shared" si="3"/>
        <v>9조 - Process Control - Security</v>
      </c>
    </row>
    <row r="11" ht="16.5" customHeight="1">
      <c r="A11" s="42" t="s">
        <v>310</v>
      </c>
      <c r="B11" s="91" t="s">
        <v>785</v>
      </c>
      <c r="C11" s="93" t="str">
        <f t="shared" si="1"/>
        <v>9조 - Batch Sequential - Testability</v>
      </c>
      <c r="D11" s="91" t="s">
        <v>785</v>
      </c>
      <c r="E11" s="93" t="str">
        <f t="shared" si="2"/>
        <v>9조 - Pipe and Filter - Testability</v>
      </c>
      <c r="F11" s="91" t="s">
        <v>785</v>
      </c>
      <c r="G11" s="93" t="str">
        <f t="shared" si="3"/>
        <v>9조 - Process Control - Testability</v>
      </c>
    </row>
    <row r="12" ht="16.5" customHeight="1">
      <c r="A12" s="42" t="s">
        <v>346</v>
      </c>
      <c r="B12" s="91" t="s">
        <v>785</v>
      </c>
      <c r="C12" s="93" t="str">
        <f t="shared" si="1"/>
        <v>9조 - Batch Sequential - Usability</v>
      </c>
      <c r="D12" s="91" t="s">
        <v>785</v>
      </c>
      <c r="E12" s="93" t="str">
        <f t="shared" si="2"/>
        <v>9조 - Pipe and Filter - Usability</v>
      </c>
      <c r="F12" s="91" t="s">
        <v>785</v>
      </c>
      <c r="G12" s="93" t="str">
        <f t="shared" si="3"/>
        <v>9조 - Process Control - Usability</v>
      </c>
    </row>
    <row r="13" ht="16.5" customHeight="1">
      <c r="A13" s="49"/>
      <c r="B13" s="56" t="s">
        <v>785</v>
      </c>
      <c r="C13" s="56" t="s">
        <v>785</v>
      </c>
      <c r="D13" s="56" t="s">
        <v>785</v>
      </c>
      <c r="E13" s="56" t="s">
        <v>785</v>
      </c>
      <c r="F13" s="56" t="s">
        <v>785</v>
      </c>
      <c r="G13" s="49"/>
    </row>
    <row r="14" ht="16.5" customHeight="1">
      <c r="A14" s="50" t="s">
        <v>3</v>
      </c>
      <c r="B14" s="85" t="s">
        <v>668</v>
      </c>
      <c r="C14" s="30"/>
      <c r="D14" s="85" t="s">
        <v>8</v>
      </c>
      <c r="E14" s="30"/>
      <c r="F14" s="49"/>
      <c r="G14" s="49"/>
    </row>
    <row r="15" ht="16.5" customHeight="1">
      <c r="A15" s="51"/>
      <c r="B15" s="52" t="s">
        <v>11</v>
      </c>
      <c r="C15" s="86" t="s">
        <v>12</v>
      </c>
      <c r="D15" s="52" t="s">
        <v>11</v>
      </c>
      <c r="E15" s="86" t="s">
        <v>12</v>
      </c>
      <c r="F15" s="49"/>
      <c r="G15" s="49"/>
    </row>
    <row r="16" ht="16.5" customHeight="1">
      <c r="A16" s="42" t="s">
        <v>14</v>
      </c>
      <c r="B16" s="91" t="s">
        <v>785</v>
      </c>
      <c r="C16" s="93" t="str">
        <f t="shared" ref="C16:C25" si="4">"9조" &amp; " - " &amp; B$14 &amp; " - " &amp; $A16</f>
        <v>9조 - Shared Respository - Availability</v>
      </c>
      <c r="D16" s="91" t="s">
        <v>785</v>
      </c>
      <c r="E16" s="93" t="str">
        <f t="shared" ref="E16:E25" si="5">"9조" &amp; " - " &amp; D$14 &amp; " - " &amp; $A16</f>
        <v>9조 - Blackboard - Availability</v>
      </c>
      <c r="F16" s="49"/>
      <c r="G16" s="49"/>
    </row>
    <row r="17" ht="16.5" customHeight="1">
      <c r="A17" s="42" t="s">
        <v>47</v>
      </c>
      <c r="B17" s="91" t="s">
        <v>785</v>
      </c>
      <c r="C17" s="93" t="str">
        <f t="shared" si="4"/>
        <v>9조 - Shared Respository - Deployability</v>
      </c>
      <c r="D17" s="91" t="s">
        <v>785</v>
      </c>
      <c r="E17" s="93" t="str">
        <f t="shared" si="5"/>
        <v>9조 - Blackboard - Deployability</v>
      </c>
      <c r="F17" s="49"/>
      <c r="G17" s="49"/>
    </row>
    <row r="18" ht="16.5" customHeight="1">
      <c r="A18" s="42" t="s">
        <v>80</v>
      </c>
      <c r="B18" s="91" t="s">
        <v>785</v>
      </c>
      <c r="C18" s="93" t="str">
        <f t="shared" si="4"/>
        <v>9조 - Shared Respository - Integrability</v>
      </c>
      <c r="D18" s="91" t="s">
        <v>785</v>
      </c>
      <c r="E18" s="93" t="str">
        <f t="shared" si="5"/>
        <v>9조 - Blackboard - Integrability</v>
      </c>
      <c r="F18" s="49"/>
      <c r="G18" s="49"/>
    </row>
    <row r="19" ht="16.5" customHeight="1">
      <c r="A19" s="42" t="s">
        <v>117</v>
      </c>
      <c r="B19" s="91" t="s">
        <v>785</v>
      </c>
      <c r="C19" s="93" t="str">
        <f t="shared" si="4"/>
        <v>9조 - Shared Respository - Energy Efficiency</v>
      </c>
      <c r="D19" s="91" t="s">
        <v>785</v>
      </c>
      <c r="E19" s="93" t="str">
        <f t="shared" si="5"/>
        <v>9조 - Blackboard - Energy Efficiency</v>
      </c>
      <c r="F19" s="49"/>
      <c r="G19" s="49"/>
    </row>
    <row r="20" ht="16.5" customHeight="1">
      <c r="A20" s="42" t="s">
        <v>151</v>
      </c>
      <c r="B20" s="91" t="s">
        <v>785</v>
      </c>
      <c r="C20" s="93" t="str">
        <f t="shared" si="4"/>
        <v>9조 - Shared Respository - Modifiability</v>
      </c>
      <c r="D20" s="91" t="s">
        <v>785</v>
      </c>
      <c r="E20" s="93" t="str">
        <f t="shared" si="5"/>
        <v>9조 - Blackboard - Modifiability</v>
      </c>
      <c r="F20" s="49"/>
      <c r="G20" s="49"/>
    </row>
    <row r="21" ht="16.5" customHeight="1">
      <c r="A21" s="42" t="s">
        <v>186</v>
      </c>
      <c r="B21" s="91" t="s">
        <v>785</v>
      </c>
      <c r="C21" s="93" t="str">
        <f t="shared" si="4"/>
        <v>9조 - Shared Respository - Performance</v>
      </c>
      <c r="D21" s="91" t="s">
        <v>785</v>
      </c>
      <c r="E21" s="93" t="str">
        <f t="shared" si="5"/>
        <v>9조 - Blackboard - Performance</v>
      </c>
      <c r="F21" s="49"/>
      <c r="G21" s="49"/>
    </row>
    <row r="22" ht="16.5" customHeight="1">
      <c r="A22" s="42" t="s">
        <v>221</v>
      </c>
      <c r="B22" s="91" t="s">
        <v>785</v>
      </c>
      <c r="C22" s="93" t="str">
        <f t="shared" si="4"/>
        <v>9조 - Shared Respository - Safety</v>
      </c>
      <c r="D22" s="91" t="s">
        <v>785</v>
      </c>
      <c r="E22" s="93" t="str">
        <f t="shared" si="5"/>
        <v>9조 - Blackboard - Safety</v>
      </c>
      <c r="F22" s="49"/>
      <c r="G22" s="49"/>
    </row>
    <row r="23" ht="16.5" customHeight="1">
      <c r="A23" s="42" t="s">
        <v>261</v>
      </c>
      <c r="B23" s="91" t="s">
        <v>785</v>
      </c>
      <c r="C23" s="93" t="str">
        <f t="shared" si="4"/>
        <v>9조 - Shared Respository - Security</v>
      </c>
      <c r="D23" s="91" t="s">
        <v>785</v>
      </c>
      <c r="E23" s="93" t="str">
        <f t="shared" si="5"/>
        <v>9조 - Blackboard - Security</v>
      </c>
      <c r="F23" s="49"/>
      <c r="G23" s="49"/>
    </row>
    <row r="24" ht="16.5" customHeight="1">
      <c r="A24" s="42" t="s">
        <v>310</v>
      </c>
      <c r="B24" s="91" t="s">
        <v>785</v>
      </c>
      <c r="C24" s="93" t="str">
        <f t="shared" si="4"/>
        <v>9조 - Shared Respository - Testability</v>
      </c>
      <c r="D24" s="91" t="s">
        <v>785</v>
      </c>
      <c r="E24" s="93" t="str">
        <f t="shared" si="5"/>
        <v>9조 - Blackboard - Testability</v>
      </c>
      <c r="F24" s="49"/>
      <c r="G24" s="49"/>
    </row>
    <row r="25" ht="16.5" customHeight="1">
      <c r="A25" s="42" t="s">
        <v>346</v>
      </c>
      <c r="B25" s="91" t="s">
        <v>785</v>
      </c>
      <c r="C25" s="93" t="str">
        <f t="shared" si="4"/>
        <v>9조 - Shared Respository - Usability</v>
      </c>
      <c r="D25" s="91" t="s">
        <v>785</v>
      </c>
      <c r="E25" s="93" t="str">
        <f t="shared" si="5"/>
        <v>9조 - Blackboard - Usability</v>
      </c>
      <c r="F25" s="49"/>
      <c r="G25" s="49"/>
    </row>
    <row r="26" ht="16.5" customHeight="1">
      <c r="A26" s="49"/>
      <c r="B26" s="56" t="s">
        <v>785</v>
      </c>
      <c r="C26" s="56" t="s">
        <v>785</v>
      </c>
      <c r="D26" s="56" t="s">
        <v>785</v>
      </c>
      <c r="E26" s="56" t="s">
        <v>785</v>
      </c>
      <c r="F26" s="49"/>
      <c r="G26" s="49"/>
    </row>
    <row r="27" ht="16.5" customHeight="1">
      <c r="A27" s="50" t="s">
        <v>4</v>
      </c>
      <c r="B27" s="85" t="s">
        <v>6</v>
      </c>
      <c r="C27" s="30"/>
      <c r="D27" s="85" t="s">
        <v>9</v>
      </c>
      <c r="E27" s="30"/>
      <c r="F27" s="49"/>
      <c r="G27" s="49"/>
    </row>
    <row r="28" ht="16.5" customHeight="1">
      <c r="A28" s="53"/>
      <c r="B28" s="41" t="s">
        <v>11</v>
      </c>
      <c r="C28" s="58" t="s">
        <v>12</v>
      </c>
      <c r="D28" s="41" t="s">
        <v>11</v>
      </c>
      <c r="E28" s="58" t="s">
        <v>12</v>
      </c>
      <c r="F28" s="49"/>
      <c r="G28" s="49"/>
    </row>
    <row r="29" ht="16.5" customHeight="1">
      <c r="A29" s="42" t="s">
        <v>14</v>
      </c>
      <c r="B29" s="91" t="s">
        <v>785</v>
      </c>
      <c r="C29" s="93" t="str">
        <f t="shared" ref="C29:C38" si="6">"9조" &amp; " - " &amp; B$27 &amp; " - " &amp; $A29</f>
        <v>9조 - Non-Buffered Event Based - Availability</v>
      </c>
      <c r="D29" s="91" t="s">
        <v>785</v>
      </c>
      <c r="E29" s="93" t="str">
        <f t="shared" ref="E29:E38" si="7">"9조" &amp; " - " &amp; D$27 &amp; " - " &amp; $A29</f>
        <v>9조 - Buffered Message Based - Availability</v>
      </c>
      <c r="F29" s="49"/>
      <c r="G29" s="49"/>
    </row>
    <row r="30" ht="16.5" customHeight="1">
      <c r="A30" s="42" t="s">
        <v>47</v>
      </c>
      <c r="B30" s="91" t="s">
        <v>785</v>
      </c>
      <c r="C30" s="93" t="str">
        <f t="shared" si="6"/>
        <v>9조 - Non-Buffered Event Based - Deployability</v>
      </c>
      <c r="D30" s="91" t="s">
        <v>785</v>
      </c>
      <c r="E30" s="93" t="str">
        <f t="shared" si="7"/>
        <v>9조 - Buffered Message Based - Deployability</v>
      </c>
      <c r="F30" s="49"/>
      <c r="G30" s="49"/>
    </row>
    <row r="31" ht="16.5" customHeight="1">
      <c r="A31" s="42" t="s">
        <v>80</v>
      </c>
      <c r="B31" s="91" t="s">
        <v>785</v>
      </c>
      <c r="C31" s="93" t="str">
        <f t="shared" si="6"/>
        <v>9조 - Non-Buffered Event Based - Integrability</v>
      </c>
      <c r="D31" s="91" t="s">
        <v>785</v>
      </c>
      <c r="E31" s="93" t="str">
        <f t="shared" si="7"/>
        <v>9조 - Buffered Message Based - Integrability</v>
      </c>
      <c r="F31" s="49"/>
      <c r="G31" s="49"/>
    </row>
    <row r="32" ht="16.5" customHeight="1">
      <c r="A32" s="42" t="s">
        <v>117</v>
      </c>
      <c r="B32" s="91" t="s">
        <v>785</v>
      </c>
      <c r="C32" s="93" t="str">
        <f t="shared" si="6"/>
        <v>9조 - Non-Buffered Event Based - Energy Efficiency</v>
      </c>
      <c r="D32" s="91" t="s">
        <v>785</v>
      </c>
      <c r="E32" s="93" t="str">
        <f t="shared" si="7"/>
        <v>9조 - Buffered Message Based - Energy Efficiency</v>
      </c>
      <c r="F32" s="49"/>
      <c r="G32" s="49"/>
    </row>
    <row r="33" ht="16.5" customHeight="1">
      <c r="A33" s="42" t="s">
        <v>151</v>
      </c>
      <c r="B33" s="91" t="s">
        <v>785</v>
      </c>
      <c r="C33" s="93" t="str">
        <f t="shared" si="6"/>
        <v>9조 - Non-Buffered Event Based - Modifiability</v>
      </c>
      <c r="D33" s="91" t="s">
        <v>785</v>
      </c>
      <c r="E33" s="93" t="str">
        <f t="shared" si="7"/>
        <v>9조 - Buffered Message Based - Modifiability</v>
      </c>
      <c r="F33" s="49"/>
      <c r="G33" s="49"/>
    </row>
    <row r="34" ht="16.5" customHeight="1">
      <c r="A34" s="42" t="s">
        <v>186</v>
      </c>
      <c r="B34" s="91" t="s">
        <v>785</v>
      </c>
      <c r="C34" s="93" t="str">
        <f t="shared" si="6"/>
        <v>9조 - Non-Buffered Event Based - Performance</v>
      </c>
      <c r="D34" s="91" t="s">
        <v>785</v>
      </c>
      <c r="E34" s="93" t="str">
        <f t="shared" si="7"/>
        <v>9조 - Buffered Message Based - Performance</v>
      </c>
      <c r="F34" s="49"/>
      <c r="G34" s="49"/>
    </row>
    <row r="35" ht="16.5" customHeight="1">
      <c r="A35" s="42" t="s">
        <v>221</v>
      </c>
      <c r="B35" s="91" t="s">
        <v>785</v>
      </c>
      <c r="C35" s="93" t="str">
        <f t="shared" si="6"/>
        <v>9조 - Non-Buffered Event Based - Safety</v>
      </c>
      <c r="D35" s="91" t="s">
        <v>785</v>
      </c>
      <c r="E35" s="93" t="str">
        <f t="shared" si="7"/>
        <v>9조 - Buffered Message Based - Safety</v>
      </c>
      <c r="F35" s="49"/>
      <c r="G35" s="49"/>
    </row>
    <row r="36" ht="16.5" customHeight="1">
      <c r="A36" s="42" t="s">
        <v>261</v>
      </c>
      <c r="B36" s="91" t="s">
        <v>785</v>
      </c>
      <c r="C36" s="93" t="str">
        <f t="shared" si="6"/>
        <v>9조 - Non-Buffered Event Based - Security</v>
      </c>
      <c r="D36" s="91" t="s">
        <v>785</v>
      </c>
      <c r="E36" s="93" t="str">
        <f t="shared" si="7"/>
        <v>9조 - Buffered Message Based - Security</v>
      </c>
      <c r="F36" s="49"/>
      <c r="G36" s="49"/>
    </row>
    <row r="37" ht="16.5" customHeight="1">
      <c r="A37" s="42" t="s">
        <v>310</v>
      </c>
      <c r="B37" s="91" t="s">
        <v>785</v>
      </c>
      <c r="C37" s="93" t="str">
        <f t="shared" si="6"/>
        <v>9조 - Non-Buffered Event Based - Testability</v>
      </c>
      <c r="D37" s="91" t="s">
        <v>785</v>
      </c>
      <c r="E37" s="93" t="str">
        <f t="shared" si="7"/>
        <v>9조 - Buffered Message Based - Testability</v>
      </c>
      <c r="F37" s="49"/>
      <c r="G37" s="49"/>
    </row>
    <row r="38" ht="16.5" customHeight="1">
      <c r="A38" s="42" t="s">
        <v>346</v>
      </c>
      <c r="B38" s="91" t="s">
        <v>785</v>
      </c>
      <c r="C38" s="93" t="str">
        <f t="shared" si="6"/>
        <v>9조 - Non-Buffered Event Based - Usability</v>
      </c>
      <c r="D38" s="91" t="s">
        <v>785</v>
      </c>
      <c r="E38" s="93" t="str">
        <f t="shared" si="7"/>
        <v>9조 - Buffered Message Based - Usability</v>
      </c>
      <c r="F38" s="49"/>
      <c r="G38" s="49"/>
    </row>
    <row r="39" ht="16.5" customHeight="1">
      <c r="A39" s="49"/>
      <c r="B39" s="56" t="s">
        <v>785</v>
      </c>
      <c r="C39" s="56" t="s">
        <v>785</v>
      </c>
      <c r="D39" s="56" t="s">
        <v>785</v>
      </c>
      <c r="E39" s="56" t="s">
        <v>785</v>
      </c>
      <c r="F39" s="49"/>
      <c r="G39" s="49"/>
    </row>
    <row r="40" ht="16.5" customHeight="1">
      <c r="A40" s="50" t="s">
        <v>7</v>
      </c>
      <c r="B40" s="80" t="s">
        <v>10</v>
      </c>
      <c r="C40" s="30"/>
      <c r="D40" s="80" t="s">
        <v>13</v>
      </c>
      <c r="E40" s="30"/>
      <c r="F40" s="49"/>
      <c r="G40" s="49"/>
      <c r="H40" s="49"/>
    </row>
    <row r="41" ht="16.5" customHeight="1">
      <c r="A41" s="53"/>
      <c r="B41" s="41" t="s">
        <v>11</v>
      </c>
      <c r="C41" s="41" t="s">
        <v>12</v>
      </c>
      <c r="D41" s="41" t="s">
        <v>11</v>
      </c>
      <c r="E41" s="41" t="s">
        <v>12</v>
      </c>
      <c r="F41" s="49"/>
      <c r="G41" s="49"/>
      <c r="H41" s="49"/>
      <c r="I41" s="54"/>
    </row>
    <row r="42" ht="16.5" customHeight="1">
      <c r="A42" s="42" t="s">
        <v>14</v>
      </c>
      <c r="B42" s="91" t="s">
        <v>785</v>
      </c>
      <c r="C42" s="93" t="str">
        <f t="shared" ref="C42:C51" si="8">"9조" &amp; " - " &amp; B$40 &amp; " - " &amp; $A42</f>
        <v>9조 - MVC - Availability</v>
      </c>
      <c r="D42" s="91" t="s">
        <v>785</v>
      </c>
      <c r="E42" s="93" t="str">
        <f t="shared" ref="E42:E51" si="9">"9조" &amp; " - " &amp; D$40 &amp; " - " &amp; $A42</f>
        <v>9조 - PAC - Availability</v>
      </c>
      <c r="F42" s="49"/>
      <c r="G42" s="49"/>
      <c r="H42" s="49"/>
    </row>
    <row r="43" ht="16.5" customHeight="1">
      <c r="A43" s="42" t="s">
        <v>47</v>
      </c>
      <c r="B43" s="91" t="s">
        <v>785</v>
      </c>
      <c r="C43" s="93" t="str">
        <f t="shared" si="8"/>
        <v>9조 - MVC - Deployability</v>
      </c>
      <c r="D43" s="91" t="s">
        <v>785</v>
      </c>
      <c r="E43" s="93" t="str">
        <f t="shared" si="9"/>
        <v>9조 - PAC - Deployability</v>
      </c>
      <c r="F43" s="49"/>
      <c r="G43" s="49"/>
      <c r="H43" s="49"/>
    </row>
    <row r="44" ht="16.5" customHeight="1">
      <c r="A44" s="42" t="s">
        <v>80</v>
      </c>
      <c r="B44" s="91" t="s">
        <v>785</v>
      </c>
      <c r="C44" s="93" t="str">
        <f t="shared" si="8"/>
        <v>9조 - MVC - Integrability</v>
      </c>
      <c r="D44" s="91" t="s">
        <v>785</v>
      </c>
      <c r="E44" s="93" t="str">
        <f t="shared" si="9"/>
        <v>9조 - PAC - Integrability</v>
      </c>
      <c r="F44" s="49"/>
      <c r="G44" s="49"/>
      <c r="H44" s="49"/>
    </row>
    <row r="45" ht="16.5" customHeight="1">
      <c r="A45" s="42" t="s">
        <v>117</v>
      </c>
      <c r="B45" s="91" t="s">
        <v>785</v>
      </c>
      <c r="C45" s="93" t="str">
        <f t="shared" si="8"/>
        <v>9조 - MVC - Energy Efficiency</v>
      </c>
      <c r="D45" s="91" t="s">
        <v>785</v>
      </c>
      <c r="E45" s="93" t="str">
        <f t="shared" si="9"/>
        <v>9조 - PAC - Energy Efficiency</v>
      </c>
      <c r="F45" s="49"/>
      <c r="G45" s="49"/>
      <c r="H45" s="49"/>
    </row>
    <row r="46" ht="16.5" customHeight="1">
      <c r="A46" s="42" t="s">
        <v>151</v>
      </c>
      <c r="B46" s="91" t="s">
        <v>785</v>
      </c>
      <c r="C46" s="93" t="str">
        <f t="shared" si="8"/>
        <v>9조 - MVC - Modifiability</v>
      </c>
      <c r="D46" s="91" t="s">
        <v>785</v>
      </c>
      <c r="E46" s="93" t="str">
        <f t="shared" si="9"/>
        <v>9조 - PAC - Modifiability</v>
      </c>
      <c r="F46" s="49"/>
      <c r="G46" s="49"/>
      <c r="H46" s="49"/>
    </row>
    <row r="47" ht="16.5" customHeight="1">
      <c r="A47" s="42" t="s">
        <v>186</v>
      </c>
      <c r="B47" s="91" t="s">
        <v>785</v>
      </c>
      <c r="C47" s="93" t="str">
        <f t="shared" si="8"/>
        <v>9조 - MVC - Performance</v>
      </c>
      <c r="D47" s="91" t="s">
        <v>785</v>
      </c>
      <c r="E47" s="93" t="str">
        <f t="shared" si="9"/>
        <v>9조 - PAC - Performance</v>
      </c>
      <c r="F47" s="49"/>
      <c r="G47" s="49"/>
      <c r="H47" s="49"/>
    </row>
    <row r="48" ht="16.5" customHeight="1">
      <c r="A48" s="42" t="s">
        <v>221</v>
      </c>
      <c r="B48" s="91" t="s">
        <v>785</v>
      </c>
      <c r="C48" s="93" t="str">
        <f t="shared" si="8"/>
        <v>9조 - MVC - Safety</v>
      </c>
      <c r="D48" s="91" t="s">
        <v>785</v>
      </c>
      <c r="E48" s="93" t="str">
        <f t="shared" si="9"/>
        <v>9조 - PAC - Safety</v>
      </c>
      <c r="F48" s="49"/>
      <c r="G48" s="49"/>
      <c r="H48" s="49"/>
    </row>
    <row r="49" ht="16.5" customHeight="1">
      <c r="A49" s="42" t="s">
        <v>261</v>
      </c>
      <c r="B49" s="91" t="s">
        <v>785</v>
      </c>
      <c r="C49" s="93" t="str">
        <f t="shared" si="8"/>
        <v>9조 - MVC - Security</v>
      </c>
      <c r="D49" s="91" t="s">
        <v>785</v>
      </c>
      <c r="E49" s="93" t="str">
        <f t="shared" si="9"/>
        <v>9조 - PAC - Security</v>
      </c>
      <c r="F49" s="49"/>
      <c r="G49" s="49"/>
      <c r="H49" s="49"/>
    </row>
    <row r="50" ht="16.5" customHeight="1">
      <c r="A50" s="42" t="s">
        <v>310</v>
      </c>
      <c r="B50" s="91" t="s">
        <v>785</v>
      </c>
      <c r="C50" s="93" t="str">
        <f t="shared" si="8"/>
        <v>9조 - MVC - Testability</v>
      </c>
      <c r="D50" s="91" t="s">
        <v>785</v>
      </c>
      <c r="E50" s="93" t="str">
        <f t="shared" si="9"/>
        <v>9조 - PAC - Testability</v>
      </c>
      <c r="F50" s="49"/>
      <c r="G50" s="56" t="s">
        <v>785</v>
      </c>
      <c r="H50" s="49"/>
      <c r="I50" s="55"/>
    </row>
    <row r="51" ht="16.5" customHeight="1">
      <c r="A51" s="42" t="s">
        <v>346</v>
      </c>
      <c r="B51" s="91" t="s">
        <v>785</v>
      </c>
      <c r="C51" s="93" t="str">
        <f t="shared" si="8"/>
        <v>9조 - MVC - Usability</v>
      </c>
      <c r="D51" s="91" t="s">
        <v>785</v>
      </c>
      <c r="E51" s="93" t="str">
        <f t="shared" si="9"/>
        <v>9조 - PAC - Usability</v>
      </c>
      <c r="F51" s="49"/>
      <c r="G51" s="56" t="s">
        <v>785</v>
      </c>
      <c r="H51" s="49"/>
      <c r="I51" s="54"/>
    </row>
    <row r="52" ht="16.5" customHeight="1">
      <c r="A52" s="49"/>
      <c r="B52" s="56" t="s">
        <v>785</v>
      </c>
      <c r="C52" s="49"/>
      <c r="D52" s="56" t="s">
        <v>785</v>
      </c>
      <c r="E52" s="49"/>
      <c r="F52" s="49"/>
      <c r="G52" s="49"/>
    </row>
    <row r="53" ht="16.5" customHeight="1">
      <c r="A53" s="50" t="s">
        <v>413</v>
      </c>
      <c r="B53" s="85" t="s">
        <v>414</v>
      </c>
      <c r="C53" s="30"/>
      <c r="D53" s="85" t="s">
        <v>415</v>
      </c>
      <c r="E53" s="30"/>
      <c r="F53" s="49"/>
      <c r="G53" s="56" t="s">
        <v>785</v>
      </c>
      <c r="H53" s="49"/>
    </row>
    <row r="54" ht="16.5" customHeight="1">
      <c r="A54" s="53"/>
      <c r="B54" s="41" t="s">
        <v>11</v>
      </c>
      <c r="C54" s="58" t="s">
        <v>12</v>
      </c>
      <c r="D54" s="41" t="s">
        <v>11</v>
      </c>
      <c r="E54" s="58" t="s">
        <v>12</v>
      </c>
      <c r="F54" s="49"/>
      <c r="G54" s="56" t="s">
        <v>785</v>
      </c>
      <c r="H54" s="49"/>
    </row>
    <row r="55" ht="16.5" customHeight="1">
      <c r="A55" s="42" t="s">
        <v>14</v>
      </c>
      <c r="B55" s="91" t="s">
        <v>785</v>
      </c>
      <c r="C55" s="93" t="str">
        <f t="shared" ref="C55:C64" si="10">"9조" &amp; " - " &amp; B$53 &amp; " - " &amp; $A55</f>
        <v>9조 - Main-subroutine - Availability</v>
      </c>
      <c r="D55" s="91" t="s">
        <v>785</v>
      </c>
      <c r="E55" s="93" t="str">
        <f t="shared" ref="E55:E64" si="11">"9조" &amp; " - " &amp; D$53 &amp; " - " &amp; $A55</f>
        <v>9조 - Master-Slave - Availability</v>
      </c>
      <c r="F55" s="49"/>
      <c r="G55" s="56" t="s">
        <v>785</v>
      </c>
      <c r="H55" s="49"/>
    </row>
    <row r="56" ht="16.5" customHeight="1">
      <c r="A56" s="42" t="s">
        <v>47</v>
      </c>
      <c r="B56" s="91" t="s">
        <v>785</v>
      </c>
      <c r="C56" s="104" t="str">
        <f t="shared" si="10"/>
        <v>9조 - Main-subroutine - Deployability</v>
      </c>
      <c r="D56" s="91" t="s">
        <v>785</v>
      </c>
      <c r="E56" s="93" t="str">
        <f t="shared" si="11"/>
        <v>9조 - Master-Slave - Deployability</v>
      </c>
      <c r="F56" s="49"/>
      <c r="G56" s="56" t="s">
        <v>785</v>
      </c>
      <c r="H56" s="49"/>
    </row>
    <row r="57" ht="16.5" customHeight="1">
      <c r="A57" s="42" t="s">
        <v>80</v>
      </c>
      <c r="B57" s="91" t="s">
        <v>785</v>
      </c>
      <c r="C57" s="93" t="str">
        <f t="shared" si="10"/>
        <v>9조 - Main-subroutine - Integrability</v>
      </c>
      <c r="D57" s="91" t="s">
        <v>785</v>
      </c>
      <c r="E57" s="93" t="str">
        <f t="shared" si="11"/>
        <v>9조 - Master-Slave - Integrability</v>
      </c>
      <c r="F57" s="49"/>
      <c r="G57" s="56" t="s">
        <v>785</v>
      </c>
      <c r="H57" s="49"/>
    </row>
    <row r="58" ht="16.5" customHeight="1">
      <c r="A58" s="42" t="s">
        <v>117</v>
      </c>
      <c r="B58" s="91" t="s">
        <v>785</v>
      </c>
      <c r="C58" s="93" t="str">
        <f t="shared" si="10"/>
        <v>9조 - Main-subroutine - Energy Efficiency</v>
      </c>
      <c r="D58" s="91" t="s">
        <v>785</v>
      </c>
      <c r="E58" s="93" t="str">
        <f t="shared" si="11"/>
        <v>9조 - Master-Slave - Energy Efficiency</v>
      </c>
      <c r="F58" s="49"/>
      <c r="G58" s="56" t="s">
        <v>785</v>
      </c>
      <c r="H58" s="49"/>
    </row>
    <row r="59" ht="16.5" customHeight="1">
      <c r="A59" s="42" t="s">
        <v>151</v>
      </c>
      <c r="B59" s="91" t="s">
        <v>785</v>
      </c>
      <c r="C59" s="93" t="str">
        <f t="shared" si="10"/>
        <v>9조 - Main-subroutine - Modifiability</v>
      </c>
      <c r="D59" s="91" t="s">
        <v>785</v>
      </c>
      <c r="E59" s="93" t="str">
        <f t="shared" si="11"/>
        <v>9조 - Master-Slave - Modifiability</v>
      </c>
      <c r="F59" s="49"/>
      <c r="G59" s="56" t="s">
        <v>785</v>
      </c>
      <c r="H59" s="49"/>
    </row>
    <row r="60" ht="16.5" customHeight="1">
      <c r="A60" s="42" t="s">
        <v>186</v>
      </c>
      <c r="B60" s="91" t="s">
        <v>785</v>
      </c>
      <c r="C60" s="93" t="str">
        <f t="shared" si="10"/>
        <v>9조 - Main-subroutine - Performance</v>
      </c>
      <c r="D60" s="91" t="s">
        <v>785</v>
      </c>
      <c r="E60" s="93" t="str">
        <f t="shared" si="11"/>
        <v>9조 - Master-Slave - Performance</v>
      </c>
      <c r="F60" s="49"/>
      <c r="G60" s="56" t="s">
        <v>785</v>
      </c>
      <c r="H60" s="49"/>
      <c r="I60" s="55"/>
    </row>
    <row r="61" ht="16.5" customHeight="1">
      <c r="A61" s="42" t="s">
        <v>221</v>
      </c>
      <c r="B61" s="91" t="s">
        <v>785</v>
      </c>
      <c r="C61" s="93" t="str">
        <f t="shared" si="10"/>
        <v>9조 - Main-subroutine - Safety</v>
      </c>
      <c r="D61" s="91" t="s">
        <v>785</v>
      </c>
      <c r="E61" s="93" t="str">
        <f t="shared" si="11"/>
        <v>9조 - Master-Slave - Safety</v>
      </c>
      <c r="F61" s="49"/>
      <c r="G61" s="56" t="s">
        <v>785</v>
      </c>
      <c r="H61" s="49"/>
      <c r="I61" s="54"/>
    </row>
    <row r="62" ht="16.5" customHeight="1">
      <c r="A62" s="42" t="s">
        <v>261</v>
      </c>
      <c r="B62" s="91" t="s">
        <v>785</v>
      </c>
      <c r="C62" s="93" t="str">
        <f t="shared" si="10"/>
        <v>9조 - Main-subroutine - Security</v>
      </c>
      <c r="D62" s="91" t="s">
        <v>785</v>
      </c>
      <c r="E62" s="93" t="str">
        <f t="shared" si="11"/>
        <v>9조 - Master-Slave - Security</v>
      </c>
      <c r="F62" s="49"/>
      <c r="G62" s="56" t="s">
        <v>785</v>
      </c>
      <c r="H62" s="49"/>
    </row>
    <row r="63" ht="16.5" customHeight="1">
      <c r="A63" s="42" t="s">
        <v>310</v>
      </c>
      <c r="B63" s="91" t="s">
        <v>785</v>
      </c>
      <c r="C63" s="93" t="str">
        <f t="shared" si="10"/>
        <v>9조 - Main-subroutine - Testability</v>
      </c>
      <c r="D63" s="91" t="s">
        <v>785</v>
      </c>
      <c r="E63" s="93" t="str">
        <f t="shared" si="11"/>
        <v>9조 - Master-Slave - Testability</v>
      </c>
      <c r="F63" s="49"/>
      <c r="G63" s="56" t="s">
        <v>785</v>
      </c>
      <c r="H63" s="49"/>
    </row>
    <row r="64" ht="16.5" customHeight="1">
      <c r="A64" s="42" t="s">
        <v>346</v>
      </c>
      <c r="B64" s="91" t="s">
        <v>785</v>
      </c>
      <c r="C64" s="93" t="str">
        <f t="shared" si="10"/>
        <v>9조 - Main-subroutine - Usability</v>
      </c>
      <c r="D64" s="91" t="s">
        <v>785</v>
      </c>
      <c r="E64" s="93" t="str">
        <f t="shared" si="11"/>
        <v>9조 - Master-Slave - Usability</v>
      </c>
      <c r="F64" s="49"/>
      <c r="G64" s="56" t="s">
        <v>785</v>
      </c>
      <c r="H64" s="49"/>
    </row>
    <row r="65" ht="16.5" customHeight="1">
      <c r="A65" s="49"/>
      <c r="B65" s="56" t="s">
        <v>785</v>
      </c>
      <c r="C65" s="56" t="s">
        <v>785</v>
      </c>
      <c r="D65" s="56" t="s">
        <v>785</v>
      </c>
      <c r="E65" s="56" t="s">
        <v>785</v>
      </c>
      <c r="F65" s="49"/>
      <c r="G65" s="56" t="s">
        <v>785</v>
      </c>
      <c r="H65" s="49"/>
    </row>
    <row r="66" ht="16.5" customHeight="1">
      <c r="A66" s="50" t="s">
        <v>413</v>
      </c>
      <c r="B66" s="85" t="s">
        <v>420</v>
      </c>
      <c r="C66" s="30"/>
      <c r="D66" s="85" t="s">
        <v>421</v>
      </c>
      <c r="E66" s="30"/>
      <c r="F66" s="85" t="s">
        <v>422</v>
      </c>
      <c r="G66" s="30"/>
      <c r="H66" s="49"/>
    </row>
    <row r="67" ht="16.5" customHeight="1">
      <c r="A67" s="53"/>
      <c r="B67" s="41" t="s">
        <v>11</v>
      </c>
      <c r="C67" s="58" t="s">
        <v>12</v>
      </c>
      <c r="D67" s="41" t="s">
        <v>11</v>
      </c>
      <c r="E67" s="58" t="s">
        <v>12</v>
      </c>
      <c r="F67" s="41" t="s">
        <v>11</v>
      </c>
      <c r="G67" s="58" t="s">
        <v>12</v>
      </c>
      <c r="H67" s="49"/>
    </row>
    <row r="68" ht="16.5" customHeight="1">
      <c r="A68" s="42" t="s">
        <v>14</v>
      </c>
      <c r="B68" s="91" t="s">
        <v>785</v>
      </c>
      <c r="C68" s="93" t="str">
        <f t="shared" ref="C68:C77" si="12">"9조" &amp; " - " &amp; B$66 &amp; " - " &amp; $A68</f>
        <v>9조 - Layered - Availability</v>
      </c>
      <c r="D68" s="91" t="s">
        <v>785</v>
      </c>
      <c r="E68" s="93" t="str">
        <f t="shared" ref="E68:E77" si="13">"9조" &amp; " - " &amp; D$66 &amp; " - " &amp; $A68</f>
        <v>9조 - Virtual Machine - Availability</v>
      </c>
      <c r="F68" s="91" t="s">
        <v>785</v>
      </c>
      <c r="G68" s="93" t="str">
        <f t="shared" ref="G68:G77" si="14">"9조" &amp; " - " &amp; F$66 &amp; " - " &amp; $A68</f>
        <v>9조 - Microkernel - Availability</v>
      </c>
      <c r="H68" s="49"/>
    </row>
    <row r="69" ht="16.5" customHeight="1">
      <c r="A69" s="42" t="s">
        <v>47</v>
      </c>
      <c r="B69" s="91" t="s">
        <v>785</v>
      </c>
      <c r="C69" s="93" t="str">
        <f t="shared" si="12"/>
        <v>9조 - Layered - Deployability</v>
      </c>
      <c r="D69" s="91" t="s">
        <v>785</v>
      </c>
      <c r="E69" s="104" t="str">
        <f t="shared" si="13"/>
        <v>9조 - Virtual Machine - Deployability</v>
      </c>
      <c r="F69" s="91" t="s">
        <v>785</v>
      </c>
      <c r="G69" s="93" t="str">
        <f t="shared" si="14"/>
        <v>9조 - Microkernel - Deployability</v>
      </c>
      <c r="H69" s="49"/>
    </row>
    <row r="70" ht="16.5" customHeight="1">
      <c r="A70" s="42" t="s">
        <v>80</v>
      </c>
      <c r="B70" s="91" t="s">
        <v>785</v>
      </c>
      <c r="C70" s="93" t="str">
        <f t="shared" si="12"/>
        <v>9조 - Layered - Integrability</v>
      </c>
      <c r="D70" s="91" t="s">
        <v>785</v>
      </c>
      <c r="E70" s="93" t="str">
        <f t="shared" si="13"/>
        <v>9조 - Virtual Machine - Integrability</v>
      </c>
      <c r="F70" s="91" t="s">
        <v>785</v>
      </c>
      <c r="G70" s="93" t="str">
        <f t="shared" si="14"/>
        <v>9조 - Microkernel - Integrability</v>
      </c>
      <c r="H70" s="49"/>
    </row>
    <row r="71" ht="16.5" customHeight="1">
      <c r="A71" s="42" t="s">
        <v>117</v>
      </c>
      <c r="B71" s="91" t="s">
        <v>785</v>
      </c>
      <c r="C71" s="93" t="str">
        <f t="shared" si="12"/>
        <v>9조 - Layered - Energy Efficiency</v>
      </c>
      <c r="D71" s="91" t="s">
        <v>785</v>
      </c>
      <c r="E71" s="93" t="str">
        <f t="shared" si="13"/>
        <v>9조 - Virtual Machine - Energy Efficiency</v>
      </c>
      <c r="F71" s="91" t="s">
        <v>785</v>
      </c>
      <c r="G71" s="93" t="str">
        <f t="shared" si="14"/>
        <v>9조 - Microkernel - Energy Efficiency</v>
      </c>
      <c r="H71" s="49"/>
    </row>
    <row r="72" ht="16.5" customHeight="1">
      <c r="A72" s="42" t="s">
        <v>151</v>
      </c>
      <c r="B72" s="91" t="s">
        <v>785</v>
      </c>
      <c r="C72" s="93" t="str">
        <f t="shared" si="12"/>
        <v>9조 - Layered - Modifiability</v>
      </c>
      <c r="D72" s="91" t="s">
        <v>785</v>
      </c>
      <c r="E72" s="93" t="str">
        <f t="shared" si="13"/>
        <v>9조 - Virtual Machine - Modifiability</v>
      </c>
      <c r="F72" s="91" t="s">
        <v>785</v>
      </c>
      <c r="G72" s="93" t="str">
        <f t="shared" si="14"/>
        <v>9조 - Microkernel - Modifiability</v>
      </c>
      <c r="H72" s="49"/>
    </row>
    <row r="73" ht="16.5" customHeight="1">
      <c r="A73" s="42" t="s">
        <v>186</v>
      </c>
      <c r="B73" s="91" t="s">
        <v>785</v>
      </c>
      <c r="C73" s="93" t="str">
        <f t="shared" si="12"/>
        <v>9조 - Layered - Performance</v>
      </c>
      <c r="D73" s="91" t="s">
        <v>785</v>
      </c>
      <c r="E73" s="93" t="str">
        <f t="shared" si="13"/>
        <v>9조 - Virtual Machine - Performance</v>
      </c>
      <c r="F73" s="91" t="s">
        <v>785</v>
      </c>
      <c r="G73" s="93" t="str">
        <f t="shared" si="14"/>
        <v>9조 - Microkernel - Performance</v>
      </c>
      <c r="H73" s="49"/>
    </row>
    <row r="74" ht="16.5" customHeight="1">
      <c r="A74" s="42" t="s">
        <v>221</v>
      </c>
      <c r="B74" s="91" t="s">
        <v>785</v>
      </c>
      <c r="C74" s="93" t="str">
        <f t="shared" si="12"/>
        <v>9조 - Layered - Safety</v>
      </c>
      <c r="D74" s="91" t="s">
        <v>785</v>
      </c>
      <c r="E74" s="93" t="str">
        <f t="shared" si="13"/>
        <v>9조 - Virtual Machine - Safety</v>
      </c>
      <c r="F74" s="91" t="s">
        <v>785</v>
      </c>
      <c r="G74" s="93" t="str">
        <f t="shared" si="14"/>
        <v>9조 - Microkernel - Safety</v>
      </c>
    </row>
    <row r="75" ht="16.5" customHeight="1">
      <c r="A75" s="42" t="s">
        <v>261</v>
      </c>
      <c r="B75" s="91" t="s">
        <v>785</v>
      </c>
      <c r="C75" s="93" t="str">
        <f t="shared" si="12"/>
        <v>9조 - Layered - Security</v>
      </c>
      <c r="D75" s="91" t="s">
        <v>785</v>
      </c>
      <c r="E75" s="93" t="str">
        <f t="shared" si="13"/>
        <v>9조 - Virtual Machine - Security</v>
      </c>
      <c r="F75" s="91" t="s">
        <v>785</v>
      </c>
      <c r="G75" s="93" t="str">
        <f t="shared" si="14"/>
        <v>9조 - Microkernel - Security</v>
      </c>
    </row>
    <row r="76" ht="16.5" customHeight="1">
      <c r="A76" s="42" t="s">
        <v>310</v>
      </c>
      <c r="B76" s="91" t="s">
        <v>785</v>
      </c>
      <c r="C76" s="93" t="str">
        <f t="shared" si="12"/>
        <v>9조 - Layered - Testability</v>
      </c>
      <c r="D76" s="91" t="s">
        <v>785</v>
      </c>
      <c r="E76" s="93" t="str">
        <f t="shared" si="13"/>
        <v>9조 - Virtual Machine - Testability</v>
      </c>
      <c r="F76" s="91" t="s">
        <v>785</v>
      </c>
      <c r="G76" s="93" t="str">
        <f t="shared" si="14"/>
        <v>9조 - Microkernel - Testability</v>
      </c>
    </row>
    <row r="77" ht="16.5" customHeight="1">
      <c r="A77" s="42" t="s">
        <v>346</v>
      </c>
      <c r="B77" s="91" t="s">
        <v>785</v>
      </c>
      <c r="C77" s="93" t="str">
        <f t="shared" si="12"/>
        <v>9조 - Layered - Usability</v>
      </c>
      <c r="D77" s="91" t="s">
        <v>785</v>
      </c>
      <c r="E77" s="93" t="str">
        <f t="shared" si="13"/>
        <v>9조 - Virtual Machine - Usability</v>
      </c>
      <c r="F77" s="91" t="s">
        <v>785</v>
      </c>
      <c r="G77" s="93" t="str">
        <f t="shared" si="14"/>
        <v>9조 - Microkernel - Usability</v>
      </c>
    </row>
    <row r="78" ht="16.5" customHeight="1">
      <c r="A78" s="49"/>
      <c r="B78" s="56" t="s">
        <v>785</v>
      </c>
      <c r="C78" s="56" t="s">
        <v>785</v>
      </c>
      <c r="D78" s="56" t="s">
        <v>785</v>
      </c>
      <c r="E78" s="56" t="s">
        <v>785</v>
      </c>
      <c r="F78" s="56" t="s">
        <v>785</v>
      </c>
      <c r="G78" s="56" t="s">
        <v>785</v>
      </c>
    </row>
    <row r="79" ht="16.5" customHeight="1">
      <c r="A79" s="39" t="s">
        <v>493</v>
      </c>
      <c r="B79" s="85" t="s">
        <v>672</v>
      </c>
      <c r="C79" s="30"/>
      <c r="D79" s="85" t="s">
        <v>495</v>
      </c>
      <c r="E79" s="30"/>
    </row>
    <row r="80" ht="16.5" customHeight="1">
      <c r="A80" s="31"/>
      <c r="B80" s="41" t="s">
        <v>11</v>
      </c>
      <c r="C80" s="41" t="s">
        <v>12</v>
      </c>
      <c r="D80" s="41" t="s">
        <v>11</v>
      </c>
      <c r="E80" s="41" t="s">
        <v>12</v>
      </c>
    </row>
    <row r="81" ht="16.5" customHeight="1">
      <c r="A81" s="42" t="s">
        <v>14</v>
      </c>
      <c r="B81" s="91" t="s">
        <v>785</v>
      </c>
      <c r="C81" s="93" t="str">
        <f t="shared" ref="C81:C90" si="15">"9조" &amp; " - " &amp; B$79 &amp; " - " &amp; $A81</f>
        <v>9조 - Multi-tier - Availability</v>
      </c>
      <c r="D81" s="91" t="s">
        <v>785</v>
      </c>
      <c r="E81" s="93" t="str">
        <f t="shared" ref="E81:E90" si="16">"9조" &amp; " - " &amp; D$79 &amp; " - " &amp; $A81</f>
        <v>9조 - Client-Server - Availability</v>
      </c>
    </row>
    <row r="82" ht="16.5" customHeight="1">
      <c r="A82" s="42" t="s">
        <v>47</v>
      </c>
      <c r="B82" s="91" t="s">
        <v>785</v>
      </c>
      <c r="C82" s="93" t="str">
        <f t="shared" si="15"/>
        <v>9조 - Multi-tier - Deployability</v>
      </c>
      <c r="D82" s="91" t="s">
        <v>785</v>
      </c>
      <c r="E82" s="93" t="str">
        <f t="shared" si="16"/>
        <v>9조 - Client-Server - Deployability</v>
      </c>
    </row>
    <row r="83" ht="16.5" customHeight="1">
      <c r="A83" s="42" t="s">
        <v>80</v>
      </c>
      <c r="B83" s="91" t="s">
        <v>785</v>
      </c>
      <c r="C83" s="93" t="str">
        <f t="shared" si="15"/>
        <v>9조 - Multi-tier - Integrability</v>
      </c>
      <c r="D83" s="91" t="s">
        <v>785</v>
      </c>
      <c r="E83" s="93" t="str">
        <f t="shared" si="16"/>
        <v>9조 - Client-Server - Integrability</v>
      </c>
    </row>
    <row r="84" ht="16.5" customHeight="1">
      <c r="A84" s="42" t="s">
        <v>117</v>
      </c>
      <c r="B84" s="91" t="s">
        <v>785</v>
      </c>
      <c r="C84" s="93" t="str">
        <f t="shared" si="15"/>
        <v>9조 - Multi-tier - Energy Efficiency</v>
      </c>
      <c r="D84" s="91" t="s">
        <v>785</v>
      </c>
      <c r="E84" s="93" t="str">
        <f t="shared" si="16"/>
        <v>9조 - Client-Server - Energy Efficiency</v>
      </c>
    </row>
    <row r="85" ht="16.5" customHeight="1">
      <c r="A85" s="42" t="s">
        <v>151</v>
      </c>
      <c r="B85" s="91" t="s">
        <v>785</v>
      </c>
      <c r="C85" s="93" t="str">
        <f t="shared" si="15"/>
        <v>9조 - Multi-tier - Modifiability</v>
      </c>
      <c r="D85" s="91" t="s">
        <v>785</v>
      </c>
      <c r="E85" s="93" t="str">
        <f t="shared" si="16"/>
        <v>9조 - Client-Server - Modifiability</v>
      </c>
    </row>
    <row r="86" ht="16.5" customHeight="1">
      <c r="A86" s="42" t="s">
        <v>186</v>
      </c>
      <c r="B86" s="91" t="s">
        <v>785</v>
      </c>
      <c r="C86" s="93" t="str">
        <f t="shared" si="15"/>
        <v>9조 - Multi-tier - Performance</v>
      </c>
      <c r="D86" s="91" t="s">
        <v>785</v>
      </c>
      <c r="E86" s="93" t="str">
        <f t="shared" si="16"/>
        <v>9조 - Client-Server - Performance</v>
      </c>
    </row>
    <row r="87" ht="16.5" customHeight="1">
      <c r="A87" s="42" t="s">
        <v>221</v>
      </c>
      <c r="B87" s="91" t="s">
        <v>785</v>
      </c>
      <c r="C87" s="93" t="str">
        <f t="shared" si="15"/>
        <v>9조 - Multi-tier - Safety</v>
      </c>
      <c r="D87" s="91" t="s">
        <v>785</v>
      </c>
      <c r="E87" s="93" t="str">
        <f t="shared" si="16"/>
        <v>9조 - Client-Server - Safety</v>
      </c>
    </row>
    <row r="88" ht="16.5" customHeight="1">
      <c r="A88" s="42" t="s">
        <v>261</v>
      </c>
      <c r="B88" s="91" t="s">
        <v>785</v>
      </c>
      <c r="C88" s="93" t="str">
        <f t="shared" si="15"/>
        <v>9조 - Multi-tier - Security</v>
      </c>
      <c r="D88" s="91" t="s">
        <v>785</v>
      </c>
      <c r="E88" s="93" t="str">
        <f t="shared" si="16"/>
        <v>9조 - Client-Server - Security</v>
      </c>
    </row>
    <row r="89" ht="16.5" customHeight="1">
      <c r="A89" s="42" t="s">
        <v>310</v>
      </c>
      <c r="B89" s="91" t="s">
        <v>785</v>
      </c>
      <c r="C89" s="93" t="str">
        <f t="shared" si="15"/>
        <v>9조 - Multi-tier - Testability</v>
      </c>
      <c r="D89" s="91" t="s">
        <v>785</v>
      </c>
      <c r="E89" s="93" t="str">
        <f t="shared" si="16"/>
        <v>9조 - Client-Server - Testability</v>
      </c>
    </row>
    <row r="90" ht="16.5" customHeight="1">
      <c r="A90" s="42" t="s">
        <v>346</v>
      </c>
      <c r="B90" s="91" t="s">
        <v>785</v>
      </c>
      <c r="C90" s="93" t="str">
        <f t="shared" si="15"/>
        <v>9조 - Multi-tier - Usability</v>
      </c>
      <c r="D90" s="91" t="s">
        <v>785</v>
      </c>
      <c r="E90" s="93" t="str">
        <f t="shared" si="16"/>
        <v>9조 - Client-Server - Usability</v>
      </c>
    </row>
    <row r="91" ht="16.5" customHeight="1">
      <c r="A91" s="49"/>
      <c r="B91" s="56" t="s">
        <v>785</v>
      </c>
      <c r="C91" s="49"/>
      <c r="D91" s="56" t="s">
        <v>785</v>
      </c>
      <c r="E91" s="49"/>
      <c r="F91" s="56" t="s">
        <v>785</v>
      </c>
      <c r="G91" s="49"/>
    </row>
    <row r="92" ht="16.5" customHeight="1">
      <c r="A92" s="39" t="s">
        <v>493</v>
      </c>
      <c r="B92" s="85" t="s">
        <v>550</v>
      </c>
      <c r="C92" s="30"/>
      <c r="D92" s="80" t="s">
        <v>551</v>
      </c>
      <c r="E92" s="30"/>
    </row>
    <row r="93" ht="16.5" customHeight="1">
      <c r="A93" s="31"/>
      <c r="B93" s="41" t="s">
        <v>11</v>
      </c>
      <c r="C93" s="41" t="s">
        <v>12</v>
      </c>
      <c r="D93" s="41" t="s">
        <v>11</v>
      </c>
      <c r="E93" s="41" t="s">
        <v>12</v>
      </c>
    </row>
    <row r="94" ht="16.5" customHeight="1">
      <c r="A94" s="42" t="s">
        <v>14</v>
      </c>
      <c r="B94" s="91" t="s">
        <v>785</v>
      </c>
      <c r="C94" s="93" t="str">
        <f t="shared" ref="C94:C103" si="17">"9조" &amp; " - " &amp; B$92 &amp; " - " &amp; $A94</f>
        <v>9조 - Broker - Availability</v>
      </c>
      <c r="D94" s="91" t="s">
        <v>785</v>
      </c>
      <c r="E94" s="93" t="str">
        <f t="shared" ref="E94:E103" si="18">"9조" &amp; " - " &amp; D$92 &amp; " - " &amp; $A94</f>
        <v>9조 - Dispatcher - Availability</v>
      </c>
    </row>
    <row r="95" ht="16.5" customHeight="1">
      <c r="A95" s="42" t="s">
        <v>47</v>
      </c>
      <c r="B95" s="91" t="s">
        <v>785</v>
      </c>
      <c r="C95" s="93" t="str">
        <f t="shared" si="17"/>
        <v>9조 - Broker - Deployability</v>
      </c>
      <c r="D95" s="91" t="s">
        <v>785</v>
      </c>
      <c r="E95" s="93" t="str">
        <f t="shared" si="18"/>
        <v>9조 - Dispatcher - Deployability</v>
      </c>
    </row>
    <row r="96" ht="16.5" customHeight="1">
      <c r="A96" s="42" t="s">
        <v>80</v>
      </c>
      <c r="B96" s="91" t="s">
        <v>785</v>
      </c>
      <c r="C96" s="93" t="str">
        <f t="shared" si="17"/>
        <v>9조 - Broker - Integrability</v>
      </c>
      <c r="D96" s="91" t="s">
        <v>785</v>
      </c>
      <c r="E96" s="93" t="str">
        <f t="shared" si="18"/>
        <v>9조 - Dispatcher - Integrability</v>
      </c>
    </row>
    <row r="97" ht="16.5" customHeight="1">
      <c r="A97" s="42" t="s">
        <v>117</v>
      </c>
      <c r="B97" s="91" t="s">
        <v>785</v>
      </c>
      <c r="C97" s="93" t="str">
        <f t="shared" si="17"/>
        <v>9조 - Broker - Energy Efficiency</v>
      </c>
      <c r="D97" s="91" t="s">
        <v>785</v>
      </c>
      <c r="E97" s="93" t="str">
        <f t="shared" si="18"/>
        <v>9조 - Dispatcher - Energy Efficiency</v>
      </c>
    </row>
    <row r="98" ht="16.5" customHeight="1">
      <c r="A98" s="42" t="s">
        <v>151</v>
      </c>
      <c r="B98" s="91" t="s">
        <v>785</v>
      </c>
      <c r="C98" s="93" t="str">
        <f t="shared" si="17"/>
        <v>9조 - Broker - Modifiability</v>
      </c>
      <c r="D98" s="91" t="s">
        <v>785</v>
      </c>
      <c r="E98" s="93" t="str">
        <f t="shared" si="18"/>
        <v>9조 - Dispatcher - Modifiability</v>
      </c>
    </row>
    <row r="99" ht="16.5" customHeight="1">
      <c r="A99" s="42" t="s">
        <v>186</v>
      </c>
      <c r="B99" s="91" t="s">
        <v>785</v>
      </c>
      <c r="C99" s="93" t="str">
        <f t="shared" si="17"/>
        <v>9조 - Broker - Performance</v>
      </c>
      <c r="D99" s="91" t="s">
        <v>785</v>
      </c>
      <c r="E99" s="93" t="str">
        <f t="shared" si="18"/>
        <v>9조 - Dispatcher - Performance</v>
      </c>
    </row>
    <row r="100" ht="16.5" customHeight="1">
      <c r="A100" s="42" t="s">
        <v>221</v>
      </c>
      <c r="B100" s="91" t="s">
        <v>785</v>
      </c>
      <c r="C100" s="93" t="str">
        <f t="shared" si="17"/>
        <v>9조 - Broker - Safety</v>
      </c>
      <c r="D100" s="91" t="s">
        <v>785</v>
      </c>
      <c r="E100" s="93" t="str">
        <f t="shared" si="18"/>
        <v>9조 - Dispatcher - Safety</v>
      </c>
    </row>
    <row r="101" ht="16.5" customHeight="1">
      <c r="A101" s="42" t="s">
        <v>261</v>
      </c>
      <c r="B101" s="91" t="s">
        <v>785</v>
      </c>
      <c r="C101" s="93" t="str">
        <f t="shared" si="17"/>
        <v>9조 - Broker - Security</v>
      </c>
      <c r="D101" s="91" t="s">
        <v>785</v>
      </c>
      <c r="E101" s="93" t="str">
        <f t="shared" si="18"/>
        <v>9조 - Dispatcher - Security</v>
      </c>
    </row>
    <row r="102" ht="16.5" customHeight="1">
      <c r="A102" s="42" t="s">
        <v>310</v>
      </c>
      <c r="B102" s="91" t="s">
        <v>785</v>
      </c>
      <c r="C102" s="93" t="str">
        <f t="shared" si="17"/>
        <v>9조 - Broker - Testability</v>
      </c>
      <c r="D102" s="91" t="s">
        <v>785</v>
      </c>
      <c r="E102" s="93" t="str">
        <f t="shared" si="18"/>
        <v>9조 - Dispatcher - Testability</v>
      </c>
    </row>
    <row r="103" ht="16.5" customHeight="1">
      <c r="A103" s="42" t="s">
        <v>346</v>
      </c>
      <c r="B103" s="91" t="s">
        <v>785</v>
      </c>
      <c r="C103" s="93" t="str">
        <f t="shared" si="17"/>
        <v>9조 - Broker - Usability</v>
      </c>
      <c r="D103" s="91" t="s">
        <v>785</v>
      </c>
      <c r="E103" s="93" t="str">
        <f t="shared" si="18"/>
        <v>9조 - Dispatcher - Usability</v>
      </c>
    </row>
    <row r="104" ht="16.5" customHeight="1">
      <c r="A104" s="49"/>
      <c r="B104" s="56" t="s">
        <v>785</v>
      </c>
      <c r="C104" s="49"/>
      <c r="D104" s="56" t="s">
        <v>785</v>
      </c>
      <c r="E104" s="49"/>
      <c r="F104" s="49"/>
      <c r="G104" s="49"/>
    </row>
    <row r="105" ht="16.5" customHeight="1">
      <c r="A105" s="39" t="s">
        <v>493</v>
      </c>
      <c r="B105" s="85" t="s">
        <v>653</v>
      </c>
      <c r="C105" s="30"/>
      <c r="D105" s="80" t="s">
        <v>947</v>
      </c>
      <c r="E105" s="30"/>
    </row>
    <row r="106" ht="16.5" customHeight="1">
      <c r="A106" s="31"/>
      <c r="B106" s="41" t="s">
        <v>11</v>
      </c>
      <c r="C106" s="41" t="s">
        <v>12</v>
      </c>
      <c r="D106" s="41" t="s">
        <v>11</v>
      </c>
      <c r="E106" s="41" t="s">
        <v>12</v>
      </c>
    </row>
    <row r="107" ht="16.5" customHeight="1">
      <c r="A107" s="42" t="s">
        <v>14</v>
      </c>
      <c r="B107" s="91" t="s">
        <v>785</v>
      </c>
      <c r="C107" s="93" t="str">
        <f t="shared" ref="C107:C116" si="19">"9조" &amp; " - " &amp; B$105 &amp; " - " &amp; $A107</f>
        <v>9조 - SOA - Availability</v>
      </c>
      <c r="D107" s="91" t="s">
        <v>785</v>
      </c>
      <c r="E107" s="93" t="str">
        <f t="shared" ref="E107:E116" si="20">"9조" &amp; " - " &amp; D$105 &amp; " - " &amp; $A107</f>
        <v>9조 - Mico-Service - Availability</v>
      </c>
    </row>
    <row r="108" ht="16.5" customHeight="1">
      <c r="A108" s="42" t="s">
        <v>47</v>
      </c>
      <c r="B108" s="91" t="s">
        <v>785</v>
      </c>
      <c r="C108" s="93" t="str">
        <f t="shared" si="19"/>
        <v>9조 - SOA - Deployability</v>
      </c>
      <c r="D108" s="91" t="s">
        <v>785</v>
      </c>
      <c r="E108" s="93" t="str">
        <f t="shared" si="20"/>
        <v>9조 - Mico-Service - Deployability</v>
      </c>
    </row>
    <row r="109" ht="16.5" customHeight="1">
      <c r="A109" s="42" t="s">
        <v>80</v>
      </c>
      <c r="B109" s="91" t="s">
        <v>785</v>
      </c>
      <c r="C109" s="93" t="str">
        <f t="shared" si="19"/>
        <v>9조 - SOA - Integrability</v>
      </c>
      <c r="D109" s="91" t="s">
        <v>785</v>
      </c>
      <c r="E109" s="93" t="str">
        <f t="shared" si="20"/>
        <v>9조 - Mico-Service - Integrability</v>
      </c>
    </row>
    <row r="110" ht="16.5" customHeight="1">
      <c r="A110" s="42" t="s">
        <v>117</v>
      </c>
      <c r="B110" s="91" t="s">
        <v>785</v>
      </c>
      <c r="C110" s="93" t="str">
        <f t="shared" si="19"/>
        <v>9조 - SOA - Energy Efficiency</v>
      </c>
      <c r="D110" s="91" t="s">
        <v>785</v>
      </c>
      <c r="E110" s="93" t="str">
        <f t="shared" si="20"/>
        <v>9조 - Mico-Service - Energy Efficiency</v>
      </c>
    </row>
    <row r="111" ht="16.5" customHeight="1">
      <c r="A111" s="42" t="s">
        <v>151</v>
      </c>
      <c r="B111" s="91" t="s">
        <v>785</v>
      </c>
      <c r="C111" s="93" t="str">
        <f t="shared" si="19"/>
        <v>9조 - SOA - Modifiability</v>
      </c>
      <c r="D111" s="91" t="s">
        <v>785</v>
      </c>
      <c r="E111" s="93" t="str">
        <f t="shared" si="20"/>
        <v>9조 - Mico-Service - Modifiability</v>
      </c>
    </row>
    <row r="112" ht="16.5" customHeight="1">
      <c r="A112" s="42" t="s">
        <v>186</v>
      </c>
      <c r="B112" s="91" t="s">
        <v>785</v>
      </c>
      <c r="C112" s="93" t="str">
        <f t="shared" si="19"/>
        <v>9조 - SOA - Performance</v>
      </c>
      <c r="D112" s="91" t="s">
        <v>785</v>
      </c>
      <c r="E112" s="93" t="str">
        <f t="shared" si="20"/>
        <v>9조 - Mico-Service - Performance</v>
      </c>
    </row>
    <row r="113" ht="16.5" customHeight="1">
      <c r="A113" s="42" t="s">
        <v>221</v>
      </c>
      <c r="B113" s="91" t="s">
        <v>785</v>
      </c>
      <c r="C113" s="93" t="str">
        <f t="shared" si="19"/>
        <v>9조 - SOA - Safety</v>
      </c>
      <c r="D113" s="91" t="s">
        <v>785</v>
      </c>
      <c r="E113" s="93" t="str">
        <f t="shared" si="20"/>
        <v>9조 - Mico-Service - Safety</v>
      </c>
    </row>
    <row r="114" ht="16.5" customHeight="1">
      <c r="A114" s="42" t="s">
        <v>261</v>
      </c>
      <c r="B114" s="91" t="s">
        <v>785</v>
      </c>
      <c r="C114" s="93" t="str">
        <f t="shared" si="19"/>
        <v>9조 - SOA - Security</v>
      </c>
      <c r="D114" s="91" t="s">
        <v>785</v>
      </c>
      <c r="E114" s="93" t="str">
        <f t="shared" si="20"/>
        <v>9조 - Mico-Service - Security</v>
      </c>
    </row>
    <row r="115" ht="16.5" customHeight="1">
      <c r="A115" s="42" t="s">
        <v>310</v>
      </c>
      <c r="B115" s="91" t="s">
        <v>785</v>
      </c>
      <c r="C115" s="93" t="str">
        <f t="shared" si="19"/>
        <v>9조 - SOA - Testability</v>
      </c>
      <c r="D115" s="91" t="s">
        <v>785</v>
      </c>
      <c r="E115" s="93" t="str">
        <f t="shared" si="20"/>
        <v>9조 - Mico-Service - Testability</v>
      </c>
    </row>
    <row r="116" ht="16.5" customHeight="1">
      <c r="A116" s="42" t="s">
        <v>346</v>
      </c>
      <c r="B116" s="91" t="s">
        <v>785</v>
      </c>
      <c r="C116" s="93" t="str">
        <f t="shared" si="19"/>
        <v>9조 - SOA - Usability</v>
      </c>
      <c r="D116" s="91" t="s">
        <v>785</v>
      </c>
      <c r="E116" s="93" t="str">
        <f t="shared" si="20"/>
        <v>9조 - Mico-Service - Usability</v>
      </c>
    </row>
    <row r="117" ht="16.5" customHeight="1">
      <c r="A117" s="49"/>
      <c r="B117" s="56" t="s">
        <v>785</v>
      </c>
      <c r="C117" s="49"/>
      <c r="D117" s="56" t="s">
        <v>785</v>
      </c>
      <c r="E117" s="49"/>
      <c r="F117" s="49"/>
      <c r="G117" s="49"/>
    </row>
    <row r="118" ht="16.5" customHeight="1">
      <c r="A118" s="39" t="s">
        <v>656</v>
      </c>
      <c r="B118" s="80" t="s">
        <v>657</v>
      </c>
      <c r="C118" s="30"/>
      <c r="D118" s="80" t="s">
        <v>658</v>
      </c>
      <c r="E118" s="30"/>
      <c r="F118" s="80" t="s">
        <v>659</v>
      </c>
      <c r="G118" s="30"/>
    </row>
    <row r="119" ht="16.5" customHeight="1">
      <c r="A119" s="31"/>
      <c r="B119" s="41" t="s">
        <v>11</v>
      </c>
      <c r="C119" s="41" t="s">
        <v>12</v>
      </c>
      <c r="D119" s="41" t="s">
        <v>11</v>
      </c>
      <c r="E119" s="41" t="s">
        <v>12</v>
      </c>
      <c r="F119" s="41" t="s">
        <v>11</v>
      </c>
      <c r="G119" s="41" t="s">
        <v>12</v>
      </c>
    </row>
    <row r="120" ht="16.5" customHeight="1">
      <c r="A120" s="42" t="s">
        <v>14</v>
      </c>
      <c r="B120" s="91" t="s">
        <v>785</v>
      </c>
      <c r="C120" s="93" t="str">
        <f t="shared" ref="C120:C129" si="21">"9조" &amp; " - " &amp; B$118 &amp; " - " &amp; $A120</f>
        <v>9조 - Container-based - Availability</v>
      </c>
      <c r="D120" s="91" t="s">
        <v>785</v>
      </c>
      <c r="E120" s="93" t="str">
        <f t="shared" ref="E120:E129" si="22">"9조" &amp; " - " &amp; D$118 &amp; " - " &amp; $A120</f>
        <v>9조 - Cloud-based - Availability</v>
      </c>
      <c r="F120" s="91" t="s">
        <v>785</v>
      </c>
      <c r="G120" s="93" t="str">
        <f t="shared" ref="G120:G129" si="23">"9조" &amp; " - " &amp; F$118 &amp; " - " &amp; $A120</f>
        <v>9조 - Edge-based - Availability</v>
      </c>
    </row>
    <row r="121" ht="16.5" customHeight="1">
      <c r="A121" s="42" t="s">
        <v>47</v>
      </c>
      <c r="B121" s="91" t="s">
        <v>785</v>
      </c>
      <c r="C121" s="93" t="str">
        <f t="shared" si="21"/>
        <v>9조 - Container-based - Deployability</v>
      </c>
      <c r="D121" s="91" t="s">
        <v>785</v>
      </c>
      <c r="E121" s="93" t="str">
        <f t="shared" si="22"/>
        <v>9조 - Cloud-based - Deployability</v>
      </c>
      <c r="F121" s="91" t="s">
        <v>785</v>
      </c>
      <c r="G121" s="93" t="str">
        <f t="shared" si="23"/>
        <v>9조 - Edge-based - Deployability</v>
      </c>
    </row>
    <row r="122" ht="16.5" customHeight="1">
      <c r="A122" s="42" t="s">
        <v>80</v>
      </c>
      <c r="B122" s="91" t="s">
        <v>785</v>
      </c>
      <c r="C122" s="93" t="str">
        <f t="shared" si="21"/>
        <v>9조 - Container-based - Integrability</v>
      </c>
      <c r="D122" s="91" t="s">
        <v>785</v>
      </c>
      <c r="E122" s="93" t="str">
        <f t="shared" si="22"/>
        <v>9조 - Cloud-based - Integrability</v>
      </c>
      <c r="F122" s="91" t="s">
        <v>785</v>
      </c>
      <c r="G122" s="93" t="str">
        <f t="shared" si="23"/>
        <v>9조 - Edge-based - Integrability</v>
      </c>
    </row>
    <row r="123" ht="16.5" customHeight="1">
      <c r="A123" s="42" t="s">
        <v>117</v>
      </c>
      <c r="B123" s="91" t="s">
        <v>785</v>
      </c>
      <c r="C123" s="93" t="str">
        <f t="shared" si="21"/>
        <v>9조 - Container-based - Energy Efficiency</v>
      </c>
      <c r="D123" s="91" t="s">
        <v>785</v>
      </c>
      <c r="E123" s="93" t="str">
        <f t="shared" si="22"/>
        <v>9조 - Cloud-based - Energy Efficiency</v>
      </c>
      <c r="F123" s="91" t="s">
        <v>785</v>
      </c>
      <c r="G123" s="93" t="str">
        <f t="shared" si="23"/>
        <v>9조 - Edge-based - Energy Efficiency</v>
      </c>
    </row>
    <row r="124" ht="16.5" customHeight="1">
      <c r="A124" s="42" t="s">
        <v>151</v>
      </c>
      <c r="B124" s="91" t="s">
        <v>785</v>
      </c>
      <c r="C124" s="93" t="str">
        <f t="shared" si="21"/>
        <v>9조 - Container-based - Modifiability</v>
      </c>
      <c r="D124" s="91" t="s">
        <v>785</v>
      </c>
      <c r="E124" s="93" t="str">
        <f t="shared" si="22"/>
        <v>9조 - Cloud-based - Modifiability</v>
      </c>
      <c r="F124" s="91" t="s">
        <v>785</v>
      </c>
      <c r="G124" s="93" t="str">
        <f t="shared" si="23"/>
        <v>9조 - Edge-based - Modifiability</v>
      </c>
    </row>
    <row r="125" ht="16.5" customHeight="1">
      <c r="A125" s="42" t="s">
        <v>186</v>
      </c>
      <c r="B125" s="91" t="s">
        <v>785</v>
      </c>
      <c r="C125" s="93" t="str">
        <f t="shared" si="21"/>
        <v>9조 - Container-based - Performance</v>
      </c>
      <c r="D125" s="91" t="s">
        <v>785</v>
      </c>
      <c r="E125" s="93" t="str">
        <f t="shared" si="22"/>
        <v>9조 - Cloud-based - Performance</v>
      </c>
      <c r="F125" s="91" t="s">
        <v>785</v>
      </c>
      <c r="G125" s="93" t="str">
        <f t="shared" si="23"/>
        <v>9조 - Edge-based - Performance</v>
      </c>
    </row>
    <row r="126" ht="16.5" customHeight="1">
      <c r="A126" s="42" t="s">
        <v>221</v>
      </c>
      <c r="B126" s="91" t="s">
        <v>785</v>
      </c>
      <c r="C126" s="93" t="str">
        <f t="shared" si="21"/>
        <v>9조 - Container-based - Safety</v>
      </c>
      <c r="D126" s="91" t="s">
        <v>785</v>
      </c>
      <c r="E126" s="93" t="str">
        <f t="shared" si="22"/>
        <v>9조 - Cloud-based - Safety</v>
      </c>
      <c r="F126" s="91" t="s">
        <v>785</v>
      </c>
      <c r="G126" s="93" t="str">
        <f t="shared" si="23"/>
        <v>9조 - Edge-based - Safety</v>
      </c>
    </row>
    <row r="127" ht="16.5" customHeight="1">
      <c r="A127" s="42" t="s">
        <v>261</v>
      </c>
      <c r="B127" s="91" t="s">
        <v>785</v>
      </c>
      <c r="C127" s="93" t="str">
        <f t="shared" si="21"/>
        <v>9조 - Container-based - Security</v>
      </c>
      <c r="D127" s="91" t="s">
        <v>785</v>
      </c>
      <c r="E127" s="93" t="str">
        <f t="shared" si="22"/>
        <v>9조 - Cloud-based - Security</v>
      </c>
      <c r="F127" s="91" t="s">
        <v>785</v>
      </c>
      <c r="G127" s="93" t="str">
        <f t="shared" si="23"/>
        <v>9조 - Edge-based - Security</v>
      </c>
    </row>
    <row r="128" ht="16.5" customHeight="1">
      <c r="A128" s="42" t="s">
        <v>310</v>
      </c>
      <c r="B128" s="91" t="s">
        <v>785</v>
      </c>
      <c r="C128" s="93" t="str">
        <f t="shared" si="21"/>
        <v>9조 - Container-based - Testability</v>
      </c>
      <c r="D128" s="91" t="s">
        <v>785</v>
      </c>
      <c r="E128" s="93" t="str">
        <f t="shared" si="22"/>
        <v>9조 - Cloud-based - Testability</v>
      </c>
      <c r="F128" s="91" t="s">
        <v>785</v>
      </c>
      <c r="G128" s="93" t="str">
        <f t="shared" si="23"/>
        <v>9조 - Edge-based - Testability</v>
      </c>
    </row>
    <row r="129" ht="16.5" customHeight="1">
      <c r="A129" s="42" t="s">
        <v>346</v>
      </c>
      <c r="B129" s="91" t="s">
        <v>785</v>
      </c>
      <c r="C129" s="93" t="str">
        <f t="shared" si="21"/>
        <v>9조 - Container-based - Usability</v>
      </c>
      <c r="D129" s="91" t="s">
        <v>785</v>
      </c>
      <c r="E129" s="93" t="str">
        <f t="shared" si="22"/>
        <v>9조 - Cloud-based - Usability</v>
      </c>
      <c r="F129" s="91" t="s">
        <v>785</v>
      </c>
      <c r="G129" s="93" t="str">
        <f t="shared" si="23"/>
        <v>9조 - Edge-based - Usability</v>
      </c>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A2"/>
    <mergeCell ref="B1:C1"/>
    <mergeCell ref="D1:E1"/>
    <mergeCell ref="F1:G1"/>
    <mergeCell ref="B14:C14"/>
    <mergeCell ref="D14:E14"/>
    <mergeCell ref="D27:E27"/>
    <mergeCell ref="B27:C27"/>
    <mergeCell ref="B40:C40"/>
    <mergeCell ref="D40:E40"/>
    <mergeCell ref="B53:C53"/>
    <mergeCell ref="D53:E53"/>
    <mergeCell ref="D66:E66"/>
    <mergeCell ref="F66:G66"/>
    <mergeCell ref="A105:A106"/>
    <mergeCell ref="B105:C105"/>
    <mergeCell ref="D105:E105"/>
    <mergeCell ref="A118:A119"/>
    <mergeCell ref="B118:C118"/>
    <mergeCell ref="D118:E118"/>
    <mergeCell ref="F118:G118"/>
    <mergeCell ref="B66:C66"/>
    <mergeCell ref="A79:A80"/>
    <mergeCell ref="B79:C79"/>
    <mergeCell ref="D79:E79"/>
    <mergeCell ref="A92:A93"/>
    <mergeCell ref="B92:C92"/>
    <mergeCell ref="D92:E92"/>
  </mergeCells>
  <dataValidations>
    <dataValidation type="list" allowBlank="1" showErrorMessage="1" sqref="B3:B12 D3:D12 F3:F12 B14 D14 B16:B25 D16:D25 B27 D27 B29:B38 D29:D38 B42:B51 D42:D51 B53 D53 B55:B64 D55:D64 B66 D66 F66 B68:B77 D68:D77 F68:F78 B79 D79 B81:B90 D81:D90 B92 B94:B103 D94:D103 B107:B116 D107:D116 B120:B129 D120:D129 F120:F129">
      <formula1>"'++,'+,'0,'-,'--"</formula1>
    </dataValidation>
  </dataValidation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FLCMData">
    <vt:lpwstr>6E519BA2EED35B6C97B361C0D562289A2FECB733DDB0F8C1CC21DD9C9B536CBE007F1B4BF0E5C25EEC4F563B656D092FE6F2A52B70A00257A6B82A71AB390F89</vt:lpwstr>
  </property>
  <property fmtid="{D5CDD505-2E9C-101B-9397-08002B2CF9AE}" pid="3" name="ContentTypeId">
    <vt:lpwstr>0x0101009EB770C6058C0A408AAF2910384D1419</vt:lpwstr>
  </property>
</Properties>
</file>