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F" sheetId="1" r:id="rId4"/>
    <sheet state="visible" name="DC" sheetId="2" r:id="rId5"/>
    <sheet state="visible" name="II" sheetId="3" r:id="rId6"/>
    <sheet state="visible" name="IO" sheetId="4" r:id="rId7"/>
    <sheet state="visible" name="H1" sheetId="5" r:id="rId8"/>
    <sheet state="visible" name="H2" sheetId="6" r:id="rId9"/>
    <sheet state="visible" name="DA1" sheetId="7" r:id="rId10"/>
    <sheet state="visible" name="DA2" sheetId="8" r:id="rId11"/>
    <sheet state="visible" name="DA3" sheetId="9" r:id="rId12"/>
    <sheet state="visible" name="Dep" sheetId="10" r:id="rId13"/>
    <sheet state="visible" name="Detailed Reasoning" sheetId="11" r:id="rId14"/>
    <sheet state="visible" name="1조" sheetId="12" r:id="rId15"/>
    <sheet state="visible" name="2조" sheetId="13" r:id="rId16"/>
    <sheet state="visible" name="3조" sheetId="14" r:id="rId17"/>
    <sheet state="visible" name="4조" sheetId="15" r:id="rId18"/>
    <sheet state="visible" name="5조" sheetId="16" r:id="rId19"/>
    <sheet state="visible" name="6조" sheetId="17" r:id="rId20"/>
    <sheet state="visible" name="7조" sheetId="18" r:id="rId21"/>
    <sheet state="visible" name="8조" sheetId="19" r:id="rId22"/>
    <sheet state="visible" name="9조" sheetId="20" r:id="rId23"/>
  </sheets>
  <definedNames/>
  <calcPr/>
  <extLst>
    <ext uri="GoogleSheetsCustomDataVersion2">
      <go:sheetsCustomData xmlns:go="http://customooxmlschemas.google.com/" r:id="rId24" roundtripDataChecksum="HBhenCG1VWJOfz2D8T0Nki9hEUp6t3kzMqvneMW3OL0="/>
    </ext>
  </extLst>
</workbook>
</file>

<file path=xl/sharedStrings.xml><?xml version="1.0" encoding="utf-8"?>
<sst xmlns="http://schemas.openxmlformats.org/spreadsheetml/2006/main" count="5506" uniqueCount="906">
  <si>
    <t>Data Centered</t>
  </si>
  <si>
    <t>Interaction-Oriented</t>
  </si>
  <si>
    <t>Batch Sequential</t>
  </si>
  <si>
    <t>Implicit Invocation</t>
  </si>
  <si>
    <t>MVC</t>
  </si>
  <si>
    <t>Shared Repository</t>
  </si>
  <si>
    <t>Pipe and Filter</t>
  </si>
  <si>
    <t>Non-Buffered Event Based</t>
  </si>
  <si>
    <t>Blackboard</t>
  </si>
  <si>
    <t>PAC</t>
  </si>
  <si>
    <t>Process Control</t>
  </si>
  <si>
    <t>Buffered Message Based</t>
  </si>
  <si>
    <t>Effects</t>
  </si>
  <si>
    <t>Justification</t>
  </si>
  <si>
    <t>Availability</t>
  </si>
  <si>
    <r>
      <rPr>
        <rFont val="Calibri"/>
        <color rgb="FF000000"/>
        <sz val="11.0"/>
      </rPr>
      <t>1</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</si>
  <si>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</si>
  <si>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</si>
  <si>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</si>
  <si>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</si>
  <si>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</si>
  <si>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</si>
  <si>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</si>
  <si>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</si>
  <si>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</si>
  <si>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</si>
  <si>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</si>
  <si>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</si>
  <si>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</si>
  <si>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</si>
  <si>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</si>
  <si>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</si>
  <si>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</si>
  <si>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</si>
  <si>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</si>
  <si>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</si>
  <si>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</si>
  <si>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</si>
  <si>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</si>
  <si>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</si>
  <si>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5</t>
    </r>
    <r>
      <rPr>
        <rFont val="Arial"/>
        <color rgb="FF000000"/>
        <sz val="11.0"/>
      </rPr>
      <t>조숙</t>
    </r>
  </si>
  <si>
    <r>
      <rPr>
        <rFont val="Calibri"/>
        <color rgb="FF000000"/>
        <sz val="11.0"/>
      </rPr>
      <t>9</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</si>
  <si>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</si>
  <si>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7</t>
    </r>
    <r>
      <rPr>
        <rFont val="&quot;맑은 고딕&quot;"/>
        <color rgb="FF000000"/>
        <sz val="11.0"/>
      </rPr>
      <t>조</t>
    </r>
  </si>
  <si>
    <t>Deployability</t>
  </si>
  <si>
    <r>
      <rPr>
        <rFont val="Calibri"/>
        <color rgb="FF000000"/>
        <sz val="11.0"/>
      </rPr>
      <t>9</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</si>
  <si>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</si>
  <si>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</si>
  <si>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</si>
  <si>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</si>
  <si>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</si>
  <si>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</si>
  <si>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</si>
  <si>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</si>
  <si>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</si>
  <si>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</si>
  <si>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</si>
  <si>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</si>
  <si>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</si>
  <si>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</si>
  <si>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</si>
  <si>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</si>
  <si>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</si>
  <si>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</si>
  <si>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</si>
  <si>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</si>
  <si>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</si>
  <si>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</si>
  <si>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</si>
  <si>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</si>
  <si>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</si>
  <si>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</si>
  <si>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</si>
  <si>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</si>
  <si>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</si>
  <si>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</si>
  <si>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</si>
  <si>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</si>
  <si>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</si>
  <si>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3</t>
    </r>
    <r>
      <rPr>
        <rFont val="&quot;맑은 고딕&quot;"/>
        <color rgb="FF000000"/>
        <sz val="11.0"/>
      </rPr>
      <t>조</t>
    </r>
  </si>
  <si>
    <t>Integrability</t>
  </si>
  <si>
    <r>
      <rPr>
        <rFont val="Calibri"/>
        <color rgb="FF000000"/>
        <sz val="11.0"/>
      </rPr>
      <t>8</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</si>
  <si>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</si>
  <si>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</si>
  <si>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</si>
  <si>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</si>
  <si>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</si>
  <si>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</si>
  <si>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</si>
  <si>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</si>
  <si>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</si>
  <si>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</si>
  <si>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</si>
  <si>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</si>
  <si>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</si>
  <si>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</si>
  <si>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</si>
  <si>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</si>
  <si>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</si>
  <si>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</si>
  <si>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</si>
  <si>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</si>
  <si>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</si>
  <si>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</si>
  <si>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</si>
  <si>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</si>
  <si>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</si>
  <si>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</si>
  <si>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</si>
  <si>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</si>
  <si>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</si>
  <si>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</si>
  <si>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6</t>
    </r>
    <r>
      <rPr>
        <rFont val="&quot;맑은 고딕&quot;"/>
        <color rgb="FF000000"/>
        <sz val="11.0"/>
      </rPr>
      <t>조</t>
    </r>
  </si>
  <si>
    <t>Energy Efficiency</t>
  </si>
  <si>
    <r>
      <rPr>
        <rFont val="Calibri"/>
        <color rgb="FF000000"/>
        <sz val="11.0"/>
      </rPr>
      <t>7</t>
    </r>
    <r>
      <rPr>
        <rFont val="&quot;맑은 고딕&quot;"/>
        <color rgb="FF000000"/>
        <sz val="11.0"/>
      </rPr>
      <t>조</t>
    </r>
  </si>
  <si>
    <r>
      <rPr>
        <rFont val="Calibri"/>
        <color rgb="FF000000"/>
        <sz val="11.0"/>
      </rPr>
      <t>1</t>
    </r>
    <r>
      <rPr>
        <rFont val="&quot;맑은 고딕&quot;"/>
        <color rgb="FF000000"/>
        <sz val="11.0"/>
      </rPr>
      <t>조</t>
    </r>
  </si>
  <si>
    <r>
      <rPr>
        <rFont val="Calibri"/>
        <color theme="1"/>
        <sz val="11.0"/>
      </rPr>
      <t>1</t>
    </r>
    <r>
      <rPr>
        <rFont val="Arial"/>
        <color theme="1"/>
        <sz val="11.0"/>
      </rPr>
      <t>조</t>
    </r>
  </si>
  <si>
    <r>
      <rPr>
        <rFont val="Calibri"/>
        <color rgb="FF000000"/>
        <sz val="11.0"/>
      </rPr>
      <t>8</t>
    </r>
    <r>
      <rPr>
        <rFont val="&quot;맑은 고딕&quot;"/>
        <color rgb="FF000000"/>
        <sz val="11.0"/>
      </rPr>
      <t>조</t>
    </r>
  </si>
  <si>
    <r>
      <rPr>
        <rFont val="Calibri"/>
        <color theme="1"/>
        <sz val="11.0"/>
      </rPr>
      <t>1</t>
    </r>
    <r>
      <rPr>
        <rFont val="Arial"/>
        <color theme="1"/>
        <sz val="11.0"/>
      </rPr>
      <t>조</t>
    </r>
  </si>
  <si>
    <r>
      <rPr>
        <rFont val="Calibri"/>
        <color theme="1"/>
        <sz val="11.0"/>
      </rPr>
      <t>2</t>
    </r>
    <r>
      <rPr>
        <rFont val="Arial"/>
        <color theme="1"/>
        <sz val="11.0"/>
      </rPr>
      <t>조</t>
    </r>
  </si>
  <si>
    <r>
      <rPr>
        <rFont val="Calibri"/>
        <color rgb="FF000000"/>
        <sz val="11.0"/>
      </rPr>
      <t>2</t>
    </r>
    <r>
      <rPr>
        <rFont val="&quot;맑은 고딕&quot;"/>
        <color rgb="FF000000"/>
        <sz val="11.0"/>
      </rPr>
      <t>조</t>
    </r>
  </si>
  <si>
    <r>
      <rPr>
        <rFont val="Calibri"/>
        <color theme="1"/>
        <sz val="11.0"/>
      </rPr>
      <t>3</t>
    </r>
    <r>
      <rPr>
        <rFont val="Arial"/>
        <color theme="1"/>
        <sz val="11.0"/>
      </rPr>
      <t>조</t>
    </r>
  </si>
  <si>
    <r>
      <rPr>
        <rFont val="Calibri"/>
        <color theme="1"/>
        <sz val="11.0"/>
      </rPr>
      <t>2</t>
    </r>
    <r>
      <rPr>
        <rFont val="Arial"/>
        <color theme="1"/>
        <sz val="11.0"/>
      </rPr>
      <t>조</t>
    </r>
  </si>
  <si>
    <r>
      <rPr>
        <rFont val="Calibri"/>
        <color rgb="FF000000"/>
        <sz val="11.0"/>
      </rPr>
      <t>9</t>
    </r>
    <r>
      <rPr>
        <rFont val="&quot;맑은 고딕&quot;"/>
        <color rgb="FF000000"/>
        <sz val="11.0"/>
      </rPr>
      <t>조</t>
    </r>
  </si>
  <si>
    <r>
      <rPr>
        <rFont val="Calibri"/>
        <color theme="1"/>
        <sz val="11.0"/>
      </rPr>
      <t>4</t>
    </r>
    <r>
      <rPr>
        <rFont val="Arial"/>
        <color theme="1"/>
        <sz val="11.0"/>
      </rPr>
      <t>조</t>
    </r>
  </si>
  <si>
    <r>
      <rPr>
        <rFont val="Calibri"/>
        <color rgb="FF000000"/>
        <sz val="11.0"/>
      </rPr>
      <t>3</t>
    </r>
    <r>
      <rPr>
        <rFont val="&quot;맑은 고딕&quot;"/>
        <color rgb="FF000000"/>
        <sz val="11.0"/>
      </rPr>
      <t>조</t>
    </r>
  </si>
  <si>
    <r>
      <rPr>
        <rFont val="Calibri"/>
        <color theme="1"/>
        <sz val="11.0"/>
      </rPr>
      <t>3</t>
    </r>
    <r>
      <rPr>
        <rFont val="Arial"/>
        <color theme="1"/>
        <sz val="11.0"/>
      </rPr>
      <t>조</t>
    </r>
  </si>
  <si>
    <r>
      <rPr>
        <rFont val="Calibri"/>
        <color theme="1"/>
        <sz val="11.0"/>
      </rPr>
      <t>5</t>
    </r>
    <r>
      <rPr>
        <rFont val="Arial"/>
        <color theme="1"/>
        <sz val="11.0"/>
      </rPr>
      <t>조</t>
    </r>
  </si>
  <si>
    <r>
      <rPr>
        <rFont val="Calibri"/>
        <color theme="1"/>
        <sz val="11.0"/>
      </rPr>
      <t>1</t>
    </r>
    <r>
      <rPr>
        <rFont val="Arial"/>
        <color theme="1"/>
        <sz val="11.0"/>
      </rPr>
      <t>조</t>
    </r>
  </si>
  <si>
    <r>
      <rPr>
        <rFont val="Calibri"/>
        <color theme="1"/>
        <sz val="11.0"/>
      </rPr>
      <t>4</t>
    </r>
    <r>
      <rPr>
        <rFont val="Arial"/>
        <color theme="1"/>
        <sz val="11.0"/>
      </rPr>
      <t>조</t>
    </r>
  </si>
  <si>
    <r>
      <rPr>
        <rFont val="Calibri"/>
        <color theme="1"/>
        <sz val="11.0"/>
      </rPr>
      <t>6</t>
    </r>
    <r>
      <rPr>
        <rFont val="Arial"/>
        <color theme="1"/>
        <sz val="11.0"/>
      </rPr>
      <t>조</t>
    </r>
  </si>
  <si>
    <r>
      <rPr>
        <rFont val="Calibri"/>
        <color rgb="FF000000"/>
        <sz val="11.0"/>
      </rPr>
      <t>4</t>
    </r>
    <r>
      <rPr>
        <rFont val="&quot;맑은 고딕&quot;"/>
        <color rgb="FF000000"/>
        <sz val="11.0"/>
      </rPr>
      <t>조</t>
    </r>
  </si>
  <si>
    <r>
      <rPr>
        <rFont val="Calibri"/>
        <color theme="1"/>
        <sz val="11.0"/>
      </rPr>
      <t>7</t>
    </r>
    <r>
      <rPr>
        <rFont val="Arial"/>
        <color theme="1"/>
        <sz val="11.0"/>
      </rPr>
      <t>조</t>
    </r>
  </si>
  <si>
    <r>
      <rPr>
        <rFont val="Calibri"/>
        <color theme="1"/>
        <sz val="11.0"/>
      </rPr>
      <t>2</t>
    </r>
    <r>
      <rPr>
        <rFont val="Arial"/>
        <color theme="1"/>
        <sz val="11.0"/>
      </rPr>
      <t>조</t>
    </r>
  </si>
  <si>
    <r>
      <rPr>
        <rFont val="Calibri"/>
        <color theme="1"/>
        <sz val="11.0"/>
      </rPr>
      <t>5</t>
    </r>
    <r>
      <rPr>
        <rFont val="Arial"/>
        <color theme="1"/>
        <sz val="11.0"/>
      </rPr>
      <t>조</t>
    </r>
  </si>
  <si>
    <r>
      <rPr>
        <rFont val="Calibri"/>
        <color rgb="FF000000"/>
        <sz val="11.0"/>
      </rPr>
      <t>5</t>
    </r>
    <r>
      <rPr>
        <rFont val="&quot;맑은 고딕&quot;"/>
        <color rgb="FF000000"/>
        <sz val="11.0"/>
      </rPr>
      <t>조</t>
    </r>
  </si>
  <si>
    <r>
      <rPr>
        <rFont val="Calibri"/>
        <color theme="1"/>
        <sz val="11.0"/>
      </rPr>
      <t>6</t>
    </r>
    <r>
      <rPr>
        <rFont val="Arial"/>
        <color theme="1"/>
        <sz val="11.0"/>
      </rPr>
      <t>조</t>
    </r>
  </si>
  <si>
    <r>
      <rPr>
        <rFont val="Calibri"/>
        <color theme="1"/>
        <sz val="11.0"/>
      </rPr>
      <t>3</t>
    </r>
    <r>
      <rPr>
        <rFont val="Arial"/>
        <color theme="1"/>
        <sz val="11.0"/>
      </rPr>
      <t>조</t>
    </r>
  </si>
  <si>
    <r>
      <rPr>
        <rFont val="Calibri"/>
        <color theme="1"/>
        <sz val="11.0"/>
      </rPr>
      <t>8</t>
    </r>
    <r>
      <rPr>
        <rFont val="Arial"/>
        <color theme="1"/>
        <sz val="11.0"/>
      </rPr>
      <t>조</t>
    </r>
  </si>
  <si>
    <r>
      <rPr>
        <rFont val="Calibri"/>
        <color rgb="FF000000"/>
        <sz val="11.0"/>
      </rPr>
      <t>6</t>
    </r>
    <r>
      <rPr>
        <rFont val="&quot;맑은 고딕&quot;"/>
        <color rgb="FF000000"/>
        <sz val="11.0"/>
      </rPr>
      <t>조</t>
    </r>
  </si>
  <si>
    <r>
      <rPr>
        <rFont val="Calibri"/>
        <color theme="1"/>
        <sz val="11.0"/>
      </rPr>
      <t>4</t>
    </r>
    <r>
      <rPr>
        <rFont val="Arial"/>
        <color theme="1"/>
        <sz val="11.0"/>
      </rPr>
      <t>조</t>
    </r>
  </si>
  <si>
    <r>
      <rPr>
        <rFont val="Calibri"/>
        <color theme="1"/>
        <sz val="11.0"/>
      </rPr>
      <t>9</t>
    </r>
    <r>
      <rPr>
        <rFont val="Arial"/>
        <color theme="1"/>
        <sz val="11.0"/>
      </rPr>
      <t>조</t>
    </r>
  </si>
  <si>
    <r>
      <rPr>
        <rFont val="Calibri"/>
        <color theme="1"/>
        <sz val="11.0"/>
      </rPr>
      <t>7</t>
    </r>
    <r>
      <rPr>
        <rFont val="Arial"/>
        <color theme="1"/>
        <sz val="11.0"/>
      </rPr>
      <t>조</t>
    </r>
  </si>
  <si>
    <r>
      <rPr>
        <rFont val="Calibri"/>
        <color theme="1"/>
        <sz val="11.0"/>
      </rPr>
      <t>5</t>
    </r>
    <r>
      <rPr>
        <rFont val="Arial"/>
        <color theme="1"/>
        <sz val="11.0"/>
      </rPr>
      <t>조</t>
    </r>
  </si>
  <si>
    <t>Modifiability</t>
  </si>
  <si>
    <r>
      <rPr>
        <rFont val="Calibri"/>
        <color rgb="FF000000"/>
        <sz val="11.0"/>
      </rPr>
      <t>7</t>
    </r>
    <r>
      <rPr>
        <rFont val="&quot;맑은 고딕&quot;"/>
        <color rgb="FF000000"/>
        <sz val="11.0"/>
      </rPr>
      <t>조</t>
    </r>
  </si>
  <si>
    <r>
      <rPr>
        <rFont val="Calibri"/>
        <color theme="1"/>
        <sz val="11.0"/>
      </rPr>
      <t>8</t>
    </r>
    <r>
      <rPr>
        <rFont val="Arial"/>
        <color theme="1"/>
        <sz val="11.0"/>
      </rPr>
      <t>조</t>
    </r>
  </si>
  <si>
    <r>
      <rPr>
        <rFont val="Calibri"/>
        <color theme="1"/>
        <sz val="11.0"/>
      </rPr>
      <t>6</t>
    </r>
    <r>
      <rPr>
        <rFont val="Arial"/>
        <color theme="1"/>
        <sz val="11.0"/>
      </rPr>
      <t>조</t>
    </r>
  </si>
  <si>
    <r>
      <rPr>
        <rFont val="Calibri"/>
        <color rgb="FF000000"/>
        <sz val="11.0"/>
      </rPr>
      <t>1</t>
    </r>
    <r>
      <rPr>
        <rFont val="&quot;맑은 고딕&quot;"/>
        <color rgb="FF000000"/>
        <sz val="11.0"/>
      </rPr>
      <t>조</t>
    </r>
  </si>
  <si>
    <r>
      <rPr>
        <rFont val="Calibri"/>
        <color theme="1"/>
        <sz val="11.0"/>
      </rPr>
      <t>9</t>
    </r>
    <r>
      <rPr>
        <rFont val="Arial"/>
        <color theme="1"/>
        <sz val="11.0"/>
      </rPr>
      <t>조</t>
    </r>
  </si>
  <si>
    <r>
      <rPr>
        <rFont val="Calibri"/>
        <color rgb="FF000000"/>
        <sz val="11.0"/>
      </rPr>
      <t>8</t>
    </r>
    <r>
      <rPr>
        <rFont val="&quot;맑은 고딕&quot;"/>
        <color rgb="FF000000"/>
        <sz val="11.0"/>
      </rPr>
      <t>조</t>
    </r>
  </si>
  <si>
    <r>
      <rPr>
        <rFont val="Calibri"/>
        <color rgb="FF000000"/>
        <sz val="11.0"/>
      </rPr>
      <t>2</t>
    </r>
    <r>
      <rPr>
        <rFont val="&quot;맑은 고딕&quot;"/>
        <color rgb="FF000000"/>
        <sz val="11.0"/>
      </rPr>
      <t>조</t>
    </r>
  </si>
  <si>
    <r>
      <rPr>
        <rFont val="Calibri"/>
        <color theme="1"/>
        <sz val="11.0"/>
      </rPr>
      <t>7</t>
    </r>
    <r>
      <rPr>
        <rFont val="Arial"/>
        <color theme="1"/>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</si>
  <si>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</si>
  <si>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</si>
  <si>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r>
      <rPr>
        <rFont val="Calibri"/>
        <color theme="1"/>
        <sz val="11.0"/>
      </rPr>
      <t>8</t>
    </r>
    <r>
      <rPr>
        <rFont val="Arial"/>
        <color theme="1"/>
        <sz val="11.0"/>
      </rPr>
      <t>조</t>
    </r>
  </si>
  <si>
    <r>
      <rPr>
        <rFont val="Calibri"/>
        <color rgb="FF000000"/>
        <sz val="11.0"/>
      </rPr>
      <t>1</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</si>
  <si>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</si>
  <si>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2</t>
    </r>
    <r>
      <rPr>
        <rFont val="&quot;맑은 고딕&quot;"/>
        <color rgb="FF000000"/>
        <sz val="11.0"/>
      </rPr>
      <t>조</t>
    </r>
  </si>
  <si>
    <r>
      <rPr>
        <rFont val="Calibri"/>
        <color theme="1"/>
        <sz val="11.0"/>
      </rPr>
      <t>9</t>
    </r>
    <r>
      <rPr>
        <rFont val="Arial"/>
        <color theme="1"/>
        <sz val="11.0"/>
      </rPr>
      <t>조</t>
    </r>
  </si>
  <si>
    <r>
      <rPr>
        <rFont val="Calibri"/>
        <color rgb="FF000000"/>
        <sz val="11.0"/>
      </rPr>
      <t>5</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</si>
  <si>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</si>
  <si>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</si>
  <si>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theme="1"/>
        <sz val="11.0"/>
      </rPr>
      <t>1</t>
    </r>
    <r>
      <rPr>
        <rFont val="Arial"/>
        <color theme="1"/>
        <sz val="11.0"/>
      </rPr>
      <t>조</t>
    </r>
  </si>
  <si>
    <r>
      <rPr>
        <rFont val="Calibri"/>
        <color rgb="FF000000"/>
        <sz val="11.0"/>
      </rPr>
      <t>4</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</si>
  <si>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</si>
  <si>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1</t>
    </r>
    <r>
      <rPr>
        <rFont val="&quot;맑은 고딕&quot;"/>
        <color rgb="FF000000"/>
        <sz val="11.0"/>
      </rPr>
      <t>조</t>
    </r>
  </si>
  <si>
    <r>
      <rPr>
        <rFont val="Calibri"/>
        <color theme="1"/>
        <sz val="11.0"/>
      </rPr>
      <t>2</t>
    </r>
    <r>
      <rPr>
        <rFont val="Arial"/>
        <color theme="1"/>
        <sz val="11.0"/>
      </rPr>
      <t>조</t>
    </r>
  </si>
  <si>
    <r>
      <rPr>
        <rFont val="Calibri"/>
        <color rgb="FF000000"/>
        <sz val="11.0"/>
      </rPr>
      <t>5</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</si>
  <si>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</si>
  <si>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</si>
  <si>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</si>
  <si>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9</t>
    </r>
    <r>
      <rPr>
        <rFont val="&quot;맑은 고딕&quot;"/>
        <color rgb="FF000000"/>
        <sz val="11.0"/>
      </rPr>
      <t>조</t>
    </r>
  </si>
  <si>
    <r>
      <rPr>
        <rFont val="Calibri"/>
        <color theme="1"/>
        <sz val="11.0"/>
      </rPr>
      <t>3</t>
    </r>
    <r>
      <rPr>
        <rFont val="Arial"/>
        <color theme="1"/>
        <sz val="11.0"/>
      </rPr>
      <t>조</t>
    </r>
  </si>
  <si>
    <r>
      <rPr>
        <rFont val="Calibri"/>
        <color rgb="FF000000"/>
        <sz val="11.0"/>
      </rPr>
      <t>7</t>
    </r>
    <r>
      <rPr>
        <rFont val="&quot;맑은 고딕&quot;"/>
        <color rgb="FF000000"/>
        <sz val="11.0"/>
      </rPr>
      <t>조</t>
    </r>
  </si>
  <si>
    <r>
      <rPr>
        <rFont val="Calibri"/>
        <color rgb="FF000000"/>
        <sz val="11.0"/>
      </rPr>
      <t>3</t>
    </r>
    <r>
      <rPr>
        <rFont val="&quot;맑은 고딕&quot;"/>
        <color rgb="FF000000"/>
        <sz val="11.0"/>
      </rPr>
      <t>조</t>
    </r>
  </si>
  <si>
    <t>Performance</t>
  </si>
  <si>
    <r>
      <rPr>
        <rFont val="Calibri"/>
        <color theme="1"/>
        <sz val="11.0"/>
      </rPr>
      <t>4</t>
    </r>
    <r>
      <rPr>
        <rFont val="Arial"/>
        <color theme="1"/>
        <sz val="11.0"/>
      </rPr>
      <t>조</t>
    </r>
  </si>
  <si>
    <r>
      <rPr>
        <rFont val="Calibri"/>
        <color rgb="FF000000"/>
        <sz val="11.0"/>
      </rPr>
      <t>4</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</si>
  <si>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</si>
  <si>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</si>
  <si>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</si>
  <si>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9</t>
    </r>
    <r>
      <rPr>
        <rFont val="&quot;맑은 고딕&quot;"/>
        <color rgb="FF000000"/>
        <sz val="11.0"/>
      </rPr>
      <t>조</t>
    </r>
  </si>
  <si>
    <r>
      <rPr>
        <rFont val="Calibri"/>
        <color theme="1"/>
        <sz val="11.0"/>
      </rPr>
      <t>5</t>
    </r>
    <r>
      <rPr>
        <rFont val="Arial"/>
        <color theme="1"/>
        <sz val="11.0"/>
      </rPr>
      <t>조</t>
    </r>
  </si>
  <si>
    <r>
      <rPr>
        <rFont val="Calibri"/>
        <color rgb="FF000000"/>
        <sz val="11.0"/>
      </rPr>
      <t>2</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</si>
  <si>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</si>
  <si>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3</t>
    </r>
    <r>
      <rPr>
        <rFont val="&quot;맑은 고딕&quot;"/>
        <color rgb="FF000000"/>
        <sz val="11.0"/>
      </rPr>
      <t>조</t>
    </r>
  </si>
  <si>
    <r>
      <rPr>
        <rFont val="Calibri"/>
        <color theme="1"/>
        <sz val="11.0"/>
      </rPr>
      <t>6</t>
    </r>
    <r>
      <rPr>
        <rFont val="Arial"/>
        <color theme="1"/>
        <sz val="11.0"/>
      </rPr>
      <t>조</t>
    </r>
  </si>
  <si>
    <r>
      <rPr>
        <rFont val="Calibri"/>
        <color rgb="FF000000"/>
        <sz val="11.0"/>
      </rPr>
      <t>7</t>
    </r>
    <r>
      <rPr>
        <rFont val="&quot;맑은 고딕&quot;"/>
        <color rgb="FF000000"/>
        <sz val="11.0"/>
      </rPr>
      <t>조</t>
    </r>
  </si>
  <si>
    <r>
      <rPr>
        <rFont val="Calibri"/>
        <color rgb="FF000000"/>
        <sz val="11.0"/>
      </rPr>
      <t>4</t>
    </r>
    <r>
      <rPr>
        <rFont val="&quot;맑은 고딕&quot;"/>
        <color rgb="FF000000"/>
        <sz val="11.0"/>
      </rPr>
      <t>조</t>
    </r>
  </si>
  <si>
    <r>
      <rPr>
        <rFont val="Calibri"/>
        <color theme="1"/>
        <sz val="11.0"/>
      </rPr>
      <t>7</t>
    </r>
    <r>
      <rPr>
        <rFont val="Arial"/>
        <color theme="1"/>
        <sz val="11.0"/>
      </rPr>
      <t>조</t>
    </r>
  </si>
  <si>
    <r>
      <rPr>
        <rFont val="Calibri"/>
        <color rgb="FF000000"/>
        <sz val="11.0"/>
      </rPr>
      <t>1</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</si>
  <si>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</si>
  <si>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</si>
  <si>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2</t>
    </r>
    <r>
      <rPr>
        <rFont val="&quot;맑은 고딕&quot;"/>
        <color rgb="FF000000"/>
        <sz val="11.0"/>
      </rPr>
      <t>조</t>
    </r>
  </si>
  <si>
    <r>
      <rPr>
        <rFont val="Calibri"/>
        <color theme="1"/>
        <sz val="11.0"/>
      </rPr>
      <t>8</t>
    </r>
    <r>
      <rPr>
        <rFont val="Arial"/>
        <color theme="1"/>
        <sz val="11.0"/>
      </rPr>
      <t>조</t>
    </r>
  </si>
  <si>
    <r>
      <rPr>
        <rFont val="Calibri"/>
        <color rgb="FF000000"/>
        <sz val="11.0"/>
      </rPr>
      <t>6</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</si>
  <si>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</si>
  <si>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</si>
  <si>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7</t>
    </r>
    <r>
      <rPr>
        <rFont val="&quot;맑은 고딕&quot;"/>
        <color rgb="FF000000"/>
        <sz val="11.0"/>
      </rPr>
      <t>조</t>
    </r>
  </si>
  <si>
    <r>
      <rPr>
        <rFont val="Calibri"/>
        <color theme="1"/>
        <sz val="11.0"/>
      </rPr>
      <t>9</t>
    </r>
    <r>
      <rPr>
        <rFont val="Arial"/>
        <color theme="1"/>
        <sz val="11.0"/>
      </rPr>
      <t>조</t>
    </r>
  </si>
  <si>
    <r>
      <rPr>
        <rFont val="Calibri"/>
        <color rgb="FF000000"/>
        <sz val="11.0"/>
      </rPr>
      <t>4</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</si>
  <si>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</si>
  <si>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</si>
  <si>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</si>
  <si>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</si>
  <si>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</si>
  <si>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2</t>
    </r>
    <r>
      <rPr>
        <rFont val="&quot;맑은 고딕&quot;"/>
        <color rgb="FF000000"/>
        <sz val="11.0"/>
      </rPr>
      <t>조</t>
    </r>
  </si>
  <si>
    <t>Safety</t>
  </si>
  <si>
    <r>
      <rPr>
        <rFont val="Calibri"/>
        <color rgb="FF000000"/>
        <sz val="11.0"/>
      </rPr>
      <t>3</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</si>
  <si>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</si>
  <si>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</si>
  <si>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</si>
  <si>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</si>
  <si>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</si>
  <si>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</si>
  <si>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</si>
  <si>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</si>
  <si>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</si>
  <si>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</si>
  <si>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</si>
  <si>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</si>
  <si>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</si>
  <si>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</si>
  <si>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</si>
  <si>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</si>
  <si>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</si>
  <si>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</si>
  <si>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</si>
  <si>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</si>
  <si>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</si>
  <si>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</si>
  <si>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</si>
  <si>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</si>
  <si>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</si>
  <si>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</si>
  <si>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</si>
  <si>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</si>
  <si>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</si>
  <si>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</si>
  <si>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</si>
  <si>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</si>
  <si>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t>Security</t>
  </si>
  <si>
    <r>
      <rPr>
        <rFont val="Calibri"/>
        <color rgb="FF000000"/>
        <sz val="11.0"/>
      </rPr>
      <t>7</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</si>
  <si>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</si>
  <si>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</si>
  <si>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</si>
  <si>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</si>
  <si>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</si>
  <si>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</si>
  <si>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</si>
  <si>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</si>
  <si>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</si>
  <si>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</si>
  <si>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</si>
  <si>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</si>
  <si>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</si>
  <si>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</si>
  <si>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</si>
  <si>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</si>
  <si>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</si>
  <si>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</si>
  <si>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</si>
  <si>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</si>
  <si>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</si>
  <si>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</si>
  <si>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</si>
  <si>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</si>
  <si>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</si>
  <si>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</si>
  <si>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</si>
  <si>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</si>
  <si>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2</t>
    </r>
    <r>
      <rPr>
        <rFont val="&quot;맑은 고딕&quot;"/>
        <color rgb="FF000000"/>
        <sz val="11.0"/>
      </rPr>
      <t>조</t>
    </r>
  </si>
  <si>
    <t>Testability</t>
  </si>
  <si>
    <r>
      <rPr>
        <rFont val="Calibri"/>
        <color rgb="FF000000"/>
        <sz val="11.0"/>
      </rPr>
      <t>7</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</si>
  <si>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</si>
  <si>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</si>
  <si>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</si>
  <si>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</si>
  <si>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</si>
  <si>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</si>
  <si>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</si>
  <si>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</si>
  <si>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</si>
  <si>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</si>
  <si>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</si>
  <si>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</si>
  <si>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</si>
  <si>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</si>
  <si>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</si>
  <si>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</si>
  <si>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</si>
  <si>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</si>
  <si>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</si>
  <si>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</si>
  <si>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</si>
  <si>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</si>
  <si>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</si>
  <si>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</si>
  <si>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</si>
  <si>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</si>
  <si>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</si>
  <si>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</si>
  <si>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</si>
  <si>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9</t>
    </r>
    <r>
      <rPr>
        <rFont val="&quot;맑은 고딕&quot;"/>
        <color rgb="FF000000"/>
        <sz val="11.0"/>
      </rPr>
      <t>조</t>
    </r>
  </si>
  <si>
    <t>Usability</t>
  </si>
  <si>
    <r>
      <rPr>
        <rFont val="Calibri"/>
        <color rgb="FF000000"/>
        <sz val="11.0"/>
      </rPr>
      <t>9</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</si>
  <si>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</si>
  <si>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</si>
  <si>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</si>
  <si>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</si>
  <si>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</si>
  <si>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</si>
  <si>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</si>
  <si>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</si>
  <si>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</si>
  <si>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</si>
  <si>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</si>
  <si>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</si>
  <si>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</si>
  <si>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</si>
  <si>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</si>
  <si>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</si>
  <si>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</si>
  <si>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</si>
  <si>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</si>
  <si>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</si>
  <si>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</si>
  <si>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</si>
  <si>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</si>
  <si>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</si>
  <si>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</si>
  <si>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</si>
  <si>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</si>
  <si>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</si>
  <si>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</si>
  <si>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</si>
  <si>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</si>
  <si>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</si>
  <si>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</si>
  <si>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</si>
  <si>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</si>
  <si>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</si>
  <si>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</si>
  <si>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</si>
  <si>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</si>
  <si>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</si>
  <si>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</si>
  <si>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</si>
  <si>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</si>
  <si>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</si>
  <si>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</si>
  <si>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</si>
  <si>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</si>
  <si>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</si>
  <si>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</si>
  <si>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</si>
  <si>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</si>
  <si>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</si>
  <si>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</si>
  <si>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</si>
  <si>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t>Hierarchical</t>
  </si>
  <si>
    <t>Main-subroutine</t>
  </si>
  <si>
    <t>Master-Slave</t>
  </si>
  <si>
    <r>
      <rPr>
        <rFont val="Calibri"/>
        <color rgb="FF000000"/>
        <sz val="11.0"/>
      </rPr>
      <t>5</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</si>
  <si>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</si>
  <si>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6</t>
    </r>
    <r>
      <rPr>
        <rFont val="&quot;맑은 고딕&quot;"/>
        <color rgb="FF000000"/>
        <sz val="11.0"/>
      </rPr>
      <t>조</t>
    </r>
  </si>
  <si>
    <t>='1조'!C55</t>
  </si>
  <si>
    <t>='1조'!E55</t>
  </si>
  <si>
    <r>
      <rPr>
        <rFont val="Calibri"/>
        <color rgb="FF000000"/>
        <sz val="11.0"/>
      </rPr>
      <t>2</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</si>
  <si>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</si>
  <si>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</si>
  <si>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</si>
  <si>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</si>
  <si>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</si>
  <si>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</si>
  <si>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6</t>
    </r>
    <r>
      <rPr>
        <rFont val="&quot;맑은 고딕&quot;"/>
        <color rgb="FF000000"/>
        <sz val="11.0"/>
      </rPr>
      <t>조</t>
    </r>
  </si>
  <si>
    <t>Layered</t>
  </si>
  <si>
    <t>Virtual Machine</t>
  </si>
  <si>
    <t>Microkernel</t>
  </si>
  <si>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</si>
  <si>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</si>
  <si>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</si>
  <si>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</si>
  <si>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1</t>
    </r>
    <r>
      <rPr>
        <rFont val="&quot;맑은 고딕&quot;"/>
        <color rgb="FF000000"/>
        <sz val="11.0"/>
      </rPr>
      <t>조</t>
    </r>
  </si>
  <si>
    <t>='1조'!C68</t>
  </si>
  <si>
    <t>Distributed</t>
  </si>
  <si>
    <r>
      <rPr>
        <rFont val="Calibri"/>
        <color rgb="FF000000"/>
        <sz val="11.0"/>
      </rPr>
      <t>2</t>
    </r>
    <r>
      <rPr>
        <rFont val="&quot;맑은 고딕&quot;"/>
        <color rgb="FF000000"/>
        <sz val="11.0"/>
      </rPr>
      <t>조</t>
    </r>
  </si>
  <si>
    <t>='1조'!E68</t>
  </si>
  <si>
    <t>Multi-Tier</t>
  </si>
  <si>
    <t>='1조'!G68</t>
  </si>
  <si>
    <r>
      <rPr>
        <rFont val="Calibri"/>
        <color rgb="FF000000"/>
        <sz val="11.0"/>
      </rPr>
      <t>2</t>
    </r>
    <r>
      <rPr>
        <rFont val="&quot;맑은 고딕&quot;"/>
        <color rgb="FF000000"/>
        <sz val="11.0"/>
      </rPr>
      <t>조</t>
    </r>
  </si>
  <si>
    <t>Client-Server</t>
  </si>
  <si>
    <r>
      <rPr>
        <rFont val="Calibri"/>
        <color rgb="FF000000"/>
        <sz val="11.0"/>
      </rPr>
      <t>1</t>
    </r>
    <r>
      <rPr>
        <rFont val="&quot;맑은 고딕&quot;"/>
        <color rgb="FF000000"/>
        <sz val="11.0"/>
      </rPr>
      <t>조</t>
    </r>
  </si>
  <si>
    <t>='1조'!C56</t>
  </si>
  <si>
    <t>='1조'!E56</t>
  </si>
  <si>
    <t>1조</t>
  </si>
  <si>
    <r>
      <rPr>
        <rFont val="Calibri"/>
        <color rgb="FF000000"/>
        <sz val="11.0"/>
      </rPr>
      <t>3</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</si>
  <si>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</si>
  <si>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</si>
  <si>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t>2조</t>
  </si>
  <si>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</si>
  <si>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</si>
  <si>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4</t>
    </r>
    <r>
      <rPr>
        <rFont val="&quot;맑은 고딕&quot;"/>
        <color rgb="FF000000"/>
        <sz val="11.0"/>
      </rPr>
      <t>조</t>
    </r>
  </si>
  <si>
    <t>3조</t>
  </si>
  <si>
    <r>
      <rPr>
        <rFont val="Calibri"/>
        <color rgb="FF000000"/>
        <sz val="11.0"/>
      </rPr>
      <t>4</t>
    </r>
    <r>
      <rPr>
        <rFont val="&quot;맑은 고딕&quot;"/>
        <color rgb="FF000000"/>
        <sz val="11.0"/>
      </rPr>
      <t>조</t>
    </r>
  </si>
  <si>
    <t>4조</t>
  </si>
  <si>
    <r>
      <rPr>
        <rFont val="Calibri"/>
        <color rgb="FF000000"/>
        <sz val="11.0"/>
      </rPr>
      <t>5</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</si>
  <si>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</si>
  <si>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5</t>
    </r>
    <r>
      <rPr>
        <rFont val="&quot;맑은 고딕&quot;"/>
        <color rgb="FF000000"/>
        <sz val="11.0"/>
      </rPr>
      <t>조</t>
    </r>
  </si>
  <si>
    <t>5조</t>
  </si>
  <si>
    <t>6조</t>
  </si>
  <si>
    <r>
      <rPr>
        <rFont val="Calibri"/>
        <color rgb="FF000000"/>
        <sz val="11.0"/>
      </rPr>
      <t>6</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</si>
  <si>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</si>
  <si>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6</t>
    </r>
    <r>
      <rPr>
        <rFont val="&quot;맑은 고딕&quot;"/>
        <color rgb="FF000000"/>
        <sz val="11.0"/>
      </rPr>
      <t>조</t>
    </r>
  </si>
  <si>
    <t>7조</t>
  </si>
  <si>
    <t>8조</t>
  </si>
  <si>
    <r>
      <rPr>
        <rFont val="Calibri"/>
        <color rgb="FF000000"/>
        <sz val="11.0"/>
      </rPr>
      <t>7</t>
    </r>
    <r>
      <rPr>
        <rFont val="&quot;맑은 고딕&quot;"/>
        <color rgb="FF000000"/>
        <sz val="11.0"/>
      </rPr>
      <t>조</t>
    </r>
  </si>
  <si>
    <r>
      <rPr>
        <rFont val="Calibri"/>
        <color rgb="FF000000"/>
        <sz val="11.0"/>
      </rPr>
      <t>7</t>
    </r>
    <r>
      <rPr>
        <rFont val="&quot;맑은 고딕&quot;"/>
        <color rgb="FF000000"/>
        <sz val="11.0"/>
      </rPr>
      <t>조</t>
    </r>
  </si>
  <si>
    <t>9조</t>
  </si>
  <si>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</si>
  <si>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</si>
  <si>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</si>
  <si>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</si>
  <si>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</si>
  <si>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</si>
  <si>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</si>
  <si>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1</t>
    </r>
    <r>
      <rPr>
        <rFont val="&quot;맑은 고딕&quot;"/>
        <color rgb="FF000000"/>
        <sz val="11.0"/>
      </rPr>
      <t>조</t>
    </r>
  </si>
  <si>
    <t>='1조'!C57</t>
  </si>
  <si>
    <t>='1조'!E57</t>
  </si>
  <si>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</si>
  <si>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</si>
  <si>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</si>
  <si>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1</t>
    </r>
    <r>
      <rPr>
        <rFont val="&quot;맑은 고딕&quot;"/>
        <color rgb="FF000000"/>
        <sz val="11.0"/>
      </rPr>
      <t>조</t>
    </r>
  </si>
  <si>
    <t>='1조'!C69</t>
  </si>
  <si>
    <t>='1조'!E69</t>
  </si>
  <si>
    <t>='1조'!G69</t>
  </si>
  <si>
    <r>
      <rPr>
        <rFont val="Calibri"/>
        <color rgb="FF000000"/>
        <sz val="11.0"/>
      </rPr>
      <t>2</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</si>
  <si>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</si>
  <si>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</si>
  <si>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</si>
  <si>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</si>
  <si>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</si>
  <si>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</si>
  <si>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</si>
  <si>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</si>
  <si>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</si>
  <si>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</si>
  <si>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</si>
  <si>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</si>
  <si>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</si>
  <si>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</si>
  <si>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6</t>
    </r>
    <r>
      <rPr>
        <rFont val="&quot;맑은 고딕&quot;"/>
        <color rgb="FF000000"/>
        <sz val="11.0"/>
      </rPr>
      <t>조</t>
    </r>
  </si>
  <si>
    <r>
      <rPr>
        <rFont val="Calibri"/>
        <color theme="1"/>
        <sz val="11.0"/>
      </rPr>
      <t>1</t>
    </r>
    <r>
      <rPr>
        <rFont val="Arial"/>
        <color theme="1"/>
        <sz val="11.0"/>
      </rPr>
      <t>조</t>
    </r>
  </si>
  <si>
    <t>='1조'!C58</t>
  </si>
  <si>
    <r>
      <rPr>
        <rFont val="Calibri"/>
        <color rgb="FF000000"/>
        <sz val="11.0"/>
      </rPr>
      <t>7</t>
    </r>
    <r>
      <rPr>
        <rFont val="&quot;맑은 고딕&quot;"/>
        <color rgb="FF000000"/>
        <sz val="11.0"/>
      </rPr>
      <t>조</t>
    </r>
  </si>
  <si>
    <t>='1조'!E58</t>
  </si>
  <si>
    <r>
      <rPr>
        <rFont val="Calibri"/>
        <color theme="1"/>
        <sz val="11.0"/>
      </rPr>
      <t>2</t>
    </r>
    <r>
      <rPr>
        <rFont val="Arial"/>
        <color theme="1"/>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</si>
  <si>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</si>
  <si>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</si>
  <si>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theme="1"/>
        <sz val="11.0"/>
      </rPr>
      <t>3</t>
    </r>
    <r>
      <rPr>
        <rFont val="Arial"/>
        <color theme="1"/>
        <sz val="11.0"/>
      </rPr>
      <t>조</t>
    </r>
  </si>
  <si>
    <r>
      <rPr>
        <rFont val="Calibri"/>
        <color rgb="FF000000"/>
        <sz val="11.0"/>
      </rPr>
      <t>8</t>
    </r>
    <r>
      <rPr>
        <rFont val="&quot;맑은 고딕&quot;"/>
        <color rgb="FF000000"/>
        <sz val="11.0"/>
      </rPr>
      <t>조</t>
    </r>
  </si>
  <si>
    <r>
      <rPr>
        <rFont val="Calibri"/>
        <color theme="1"/>
        <sz val="11.0"/>
      </rPr>
      <t>4</t>
    </r>
    <r>
      <rPr>
        <rFont val="Arial"/>
        <color theme="1"/>
        <sz val="11.0"/>
      </rPr>
      <t>조</t>
    </r>
  </si>
  <si>
    <r>
      <rPr>
        <rFont val="Calibri"/>
        <color rgb="FF000000"/>
        <sz val="11.0"/>
      </rPr>
      <t>9</t>
    </r>
    <r>
      <rPr>
        <rFont val="&quot;맑은 고딕&quot;"/>
        <color rgb="FF000000"/>
        <sz val="11.0"/>
      </rPr>
      <t>조</t>
    </r>
  </si>
  <si>
    <r>
      <rPr>
        <rFont val="Calibri"/>
        <color theme="1"/>
        <sz val="11.0"/>
      </rPr>
      <t>5</t>
    </r>
    <r>
      <rPr>
        <rFont val="Arial"/>
        <color theme="1"/>
        <sz val="11.0"/>
      </rPr>
      <t>조</t>
    </r>
  </si>
  <si>
    <r>
      <rPr>
        <rFont val="Calibri"/>
        <color rgb="FF000000"/>
        <sz val="11.0"/>
      </rPr>
      <t>9</t>
    </r>
    <r>
      <rPr>
        <rFont val="&quot;맑은 고딕&quot;"/>
        <color rgb="FF000000"/>
        <sz val="11.0"/>
      </rPr>
      <t>조</t>
    </r>
  </si>
  <si>
    <r>
      <rPr>
        <rFont val="Calibri"/>
        <color theme="1"/>
        <sz val="11.0"/>
      </rPr>
      <t>6</t>
    </r>
    <r>
      <rPr>
        <rFont val="Arial"/>
        <color theme="1"/>
        <sz val="11.0"/>
      </rPr>
      <t>조</t>
    </r>
  </si>
  <si>
    <r>
      <rPr>
        <rFont val="Calibri"/>
        <color rgb="FF000000"/>
        <sz val="11.0"/>
      </rPr>
      <t>1</t>
    </r>
    <r>
      <rPr>
        <rFont val="&quot;맑은 고딕&quot;"/>
        <color rgb="FF000000"/>
        <sz val="11.0"/>
      </rPr>
      <t>조</t>
    </r>
  </si>
  <si>
    <r>
      <rPr>
        <rFont val="Calibri"/>
        <color theme="1"/>
        <sz val="11.0"/>
      </rPr>
      <t>7</t>
    </r>
    <r>
      <rPr>
        <rFont val="Arial"/>
        <color theme="1"/>
        <sz val="11.0"/>
      </rPr>
      <t>조</t>
    </r>
  </si>
  <si>
    <t>='1조'!C70</t>
  </si>
  <si>
    <t>='1조'!E70</t>
  </si>
  <si>
    <t>='1조'!G70</t>
  </si>
  <si>
    <r>
      <rPr>
        <rFont val="Calibri"/>
        <color rgb="FF000000"/>
        <sz val="11.0"/>
      </rPr>
      <t>2</t>
    </r>
    <r>
      <rPr>
        <rFont val="&quot;맑은 고딕&quot;"/>
        <color rgb="FF000000"/>
        <sz val="11.0"/>
      </rPr>
      <t>조</t>
    </r>
  </si>
  <si>
    <r>
      <rPr>
        <rFont val="Calibri"/>
        <color theme="1"/>
        <sz val="11.0"/>
      </rPr>
      <t>8</t>
    </r>
    <r>
      <rPr>
        <rFont val="Arial"/>
        <color theme="1"/>
        <sz val="11.0"/>
      </rPr>
      <t>조</t>
    </r>
  </si>
  <si>
    <r>
      <rPr>
        <rFont val="Calibri"/>
        <color theme="1"/>
        <sz val="11.0"/>
      </rPr>
      <t>9</t>
    </r>
    <r>
      <rPr>
        <rFont val="Arial"/>
        <color theme="1"/>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</si>
  <si>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</si>
  <si>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</si>
  <si>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1</t>
    </r>
    <r>
      <rPr>
        <rFont val="&quot;맑은 고딕&quot;"/>
        <color rgb="FF000000"/>
        <sz val="11.0"/>
      </rPr>
      <t>조</t>
    </r>
  </si>
  <si>
    <t>='1조'!C59</t>
  </si>
  <si>
    <t>='1조'!E59</t>
  </si>
  <si>
    <r>
      <rPr>
        <rFont val="Calibri"/>
        <color rgb="FF000000"/>
        <sz val="11.0"/>
      </rPr>
      <t>5</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</si>
  <si>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</si>
  <si>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</si>
  <si>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</si>
  <si>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</si>
  <si>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</si>
  <si>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</si>
  <si>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</si>
  <si>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</si>
  <si>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</si>
  <si>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</si>
  <si>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</si>
  <si>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</si>
  <si>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1</t>
    </r>
    <r>
      <rPr>
        <rFont val="&quot;맑은 고딕&quot;"/>
        <color rgb="FF000000"/>
        <sz val="11.0"/>
      </rPr>
      <t>조</t>
    </r>
  </si>
  <si>
    <t>='1조'!C60</t>
  </si>
  <si>
    <t>='1조'!E60</t>
  </si>
  <si>
    <r>
      <rPr>
        <rFont val="Calibri"/>
        <color rgb="FF000000"/>
        <sz val="11.0"/>
      </rPr>
      <t>2</t>
    </r>
    <r>
      <rPr>
        <rFont val="&quot;맑은 고딕&quot;"/>
        <color rgb="FF000000"/>
        <sz val="11.0"/>
      </rPr>
      <t>조</t>
    </r>
  </si>
  <si>
    <r>
      <rPr>
        <rFont val="Calibri"/>
        <color theme="1"/>
        <sz val="11.0"/>
      </rPr>
      <t>1</t>
    </r>
    <r>
      <rPr>
        <rFont val="Arial"/>
        <color theme="1"/>
        <sz val="11.0"/>
      </rPr>
      <t>조</t>
    </r>
  </si>
  <si>
    <r>
      <rPr>
        <rFont val="Calibri"/>
        <color rgb="FF000000"/>
        <sz val="11.0"/>
      </rPr>
      <t>3</t>
    </r>
    <r>
      <rPr>
        <rFont val="&quot;맑은 고딕&quot;"/>
        <color rgb="FF000000"/>
        <sz val="11.0"/>
      </rPr>
      <t>조</t>
    </r>
  </si>
  <si>
    <t>Broker</t>
  </si>
  <si>
    <t>='1조'!C71</t>
  </si>
  <si>
    <t>='1조'!E71</t>
  </si>
  <si>
    <t>Dispatcher</t>
  </si>
  <si>
    <t>='1조'!G71</t>
  </si>
  <si>
    <r>
      <rPr>
        <rFont val="Calibri"/>
        <color theme="1"/>
        <sz val="11.0"/>
      </rPr>
      <t>2</t>
    </r>
    <r>
      <rPr>
        <rFont val="Arial"/>
        <color theme="1"/>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</si>
  <si>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</si>
  <si>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</si>
  <si>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theme="1"/>
        <sz val="11.0"/>
      </rPr>
      <t>3</t>
    </r>
    <r>
      <rPr>
        <rFont val="Arial"/>
        <color theme="1"/>
        <sz val="11.0"/>
      </rPr>
      <t>조</t>
    </r>
  </si>
  <si>
    <r>
      <rPr>
        <rFont val="Calibri"/>
        <color rgb="FF000000"/>
        <sz val="11.0"/>
      </rPr>
      <t>6</t>
    </r>
    <r>
      <rPr>
        <rFont val="&quot;맑은 고딕&quot;"/>
        <color rgb="FF000000"/>
        <sz val="11.0"/>
      </rPr>
      <t>조</t>
    </r>
  </si>
  <si>
    <r>
      <rPr>
        <rFont val="Calibri"/>
        <color theme="1"/>
        <sz val="11.0"/>
      </rPr>
      <t>4</t>
    </r>
    <r>
      <rPr>
        <rFont val="Arial"/>
        <color theme="1"/>
        <sz val="11.0"/>
      </rPr>
      <t>조</t>
    </r>
  </si>
  <si>
    <r>
      <rPr>
        <rFont val="Calibri"/>
        <color rgb="FF000000"/>
        <sz val="11.0"/>
      </rPr>
      <t>7</t>
    </r>
    <r>
      <rPr>
        <rFont val="&quot;맑은 고딕&quot;"/>
        <color rgb="FF000000"/>
        <sz val="11.0"/>
      </rPr>
      <t>조</t>
    </r>
  </si>
  <si>
    <r>
      <rPr>
        <rFont val="Calibri"/>
        <color theme="1"/>
        <sz val="11.0"/>
      </rPr>
      <t>5</t>
    </r>
    <r>
      <rPr>
        <rFont val="Arial"/>
        <color theme="1"/>
        <sz val="11.0"/>
      </rPr>
      <t>조</t>
    </r>
  </si>
  <si>
    <r>
      <rPr>
        <rFont val="Calibri"/>
        <color rgb="FF000000"/>
        <sz val="11.0"/>
      </rPr>
      <t>8</t>
    </r>
    <r>
      <rPr>
        <rFont val="&quot;맑은 고딕&quot;"/>
        <color rgb="FF000000"/>
        <sz val="11.0"/>
      </rPr>
      <t>조</t>
    </r>
  </si>
  <si>
    <r>
      <rPr>
        <rFont val="Calibri"/>
        <color theme="1"/>
        <sz val="11.0"/>
      </rPr>
      <t>6</t>
    </r>
    <r>
      <rPr>
        <rFont val="Arial"/>
        <color theme="1"/>
        <sz val="11.0"/>
      </rPr>
      <t>조</t>
    </r>
  </si>
  <si>
    <r>
      <rPr>
        <rFont val="Calibri"/>
        <color rgb="FF000000"/>
        <sz val="11.0"/>
      </rPr>
      <t>9</t>
    </r>
    <r>
      <rPr>
        <rFont val="&quot;맑은 고딕&quot;"/>
        <color rgb="FF000000"/>
        <sz val="11.0"/>
      </rPr>
      <t>조</t>
    </r>
  </si>
  <si>
    <r>
      <rPr>
        <rFont val="Calibri"/>
        <color theme="1"/>
        <sz val="11.0"/>
      </rPr>
      <t>7</t>
    </r>
    <r>
      <rPr>
        <rFont val="Arial"/>
        <color theme="1"/>
        <sz val="11.0"/>
      </rPr>
      <t>조</t>
    </r>
  </si>
  <si>
    <r>
      <rPr>
        <rFont val="Calibri"/>
        <color theme="1"/>
        <sz val="11.0"/>
      </rPr>
      <t>8</t>
    </r>
    <r>
      <rPr>
        <rFont val="Arial"/>
        <color theme="1"/>
        <sz val="11.0"/>
      </rPr>
      <t>조</t>
    </r>
  </si>
  <si>
    <r>
      <rPr>
        <rFont val="Calibri"/>
        <color rgb="FF000000"/>
        <sz val="11.0"/>
      </rPr>
      <t>1</t>
    </r>
    <r>
      <rPr>
        <rFont val="&quot;맑은 고딕&quot;"/>
        <color rgb="FF000000"/>
        <sz val="11.0"/>
      </rPr>
      <t>조</t>
    </r>
  </si>
  <si>
    <t>='1조'!C61</t>
  </si>
  <si>
    <t>='1조'!E61</t>
  </si>
  <si>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</si>
  <si>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</si>
  <si>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theme="1"/>
        <sz val="11.0"/>
      </rPr>
      <t>9</t>
    </r>
    <r>
      <rPr>
        <rFont val="Arial"/>
        <color theme="1"/>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</si>
  <si>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</si>
  <si>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</si>
  <si>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</si>
  <si>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1</t>
    </r>
    <r>
      <rPr>
        <rFont val="&quot;맑은 고딕&quot;"/>
        <color rgb="FF000000"/>
        <sz val="11.0"/>
      </rPr>
      <t>조</t>
    </r>
  </si>
  <si>
    <t>='1조'!C72</t>
  </si>
  <si>
    <r>
      <rPr>
        <rFont val="Calibri"/>
        <color rgb="FF000000"/>
        <sz val="11.0"/>
      </rPr>
      <t>7</t>
    </r>
    <r>
      <rPr>
        <rFont val="&quot;맑은 고딕&quot;"/>
        <color rgb="FF000000"/>
        <sz val="11.0"/>
      </rPr>
      <t>조</t>
    </r>
  </si>
  <si>
    <t>='1조'!E72</t>
  </si>
  <si>
    <t>='1조'!G72</t>
  </si>
  <si>
    <r>
      <rPr>
        <rFont val="Calibri"/>
        <color rgb="FF000000"/>
        <sz val="11.0"/>
      </rPr>
      <t>2</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</si>
  <si>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</si>
  <si>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</si>
  <si>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</si>
  <si>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</si>
  <si>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1</t>
    </r>
    <r>
      <rPr>
        <rFont val="&quot;맑은 고딕&quot;"/>
        <color rgb="FF000000"/>
        <sz val="11.0"/>
      </rPr>
      <t>조</t>
    </r>
  </si>
  <si>
    <t>='1조'!C62</t>
  </si>
  <si>
    <t>='1조'!E62</t>
  </si>
  <si>
    <r>
      <rPr>
        <rFont val="Calibri"/>
        <color rgb="FF000000"/>
        <sz val="11.0"/>
      </rPr>
      <t>2</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</si>
  <si>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</si>
  <si>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</si>
  <si>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</si>
  <si>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</si>
  <si>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</si>
  <si>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</si>
  <si>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</si>
  <si>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</si>
  <si>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</si>
  <si>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</si>
  <si>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</si>
  <si>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</si>
  <si>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1</t>
    </r>
    <r>
      <rPr>
        <rFont val="&quot;맑은 고딕&quot;"/>
        <color rgb="FF000000"/>
        <sz val="11.0"/>
      </rPr>
      <t>조</t>
    </r>
  </si>
  <si>
    <t>='1조'!C63</t>
  </si>
  <si>
    <r>
      <rPr>
        <rFont val="Calibri"/>
        <color rgb="FF000000"/>
        <sz val="11.0"/>
      </rPr>
      <t>1</t>
    </r>
    <r>
      <rPr>
        <rFont val="&quot;맑은 고딕&quot;"/>
        <color rgb="FF000000"/>
        <sz val="11.0"/>
      </rPr>
      <t>조</t>
    </r>
  </si>
  <si>
    <t>='1조'!E63</t>
  </si>
  <si>
    <r>
      <rPr>
        <rFont val="Calibri"/>
        <color rgb="FF000000"/>
        <sz val="11.0"/>
      </rPr>
      <t>2</t>
    </r>
    <r>
      <rPr>
        <rFont val="&quot;맑은 고딕&quot;"/>
        <color rgb="FF000000"/>
        <sz val="11.0"/>
      </rPr>
      <t>조</t>
    </r>
  </si>
  <si>
    <t>='1조'!C73</t>
  </si>
  <si>
    <t>='1조'!E73</t>
  </si>
  <si>
    <t>='1조'!G73</t>
  </si>
  <si>
    <r>
      <rPr>
        <rFont val="Calibri"/>
        <color rgb="FF000000"/>
        <sz val="11.0"/>
      </rPr>
      <t>3</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</si>
  <si>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</si>
  <si>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</si>
  <si>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</si>
  <si>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</si>
  <si>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</si>
  <si>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</si>
  <si>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7</t>
    </r>
    <r>
      <rPr>
        <rFont val="&quot;맑은 고딕&quot;"/>
        <color rgb="FF000000"/>
        <sz val="11.0"/>
      </rPr>
      <t>조</t>
    </r>
  </si>
  <si>
    <t>SOA</t>
  </si>
  <si>
    <t>Micro-service</t>
  </si>
  <si>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</si>
  <si>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</si>
  <si>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</si>
  <si>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</si>
  <si>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1</t>
    </r>
    <r>
      <rPr>
        <rFont val="&quot;맑은 고딕&quot;"/>
        <color rgb="FF000000"/>
        <sz val="11.0"/>
      </rPr>
      <t>조</t>
    </r>
  </si>
  <si>
    <t>='1조'!C64</t>
  </si>
  <si>
    <t>='1조'!E64</t>
  </si>
  <si>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</si>
  <si>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</si>
  <si>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</si>
  <si>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</si>
  <si>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</si>
  <si>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</si>
  <si>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</si>
  <si>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</si>
  <si>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</si>
  <si>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</si>
  <si>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</si>
  <si>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1</t>
    </r>
    <r>
      <rPr>
        <rFont val="&quot;맑은 고딕&quot;"/>
        <color rgb="FF000000"/>
        <sz val="11.0"/>
      </rPr>
      <t>조</t>
    </r>
  </si>
  <si>
    <t>='1조'!C74</t>
  </si>
  <si>
    <t>='1조'!E74</t>
  </si>
  <si>
    <t>='1조'!G74</t>
  </si>
  <si>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</si>
  <si>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</si>
  <si>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</si>
  <si>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</si>
  <si>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</si>
  <si>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</si>
  <si>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</si>
  <si>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t>Deployment</t>
  </si>
  <si>
    <t>Container-based</t>
  </si>
  <si>
    <t>Cloud-based</t>
  </si>
  <si>
    <r>
      <rPr>
        <rFont val="Calibri"/>
        <color rgb="FF000000"/>
        <sz val="11.0"/>
      </rPr>
      <t>9</t>
    </r>
    <r>
      <rPr>
        <rFont val="&quot;맑은 고딕&quot;"/>
        <color rgb="FF000000"/>
        <sz val="11.0"/>
      </rPr>
      <t>조</t>
    </r>
  </si>
  <si>
    <t>Edge-based</t>
  </si>
  <si>
    <r>
      <rPr>
        <rFont val="Calibri"/>
        <color rgb="FF000000"/>
        <sz val="11.0"/>
      </rPr>
      <t>1</t>
    </r>
    <r>
      <rPr>
        <rFont val="&quot;맑은 고딕&quot;"/>
        <color rgb="FF000000"/>
        <sz val="11.0"/>
      </rPr>
      <t>조</t>
    </r>
  </si>
  <si>
    <t>='1조'!C75</t>
  </si>
  <si>
    <t>='1조'!E75</t>
  </si>
  <si>
    <t>='1조'!G75</t>
  </si>
  <si>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</si>
  <si>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</si>
  <si>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t>Data Flow</t>
  </si>
  <si>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</si>
  <si>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</si>
  <si>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</si>
  <si>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</si>
  <si>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t>Shared Respository</t>
  </si>
  <si>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</si>
  <si>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</si>
  <si>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1</t>
    </r>
    <r>
      <rPr>
        <rFont val="&quot;맑은 고딕&quot;"/>
        <color rgb="FF000000"/>
        <sz val="11.0"/>
      </rPr>
      <t>조</t>
    </r>
  </si>
  <si>
    <t>='1조'!C76</t>
  </si>
  <si>
    <t>='1조'!E76</t>
  </si>
  <si>
    <t>='1조'!G76</t>
  </si>
  <si>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</si>
  <si>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</si>
  <si>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</si>
  <si>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</si>
  <si>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</si>
  <si>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t>Multi-tier</t>
  </si>
  <si>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</si>
  <si>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</si>
  <si>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t>Microservice</t>
  </si>
  <si>
    <r>
      <rPr>
        <rFont val="Calibri"/>
        <color rgb="FF000000"/>
        <sz val="11.0"/>
      </rPr>
      <t>9</t>
    </r>
    <r>
      <rPr>
        <rFont val="&quot;맑은 고딕&quot;"/>
        <color rgb="FF000000"/>
        <sz val="11.0"/>
      </rPr>
      <t>조</t>
    </r>
  </si>
  <si>
    <r>
      <rPr>
        <rFont val="Calibri"/>
        <color rgb="FF000000"/>
        <sz val="11.0"/>
      </rPr>
      <t>1</t>
    </r>
    <r>
      <rPr>
        <rFont val="&quot;맑은 고딕&quot;"/>
        <color rgb="FF000000"/>
        <sz val="11.0"/>
      </rPr>
      <t>조</t>
    </r>
  </si>
  <si>
    <t>='1조'!C77</t>
  </si>
  <si>
    <t>='1조'!E77</t>
  </si>
  <si>
    <t>='1조'!G77</t>
  </si>
  <si>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</si>
  <si>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</si>
  <si>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</si>
  <si>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</si>
  <si>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</si>
  <si>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</si>
  <si>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</si>
  <si>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</si>
  <si>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t>--</t>
  </si>
  <si>
    <t>각 컴포넌트에서 장애가 발생시 전체 data flow의 중단으로 이어질 수 있다</t>
  </si>
  <si>
    <t>+</t>
  </si>
  <si>
    <t>Pipe에 Buffer/Queue를 적용하면 장애 격리 및 재처리 가능</t>
  </si>
  <si>
    <t>++</t>
  </si>
  <si>
    <t>앞에 단계가 끝나야 다음 단계이므로 한 단계 실패 시 전체 중단, 복구도 오래 걸림</t>
  </si>
  <si>
    <t>Controller가 Process의 상태를 지속적으로 확인하고 장애나 상태 변화에 동적으로 대응할 수 있음</t>
  </si>
  <si>
    <t/>
  </si>
  <si>
    <t>단계별 독립 배포가 가능하다. 다만 단계간 결합도가 낮을수록 배포가 쉬워진다</t>
  </si>
  <si>
    <t>0</t>
  </si>
  <si>
    <t>장애시 피드백 루프 자체는 동작 가능하지만, 컨트롤러 장애 시 제어 불능 상태가 됨</t>
  </si>
  <si>
    <t>전체 파이프라인이 하나로 묶여 있어 부분 배포와 롤백이 어려움</t>
  </si>
  <si>
    <t>각 필터가 독립적인 컴포넌트로 분리되어 있고, 파이프의 표준 인터페이스를 준수하므로 특정 필터만 개별적으로 무중단 배포하기 용이함</t>
  </si>
  <si>
    <t>-</t>
  </si>
  <si>
    <t>런타임 제어가 중단되면 물리적/시스템적 위험이 생길 수 있으므로, 제어 루프가 도는 도중에 무중단 배포를 적용하기가 까다로움. 또한 Controller의 제어 로직을 변경하면 Process의 동작에 영향</t>
  </si>
  <si>
    <t>interface가 잘 정의되어 있다면 입력-&gt;처리-&gt;출력 형태로 명확하게 나눌수있기에 integrability가 높다.</t>
  </si>
  <si>
    <t>파이프를 흐르는 데이터의 인터페이스가 표준화되어 있어, 
 서로 다른 언어/기술로 작성된 새로운 필터나 외부 시스템을 파이프라인 중간에 쉽게 끼워 넣을 수 있음</t>
  </si>
  <si>
    <t>sensor, Controller, Process, Actuator 간 명확한 Interface가 중요. 장치별 Protocol이나 데이터 형식에 강하게 의존하면 통합성이 떨어짐</t>
  </si>
  <si>
    <t>동시 자원사용량을 낮출 수 있고 과도한 컴퓨팅 자원 사용을 줄일 수 있으나, sequential 구조로 처리시간이 길어지므로 소비된 총 에너지는 크게 유리하지 않음.</t>
  </si>
  <si>
    <t>하드웨어(센서/액추에이터)와 제어 로직이 긴밀히 결합되어 있어 독립 배포가 어려움</t>
  </si>
  <si>
    <t>Filter 병렬화로 처리시간 단축 가능하지만 동시 실행으로 자원 소비 증가</t>
  </si>
  <si>
    <t>단계 간 강한 순서와 데이터 의존성으로 신규 컴포넌트 끼워넣기 어려움</t>
  </si>
  <si>
    <t>시스템의 현재 상태를 보고 필요한 만큼만 자원을 사용할 수 있습니다.</t>
  </si>
  <si>
    <t>하드웨어(센서/액추에이터)가 표준 인터페이스를 따르면 교체 가능하나, 제어 루프의 재구성은 쉽지 않음</t>
  </si>
  <si>
    <t>유휴 없이 몰아서 처리하므로 자원 활용률 높다</t>
  </si>
  <si>
    <t>데이터의 형식이 고정되어 있는상태에서 개별 단계 로직 변경은 쉬우나 데이터 구조(형태)가 바뀌는 경우엔 변경 용이성이 떨어짐</t>
  </si>
  <si>
    <t>필터 간 직접적인 의존성이 없고 오직 파이프와만 통신하므로, 
 파이프라인에 새로운 필터를 추가·제거·재배치하기가 매우 쉬우나 데이터 공통구조(형태)가 수정되는 경우 전체 필터에 영향이 있음</t>
  </si>
  <si>
    <t>지속적인 센싱과 연산이 필요한 구조라 유휴 상태 없이 상시 자원 소모함</t>
  </si>
  <si>
    <t>제어기(Controller) 내부의 제어 로직을 교체하는 것은 독립 모듈로 가능하나
 제어 변수나 목표 값(Set Point)을 변경할 경우, 피드백 루프 전체의 안정성(Stability)에 영향을 주기 때문에 시스템 전체의 응답 특성을 재조정하여야하는 문제가 있음.</t>
  </si>
  <si>
    <t>단계별로 분리돼 있어 특정 단계 로직 교체는 비교적 쉬움</t>
  </si>
  <si>
    <t>각 단계가 이전 단계가 완료가 되어야 실행이 되기 때문에 latency가 매우 높다</t>
  </si>
  <si>
    <t>제어 로직 변경 시 전체 의존성 변경으로 변경 범위가 큼</t>
  </si>
  <si>
    <t>Filter 병렬화 및 Pipeline Processing 가능하지만 파이프간 데이터가 이동할 때 오버헤드가 많을 수도 있음.</t>
  </si>
  <si>
    <t>대용량 데이터 일괄 처리에 최적화된 구조</t>
  </si>
  <si>
    <t>실시간 상태를 기반으로 동적으로 제어할 수 있기 때문에 Performance에 유리합니다</t>
  </si>
  <si>
    <t>실행 순서와 주기 제어로 빠른응답, 실시간 제어, 성능 예측 가능함</t>
  </si>
  <si>
    <t>각 단계가 순차적으로 실행되기 때문에 각 단계에서 결과를 검증하고 문제가 있으면 다음 단계로 진행하지 않도록 제어하기 쉬움</t>
  </si>
  <si>
    <t>실행 흐름이 예측 가능해 오작동 추적은 쉽지만, 부분 실패 격리가 어려움</t>
  </si>
  <si>
    <t>Filter별 Validation 및 오류 격리가 가능하지만 잘못된 데이터가 Pipeline을 따라 전파될 수 있음</t>
  </si>
  <si>
    <t>시스템이 위험 범위(Critical Condition)를 벗어나지 않도록 감시하고 제어하는 것이 본래 목적이므로 안전성이 가장 뛰어난 아키텍처</t>
  </si>
  <si>
    <t>상태 감시와 제한 조건 설정으로 위험한 동작 방지 가능함</t>
  </si>
  <si>
    <t>단계별 접근 통제는 가능하나, 보안 메커니즘을 내장하진 않고 있음</t>
  </si>
  <si>
    <t>단순한 시퀀셜한 구조로 인해 권한 관리 및 감사 추적은 유리하나, 중간 저장 매체로 인한 데이터 유출 공격 포인트가 넓음</t>
  </si>
  <si>
    <t>Processing Unit, Control Unit으로의 보안 공격으로 시스템 전체가 위험해질 수 있음</t>
  </si>
  <si>
    <t>Filter별 접근통제 및 데이터 보호 가능하지만 Pipe 구간과 중간 데이터 보호 필요</t>
  </si>
  <si>
    <t>각 단계를 독립적 입출력으로 분리 테스트 가능</t>
  </si>
  <si>
    <t>피드백 루프나 센서 데이터가 조작될 경우 물리적 파괴나 시스템 마비가 가능</t>
  </si>
  <si>
    <t>전체 Data Flow를 실행하지 않고 특정 Batch의 입력과 출력만 검증할 수 있기에</t>
  </si>
  <si>
    <t>Processing Unit, Control Unit의 단위테스트는 용이하나, 실시간 피드백과 타이밍 의존성 때문에 전체 통합테스트는 쉽지 않음</t>
  </si>
  <si>
    <t>표준 입출력을 가지므로 특정 필터만 떼어내어 Mock 데이터로 단위 테스트(Unit Test)를 수행하기가 쉬우나 비동기/동기가 섞여있으므로 전체 파이프라인 레이스 조건/타임아웃 테스트는 재현이 어려움</t>
  </si>
  <si>
    <t>사용자와의 실시간 상호작용이 없는 구조, 사람이 개입할 여지 적음</t>
  </si>
  <si>
    <t>외부 환경의 오차(Noise, 외란)에 따른 피드백 반응을 모든 케이스별로 재현하기 까다롭습니다.</t>
  </si>
  <si>
    <t>사람이 직접 조작하는 구조가 아님</t>
  </si>
  <si>
    <t>데이터 처리가 순차적으로 수행되므로 처리 완료까지의 대기시간이 증가할 수 있어 즉각적인 사용자 응답 측면에서는 불리. 
 그러나 처리 진행상태, 오류 발생시 오류 발생 단계를 제공할 수 있어 사용성을 향상시킬 수 있음</t>
  </si>
  <si>
    <t>입력이나 변경 발생 시 밀리초~초 단위로 결과가 대시보드나 화면에 반영되므로 대기 시간이 없어 최상의 사용자 경험을 제공</t>
  </si>
  <si>
    <t>환경 변화에 즉각 대응하므로 사용자가 느끼는 시스템의 반응성이 뛰어남</t>
  </si>
  <si>
    <t>sequence 중 하나라도 에러가 발생하면 모든 시스템이 먹통이 된다</t>
  </si>
  <si>
    <t>항상 같은 sequence가 반복되기 때문에 input에 따른 동작, 시간, 비용 예측이 쉬울 것 같다</t>
  </si>
  <si>
    <t>sequence가 정해져 있어서 다른 시스템, 컴포넌트와 통합되기 힘들어 보인다</t>
  </si>
  <si>
    <t>특별히 에너지와 관계 없어 보인다</t>
  </si>
  <si>
    <t>각 프로그램이 독립적이기 때문에 수정이 용이할 것 같지만
앞 시퀀스의 파일 변경이 뒤 시퀀스에 영향을 줄 수도 있을 것 같아 + -</t>
  </si>
  <si>
    <t>앞 동작이 끝나야 뒤 동작이 수행되기 때문에 성능이 안좋을 것 같다</t>
  </si>
  <si>
    <t>Availability와 관련되어 한가지 component만 망가져도 피해가 클 것 같다.</t>
  </si>
  <si>
    <t>중간중간의 input/output file이 탈취가 쉬울 것 같다..(?)</t>
  </si>
  <si>
    <t>각 component가 독립적이기 때문에 test가 쉬울 것 같고 알맞은 input만 구비되면 될 것 같다</t>
  </si>
  <si>
    <t>모든 시퀀스를 거친 결과가 항상 예상범주 안에 있을 것이고 원하는 결과를 얻기 쉬울 것 같다</t>
  </si>
  <si>
    <t>Repository에 문제가 생기면 모든 client의 동작이 마비된다.</t>
  </si>
  <si>
    <t>한 component의 변경이 시스템 전체에 영향을 미칠 수 있고 배포 용이성에 영향을 미친다.</t>
  </si>
  <si>
    <t>repository의 있는 그대로를 사용하는 client가 추가되는 것이 쉽기 때문에
통합 용이성은 좋다.</t>
  </si>
  <si>
    <t>repository 하나를 공유하며 각 client가 독립적이기 때문에
낭비가 적어 에너지 효율성은 좋을 것 같다.</t>
  </si>
  <si>
    <t>deployability와 마찬가지로 한 component의 변경이 시스템 전체에 영향을 미칠 수 있음</t>
  </si>
  <si>
    <t>component간의 호출 없이 repo와만 소통하기 때문에 성능에서 장점을 취할 수 있다.
하지만 repo가 병목인 상황이라면 좋지 않을 수 있다</t>
  </si>
  <si>
    <t>repo의 오류가 전체 시스템에 영향을 미치고 데이터 유실 가능성이 있기 때문에
safety 측면에서 안좋을 것 같음</t>
  </si>
  <si>
    <t>repository의 수정이 여러 client에 의해 가능하다는 점에서 보안 측면에서 안좋을 것 같음(권한 관리 문제 등)</t>
  </si>
  <si>
    <t>각 client의 테스트 시 repository가 포함되어야 하기 때문에 test가 어려움</t>
  </si>
  <si>
    <t>client가 원하는 동작을 repo 대상으로 그냥 하면 되기 때문에 사용성이 좋다</t>
  </si>
  <si>
    <t>서버 이중화로 개선 가능하나, 기본 구조는 서버가 단일 장애점이라서 문제 가능성 있음</t>
  </si>
  <si>
    <t>클라이언트와 서버가 독립 배포 가능함</t>
  </si>
  <si>
    <t>표준 프로토콜로 통신하므로 새 클라이언트와 서버 추가가 비교적 쉬움</t>
  </si>
  <si>
    <t>네트워크 통신 오버헤드가 발생하나, 클라이언트가 가벼우면 전체적으로 효율적임</t>
  </si>
  <si>
    <t>클라이언트와 서버 경계가 명확해 서버 로직 변경이 클라이언트에 영향 적음</t>
  </si>
  <si>
    <t>서버의 중앙 처리 효율은 높지만 네트워크 지연 발생함</t>
  </si>
  <si>
    <t>서버 측에서 중앙 집중적으로 검증과 통제 가능하지만 통신장애 발생함</t>
  </si>
  <si>
    <t>서버가 중앙 집중식 인증과 접근 제어로 보안 관리 용이함</t>
  </si>
  <si>
    <t>클라이언트와 서버를 독립적으로 각각 격리 테스트 가능함</t>
  </si>
  <si>
    <t>클라이언트가 사용자 인터페이스를 제공함</t>
  </si>
  <si>
    <t>Tier별로 서버를 분리하고 여러 인스턴스를 운영하면 장애를 격리하고 이중화하기 좋다. 특히 Application Tier를 여러 대로 구성하면 일부 서버 장애에도 서비스 지속이 가능하다. 다만 특정 Tier가 단일 장애점(SPOF)이 되면 전체 서비스가 영향을 받을 수 있다.</t>
  </si>
  <si>
    <t>각 Tier가 독립적으로 배포될 수 있어 변경 범위를 제한하기 쉽다. 예를 들어 Presentation Tier와 Data Tier를 별도로 배포할 수 있다. 반면 Tier 간 인터페이스나 버전 의존성이 있으면 동시 배포가 필요할 수 있다.</t>
  </si>
  <si>
    <t>Tier 사이에 명확한 인터페이스/API를 두기 때문에 외부 시스템이나 다른 컴포넌트와 통합하기 좋다.</t>
  </si>
  <si>
    <t>물리적으로 분리된 노드 간 네트워크 통신이 빈번하게 발생하여, 단일 프로세스 기반 아키텍처에 비해 네트워크 장비 및 서버의 전력 소모량이 큼.</t>
  </si>
  <si>
    <t>관심사를 Tier별로 분리하기 때문에 한 영역의 변경이 다른 영역에 미치는 영향을 줄일 수 있다. 다만 Tier 간 인터페이스/API 변경은 연쇄적인 수정이 필요할 수 있다.</t>
  </si>
  <si>
    <t>Tier 간 네트워크 호출이 증가하고 데이터 serialization/deserialization 등의 비용이 발생하므로 단일 프로세스 구조보다 latency가 증가할 수 있다</t>
  </si>
  <si>
    <t>데이터 계층과 비즈니스 로직이 분리되어 있어 특정 계층의 장애나 오류가 전체 시스템의 치명적인 붕괴로 이어지는 것을 막는 격리(Fault Isolation) 능력이 우수함.</t>
  </si>
  <si>
    <t>계층화된 방어(Defense in Depth)가 가능함. 프레젠테이션 계층은 DMZ에 배치하고, 데이터 계층은 내부망에 격리하며, 계층 간 방화벽 및 접근 제어 정책을 강력하게 적용할 수 있음</t>
  </si>
  <si>
    <t>각 Tier의 책임이 비교적 명확하므로 Presentation, Business, Data 계층을 개별적으로 테스트하기 쉽다. Mock/Stub을 이용해 Tier 간 의존성을 대체할 수도 있다. 다만 실제 분산 환경에서의 통합 테스트는 복잡해진다.</t>
  </si>
  <si>
    <t>Mico-Service</t>
  </si>
  <si>
    <t>Multi-tier 자체가 사용자 경험을 직접 향상시키는 Architecture Style은 아니다. 다만 Presentation Tier를 독립적으로 발전시키고 Backend와 분리할 수 있어 UI/UX 개선에는 유리하다. 반면 추가적인 네트워크 latency가 UX에 영향을 줄 수 있다</t>
  </si>
  <si>
    <t>하나의 processing step이 fault 발생시 의존하는 다른 step이 진행될 수가 없음</t>
  </si>
  <si>
    <t>중앙 서버와 네트워크 연결이 끊겨도 엣지 노드가 로컬에서 자체 동작 가능함</t>
  </si>
  <si>
    <t>수많은 분산 엣지 디바이스에 업데이트를 배포하고 관리하는 것이 매우 복잡함</t>
  </si>
  <si>
    <t>디바이스 종류와 프로토콜이 이기종이라면 표준화 없이는 통합이 어려움</t>
  </si>
  <si>
    <t>데이터 전송량은 줄지만, Edge 장치의 연산과 전력 사용이 발생함</t>
  </si>
  <si>
    <t>순차적으로 실행되기 때문에 전체 수행시간이 예측 가능함. 하지만 수행시간이 너무 긴 작업일 경우 제한된 운영 환경에서는 이식되기 어려울 수 있음.</t>
  </si>
  <si>
    <t>로직 변경 시 분산된 모든 엣지 노드에 일관되게 반영해야 함</t>
  </si>
  <si>
    <t>데이터 발생 지점 근처에서 즉시 처리하여 클라우드 왕복 없이 초저지연을 실현함</t>
  </si>
  <si>
    <t>파일 기반으로 커넥터를 사용하기 때문에 외부 시스템에 요구하는 입출력 포맷 연동이 상대적으로 수월</t>
  </si>
  <si>
    <t>네트워크 단절 상황에서도 로컬에서 즉시 안전 대응 가능함</t>
  </si>
  <si>
    <t>Utilization이라는 측면을 고려했을 때 시스템 자원 사용성이 순차실행이기 때문에 떨어질 수 있음.</t>
  </si>
  <si>
    <t>물리적으로 노출된 다수의 디바이스가 공격 대상이 됨</t>
  </si>
  <si>
    <t>이기종과 분산 환경 특성상 동일 조건 재현과 전수 테스트가 어려움</t>
  </si>
  <si>
    <t>실행되는 step의 입력 데이터와 출력 데이터 간의 파일 형식만 맞추면 다른 형태로 쉽게 교체가 가능함</t>
  </si>
  <si>
    <t>대부분 임베디드와 백그라운드 동작이라 사용자 대면 UI 개념이 약함</t>
  </si>
  <si>
    <t>병렬성이 떨어지기 때문에 성능상으로는 이점이 적음</t>
  </si>
  <si>
    <t>전체 동작 중에 하나만 fault가 발생해도 전체의 fault로 이어짐</t>
  </si>
  <si>
    <t>시스템 구조가 단순하고 각 step이 강하게 결합되어 있고 각 정보를 담당하는 부분이 명확하게 식별 가능하기 때문에 target 분석이 쉬움</t>
  </si>
  <si>
    <t>지리적으로 분산된 수많은 엣지 기기 및 노드에 소프트웨어 업데이트(OTA 등)를 일괄 적용하고 버전 정합성을 유지하기가 매우 복잡함.</t>
  </si>
  <si>
    <t>Edge와 중앙 시스템, 다른 Edge 간 통합이 필요하다. 서로 다른 환경/네트워크에서 동작하기 때문에 중앙 집중형보다 integration 관리가 복잡할 수 있다.</t>
  </si>
  <si>
    <t xml:space="preserve">	단일 공유 블랙보드가 단일 장애점</t>
  </si>
  <si>
    <t>대용량의 원시 데이터를 원격 데이터센터까지 전송할 필요 없이 로컬에서 필터링 및 처리하므로 장거리 네트워크 통신에 소모되는 에너지를 크게 절감함.</t>
  </si>
  <si>
    <t>모든 지식원이 블랙보드/제어 컴포넌트에 강결합</t>
  </si>
  <si>
    <t>외부 컴포넌트도 또다른 Data Client로 추가하기 용이하다.</t>
  </si>
  <si>
    <t>Edge마다 다른 환경이나 버전이 존재할 수 있어서 변경 사항을 전체 Edge에 적용하기 어렵다. 중앙 시스템 하나를 수정하는 것보다 관리가 복잡해질 수 있다.</t>
  </si>
  <si>
    <t>제어 컴포넌트의 지속적 폴링/모니터링 오버헤드</t>
  </si>
  <si>
    <t>사용자나 데이터 생성 지점과 물리적으로 인접한 곳에서 연산이 수행되므로 네트워크 지연(Latency)이 극도로 낮고 실시간 처리에 최적화됨.</t>
  </si>
  <si>
    <t>인터페이스만 맞추면 지식원 추가/제거 용이</t>
  </si>
  <si>
    <t>공유 자원 접근 경합 + 스케줄링 오버헤드로 병목</t>
  </si>
  <si>
    <t>Data store / Orchestrator의 fault가 시스템 전체 fault로 이어지기 쉽다.</t>
  </si>
  <si>
    <t>Data Store / Orchestrator가 공격당할 경우 시스템 전체를 마비시키기 쉽다.</t>
  </si>
  <si>
    <t>단위테스트를 만들기에 용이함</t>
  </si>
  <si>
    <t>내부 구조 스타일이라 사용자 인터페이스와 무관</t>
  </si>
  <si>
    <t>데이터를 중앙으로 보내지 않고 Edge에서 처리할 수 있다는 점은 데이터 보호에 유리하다. 하지만 물리적으로 분산된 수많은 Edge 장비를 보호해야 하므로 공격 표면(attack surface)이 증가한다.</t>
  </si>
  <si>
    <t>Edge마다 하드웨어, 네트워크, OS 등의 환경이 다를 수 있어서 테스트해야 할 환경의 종류가 많아진다. 실제 Edge 환경에서의 integration test도 복잡하다.</t>
  </si>
  <si>
    <t xml:space="preserve"> </t>
  </si>
  <si>
    <t>낮은 latency와 빠른 응답성을 통해 사용자 경험을 개선할 수 있다.</t>
  </si>
  <si>
    <t>한 단계에서 문제 발생시 모든 시퀀스가 기다려야 함</t>
  </si>
  <si>
    <t>flow 일부가 망가지면 전체 동작 불가능해짐</t>
  </si>
  <si>
    <t>각 단계별 중간산출물을 명확히 파악 가능</t>
  </si>
  <si>
    <t>test 환경과 운영환경이 크게 달라질 일 없음</t>
  </si>
  <si>
    <t>sequence당 중간 산출물이 명확하여 모듈 구성이 용이</t>
  </si>
  <si>
    <t>중간 산출물의 형태가 비교적 명확히 정의되어있음</t>
  </si>
  <si>
    <t>sequence 대기중 낭비되는 시간자원 큼</t>
  </si>
  <si>
    <t>낭비자원 없이 pipeline가동할 것으로 예상</t>
  </si>
  <si>
    <t>후속 sequence영향 범위 고려 필요</t>
  </si>
  <si>
    <t>후속 pipeline영향범위 고려 필요</t>
  </si>
  <si>
    <t>performance 영향성 미비</t>
  </si>
  <si>
    <t>동작 자체의 behavior 는 영향성 미비</t>
  </si>
  <si>
    <t>시스템 외부 outbound 모듈이 제일 마지막시퀀스 단 하나뿐임</t>
  </si>
  <si>
    <t xml:space="preserve">sequence별 권한분리 가능 </t>
  </si>
  <si>
    <t>sequence별 test범위 분리 가능</t>
  </si>
  <si>
    <t>usability 영향성 미비</t>
  </si>
  <si>
    <t>producer가 어느 한 custormer에 잡혀있을 경우 producer 가 블로킹된다.</t>
  </si>
  <si>
    <t>customer 확장이 자유롭다</t>
  </si>
  <si>
    <t>순차적 파이프라인 구조상 특정 단계에서 장애나 에러가 발생하면 후속 단계가 진행되지 못하고 전체 데이터 흐름이 중단되며, 오류 복구 및 재수행에도 오랜 시간이 소요됨.</t>
  </si>
  <si>
    <t>prooducer 동작 시 customer 가 통신을 받지 않는 이상은 이벤트가 낭비된다.</t>
  </si>
  <si>
    <t>producer및 customer 확장이 자유롭다</t>
  </si>
  <si>
    <t>동기 실행이라 producer의 응답 시간이 모든 consumer 처리 시간의 합이 되어 고빈도·저지연 상황에서 병목이 된다.</t>
  </si>
  <si>
    <t>단계별 경계와 중간 산출물이 명확하여 결합도가 낮을 경우 개별 배치 프로그램을 독립적으로 배포·교체하기 용이함. 다만 전체 파이프라인이 하나로 묶여 관리되는 환경에서는 부분 배포 및 롤백이 어려울 수 있음.</t>
  </si>
  <si>
    <t>이벤트가 저장되지 않고 실행 순서도 보장되지 않아, 유실·중복·순서 역전이 조용히 발생하며 검출 수단이 없다.</t>
  </si>
  <si>
    <t>producer 가 타겟 전송 범위를 지정하기 힘들다.</t>
  </si>
  <si>
    <t>각 단계 간 입력/출력 데이터 파일 포맷만 표준화되어 있으면 새로운 컴포넌트를 연계하거나 교체하기 용이함. 반면, 강한 실행 순서 및 데이터 의존성 때문에 파이프라인 중간에 임의의 컴포넌트를 동적으로 삽입하기는 까다롭다는 지적도 존재함.</t>
  </si>
  <si>
    <t>관계성이 명시되어있지 않아 파악이 힘들다</t>
  </si>
  <si>
    <t>특정 시점에 대량 데이터를 한 번에 처리하므로 유휴 상태 없이 컴퓨팅 자원 활용률을 높일 수 있다는 긍정적 측면과, 선행 작업 종료 시까지 후속 작업이 대기하고 순차 실행으로 인해 전체 소요 시간이 늘어나 총 에너지 절감에는 불리하다는 관점이 상충함.</t>
  </si>
  <si>
    <t>sync 관계이며, customer 가 producer 를 잡고있으면 그동안은 불가용상태이다.</t>
  </si>
  <si>
    <t>프로그램이 단계별로 분리되어 있어 특정 단계의 알고리즘이나 내부 로직을 수정하는 것은 쉬움. 그러나 중간 파일의 데이터 구조(포맷)가 변경되면 이후의 모든 후속 시퀀스에 영향(Ripple effect)을 미침.</t>
  </si>
  <si>
    <t>이전 단계가 완전히 종료되어 디스크에 파일 저장이 끝나야 다음 단계가 시작되므로, 파이프라인 병렬 처리가 불가능하여 응답/대기 시간(Latency)이 매우 긺. 단, 실시간성이 필요 없는 대용량 데이터의 일괄 처리량(Throughput) 측면에서는 여전히 유효함.</t>
  </si>
  <si>
    <t>실행 흐름이 예측 가능하고 단계별로 중간 결과를 검증(Gate/Validation)하여 오류가 있을 경우 다음 단계로의 전파를 사전에 차단할 수 있음. 외부 연동(Outbound)이 마지막에 집중되어 통제가 수월함.</t>
  </si>
  <si>
    <t>단계별/시퀀스별 권한 분리 및 감사 추적은 유리하지만, 단계 간 주고받는 중간 저장 파일(디스크/스토리지)이 공격에 노출되거나 탈취·변조될 위험(공격 표면 증가)이 상대적으로 큼.</t>
  </si>
  <si>
    <t>각 컴포넌트의 입력과 출력이 명확한 파일/데이터셋 형태로 규격화되어 있어, 전체 시스템을 구동하지 않고도 독립적인 단위 테스트(Mock/Sample 입력 검증) 및 결과 재현이 매우 쉬움.</t>
  </si>
  <si>
    <t>사용자와의 실시간 상호작용(Interactive)이 없고 긴 대기 시간이 발생하여 최종 사용자 경험 측면에서는 불리함. 다만 순차적 실행 특성상 배치 진행 상태나 장애 단계 파악이 쉬워 시스템 운영자 관점의 사용성은 일부 충족됨.</t>
  </si>
  <si>
    <t>메시지가 버퍼에 저장되므로 Consumer가 일시적으로 중단되어도 복구 후 처리를 계속할 수 있다.</t>
  </si>
  <si>
    <t>Producer와 Consumer를 독립적으로 배포·교체할 수 있다.</t>
  </si>
  <si>
    <t>producer/consumer가 서로의 신원을 몰라도 되는 익명성 덕분에 새로운 서비스를 붙이기 쉽다</t>
  </si>
  <si>
    <t>메시지 저장과 전달, 직렬화·역직렬화, Broker 운영 및 재시도 처리에 추가적인 계산·저장·통신 자원이 필요하다.</t>
  </si>
  <si>
    <t>Producer와 Consumer가 서로의 구현을 알지 않는 약한 결합 구조이므로 한쪽의 변경이 다른 쪽에 미치는 영향이 작다.</t>
  </si>
  <si>
    <t>비동기 처리로 동시성은 높지만 큐를 거치는 간접 전달이라 즉시 응답이 필요한 요청엔 지연이 생길 수 있다.</t>
  </si>
  <si>
    <t>메시지 저장과 재처리는 오류 전파를 줄이지만, 메시지의 중복·순서 변경·지연 처리로 인해 잘못된 상태가 발생할 수도 있다.</t>
  </si>
  <si>
    <t>익명성이 오히려 인가되지 않은 구독자를 걸러내기 어렵게 만들 수 있으면서도 Broker가 인증·인가·감사와 메시지 접근 통제를 집중적으로 적용할 수 있다.</t>
  </si>
  <si>
    <t>메시지가 비동기로 큐를 거쳐 도착하는 타이밍에 의존해 시나리오 재현이 어렵다.</t>
  </si>
  <si>
    <t>긴 작업을 비동기로 처리할 수 있어 사용자 요청을 차단하지 않고 화면의 응답성을 유지할 수 있다.</t>
  </si>
  <si>
    <t>비즈니스 로직은 그대로 유지하고 룩앤필만 유지할 수 있게 구현만 하면 된다.</t>
  </si>
  <si>
    <t>각 기능별 분리된 부분을 독립적으로 변경하고 교체하기 쉬워진다.</t>
  </si>
  <si>
    <t xml:space="preserve"> 테스트 결과를 확인하기 어렵다.</t>
  </si>
  <si>
    <t>Main이 여러 subroutine을 순차적으로 호출하는 구조라서 한  subroutine에 장애가 발생하면 전체 실행 흐름에 영향을 줄 가능성이 높음</t>
  </si>
  <si>
    <t>Fault Tolerence 특징이 있지만 Master 단일 포인트 Fail 시 가용성이 훼손될 수 있다.</t>
  </si>
  <si>
    <t xml:space="preserve">Main과 subroutine이 하나의 바이너리로 강하게 묶여있어 특정 서브루틴만 독립적 배포 불가. 특정 서브루틴 고치면 전체 시스템 재빌드 및 재배포 필요. 배포시 무중단 배포가 불가능하다. </t>
  </si>
  <si>
    <t xml:space="preserve">Slave를 교체할 때는 배포에 장점이 있지만, Slave-Master와의 호환성 문제가 생길 시 혹은 Master 교체 시 배포용이성이 떨어진다. </t>
  </si>
  <si>
    <t>Subroutine 간 interface를 통해 통합할 수 있지만, 기본적으로 호출 관계가 강하게 결합되어 있다.
새로운 외부 시스템이나 component를 추가하려면 기존 main/subroutine 구조를 수정해야 할 가능성이 있다.</t>
  </si>
  <si>
    <t>다른 component를 slave로 추가할 componet의 인터페이스, 프로토콜 호환성이 중요하게 작용한다.
같은 규약을 가진 componet의 경우 통합용이성이 좋다.</t>
  </si>
  <si>
    <t>불필요한 communication이나 middleware layer가 거의 없기 때문에 효율적</t>
  </si>
  <si>
    <t>master-slave간 통신에서 overhead가 발생하여 추가적인 에너지 소모가 있을 수 있다.</t>
  </si>
  <si>
    <t>Main이 subroutine의 구조와 호출 순서를 강하게 알고 있기 때문에 변경의 영향이 상위 구조까지 전파될 수 있다.</t>
  </si>
  <si>
    <t>component의 수정이 master에 영향을 주지 않는 한 다른 component에 영향을 미치지 않기 때문에 변경 용이성이 좋다.</t>
  </si>
  <si>
    <t>Main이 Subroutime을 함수 호출하므로 네트워크, IPC보다 처리속도가 매우 빠름</t>
  </si>
  <si>
    <t>Slave를 늘리면 읽기 작업에 대한 시스템 응답시간을 줄임으로 인해 퍼포먼스를 증가시킬 수 있다. 단 쓰기 작업의 경우에는 마스터 업데이트 및 슬레이브 업데이트까지 데이터 무결성을 위한 동시성 작업이 요구되기 때문에 쓰기 작업에 대한 응답시간은 지연될 수 있다.</t>
  </si>
  <si>
    <t>예외 처리가 호출 스택을 타고 상위로 전파되는 구조라 발생한 오류가 상위로 쉽게 전파됨</t>
  </si>
  <si>
    <t>하나의 Slave에서 fault가 발생하더라도 다른 Slave에서 응답하면 되기 때문에 전체 시스템 fault를 야기하지 않을 수 있다.</t>
  </si>
  <si>
    <t>프로세스 내부에 보안 경계가 없어 한 Subroutine이 다른 메모리와 자원에 접근 가능</t>
  </si>
  <si>
    <t>Master가 공격당할 경우 시스템 failure를 야기시킬 수 있다. (a single point of failure)</t>
  </si>
  <si>
    <t>Subroutine 단위테스트는 쉬우나, 통합테스트의 어려움이 있음</t>
  </si>
  <si>
    <t>분산된 환경에 대한 통합 테스트가 어려워진다.</t>
  </si>
  <si>
    <t>구조 자체가 사용자 경험을 직접 결정하지 않음</t>
  </si>
  <si>
    <t>대부분의 경우 쓰기 작업보다 읽기 작업이 일반적으로 더 많이 발생하기 때문에 읽기 작업에 대한 응답시간 향상은 사용자 경험을 증대시킬 수 있다.</t>
  </si>
  <si>
    <t>계층 분리는 결함의 위치 파악과 복구에 도움이 되지만, 하위 Layer에 장애가 발생하면 이를 사용하는 모든 상위 Layer가 영향을 받는다.</t>
  </si>
  <si>
    <t>계층별 책임과 인터페이스가 분리되어 있어 변경된 Layer를 비교적 독립적으로 배포·교체할 수 있다. 다만 하위 인터페이스 변경 시 상위 Layer도 함께 배포해야 할 수 있다.</t>
  </si>
  <si>
    <t>각 layer가 정의된 인터페이스로 서비스를 제공하므로(약한 결합), 그 인터페이스만 유지되면 아래 구현을 새 컴포넌트로 교체하거나 다른 시스템과 연동하기 쉽다</t>
  </si>
  <si>
    <t>Layer 수가 많을수록 요청이 여러 Layer를 순차적으로 통과하면서 반복적인 호출, 데이터 변환 및 중간 처리에 추가 자원이 소모된다.</t>
  </si>
  <si>
    <t>layer 내 한 모듈이 연결된 범위가 최대 한 layer 로, 영향범위 파악이 쉽고 수정 쉬움</t>
  </si>
  <si>
    <t>intermediary가 연결을 해줄뿐이지 실 availability 가 service provider에 영향을 받는 경우가 많음</t>
  </si>
  <si>
    <t>layer 구성으로 인해 불필요한 indirect 파이프라인 사용 필수적이게 됨</t>
  </si>
  <si>
    <t xml:space="preserve">layer 내 한 모듈이 죽더라도, 전체 layer 및 architecture 영향 적음 </t>
  </si>
  <si>
    <t>중앙 intermediary에 의존하는 시스템은 이중화 보장이 되어있지 않은 이상 deployability 가 좋다고 볼 수 없음</t>
  </si>
  <si>
    <t xml:space="preserve">표준화된 통신이 보장되기 때문에 service provider, service customer 확장이 용이함. </t>
  </si>
  <si>
    <t>layer 기준으로 security access control 용이</t>
  </si>
  <si>
    <t xml:space="preserve">middleware의 존재로 성능 효율이 좋은 편이라고 볼 수 없음 </t>
  </si>
  <si>
    <t>layered 내 모듈화 구성 , 영향범위는 한 layer 내로 예측 난이도 쉬움</t>
  </si>
  <si>
    <t>표준화된 통신 보장으로 intermediary 수정 없이 service provider 및 customer 변경이 용이. 단 intermediary 변경은 아려움</t>
  </si>
  <si>
    <t>필요한 layer 에 대해서만 접근. UI 탭은 UX 친화 지향적일 것</t>
  </si>
  <si>
    <t xml:space="preserve">middleware의 존재로 시간효율 및 자원효율이 좋은 편이라고 볼 수 없음 </t>
  </si>
  <si>
    <t>표준화된 통신으로 output 이 명확한 편으로 fault dealing이 용이함</t>
  </si>
  <si>
    <t>표준화된 통신에서 기본적인 authentication 절차를 거침</t>
  </si>
  <si>
    <t>테스트 단위 명문화가 가능하고 (e.g. service provider-intermediary) 표준화된 통신으로 expected output이 명확함</t>
  </si>
  <si>
    <t>service customer 및 provider 반영이 유연하고 빠름</t>
  </si>
  <si>
    <t>broker의 장애가 모든 client-server간의 통신에 영향을 주기 때문에 전체 시스템이 먹통이 될 수 있다.
또한 특정 server에 장애가 생길 경우에도 전체 application이 영향을 받을 수 있다.</t>
  </si>
  <si>
    <t>기본적으로 동등한 대상에 대해서 이중화가 이루어지기 때문에 장애로부터 복구되기 용이하기 때문에 장애 복구 시간이 짧다.</t>
  </si>
  <si>
    <t>runtime 중 server의 추가/삭제가 용이하다.</t>
  </si>
  <si>
    <t>클라이언트가 연결되어 있지 않은 상황에서 다른 머신에 배포시키기가 수월.</t>
  </si>
  <si>
    <t>bridge를 통해 다른 format의 protocol을 사용하는 여러 broker를 연결할 수 있다.</t>
  </si>
  <si>
    <t>동일 인터페이스인 인스턴스를 추가하는 비용은 거의 없지만 호환되지 않는 인터페이스라면 통합되기 어려움 (이건 브로커의 역할)</t>
  </si>
  <si>
    <t xml:space="preserve">동시성을 띄고 broker와의 통신 overhead 때문에 에너지 소모가 높다. </t>
  </si>
  <si>
    <t>Dispatcher와 발생되는 통신비용이 오버헤드가 될 수 있지만 누구와 통신을 할지 식별이 된 이후에는 Dispatcher를 거치지 않음</t>
  </si>
  <si>
    <t>broker의 구현이 바뀌더라도 api의 변경이 없으면 server와 client에 영향을 
주지 않아 수정이 용이하다.</t>
  </si>
  <si>
    <t>클라이언트 코드는 서버가 얼마나 되는지 어디에 위치하는지 알 필요없이 오직 Dispatcher와 통신하면 되기 때문에 변경이 파급되지 않는다. 다만 인터페이스가 변경되면 모든 서버로 파급될 수 있음.</t>
  </si>
  <si>
    <t>client-server 간 통신이 broker를 거쳐야 하기 때문에 overhead가 발생한다.</t>
  </si>
  <si>
    <t>병렬 처리로 처리량과 수평 확장성은 좋아지지만 요청 초기마다 홉이 하나 추가된다는 점은 마이너스가 될 수 있음.</t>
  </si>
  <si>
    <t>broker 오류/장애 시 saftey와 관련된 기능에 문제가 발생할 수 있다.</t>
  </si>
  <si>
    <t>위협/상태를 감지하는 메커니즘이 없고 매 요청마다 처리 주체가 달라져서 재현성 등이 보장되지 않기 때문에 결함 재현과 안정성 논증이 어려움</t>
  </si>
  <si>
    <t>broker 에 모든 정보가 몰리기 때문에 명확한 attack point가 존재한다.</t>
  </si>
  <si>
    <t>dispatcher가 최우선 공격 표적이 될 수 있으며 공격당할 시 시스템 전체가 마비될 수 있음.</t>
  </si>
  <si>
    <t>동시성을 띄며 약한 결합이기 떄문에 통합 테스트가 힘들다.</t>
  </si>
  <si>
    <t>서버 각각은 stateless에 동등하므로 단위 테스트는 쉽지만 어느 인스턴스에서 처리할지 비결정적이라 통합 테스팅할 때 결함 재현이 어려움</t>
  </si>
  <si>
    <t>복잡한 distribute 구조를 UI에 드러내지 않기 때문에 사용성이 좋은 측면도 있지만 사용자가 broker를 공유하기 때문에 UX는 좋지 않을 수 있다.</t>
  </si>
  <si>
    <t>사용자에게 안정적인 응답을 제공해줄 수는 있으나 구조 자체가 사용성을 개선시키는 구조는 아님.</t>
  </si>
  <si>
    <t>각 서비스가 독립 프로세스로 격리되어 있어, 하나의 microservice가 죽어도 upstream 서비스가 장애를 올바르게 처리하도록 설계되어 있다면 전체는 계속 동작한다</t>
  </si>
  <si>
    <t>서비스별로 별도 독립 배포가 가능해, 전체 application을 재배포하지 않고 서비스 하나만 갱신·롤백할 수 있다</t>
  </si>
  <si>
    <t>서비스마다 기술 스택·언어·프레임워크를 자유롭게 선택할 수 있어, 서비스 일관성 유지와 버저닝 관리가 어려움</t>
  </si>
  <si>
    <t>서비스 수만큼 프로세스/컨테이너가 늘어나고 서비스 간 네트워크 통신이 잦아져, 인프라·통신 오버헤드가 커진다</t>
  </si>
  <si>
    <t>코드와 data store를 서비스 간 공유하지 않아 의존성이 최소화되므로, 한 서비스의 기능 변경·추가가 다른 서비스에 영향을 주지 않는다</t>
  </si>
  <si>
    <t>세분화된 서비스가 많아질수록 서비스 간 원격 통신이 늘고, 의존 체인이 길어지면 누적 latency가 커져 응답 성능이 저하되기 쉽다</t>
  </si>
  <si>
    <t>장애 격리로 오류 확산을 줄일 수 있지만, 분산된 만큼 실패 지점이 늘어날 수도 있다.</t>
  </si>
  <si>
    <t>서비스별 인증·권한 분리가 가능하지만, 외부에 노출되는 API와 통신 경로 및 관리 대상이 증가하여 공격 표면이 넓어진다.</t>
  </si>
  <si>
    <t>여러 서비스를 함께 검증하려면 네트워크, 데이터 저장소, 메시지 시스템 등의 실행 환경이 필요하며 비동기·분산 동작의 재현도 어렵다.</t>
  </si>
  <si>
    <t>Micro-Service 구조 자체는 사용자 인터페이스와 직접적인 관계가 없다.</t>
  </si>
  <si>
    <t>Container-based x</t>
  </si>
  <si>
    <t>Cloud-based x</t>
  </si>
  <si>
    <t>중앙 서버에 모든 처리를 의존하지 않고 여러 Edge에서 서비스를 제공할 수 있어 장애 격리에 유리하다. 하지만 특정 Edge 장비가 고장나면 해당 지역 사용자가 영향을 받을 수 있다.</t>
  </si>
  <si>
    <t>interface가 표준화 되어 있다는 전제 하에 edge node를 추가하기 용이하기 때문에 다른 시스템과의 통합이 용이하다.</t>
  </si>
  <si>
    <t>클라우드와 엣지에서 수행되어야 할 요청 종류별 분산을 통해 연산의 효율성이 증대</t>
  </si>
  <si>
    <t>중앙 site 는 여러 결합으로 수정 어렵지만, 로컬 site는 변경 용이</t>
  </si>
  <si>
    <t>데이터가 발생하거나 사용되는 위치와 가까운 Edge 장치에서 처리하므로 중앙 서버까지의 왕복 통신을 줄여 응답 지연과 네트워크 트래픽을 크게 감소시킨다.</t>
  </si>
  <si>
    <t>네트워크 연결이 일시적으로 끊겨도 Edge에서 로컬 처리를 계속할 수 있어 안전성/연속성에 유리할 수 있다. 다만 분산된 Edge 장비를 안전하게 관리해야 한다.</t>
  </si>
  <si>
    <t>여러 edge device/node와 network 환경이 맞물려있기 떄문에 통합 테스트가 어렵다.</t>
  </si>
  <si>
    <t>실시간 응답성이 필요한 연산들은 실제 서버까지 갈 필요없이 엣지에서 이루어지고 응답이 돌아오기 때문에 응답시간 단축으로 인한 사용자 경험 증대 기대</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</si>
</sst>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1.0"/>
      <color rgb="FFFFFFFF"/>
      <name val="Calibri"/>
    </font>
    <font/>
    <font>
      <b/>
      <sz val="11.0"/>
      <color rgb="FF000000"/>
      <name val="Calibri"/>
    </font>
    <font>
      <sz val="11.0"/>
      <color rgb="FF000000"/>
      <name val="Calibri"/>
    </font>
    <font>
      <sz val="11.0"/>
      <color theme="1"/>
      <name val="Calibri"/>
    </font>
    <font>
      <sz val="11.0"/>
      <color theme="1"/>
      <name val="Arial"/>
    </font>
    <font>
      <sz val="11.0"/>
      <color theme="1"/>
      <name val="Malgun Gothic"/>
    </font>
    <font>
      <sz val="11.0"/>
      <color rgb="FF000000"/>
      <name val="Arial"/>
    </font>
    <font>
      <color rgb="FF000000"/>
      <name val="&quot;Segoe UI&quot;"/>
    </font>
    <font>
      <sz val="11.0"/>
      <color rgb="FF000000"/>
      <name val="&quot;맑은 고딕&quot;"/>
    </font>
    <font>
      <sz val="11.0"/>
      <color rgb="FF000000"/>
      <name val="&quot;Segoe UI&quot;"/>
    </font>
    <font>
      <color theme="1"/>
      <name val="&quot;Segoe UI&quot;"/>
    </font>
    <font>
      <color rgb="FF000000"/>
      <name val="&quot;맑은 고딕&quot;"/>
    </font>
    <font>
      <sz val="11.0"/>
      <color theme="1"/>
      <name val="&quot;Segoe UI&quot;"/>
    </font>
    <font>
      <sz val="12.0"/>
      <color rgb="FF000000"/>
      <name val="Arial"/>
    </font>
    <font>
      <color theme="1"/>
      <name val="Arial"/>
    </font>
    <font>
      <sz val="11.0"/>
      <color theme="1"/>
      <name val="-apple-system-body"/>
    </font>
    <font>
      <color theme="1"/>
      <name val="Calibri"/>
      <scheme val="minor"/>
    </font>
    <font>
      <color theme="1"/>
      <name val="-apple-system-body"/>
    </font>
    <font>
      <sz val="11.0"/>
      <color theme="1"/>
      <name val="Segoe UI"/>
    </font>
    <font>
      <sz val="12.0"/>
      <color theme="1"/>
      <name val="Arial"/>
    </font>
  </fonts>
  <fills count="8">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F9900"/>
        <bgColor rgb="FFFF9900"/>
      </patternFill>
    </fill>
  </fills>
  <borders count="21">
    <border/>
    <border>
      <left style="thin">
        <color rgb="FFBFBFBF"/>
      </left>
      <right style="thin">
        <color rgb="FFBFBFBF"/>
      </right>
      <top style="thin">
        <color rgb="FFBFBFBF"/>
      </top>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right style="thin">
        <color rgb="FF000000"/>
      </right>
    </border>
    <border>
      <left style="thin">
        <color rgb="FF000000"/>
      </left>
      <right style="thin">
        <color rgb="FF000000"/>
      </right>
      <top/>
      <bottom style="thin">
        <color rgb="FF000000"/>
      </bottom>
    </border>
    <border>
      <left style="thin">
        <color rgb="FF000000"/>
      </left>
    </border>
    <border>
      <lef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bottom style="thin">
        <color rgb="FF000000"/>
      </bottom>
    </border>
    <border>
      <left/>
      <right/>
      <top/>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ill="1" applyFont="1">
      <alignment horizontal="center" vertical="center"/>
    </xf>
    <xf borderId="3" fillId="0" fontId="2" numFmtId="0" xfId="0" applyBorder="1" applyFont="1"/>
    <xf borderId="4" fillId="0" fontId="2" numFmtId="0" xfId="0" applyBorder="1" applyFont="1"/>
    <xf borderId="5" fillId="2" fontId="1" numFmtId="0" xfId="0" applyAlignment="1" applyBorder="1" applyFill="1" applyFont="1">
      <alignment horizontal="center" vertical="center"/>
    </xf>
    <xf borderId="5" fillId="3" fontId="3" numFmtId="0" xfId="0" applyAlignment="1" applyBorder="1" applyFill="1" applyFont="1">
      <alignment horizontal="center" vertical="center"/>
    </xf>
    <xf borderId="5" fillId="0" fontId="4" numFmtId="0" xfId="0" applyAlignment="1" applyBorder="1" applyFont="1">
      <alignment horizontal="left" vertical="center"/>
    </xf>
    <xf borderId="5" fillId="3" fontId="3" numFmtId="49" xfId="0" applyAlignment="1" applyBorder="1" applyFill="1" applyFont="1" applyNumberFormat="1">
      <alignment horizontal="center" vertical="center"/>
    </xf>
    <xf borderId="5" fillId="0" fontId="5" numFmtId="49" xfId="0" applyAlignment="1" applyBorder="1" applyFont="1" applyNumberFormat="1">
      <alignment horizontal="center" vertical="center"/>
    </xf>
    <xf borderId="5" fillId="0" fontId="5" numFmtId="0" xfId="0" applyAlignment="1" applyBorder="1" applyFont="1">
      <alignment horizontal="left" vertical="center"/>
    </xf>
    <xf borderId="5" fillId="0" fontId="5" numFmtId="49" xfId="0" applyAlignment="1" applyBorder="1" applyFont="1" applyNumberFormat="1">
      <alignment horizontal="left" vertical="center"/>
    </xf>
    <xf borderId="5" fillId="0" fontId="4" numFmtId="0" xfId="0" applyAlignment="1" applyBorder="1" applyFont="1">
      <alignment horizontal="left" readingOrder="0" vertical="center"/>
    </xf>
    <xf borderId="5" fillId="0" fontId="5" numFmtId="0" xfId="0" applyAlignment="1" applyBorder="1" applyFont="1">
      <alignment horizontal="center" vertical="center"/>
    </xf>
    <xf borderId="5" fillId="0" fontId="4" numFmtId="0" xfId="0" applyAlignment="1" applyBorder="1" applyFont="1">
      <alignment vertical="center"/>
    </xf>
    <xf borderId="5" fillId="0" fontId="5" numFmtId="49" xfId="0" applyAlignment="1" applyBorder="1" applyFont="1" applyNumberFormat="1">
      <alignment vertical="center"/>
    </xf>
    <xf borderId="5" fillId="0" fontId="5" numFmtId="0" xfId="0" applyAlignment="1" applyBorder="1" applyFont="1">
      <alignment vertical="center"/>
    </xf>
    <xf borderId="6" fillId="2" fontId="1" numFmtId="0" xfId="0" applyAlignment="1" applyBorder="1" applyFill="1" applyFont="1">
      <alignment horizontal="center"/>
    </xf>
    <xf borderId="7" fillId="2" fontId="1" numFmtId="0" xfId="0" applyAlignment="1" applyBorder="1" applyFill="1" applyFont="1">
      <alignment horizontal="center"/>
    </xf>
    <xf borderId="8" fillId="0" fontId="2" numFmtId="0" xfId="0" applyBorder="1" applyFont="1"/>
    <xf borderId="9" fillId="0" fontId="2" numFmtId="0" xfId="0" applyBorder="1" applyFont="1"/>
    <xf borderId="10" fillId="2" fontId="1" numFmtId="0" xfId="0" applyAlignment="1" applyBorder="1" applyFill="1" applyFont="1">
      <alignment horizontal="center"/>
    </xf>
    <xf borderId="10" fillId="3" fontId="3" numFmtId="0" xfId="0" applyAlignment="1" applyBorder="1" applyFill="1" applyFont="1">
      <alignment horizontal="center"/>
    </xf>
    <xf borderId="10" fillId="0" fontId="5" numFmtId="0" xfId="0" applyBorder="1" applyFont="1"/>
    <xf borderId="6" fillId="4" fontId="6" numFmtId="0" xfId="0" applyAlignment="1" applyBorder="1" applyFill="1" applyFont="1">
      <alignment horizontal="center" shrinkToFit="0" wrapText="1"/>
    </xf>
    <xf borderId="7" fillId="4" fontId="6" numFmtId="0" xfId="0" applyAlignment="1" applyBorder="1" applyFill="1" applyFont="1">
      <alignment horizontal="center" shrinkToFit="0" wrapText="1"/>
    </xf>
    <xf borderId="10" fillId="0" fontId="6" numFmtId="0" xfId="0" applyAlignment="1" applyBorder="1" applyFont="1">
      <alignment horizontal="center" shrinkToFit="0" wrapText="1"/>
    </xf>
    <xf borderId="10" fillId="0" fontId="6" numFmtId="0" xfId="0" applyAlignment="1" applyBorder="1" applyFont="1">
      <alignment shrinkToFit="0" wrapText="1"/>
    </xf>
    <xf borderId="10" fillId="0" fontId="7" numFmtId="0" xfId="0" applyAlignment="1" applyBorder="1" applyFont="1">
      <alignment horizontal="center" shrinkToFit="0" wrapText="1"/>
    </xf>
    <xf borderId="10" fillId="0" fontId="7" numFmtId="0" xfId="0" applyAlignment="1" applyBorder="1" applyFont="1">
      <alignment shrinkToFit="0" wrapText="1"/>
    </xf>
    <xf borderId="10" fillId="0" fontId="7" numFmtId="49" xfId="0" applyAlignment="1" applyBorder="1" applyFont="1" applyNumberFormat="1">
      <alignment horizontal="center" shrinkToFit="0" wrapText="1"/>
    </xf>
    <xf borderId="10" fillId="0" fontId="7" numFmtId="49" xfId="0" applyAlignment="1" applyBorder="1" applyFont="1" applyNumberFormat="1">
      <alignment shrinkToFit="0" wrapText="1"/>
    </xf>
    <xf borderId="0" fillId="0" fontId="6" numFmtId="0" xfId="0" applyAlignment="1" applyFont="1">
      <alignment shrinkToFit="0" wrapText="1"/>
    </xf>
    <xf borderId="10" fillId="0" fontId="6" numFmtId="49" xfId="0" applyAlignment="1" applyBorder="1" applyFont="1" applyNumberFormat="1">
      <alignment shrinkToFit="0" wrapText="1"/>
    </xf>
    <xf borderId="0" fillId="0" fontId="5" numFmtId="0" xfId="0" applyFont="1"/>
    <xf borderId="11" fillId="4" fontId="6" numFmtId="0" xfId="0" applyAlignment="1" applyBorder="1" applyFill="1" applyFont="1">
      <alignment horizontal="center" shrinkToFit="0" wrapText="1"/>
    </xf>
    <xf borderId="12" fillId="4" fontId="5" numFmtId="0" xfId="0" applyBorder="1" applyFill="1" applyFont="1"/>
    <xf borderId="13" fillId="0" fontId="6" numFmtId="0" xfId="0" applyAlignment="1" applyBorder="1" applyFont="1">
      <alignment horizontal="center" shrinkToFit="0" wrapText="1"/>
    </xf>
    <xf borderId="10" fillId="0" fontId="5" numFmtId="0" xfId="0" applyAlignment="1" applyBorder="1" applyFont="1">
      <alignment shrinkToFit="0" wrapText="1"/>
    </xf>
    <xf borderId="14" fillId="4" fontId="5" numFmtId="0" xfId="0" applyBorder="1" applyFill="1" applyFont="1"/>
    <xf borderId="0" fillId="0" fontId="7" numFmtId="0" xfId="0" applyFont="1"/>
    <xf borderId="0" fillId="0" fontId="7" numFmtId="49" xfId="0" applyFont="1" applyNumberFormat="1"/>
    <xf borderId="0" fillId="0" fontId="5" numFmtId="49" xfId="0" applyFont="1" applyNumberFormat="1"/>
    <xf borderId="7" fillId="4" fontId="6" numFmtId="49" xfId="0" applyAlignment="1" applyBorder="1" applyFill="1" applyFont="1" applyNumberFormat="1">
      <alignment horizontal="center" shrinkToFit="0" wrapText="1"/>
    </xf>
    <xf borderId="10" fillId="0" fontId="6" numFmtId="49" xfId="0" applyAlignment="1" applyBorder="1" applyFont="1" applyNumberFormat="1">
      <alignment horizontal="center" shrinkToFit="0" wrapText="1"/>
    </xf>
    <xf borderId="15" fillId="0" fontId="5" numFmtId="0" xfId="0" applyBorder="1" applyFont="1"/>
    <xf borderId="16" fillId="4" fontId="6" numFmtId="0" xfId="0" applyAlignment="1" applyBorder="1" applyFill="1" applyFont="1">
      <alignment horizontal="center" shrinkToFit="0" wrapText="1"/>
    </xf>
    <xf quotePrefix="1" borderId="10" fillId="5" fontId="5" numFmtId="49" xfId="0" applyAlignment="1" applyBorder="1" applyFill="1" applyFont="1" applyNumberFormat="1">
      <alignment readingOrder="0"/>
    </xf>
    <xf borderId="10" fillId="6" fontId="4" numFmtId="0" xfId="0" applyAlignment="1" applyBorder="1" applyFill="1" applyFont="1">
      <alignment readingOrder="0" vertical="bottom"/>
    </xf>
    <xf quotePrefix="1" borderId="17" fillId="6" fontId="4" numFmtId="49" xfId="0" applyAlignment="1" applyBorder="1" applyFill="1" applyFont="1" applyNumberFormat="1">
      <alignment readingOrder="0" shrinkToFit="0" vertical="bottom" wrapText="0"/>
    </xf>
    <xf borderId="10" fillId="6" fontId="8" numFmtId="0" xfId="0" applyAlignment="1" applyBorder="1" applyFill="1" applyFont="1">
      <alignment readingOrder="0" vertical="bottom"/>
    </xf>
    <xf quotePrefix="1" borderId="8" fillId="6" fontId="4" numFmtId="49" xfId="0" applyAlignment="1" applyBorder="1" applyFill="1" applyFont="1" applyNumberFormat="1">
      <alignment readingOrder="0" shrinkToFit="0" vertical="bottom" wrapText="0"/>
    </xf>
    <xf borderId="10" fillId="5" fontId="5" numFmtId="0" xfId="0" applyAlignment="1" applyBorder="1" applyFill="1" applyFont="1">
      <alignment readingOrder="0"/>
    </xf>
    <xf borderId="10" fillId="0" fontId="9" numFmtId="0" xfId="0" applyAlignment="1" applyBorder="1" applyFont="1">
      <alignment readingOrder="0" shrinkToFit="0" vertical="bottom" wrapText="0"/>
    </xf>
    <xf borderId="10" fillId="5" fontId="5" numFmtId="49" xfId="0" applyBorder="1" applyFill="1" applyFont="1" applyNumberFormat="1"/>
    <xf quotePrefix="1" borderId="18" fillId="6" fontId="4" numFmtId="49" xfId="0" applyAlignment="1" applyBorder="1" applyFill="1" applyFont="1" applyNumberFormat="1">
      <alignment readingOrder="0" shrinkToFit="0" vertical="bottom" wrapText="0"/>
    </xf>
    <xf borderId="10" fillId="0" fontId="10" numFmtId="0" xfId="0" applyAlignment="1" applyBorder="1" applyFont="1">
      <alignment readingOrder="0" vertical="bottom"/>
    </xf>
    <xf borderId="13" fillId="6" fontId="4" numFmtId="49" xfId="0" applyAlignment="1" applyBorder="1" applyFill="1" applyFont="1" applyNumberFormat="1">
      <alignment readingOrder="0" shrinkToFit="0" vertical="bottom" wrapText="0"/>
    </xf>
    <xf borderId="10" fillId="0" fontId="10" numFmtId="0" xfId="0" applyAlignment="1" applyBorder="1" applyFont="1">
      <alignment readingOrder="0" shrinkToFit="0" vertical="bottom" wrapText="0"/>
    </xf>
    <xf borderId="19" fillId="6" fontId="4" numFmtId="49" xfId="0" applyAlignment="1" applyBorder="1" applyFill="1" applyFont="1" applyNumberFormat="1">
      <alignment readingOrder="0" shrinkToFit="0" vertical="bottom" wrapText="0"/>
    </xf>
    <xf borderId="10" fillId="0" fontId="9" numFmtId="0" xfId="0" applyAlignment="1" applyBorder="1" applyFont="1">
      <alignment readingOrder="0" vertical="bottom"/>
    </xf>
    <xf borderId="10" fillId="5" fontId="5" numFmtId="0" xfId="0" applyBorder="1" applyFill="1" applyFont="1"/>
    <xf borderId="18" fillId="6" fontId="4" numFmtId="49" xfId="0" applyAlignment="1" applyBorder="1" applyFill="1" applyFont="1" applyNumberFormat="1">
      <alignment readingOrder="0" shrinkToFit="0" vertical="bottom" wrapText="0"/>
    </xf>
    <xf borderId="10" fillId="6" fontId="11" numFmtId="0" xfId="0" applyAlignment="1" applyBorder="1" applyFill="1" applyFont="1">
      <alignment readingOrder="0"/>
    </xf>
    <xf quotePrefix="1" borderId="19" fillId="6" fontId="5" numFmtId="49" xfId="0" applyAlignment="1" applyBorder="1" applyFill="1" applyFont="1" applyNumberFormat="1">
      <alignment readingOrder="0" shrinkToFit="0" vertical="bottom" wrapText="0"/>
    </xf>
    <xf borderId="20" fillId="5" fontId="5" numFmtId="0" xfId="0" applyBorder="1" applyFill="1" applyFont="1"/>
    <xf borderId="10" fillId="0" fontId="12" numFmtId="0" xfId="0" applyAlignment="1" applyBorder="1" applyFont="1">
      <alignment readingOrder="0" shrinkToFit="0" vertical="bottom" wrapText="0"/>
    </xf>
    <xf borderId="10" fillId="0" fontId="13" numFmtId="0" xfId="0" applyAlignment="1" applyBorder="1" applyFont="1">
      <alignment readingOrder="0" vertical="bottom"/>
    </xf>
    <xf borderId="10" fillId="0" fontId="5" numFmtId="0" xfId="0" applyAlignment="1" applyBorder="1" applyFont="1">
      <alignment readingOrder="0" shrinkToFit="0" vertical="bottom" wrapText="0"/>
    </xf>
    <xf borderId="10" fillId="0" fontId="14" numFmtId="0" xfId="0" applyAlignment="1" applyBorder="1" applyFont="1">
      <alignment readingOrder="0" shrinkToFit="0" vertical="bottom" wrapText="0"/>
    </xf>
    <xf borderId="10" fillId="0" fontId="4" numFmtId="0" xfId="0" applyAlignment="1" applyBorder="1" applyFont="1">
      <alignment readingOrder="0" shrinkToFit="0" vertical="bottom" wrapText="0"/>
    </xf>
    <xf borderId="10" fillId="6" fontId="15" numFmtId="0" xfId="0" applyAlignment="1" applyBorder="1" applyFill="1" applyFont="1">
      <alignment readingOrder="0" vertical="bottom"/>
    </xf>
    <xf quotePrefix="1" borderId="19" fillId="6" fontId="4" numFmtId="49" xfId="0" applyAlignment="1" applyBorder="1" applyFill="1" applyFont="1" applyNumberFormat="1">
      <alignment readingOrder="0" shrinkToFit="0" vertical="bottom" wrapText="0"/>
    </xf>
    <xf borderId="16" fillId="4" fontId="6" numFmtId="49" xfId="0" applyAlignment="1" applyBorder="1" applyFill="1" applyFont="1" applyNumberFormat="1">
      <alignment horizontal="center" shrinkToFit="0" wrapText="1"/>
    </xf>
    <xf borderId="13" fillId="0" fontId="6" numFmtId="49" xfId="0" applyAlignment="1" applyBorder="1" applyFont="1" applyNumberFormat="1">
      <alignment horizontal="center" shrinkToFit="0" wrapText="1"/>
    </xf>
    <xf borderId="16" fillId="7" fontId="6" numFmtId="49" xfId="0" applyAlignment="1" applyBorder="1" applyFill="1" applyFont="1" applyNumberFormat="1">
      <alignment horizontal="center" shrinkToFit="0" wrapText="1"/>
    </xf>
    <xf borderId="10" fillId="6" fontId="16" numFmtId="0" xfId="0" applyAlignment="1" applyBorder="1" applyFill="1" applyFont="1">
      <alignment readingOrder="0"/>
    </xf>
    <xf borderId="10" fillId="6" fontId="17" numFmtId="0" xfId="0" applyAlignment="1" applyBorder="1" applyFill="1" applyFont="1">
      <alignment readingOrder="0"/>
    </xf>
    <xf borderId="10" fillId="0" fontId="18" numFmtId="0" xfId="0" applyAlignment="1" applyBorder="1" applyFont="1">
      <alignment readingOrder="0"/>
    </xf>
    <xf borderId="10" fillId="6" fontId="6" numFmtId="0" xfId="0" applyAlignment="1" applyBorder="1" applyFill="1" applyFont="1">
      <alignment readingOrder="0"/>
    </xf>
    <xf borderId="16" fillId="7" fontId="6" numFmtId="0" xfId="0" applyAlignment="1" applyBorder="1" applyFill="1" applyFont="1">
      <alignment horizontal="center" shrinkToFit="0" wrapText="1"/>
    </xf>
    <xf borderId="0" fillId="0" fontId="18" numFmtId="0" xfId="0" applyAlignment="1" applyFont="1">
      <alignment readingOrder="0"/>
    </xf>
    <xf borderId="0" fillId="6" fontId="19" numFmtId="0" xfId="0" applyAlignment="1" applyFill="1" applyFont="1">
      <alignment readingOrder="0"/>
    </xf>
    <xf borderId="0" fillId="6" fontId="17" numFmtId="0" xfId="0" applyAlignment="1" applyFill="1" applyFont="1">
      <alignment readingOrder="0"/>
    </xf>
    <xf borderId="0" fillId="6" fontId="6" numFmtId="0" xfId="0" applyAlignment="1" applyFill="1" applyFont="1">
      <alignment readingOrder="0"/>
    </xf>
    <xf borderId="0" fillId="6" fontId="16" numFmtId="0" xfId="0" applyAlignment="1" applyFill="1" applyFont="1">
      <alignment readingOrder="0"/>
    </xf>
    <xf borderId="20" fillId="5" fontId="5" numFmtId="0" xfId="0" applyAlignment="1" applyBorder="1" applyFill="1" applyFont="1">
      <alignment readingOrder="0"/>
    </xf>
    <xf quotePrefix="1" borderId="10" fillId="6" fontId="5" numFmtId="49" xfId="0" applyAlignment="1" applyBorder="1" applyFill="1" applyFont="1" applyNumberFormat="1">
      <alignment vertical="bottom"/>
    </xf>
    <xf borderId="10" fillId="6" fontId="5" numFmtId="0" xfId="0" applyAlignment="1" applyBorder="1" applyFill="1" applyFont="1">
      <alignment vertical="bottom"/>
    </xf>
    <xf quotePrefix="1" borderId="17" fillId="6" fontId="5" numFmtId="49" xfId="0" applyAlignment="1" applyBorder="1" applyFill="1" applyFont="1" applyNumberFormat="1">
      <alignment vertical="bottom"/>
    </xf>
    <xf borderId="10" fillId="6" fontId="6" numFmtId="0" xfId="0" applyAlignment="1" applyBorder="1" applyFill="1" applyFont="1">
      <alignment vertical="bottom"/>
    </xf>
    <xf quotePrefix="1" borderId="18" fillId="6" fontId="5" numFmtId="49" xfId="0" applyAlignment="1" applyBorder="1" applyFill="1" applyFont="1" applyNumberFormat="1">
      <alignment vertical="bottom"/>
    </xf>
    <xf borderId="10" fillId="0" fontId="6" numFmtId="0" xfId="0" applyAlignment="1" applyBorder="1" applyFont="1">
      <alignment vertical="bottom"/>
    </xf>
    <xf borderId="18" fillId="6" fontId="5" numFmtId="49" xfId="0" applyAlignment="1" applyBorder="1" applyFill="1" applyFont="1" applyNumberFormat="1">
      <alignment vertical="bottom"/>
    </xf>
    <xf borderId="10" fillId="6" fontId="20" numFmtId="0" xfId="0" applyAlignment="1" applyBorder="1" applyFill="1" applyFont="1">
      <alignment vertical="bottom"/>
    </xf>
    <xf borderId="10" fillId="0" fontId="20" numFmtId="0" xfId="0" applyAlignment="1" applyBorder="1" applyFont="1">
      <alignment vertical="bottom"/>
    </xf>
    <xf borderId="10" fillId="0" fontId="5" numFmtId="0" xfId="0" applyAlignment="1" applyBorder="1" applyFont="1">
      <alignment vertical="bottom"/>
    </xf>
    <xf borderId="0" fillId="6" fontId="21" numFmtId="0" xfId="0" applyAlignment="1" applyFill="1" applyFont="1">
      <alignment readingOrder="0"/>
    </xf>
    <xf borderId="0" fillId="6" fontId="21" numFmtId="0" xfId="0" applyAlignment="1" applyFill="1" applyFont="1">
      <alignment readingOrder="0" shrinkToFit="0" wrapText="1"/>
    </xf>
    <xf borderId="10" fillId="6" fontId="5" numFmtId="0" xfId="0" applyAlignment="1" applyBorder="1" applyFill="1" applyFont="1">
      <alignment readingOrder="0" vertical="bottom"/>
    </xf>
    <xf quotePrefix="1" borderId="10" fillId="6" fontId="5" numFmtId="49" xfId="0" applyAlignment="1" applyBorder="1" applyFill="1" applyFont="1" applyNumberFormat="1">
      <alignment readingOrder="0" vertical="bottom"/>
    </xf>
    <xf borderId="16" fillId="4" fontId="6" numFmtId="0" xfId="0" applyAlignment="1" applyBorder="1" applyFill="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80.71"/>
    <col customWidth="1" min="4" max="4" width="13.71"/>
    <col customWidth="1" min="5" max="5" width="34.0"/>
    <col customWidth="1" min="6" max="6" width="14.57"/>
    <col customWidth="1" min="7" max="7" width="35.0"/>
  </cols>
  <sheetData>
    <row r="1">
      <c r="A1" s="1"/>
      <c r="B1" s="2" t="s">
        <v>2</v>
      </c>
      <c r="C1" s="3"/>
      <c r="D1" s="2" t="s">
        <v>6</v>
      </c>
      <c r="E1" s="3"/>
      <c r="F1" s="2" t="s">
        <v>10</v>
      </c>
      <c r="G1" s="3"/>
    </row>
    <row r="2">
      <c r="A2" s="4"/>
      <c r="B2" s="5" t="s">
        <v>12</v>
      </c>
      <c r="C2" s="5" t="s">
        <v>13</v>
      </c>
      <c r="D2" s="5" t="s">
        <v>12</v>
      </c>
      <c r="E2" s="5" t="s">
        <v>13</v>
      </c>
      <c r="F2" s="5" t="s">
        <v>12</v>
      </c>
      <c r="G2" s="5" t="s">
        <v>13</v>
      </c>
    </row>
    <row r="3">
      <c r="A3" s="6" t="s">
        <v>14</v>
      </c>
      <c r="B3" s="6" t="str">
        <f>'Detailed Reasoning'!B$3</f>
        <v/>
      </c>
      <c r="C3" s="6" t="str">
        <f>'Detailed Reasoning'!C$3</f>
        <v/>
      </c>
      <c r="D3" s="6" t="str">
        <f>'Detailed Reasoning'!D$3</f>
        <v/>
      </c>
      <c r="E3" s="6" t="str">
        <f>'Detailed Reasoning'!E$3</f>
        <v/>
      </c>
      <c r="F3" s="8" t="str">
        <f>'Detailed Reasoning'!F$3</f>
        <v/>
      </c>
      <c r="G3" s="8" t="str">
        <f>'Detailed Reasoning'!G$3</f>
        <v/>
      </c>
    </row>
    <row r="4">
      <c r="A4" s="7" t="s">
        <v>18</v>
      </c>
      <c r="B4" s="9" t="str">
        <f>'1조'!B$3</f>
        <v>--</v>
      </c>
      <c r="C4" s="10" t="str">
        <f>'1조'!C3</f>
        <v>각 컴포넌트에서 장애가 발생시 전체 data flow의 중단으로 이어질 수 있다</v>
      </c>
      <c r="D4" s="9" t="str">
        <f>'1조'!D$3</f>
        <v>+</v>
      </c>
      <c r="E4" s="10" t="str">
        <f>'1조'!E3</f>
        <v>Pipe에 Buffer/Queue를 적용하면 장애 격리 및 재처리 가능</v>
      </c>
      <c r="F4" s="9" t="str">
        <f>'1조'!F$3</f>
        <v>++</v>
      </c>
      <c r="G4" s="10" t="str">
        <f>'1조'!G3</f>
        <v>Controller가 Process의 상태를 지속적으로 확인하고 장애나 상태 변화에 동적으로 대응할 수 있음</v>
      </c>
    </row>
    <row r="5">
      <c r="A5" s="7" t="s">
        <v>24</v>
      </c>
      <c r="B5" s="9" t="str">
        <f>'2조'!B$3</f>
        <v>--</v>
      </c>
      <c r="C5" s="10" t="str">
        <f>'2조'!C$3</f>
        <v>앞에 단계가 끝나야 다음 단계이므로 한 단계 실패 시 전체 중단, 복구도 오래 걸림</v>
      </c>
      <c r="D5" s="9" t="str">
        <f>'2조'!D$3</f>
        <v/>
      </c>
      <c r="E5" s="11" t="str">
        <f>'2조'!E$3</f>
        <v/>
      </c>
      <c r="F5" s="9" t="str">
        <f>'2조'!F$3</f>
        <v>0</v>
      </c>
      <c r="G5" s="11" t="str">
        <f>'2조'!G$3</f>
        <v>장애시 피드백 루프 자체는 동작 가능하지만, 컨트롤러 장애 시 제어 불능 상태가 됨</v>
      </c>
    </row>
    <row r="6">
      <c r="A6" s="7" t="s">
        <v>30</v>
      </c>
      <c r="B6" s="9" t="str">
        <f>'3조'!B$3</f>
        <v>--</v>
      </c>
      <c r="C6" s="11" t="str">
        <f>'3조'!C$3</f>
        <v>sequence 중 하나라도 에러가 발생하면 모든 시스템이 먹통이 된다</v>
      </c>
      <c r="D6" s="9" t="str">
        <f>'3조'!D$3</f>
        <v/>
      </c>
      <c r="E6" s="11" t="str">
        <f>'3조'!E$3</f>
        <v>3조 - Pipe and Filter - Availability</v>
      </c>
      <c r="F6" s="9" t="str">
        <f>'3조'!F$3</f>
        <v/>
      </c>
      <c r="G6" s="11" t="str">
        <f>'3조'!G$3</f>
        <v>3조 - Process Control - Availability</v>
      </c>
    </row>
    <row r="7">
      <c r="A7" s="7" t="s">
        <v>35</v>
      </c>
      <c r="B7" s="9" t="str">
        <f>'4조'!B$3</f>
        <v>--</v>
      </c>
      <c r="C7" s="11" t="str">
        <f>'4조'!C$3</f>
        <v>하나의 processing step이 fault 발생시 의존하는 다른 step이 진행될 수가 없음</v>
      </c>
      <c r="D7" s="9" t="str">
        <f>'4조'!D$3</f>
        <v/>
      </c>
      <c r="E7" s="11" t="str">
        <f>'4조'!E$3</f>
        <v>4조 - Pipe and Filter - Availability</v>
      </c>
      <c r="F7" s="9" t="str">
        <f>'4조'!F$3</f>
        <v/>
      </c>
      <c r="G7" s="11" t="str">
        <f>'4조'!G$3</f>
        <v>4조 - Process Control - Availability</v>
      </c>
    </row>
    <row r="8">
      <c r="A8" s="12" t="s">
        <v>40</v>
      </c>
      <c r="B8" s="9" t="str">
        <f>'5조'!B$3</f>
        <v>--</v>
      </c>
      <c r="C8" s="11" t="str">
        <f>'5조'!C$3</f>
        <v>한 단계에서 문제 발생시 모든 시퀀스가 기다려야 함</v>
      </c>
      <c r="D8" s="9" t="str">
        <f>'5조'!D$3</f>
        <v>--</v>
      </c>
      <c r="E8" s="11" t="str">
        <f>'5조'!E$3</f>
        <v>flow 일부가 망가지면 전체 동작 불가능해짐</v>
      </c>
      <c r="F8" s="9" t="str">
        <f>'5조'!F$3</f>
        <v/>
      </c>
      <c r="G8" s="11" t="str">
        <f>'5조'!G$3</f>
        <v>5조 - Process Control - Availability</v>
      </c>
    </row>
    <row r="9">
      <c r="A9" s="7" t="s">
        <v>47</v>
      </c>
      <c r="B9" s="9" t="str">
        <f>'6조'!B$3</f>
        <v>--</v>
      </c>
      <c r="C9" s="11" t="str">
        <f>'6조'!C$3</f>
        <v>순차적 파이프라인 구조상 특정 단계에서 장애나 에러가 발생하면 후속 단계가 진행되지 못하고 전체 데이터 흐름이 중단되며, 오류 복구 및 재수행에도 오랜 시간이 소요됨.</v>
      </c>
      <c r="D9" s="9" t="str">
        <f>'6조'!D$3</f>
        <v>+</v>
      </c>
      <c r="E9" s="11" t="str">
        <f>'6조'!E$3</f>
        <v>Pipe에 Buffer/Queue를 적용하면 장애 격리 및 재처리 가능</v>
      </c>
      <c r="F9" s="9" t="str">
        <f>'6조'!F$3</f>
        <v>0</v>
      </c>
      <c r="G9" s="11" t="str">
        <f>'6조'!G$3</f>
        <v>장애시 피드백 루프 자체는 동작 가능하지만, 컨트롤러 장애 시 제어 불능 상태가 됨</v>
      </c>
    </row>
    <row r="10">
      <c r="A10" s="7" t="s">
        <v>50</v>
      </c>
      <c r="B10" s="9" t="str">
        <f>'7조'!B$3</f>
        <v/>
      </c>
      <c r="C10" s="11" t="str">
        <f>'7조'!C$3</f>
        <v>7조 - Batch Sequential - Availability</v>
      </c>
      <c r="D10" s="9" t="str">
        <f>'7조'!D$3</f>
        <v/>
      </c>
      <c r="E10" s="11" t="str">
        <f>'7조'!E$3</f>
        <v>7조 - Pipe and Filter - Availability</v>
      </c>
      <c r="F10" s="9" t="str">
        <f>'7조'!F$3</f>
        <v/>
      </c>
      <c r="G10" s="11" t="str">
        <f>'7조'!G$3</f>
        <v>7조 - Process Control - Availability</v>
      </c>
    </row>
    <row r="11">
      <c r="A11" s="7" t="s">
        <v>53</v>
      </c>
      <c r="B11" s="9" t="str">
        <f>'8조'!B$3</f>
        <v/>
      </c>
      <c r="C11" s="11" t="str">
        <f>'8조'!C$3</f>
        <v>8조 - Batch Sequential - Availability</v>
      </c>
      <c r="D11" s="9" t="str">
        <f>'8조'!D$3</f>
        <v/>
      </c>
      <c r="E11" s="11" t="str">
        <f>'8조'!E$3</f>
        <v>8조 - Pipe and Filter - Availability</v>
      </c>
      <c r="F11" s="9" t="str">
        <f>'8조'!F$3</f>
        <v/>
      </c>
      <c r="G11" s="11" t="str">
        <f>'8조'!G$3</f>
        <v>8조 - Process Control - Availability</v>
      </c>
    </row>
    <row r="12">
      <c r="A12" s="7" t="s">
        <v>59</v>
      </c>
      <c r="B12" s="9" t="str">
        <f>'9조'!B$3</f>
        <v/>
      </c>
      <c r="C12" s="11" t="str">
        <f>'9조'!C$3</f>
        <v>9조 - Batch Sequential - Availability</v>
      </c>
      <c r="D12" s="9" t="str">
        <f>'9조'!D$3</f>
        <v/>
      </c>
      <c r="E12" s="11" t="str">
        <f>'9조'!E$3</f>
        <v>9조 - Pipe and Filter - Availability</v>
      </c>
      <c r="F12" s="9" t="str">
        <f>'9조'!F$3</f>
        <v/>
      </c>
      <c r="G12" s="11" t="str">
        <f>'9조'!G$3</f>
        <v>9조 - Process Control - Availability</v>
      </c>
    </row>
    <row r="13">
      <c r="A13" s="10"/>
      <c r="B13" s="13"/>
      <c r="C13" s="10"/>
      <c r="D13" s="13"/>
      <c r="E13" s="10"/>
      <c r="F13" s="13"/>
      <c r="G13" s="10"/>
    </row>
    <row r="14">
      <c r="A14" s="6" t="s">
        <v>44</v>
      </c>
      <c r="B14" s="6" t="str">
        <f>'Detailed Reasoning'!B$4</f>
        <v/>
      </c>
      <c r="C14" s="6" t="str">
        <f>'Detailed Reasoning'!C$4</f>
        <v/>
      </c>
      <c r="D14" s="6" t="str">
        <f>'Detailed Reasoning'!D$4</f>
        <v/>
      </c>
      <c r="E14" s="6" t="str">
        <f>'Detailed Reasoning'!E$4</f>
        <v/>
      </c>
      <c r="F14" s="8" t="str">
        <f>'Detailed Reasoning'!F$4</f>
        <v/>
      </c>
      <c r="G14" s="8" t="str">
        <f>'Detailed Reasoning'!G$4</f>
        <v/>
      </c>
    </row>
    <row r="15">
      <c r="A15" s="7" t="s">
        <v>69</v>
      </c>
      <c r="B15" s="9" t="str">
        <f>'1조'!B$4</f>
        <v>+</v>
      </c>
      <c r="C15" s="10" t="str">
        <f>'1조'!C4</f>
        <v>단계별 독립 배포가 가능하다. 다만 단계간 결합도가 낮을수록 배포가 쉬워진다</v>
      </c>
      <c r="D15" s="9" t="str">
        <f>'1조'!D$4</f>
        <v>++</v>
      </c>
      <c r="E15" s="10" t="str">
        <f>'1조'!E4</f>
        <v>각 필터가 독립적인 컴포넌트로 분리되어 있고, 파이프의 표준 인터페이스를 준수하므로 특정 필터만 개별적으로 무중단 배포하기 용이함</v>
      </c>
      <c r="F15" s="9" t="str">
        <f>'1조'!F$4</f>
        <v>-</v>
      </c>
      <c r="G15" s="10" t="str">
        <f>'1조'!G4</f>
        <v>런타임 제어가 중단되면 물리적/시스템적 위험이 생길 수 있으므로, 제어 루프가 도는 도중에 무중단 배포를 적용하기가 까다로움. 또한 Controller의 제어 로직을 변경하면 Process의 동작에 영향</v>
      </c>
    </row>
    <row r="16">
      <c r="A16" s="7" t="s">
        <v>75</v>
      </c>
      <c r="B16" s="9" t="str">
        <f>'2조'!B$4</f>
        <v>--</v>
      </c>
      <c r="C16" s="11" t="str">
        <f>'2조'!C$4</f>
        <v>전체 파이프라인이 하나로 묶여 있어 부분 배포와 롤백이 어려움</v>
      </c>
      <c r="D16" s="9" t="str">
        <f>'2조'!D$4</f>
        <v/>
      </c>
      <c r="E16" s="11" t="str">
        <f>'2조'!E$4</f>
        <v>2조 - Pipe and Filter - Deployability</v>
      </c>
      <c r="F16" s="9" t="str">
        <f>'2조'!F$4</f>
        <v>-</v>
      </c>
      <c r="G16" s="11" t="str">
        <f>'2조'!G$4</f>
        <v>하드웨어(센서/액추에이터)와 제어 로직이 긴밀히 결합되어 있어 독립 배포가 어려움</v>
      </c>
    </row>
    <row r="17">
      <c r="A17" s="7" t="s">
        <v>79</v>
      </c>
      <c r="B17" s="9" t="str">
        <f>'3조'!B$4</f>
        <v>++</v>
      </c>
      <c r="C17" s="11" t="str">
        <f>'3조'!C$4</f>
        <v>항상 같은 sequence가 반복되기 때문에 input에 따른 동작, 시간, 비용 예측이 쉬울 것 같다</v>
      </c>
      <c r="D17" s="9" t="str">
        <f>'3조'!D$4</f>
        <v/>
      </c>
      <c r="E17" s="11" t="str">
        <f>'3조'!E$4</f>
        <v>3조 - Pipe and Filter - Deployability</v>
      </c>
      <c r="F17" s="9" t="str">
        <f>'3조'!F$4</f>
        <v/>
      </c>
      <c r="G17" s="11" t="str">
        <f>'3조'!G$4</f>
        <v>3조 - Process Control - Deployability</v>
      </c>
    </row>
    <row r="18">
      <c r="A18" s="7" t="s">
        <v>82</v>
      </c>
      <c r="B18" s="9" t="str">
        <f>'4조'!B$4</f>
        <v>0</v>
      </c>
      <c r="C18" s="11" t="str">
        <f>'4조'!C$4</f>
        <v>순차적으로 실행되기 때문에 전체 수행시간이 예측 가능함. 하지만 수행시간이 너무 긴 작업일 경우 제한된 운영 환경에서는 이식되기 어려울 수 있음.</v>
      </c>
      <c r="D18" s="9" t="str">
        <f>'4조'!D$4</f>
        <v/>
      </c>
      <c r="E18" s="11" t="str">
        <f>'4조'!E$4</f>
        <v>4조 - Pipe and Filter - Deployability</v>
      </c>
      <c r="F18" s="9" t="str">
        <f>'4조'!F$4</f>
        <v/>
      </c>
      <c r="G18" s="11" t="str">
        <f>'4조'!G$4</f>
        <v>4조 - Process Control - Deployability</v>
      </c>
    </row>
    <row r="19">
      <c r="A19" s="7" t="s">
        <v>88</v>
      </c>
      <c r="B19" s="9" t="str">
        <f>'5조'!B$4</f>
        <v>++</v>
      </c>
      <c r="C19" s="11" t="str">
        <f>'5조'!C$4</f>
        <v>각 단계별 중간산출물을 명확히 파악 가능</v>
      </c>
      <c r="D19" s="9" t="str">
        <f>'5조'!D$4</f>
        <v>+</v>
      </c>
      <c r="E19" s="11" t="str">
        <f>'5조'!E$4</f>
        <v>test 환경과 운영환경이 크게 달라질 일 없음</v>
      </c>
      <c r="F19" s="9" t="str">
        <f>'5조'!F$4</f>
        <v/>
      </c>
      <c r="G19" s="11" t="str">
        <f>'5조'!G$4</f>
        <v>5조 - Process Control - Deployability</v>
      </c>
    </row>
    <row r="20">
      <c r="A20" s="7" t="s">
        <v>92</v>
      </c>
      <c r="B20" s="9" t="str">
        <f>'6조'!B$4</f>
        <v>+</v>
      </c>
      <c r="C20" s="11" t="str">
        <f>'6조'!C$4</f>
        <v>단계별 경계와 중간 산출물이 명확하여 결합도가 낮을 경우 개별 배치 프로그램을 독립적으로 배포·교체하기 용이함. 다만 전체 파이프라인이 하나로 묶여 관리되는 환경에서는 부분 배포 및 롤백이 어려울 수 있음.</v>
      </c>
      <c r="D20" s="9" t="str">
        <f>'6조'!D$4</f>
        <v>++</v>
      </c>
      <c r="E20" s="11" t="str">
        <f>'6조'!E$4</f>
        <v>각 필터가 독립적인 컴포넌트로 분리되어 있고, 파이프의 표준 인터페이스를 준수하므로 특정 필터만 개별적으로 무중단 배포하기 용이함</v>
      </c>
      <c r="F20" s="9" t="str">
        <f>'6조'!F$4</f>
        <v>-</v>
      </c>
      <c r="G20" s="11" t="str">
        <f>'6조'!G$4</f>
        <v>하드웨어(센서/액추에이터)와 제어 로직이 긴밀히 결합되어 있어 독립 배포가 어려움</v>
      </c>
    </row>
    <row r="21" ht="15.75" customHeight="1">
      <c r="A21" s="7" t="s">
        <v>96</v>
      </c>
      <c r="B21" s="9" t="str">
        <f>'7조'!B$4</f>
        <v/>
      </c>
      <c r="C21" s="11" t="str">
        <f>'7조'!C$4</f>
        <v>7조 - Batch Sequential - Deployability</v>
      </c>
      <c r="D21" s="9" t="str">
        <f>'7조'!D$4</f>
        <v/>
      </c>
      <c r="E21" s="11" t="str">
        <f>'7조'!E$4</f>
        <v>7조 - Pipe and Filter - Deployability</v>
      </c>
      <c r="F21" s="9" t="str">
        <f>'7조'!F$4</f>
        <v/>
      </c>
      <c r="G21" s="11" t="str">
        <f>'7조'!G$4</f>
        <v>7조 - Process Control - Deployability</v>
      </c>
    </row>
    <row r="22" ht="15.75" customHeight="1">
      <c r="A22" s="7" t="s">
        <v>102</v>
      </c>
      <c r="B22" s="9" t="str">
        <f>'8조'!B$4</f>
        <v/>
      </c>
      <c r="C22" s="11" t="str">
        <f>'8조'!C$4</f>
        <v>8조 - Batch Sequential - Deployability</v>
      </c>
      <c r="D22" s="9" t="str">
        <f>'8조'!D$4</f>
        <v/>
      </c>
      <c r="E22" s="11" t="str">
        <f>'8조'!E$4</f>
        <v>8조 - Pipe and Filter - Deployability</v>
      </c>
      <c r="F22" s="9" t="str">
        <f>'8조'!F$4</f>
        <v/>
      </c>
      <c r="G22" s="11" t="str">
        <f>'8조'!G$4</f>
        <v>8조 - Process Control - Deployability</v>
      </c>
    </row>
    <row r="23" ht="15.75" customHeight="1">
      <c r="A23" s="7" t="s">
        <v>106</v>
      </c>
      <c r="B23" s="9" t="str">
        <f>'9조'!B$4</f>
        <v/>
      </c>
      <c r="C23" s="11" t="str">
        <f>'9조'!C$4</f>
        <v>9조 - Batch Sequential - Deployability</v>
      </c>
      <c r="D23" s="9" t="str">
        <f>'9조'!D$4</f>
        <v/>
      </c>
      <c r="E23" s="11" t="str">
        <f>'9조'!E$4</f>
        <v>9조 - Pipe and Filter - Deployability</v>
      </c>
      <c r="F23" s="9" t="str">
        <f>'9조'!F$4</f>
        <v/>
      </c>
      <c r="G23" s="11" t="str">
        <f>'9조'!G$4</f>
        <v>9조 - Process Control - Deployability</v>
      </c>
    </row>
    <row r="24" ht="15.75" customHeight="1">
      <c r="A24" s="10"/>
      <c r="B24" s="13"/>
      <c r="C24" s="10"/>
      <c r="D24" s="13"/>
      <c r="E24" s="10"/>
      <c r="F24" s="13"/>
      <c r="G24" s="10"/>
    </row>
    <row r="25" ht="15.75" customHeight="1">
      <c r="A25" s="6" t="s">
        <v>80</v>
      </c>
      <c r="B25" s="6" t="str">
        <f>'Detailed Reasoning'!B$5</f>
        <v/>
      </c>
      <c r="C25" s="6" t="str">
        <f>'Detailed Reasoning'!C$5</f>
        <v/>
      </c>
      <c r="D25" s="6" t="str">
        <f>'Detailed Reasoning'!D$5</f>
        <v/>
      </c>
      <c r="E25" s="6" t="str">
        <f>'Detailed Reasoning'!E$5</f>
        <v/>
      </c>
      <c r="F25" s="8" t="str">
        <f>'Detailed Reasoning'!F$5</f>
        <v/>
      </c>
      <c r="G25" s="8" t="str">
        <f>'Detailed Reasoning'!G$5</f>
        <v/>
      </c>
    </row>
    <row r="26" ht="15.75" customHeight="1">
      <c r="A26" s="7" t="s">
        <v>115</v>
      </c>
      <c r="B26" s="9" t="str">
        <f>'1조'!B$5</f>
        <v>+</v>
      </c>
      <c r="C26" s="10" t="str">
        <f>'1조'!C5</f>
        <v>interface가 잘 정의되어 있다면 입력-&gt;처리-&gt;출력 형태로 명확하게 나눌수있기에 integrability가 높다.</v>
      </c>
      <c r="D26" s="9" t="str">
        <f>'1조'!D$5</f>
        <v>++</v>
      </c>
      <c r="E26" s="10" t="str">
        <f>'1조'!E5</f>
        <v>파이프를 흐르는 데이터의 인터페이스가 표준화되어 있어, 
 서로 다른 언어/기술로 작성된 새로운 필터나 외부 시스템을 파이프라인 중간에 쉽게 끼워 넣을 수 있음</v>
      </c>
      <c r="F26" s="9" t="str">
        <f>'1조'!F$5</f>
        <v>0</v>
      </c>
      <c r="G26" s="10" t="str">
        <f>'1조'!G5</f>
        <v>sensor, Controller, Process, Actuator 간 명확한 Interface가 중요. 장치별 Protocol이나 데이터 형식에 강하게 의존하면 통합성이 떨어짐</v>
      </c>
    </row>
    <row r="27" ht="15.75" customHeight="1">
      <c r="A27" s="7" t="s">
        <v>120</v>
      </c>
      <c r="B27" s="9" t="str">
        <f>'2조'!B$5</f>
        <v>-</v>
      </c>
      <c r="C27" s="11" t="str">
        <f>'2조'!C$5</f>
        <v>단계 간 강한 순서와 데이터 의존성으로 신규 컴포넌트 끼워넣기 어려움</v>
      </c>
      <c r="D27" s="9" t="str">
        <f>'2조'!D$5</f>
        <v/>
      </c>
      <c r="E27" s="11" t="str">
        <f>'2조'!E$5</f>
        <v>2조 - Pipe and Filter - Integrability</v>
      </c>
      <c r="F27" s="9" t="str">
        <f>'2조'!F$5</f>
        <v>0</v>
      </c>
      <c r="G27" s="11" t="str">
        <f>'2조'!G$5</f>
        <v>하드웨어(센서/액추에이터)가 표준 인터페이스를 따르면 교체 가능하나, 제어 루프의 재구성은 쉽지 않음</v>
      </c>
    </row>
    <row r="28" ht="15.75" customHeight="1">
      <c r="A28" s="7" t="s">
        <v>125</v>
      </c>
      <c r="B28" s="9" t="str">
        <f>'3조'!B$5</f>
        <v>-</v>
      </c>
      <c r="C28" s="11" t="str">
        <f>'3조'!C$5</f>
        <v>sequence가 정해져 있어서 다른 시스템, 컴포넌트와 통합되기 힘들어 보인다</v>
      </c>
      <c r="D28" s="9" t="str">
        <f>'3조'!D$5</f>
        <v/>
      </c>
      <c r="E28" s="11" t="str">
        <f>'3조'!E$5</f>
        <v>3조 - Pipe and Filter - Integrability</v>
      </c>
      <c r="F28" s="9" t="str">
        <f>'3조'!F$5</f>
        <v/>
      </c>
      <c r="G28" s="11" t="str">
        <f>'3조'!G$5</f>
        <v>3조 - Process Control - Integrability</v>
      </c>
    </row>
    <row r="29" ht="15.75" customHeight="1">
      <c r="A29" s="7" t="s">
        <v>131</v>
      </c>
      <c r="B29" s="9" t="str">
        <f>'4조'!B$5</f>
        <v>++</v>
      </c>
      <c r="C29" s="11" t="str">
        <f>'4조'!C$7</f>
        <v>실행되는 step의 입력 데이터와 출력 데이터 간의 파일 형식만 맞추면 다른 형태로 쉽게 교체가 가능함</v>
      </c>
      <c r="D29" s="9" t="str">
        <f>'4조'!D$5</f>
        <v/>
      </c>
      <c r="E29" s="11" t="str">
        <f>'4조'!E$5</f>
        <v>4조 - Pipe and Filter - Integrability</v>
      </c>
      <c r="F29" s="9" t="str">
        <f>'4조'!F$5</f>
        <v/>
      </c>
      <c r="G29" s="11" t="str">
        <f>'4조'!G$5</f>
        <v>4조 - Process Control - Integrability</v>
      </c>
    </row>
    <row r="30" ht="15.75" customHeight="1">
      <c r="A30" s="7" t="s">
        <v>135</v>
      </c>
      <c r="B30" s="9" t="str">
        <f>'5조'!B$5</f>
        <v>++</v>
      </c>
      <c r="C30" s="11" t="str">
        <f>'5조'!C$5</f>
        <v>sequence당 중간 산출물이 명확하여 모듈 구성이 용이</v>
      </c>
      <c r="D30" s="9" t="str">
        <f>'5조'!D$5</f>
        <v>+</v>
      </c>
      <c r="E30" s="11" t="str">
        <f>'5조'!E$5</f>
        <v>중간 산출물의 형태가 비교적 명확히 정의되어있음</v>
      </c>
      <c r="F30" s="9" t="str">
        <f>'5조'!F$5</f>
        <v/>
      </c>
      <c r="G30" s="11" t="str">
        <f>'5조'!G$5</f>
        <v>5조 - Process Control - Integrability</v>
      </c>
    </row>
    <row r="31" ht="15.75" customHeight="1">
      <c r="A31" s="7" t="s">
        <v>139</v>
      </c>
      <c r="B31" s="9" t="str">
        <f>'6조'!B$5</f>
        <v>+</v>
      </c>
      <c r="C31" s="11" t="str">
        <f>'6조'!C$5</f>
        <v>각 단계 간 입력/출력 데이터 파일 포맷만 표준화되어 있으면 새로운 컴포넌트를 연계하거나 교체하기 용이함. 반면, 강한 실행 순서 및 데이터 의존성 때문에 파이프라인 중간에 임의의 컴포넌트를 동적으로 삽입하기는 까다롭다는 지적도 존재함.</v>
      </c>
      <c r="D31" s="9" t="str">
        <f>'6조'!D$5</f>
        <v>++</v>
      </c>
      <c r="E31" s="11" t="str">
        <f>'6조'!E$5</f>
        <v>파이프를 흐르는 데이터의 인터페이스가 표준화되어 있어, 
 서로 다른 언어/기술로 작성된 새로운 필터나 외부 시스템을 파이프라인 중간에 쉽게 끼워 넣을 수 있음</v>
      </c>
      <c r="F31" s="9" t="str">
        <f>'6조'!F$5</f>
        <v>0</v>
      </c>
      <c r="G31" s="11" t="str">
        <f>'6조'!G$5</f>
        <v>하드웨어(센서/액추에이터)가 표준 인터페이스를 따르면 교체 가능하나, 제어 루프의 재구성은 쉽지 않음</v>
      </c>
    </row>
    <row r="32" ht="15.75" customHeight="1">
      <c r="A32" s="7" t="s">
        <v>145</v>
      </c>
      <c r="B32" s="9" t="str">
        <f>'7조'!B$5</f>
        <v/>
      </c>
      <c r="C32" s="11" t="str">
        <f>'7조'!C$5</f>
        <v>7조 - Batch Sequential - Integrability</v>
      </c>
      <c r="D32" s="9" t="str">
        <f>'7조'!D$5</f>
        <v/>
      </c>
      <c r="E32" s="11" t="str">
        <f>'7조'!E$5</f>
        <v>7조 - Pipe and Filter - Integrability</v>
      </c>
      <c r="F32" s="9" t="str">
        <f>'7조'!F$5</f>
        <v/>
      </c>
      <c r="G32" s="11" t="str">
        <f>'7조'!G$5</f>
        <v>7조 - Process Control - Integrability</v>
      </c>
    </row>
    <row r="33" ht="15.75" customHeight="1">
      <c r="A33" s="7" t="s">
        <v>150</v>
      </c>
      <c r="B33" s="9" t="str">
        <f>'8조'!B$5</f>
        <v/>
      </c>
      <c r="C33" s="11" t="str">
        <f>'8조'!C$5</f>
        <v>8조 - Batch Sequential - Integrability</v>
      </c>
      <c r="D33" s="9" t="str">
        <f>'8조'!D$5</f>
        <v/>
      </c>
      <c r="E33" s="11" t="str">
        <f>'8조'!E$5</f>
        <v>8조 - Pipe and Filter - Integrability</v>
      </c>
      <c r="F33" s="9" t="str">
        <f>'8조'!F$5</f>
        <v/>
      </c>
      <c r="G33" s="11" t="str">
        <f>'8조'!G$5</f>
        <v>8조 - Process Control - Integrability</v>
      </c>
    </row>
    <row r="34" ht="15.75" customHeight="1">
      <c r="A34" s="7" t="s">
        <v>153</v>
      </c>
      <c r="B34" s="9" t="str">
        <f>'9조'!B$5</f>
        <v/>
      </c>
      <c r="C34" s="11" t="str">
        <f>'9조'!C$5</f>
        <v>9조 - Batch Sequential - Integrability</v>
      </c>
      <c r="D34" s="9" t="str">
        <f>'9조'!D$5</f>
        <v/>
      </c>
      <c r="E34" s="11" t="str">
        <f>'9조'!E$5</f>
        <v>9조 - Pipe and Filter - Integrability</v>
      </c>
      <c r="F34" s="9" t="str">
        <f>'9조'!F$5</f>
        <v/>
      </c>
      <c r="G34" s="11" t="str">
        <f>'9조'!G$5</f>
        <v>9조 - Process Control - Integrability</v>
      </c>
    </row>
    <row r="35" ht="15.75" customHeight="1">
      <c r="A35" s="10"/>
      <c r="B35" s="13"/>
      <c r="C35" s="10"/>
      <c r="D35" s="13"/>
      <c r="E35" s="10"/>
      <c r="F35" s="13"/>
      <c r="G35" s="10"/>
    </row>
    <row r="36" ht="15.75" customHeight="1">
      <c r="A36" s="6" t="s">
        <v>113</v>
      </c>
      <c r="B36" s="6" t="str">
        <f>'Detailed Reasoning'!B$6</f>
        <v/>
      </c>
      <c r="C36" s="6" t="str">
        <f>'Detailed Reasoning'!C$6</f>
        <v/>
      </c>
      <c r="D36" s="6" t="str">
        <f>'Detailed Reasoning'!D$6</f>
        <v/>
      </c>
      <c r="E36" s="6" t="str">
        <f>'Detailed Reasoning'!E$6</f>
        <v/>
      </c>
      <c r="F36" s="8" t="str">
        <f>'Detailed Reasoning'!F$6</f>
        <v/>
      </c>
      <c r="G36" s="8" t="str">
        <f>'Detailed Reasoning'!G$6</f>
        <v/>
      </c>
    </row>
    <row r="37" ht="15.75" customHeight="1">
      <c r="A37" s="10" t="s">
        <v>163</v>
      </c>
      <c r="B37" s="9" t="str">
        <f>'1조'!B$6</f>
        <v>0</v>
      </c>
      <c r="C37" s="10" t="str">
        <f>'1조'!C6</f>
        <v>동시 자원사용량을 낮출 수 있고 과도한 컴퓨팅 자원 사용을 줄일 수 있으나, sequential 구조로 처리시간이 길어지므로 소비된 총 에너지는 크게 유리하지 않음.</v>
      </c>
      <c r="D37" s="9" t="str">
        <f>'1조'!D$6</f>
        <v>0</v>
      </c>
      <c r="E37" s="10" t="str">
        <f>'1조'!E6</f>
        <v>Filter 병렬화로 처리시간 단축 가능하지만 동시 실행으로 자원 소비 증가</v>
      </c>
      <c r="F37" s="9" t="str">
        <f>'1조'!F$6</f>
        <v>++</v>
      </c>
      <c r="G37" s="10" t="str">
        <f>'1조'!G6</f>
        <v>시스템의 현재 상태를 보고 필요한 만큼만 자원을 사용할 수 있습니다.</v>
      </c>
    </row>
    <row r="38" ht="15.75" customHeight="1">
      <c r="A38" s="10" t="s">
        <v>167</v>
      </c>
      <c r="B38" s="9" t="str">
        <f>'2조'!B$6</f>
        <v>+</v>
      </c>
      <c r="C38" s="11" t="str">
        <f>'2조'!C$6</f>
        <v>유휴 없이 몰아서 처리하므로 자원 활용률 높다</v>
      </c>
      <c r="D38" s="9" t="str">
        <f>'2조'!D$6</f>
        <v/>
      </c>
      <c r="E38" s="11" t="str">
        <f>'2조'!E$6</f>
        <v>2조 - Pipe and Filter - Energy Efficiency</v>
      </c>
      <c r="F38" s="9" t="str">
        <f>'2조'!F$6</f>
        <v>--</v>
      </c>
      <c r="G38" s="11" t="str">
        <f>'2조'!G$6</f>
        <v>지속적인 센싱과 연산이 필요한 구조라 유휴 상태 없이 상시 자원 소모함</v>
      </c>
    </row>
    <row r="39" ht="15.75" customHeight="1">
      <c r="A39" s="10" t="s">
        <v>173</v>
      </c>
      <c r="B39" s="9" t="str">
        <f>'3조'!B$6</f>
        <v>0</v>
      </c>
      <c r="C39" s="11" t="str">
        <f>'3조'!C$6</f>
        <v>특별히 에너지와 관계 없어 보인다</v>
      </c>
      <c r="D39" s="9" t="str">
        <f>'3조'!D$6</f>
        <v/>
      </c>
      <c r="E39" s="11" t="str">
        <f>'3조'!E$6</f>
        <v>3조 - Pipe and Filter - Energy Efficiency</v>
      </c>
      <c r="F39" s="9" t="str">
        <f>'3조'!F$6</f>
        <v/>
      </c>
      <c r="G39" s="11" t="str">
        <f>'3조'!G$6</f>
        <v>3조 - Process Control - Energy Efficiency</v>
      </c>
    </row>
    <row r="40" ht="15.75" customHeight="1">
      <c r="A40" s="10" t="s">
        <v>177</v>
      </c>
      <c r="B40" s="9" t="str">
        <f>'4조'!B$6</f>
        <v>-</v>
      </c>
      <c r="C40" s="11" t="str">
        <f>'4조'!C$6</f>
        <v>Utilization이라는 측면을 고려했을 때 시스템 자원 사용성이 순차실행이기 때문에 떨어질 수 있음.</v>
      </c>
      <c r="D40" s="9" t="str">
        <f>'4조'!D$6</f>
        <v/>
      </c>
      <c r="E40" s="11" t="str">
        <f>'4조'!E$6</f>
        <v>4조 - Pipe and Filter - Energy Efficiency</v>
      </c>
      <c r="F40" s="9" t="str">
        <f>'4조'!F$6</f>
        <v/>
      </c>
      <c r="G40" s="11" t="str">
        <f>'4조'!G$6</f>
        <v>4조 - Process Control - Energy Efficiency</v>
      </c>
    </row>
    <row r="41" ht="15.75" customHeight="1">
      <c r="A41" s="10" t="s">
        <v>183</v>
      </c>
      <c r="B41" s="9" t="str">
        <f>'5조'!B$6</f>
        <v>--</v>
      </c>
      <c r="C41" s="11" t="str">
        <f>'5조'!C$6</f>
        <v>sequence 대기중 낭비되는 시간자원 큼</v>
      </c>
      <c r="D41" s="9" t="str">
        <f>'5조'!D$6</f>
        <v>+</v>
      </c>
      <c r="E41" s="11" t="str">
        <f>'5조'!E$6</f>
        <v>낭비자원 없이 pipeline가동할 것으로 예상</v>
      </c>
      <c r="F41" s="9" t="str">
        <f>'5조'!F$6</f>
        <v/>
      </c>
      <c r="G41" s="11" t="str">
        <f>'5조'!G$6</f>
        <v>5조 - Process Control - Energy Efficiency</v>
      </c>
    </row>
    <row r="42" ht="15.75" customHeight="1">
      <c r="A42" s="10" t="s">
        <v>187</v>
      </c>
      <c r="B42" s="9" t="str">
        <f>'6조'!B$6</f>
        <v>0</v>
      </c>
      <c r="C42" s="11" t="str">
        <f>'6조'!C$6</f>
        <v>특정 시점에 대량 데이터를 한 번에 처리하므로 유휴 상태 없이 컴퓨팅 자원 활용률을 높일 수 있다는 긍정적 측면과, 선행 작업 종료 시까지 후속 작업이 대기하고 순차 실행으로 인해 전체 소요 시간이 늘어나 총 에너지 절감에는 불리하다는 관점이 상충함.</v>
      </c>
      <c r="D42" s="9" t="str">
        <f>'6조'!D$6</f>
        <v>0</v>
      </c>
      <c r="E42" s="11" t="str">
        <f>'6조'!E$6</f>
        <v>Filter 병렬화로 처리시간 단축 가능하지만 동시 실행으로 자원 소비 증가</v>
      </c>
      <c r="F42" s="9" t="str">
        <f>'6조'!F$6</f>
        <v>--</v>
      </c>
      <c r="G42" s="11" t="str">
        <f>'6조'!G$6</f>
        <v>지속적인 센싱과 연산이 필요한 구조라 유휴 상태 없이 상시 자원 소모함</v>
      </c>
    </row>
    <row r="43" ht="15.75" customHeight="1">
      <c r="A43" s="10" t="s">
        <v>190</v>
      </c>
      <c r="B43" s="9" t="str">
        <f>'7조'!B$6</f>
        <v/>
      </c>
      <c r="C43" s="11" t="str">
        <f>'7조'!C$6</f>
        <v>7조 - Batch Sequential - Energy Efficiency</v>
      </c>
      <c r="D43" s="9" t="str">
        <f>'7조'!D$6</f>
        <v/>
      </c>
      <c r="E43" s="11" t="str">
        <f>'7조'!E$6</f>
        <v>7조 - Pipe and Filter - Energy Efficiency</v>
      </c>
      <c r="F43" s="9" t="str">
        <f>'7조'!F$6</f>
        <v/>
      </c>
      <c r="G43" s="11" t="str">
        <f>'7조'!G$6</f>
        <v>7조 - Process Control - Energy Efficiency</v>
      </c>
    </row>
    <row r="44" ht="15.75" customHeight="1">
      <c r="A44" s="10" t="s">
        <v>195</v>
      </c>
      <c r="B44" s="9" t="str">
        <f>'8조'!B$6</f>
        <v/>
      </c>
      <c r="C44" s="11" t="str">
        <f>'8조'!C$6</f>
        <v>8조 - Batch Sequential - Energy Efficiency</v>
      </c>
      <c r="D44" s="9" t="str">
        <f>'8조'!D$6</f>
        <v/>
      </c>
      <c r="E44" s="11" t="str">
        <f>'8조'!E$6</f>
        <v>8조 - Pipe and Filter - Energy Efficiency</v>
      </c>
      <c r="F44" s="9" t="str">
        <f>'8조'!F$6</f>
        <v/>
      </c>
      <c r="G44" s="11" t="str">
        <f>'8조'!G$6</f>
        <v>8조 - Process Control - Energy Efficiency</v>
      </c>
    </row>
    <row r="45" ht="15.75" customHeight="1">
      <c r="A45" s="10" t="s">
        <v>200</v>
      </c>
      <c r="B45" s="9" t="str">
        <f>'9조'!B$6</f>
        <v/>
      </c>
      <c r="C45" s="11" t="str">
        <f>'9조'!C$6</f>
        <v>9조 - Batch Sequential - Energy Efficiency</v>
      </c>
      <c r="D45" s="9" t="str">
        <f>'9조'!D$6</f>
        <v/>
      </c>
      <c r="E45" s="11" t="str">
        <f>'9조'!E$6</f>
        <v>9조 - Pipe and Filter - Energy Efficiency</v>
      </c>
      <c r="F45" s="9" t="str">
        <f>'9조'!F$6</f>
        <v/>
      </c>
      <c r="G45" s="11" t="str">
        <f>'9조'!G$6</f>
        <v>9조 - Process Control - Energy Efficiency</v>
      </c>
    </row>
    <row r="46" ht="15.75" customHeight="1">
      <c r="A46" s="10"/>
      <c r="B46" s="13"/>
      <c r="C46" s="10"/>
      <c r="D46" s="13"/>
      <c r="E46" s="10"/>
      <c r="F46" s="13"/>
      <c r="G46" s="10"/>
    </row>
    <row r="47" ht="15.75" customHeight="1">
      <c r="A47" s="6" t="s">
        <v>144</v>
      </c>
      <c r="B47" s="6" t="str">
        <f>'Detailed Reasoning'!B$7</f>
        <v/>
      </c>
      <c r="C47" s="6" t="str">
        <f>'Detailed Reasoning'!C$7</f>
        <v/>
      </c>
      <c r="D47" s="6" t="str">
        <f>'Detailed Reasoning'!D$7</f>
        <v/>
      </c>
      <c r="E47" s="6" t="str">
        <f>'Detailed Reasoning'!E$7</f>
        <v/>
      </c>
      <c r="F47" s="6" t="str">
        <f>'Detailed Reasoning'!F$7</f>
        <v/>
      </c>
      <c r="G47" s="8" t="str">
        <f>'Detailed Reasoning'!G$7</f>
        <v/>
      </c>
    </row>
    <row r="48" ht="15.75" customHeight="1">
      <c r="A48" s="7" t="s">
        <v>210</v>
      </c>
      <c r="B48" s="9" t="str">
        <f>'1조'!B$7</f>
        <v>+</v>
      </c>
      <c r="C48" s="10" t="str">
        <f>'1조'!C7</f>
        <v>데이터의 형식이 고정되어 있는상태에서 개별 단계 로직 변경은 쉬우나 데이터 구조(형태)가 바뀌는 경우엔 변경 용이성이 떨어짐</v>
      </c>
      <c r="D48" s="9" t="str">
        <f>'1조'!D$7</f>
        <v>+</v>
      </c>
      <c r="E48" s="10" t="str">
        <f>'1조'!E7</f>
        <v>필터 간 직접적인 의존성이 없고 오직 파이프와만 통신하므로, 
 파이프라인에 새로운 필터를 추가·제거·재배치하기가 매우 쉬우나 데이터 공통구조(형태)가 수정되는 경우 전체 필터에 영향이 있음</v>
      </c>
      <c r="F48" s="9" t="str">
        <f>'1조'!F$7</f>
        <v>0</v>
      </c>
      <c r="G48" s="10" t="str">
        <f>'1조'!G7</f>
        <v>제어기(Controller) 내부의 제어 로직을 교체하는 것은 독립 모듈로 가능하나
 제어 변수나 목표 값(Set Point)을 변경할 경우, 피드백 루프 전체의 안정성(Stability)에 영향을 주기 때문에 시스템 전체의 응답 특성을 재조정하여야하는 문제가 있음.</v>
      </c>
    </row>
    <row r="49" ht="15.75" customHeight="1">
      <c r="A49" s="7" t="s">
        <v>215</v>
      </c>
      <c r="B49" s="9" t="str">
        <f>'2조'!B$7</f>
        <v>+</v>
      </c>
      <c r="C49" s="11" t="str">
        <f>'2조'!C$7</f>
        <v>단계별로 분리돼 있어 특정 단계 로직 교체는 비교적 쉬움</v>
      </c>
      <c r="D49" s="9" t="str">
        <f>'2조'!D$7</f>
        <v/>
      </c>
      <c r="E49" s="11" t="str">
        <f>'2조'!E$7</f>
        <v>2조 - Pipe and Filter - Modifiability</v>
      </c>
      <c r="F49" s="9" t="str">
        <f>'2조'!F$7</f>
        <v>-</v>
      </c>
      <c r="G49" s="11" t="str">
        <f>'2조'!G$7</f>
        <v>제어 로직 변경 시 전체 의존성 변경으로 변경 범위가 큼</v>
      </c>
    </row>
    <row r="50" ht="15.75" customHeight="1">
      <c r="A50" s="7" t="s">
        <v>221</v>
      </c>
      <c r="B50" s="9" t="str">
        <f>'3조'!B$7</f>
        <v>0</v>
      </c>
      <c r="C50" s="11" t="str">
        <f>'3조'!C$7</f>
        <v>각 프로그램이 독립적이기 때문에 수정이 용이할 것 같지만
앞 시퀀스의 파일 변경이 뒤 시퀀스에 영향을 줄 수도 있을 것 같아 + -</v>
      </c>
      <c r="D50" s="9" t="str">
        <f>'3조'!D$7</f>
        <v/>
      </c>
      <c r="E50" s="11" t="str">
        <f>'3조'!E$7</f>
        <v>3조 - Pipe and Filter - Modifiability</v>
      </c>
      <c r="F50" s="9" t="str">
        <f>'3조'!F$7</f>
        <v/>
      </c>
      <c r="G50" s="11" t="str">
        <f>'3조'!G$7</f>
        <v>3조 - Process Control - Modifiability</v>
      </c>
    </row>
    <row r="51" ht="15.75" customHeight="1">
      <c r="A51" s="7" t="s">
        <v>224</v>
      </c>
      <c r="B51" s="9" t="str">
        <f>'4조'!B$7</f>
        <v>++</v>
      </c>
      <c r="C51" s="11" t="str">
        <f>#REF!</f>
        <v>#REF!</v>
      </c>
      <c r="D51" s="9" t="str">
        <f>'4조'!D$7</f>
        <v/>
      </c>
      <c r="E51" s="11" t="str">
        <f>'4조'!E$7</f>
        <v>4조 - Pipe and Filter - Modifiability</v>
      </c>
      <c r="F51" s="9" t="str">
        <f>'4조'!F$7</f>
        <v/>
      </c>
      <c r="G51" s="11" t="str">
        <f>'4조'!G$7</f>
        <v>4조 - Process Control - Modifiability</v>
      </c>
    </row>
    <row r="52" ht="15.75" customHeight="1">
      <c r="A52" s="7" t="s">
        <v>230</v>
      </c>
      <c r="B52" s="9" t="str">
        <f>'5조'!B$7</f>
        <v>++</v>
      </c>
      <c r="C52" s="11" t="str">
        <f>'5조'!C$7</f>
        <v>후속 sequence영향 범위 고려 필요</v>
      </c>
      <c r="D52" s="9" t="str">
        <f>'5조'!D$7</f>
        <v>-</v>
      </c>
      <c r="E52" s="11" t="str">
        <f>'5조'!E$7</f>
        <v>후속 pipeline영향범위 고려 필요</v>
      </c>
      <c r="F52" s="9" t="str">
        <f>'5조'!F$7</f>
        <v/>
      </c>
      <c r="G52" s="11" t="str">
        <f>'5조'!G$7</f>
        <v>5조 - Process Control - Modifiability</v>
      </c>
    </row>
    <row r="53" ht="15.75" customHeight="1">
      <c r="A53" s="7" t="s">
        <v>234</v>
      </c>
      <c r="B53" s="9" t="str">
        <f>'6조'!B$7</f>
        <v>+</v>
      </c>
      <c r="C53" s="11" t="str">
        <f>'6조'!C$7</f>
        <v>프로그램이 단계별로 분리되어 있어 특정 단계의 알고리즘이나 내부 로직을 수정하는 것은 쉬움. 그러나 중간 파일의 데이터 구조(포맷)가 변경되면 이후의 모든 후속 시퀀스에 영향(Ripple effect)을 미침.</v>
      </c>
      <c r="D53" s="9" t="str">
        <f>'6조'!D$7</f>
        <v>+</v>
      </c>
      <c r="E53" s="11" t="str">
        <f>'6조'!E$7</f>
        <v>필터 간 직접적인 의존성이 없고 오직 파이프와만 통신하므로, 
 파이프라인에 새로운 필터를 추가·제거·재배치하기가 매우 쉬우나 데이터 공통구조(형태)가 수정되는 경우 전체 필터에 영향이 있음</v>
      </c>
      <c r="F53" s="9" t="str">
        <f>'6조'!F$7</f>
        <v>-</v>
      </c>
      <c r="G53" s="11" t="str">
        <f>'6조'!G$7</f>
        <v>제어 로직 변경 시 전체 의존성 변경으로 변경 범위가 큼</v>
      </c>
    </row>
    <row r="54" ht="15.75" customHeight="1">
      <c r="A54" s="7" t="s">
        <v>241</v>
      </c>
      <c r="B54" s="9" t="str">
        <f>'7조'!B$7</f>
        <v/>
      </c>
      <c r="C54" s="11" t="str">
        <f>'7조'!C$7</f>
        <v>7조 - Batch Sequential - Modifiability</v>
      </c>
      <c r="D54" s="9" t="str">
        <f>'7조'!D$7</f>
        <v/>
      </c>
      <c r="E54" s="11" t="str">
        <f>'7조'!E$7</f>
        <v>7조 - Pipe and Filter - Modifiability</v>
      </c>
      <c r="F54" s="9" t="str">
        <f>'7조'!F$7</f>
        <v/>
      </c>
      <c r="G54" s="11" t="str">
        <f>'7조'!G$7</f>
        <v>7조 - Process Control - Modifiability</v>
      </c>
    </row>
    <row r="55" ht="15.75" customHeight="1">
      <c r="A55" s="7" t="s">
        <v>247</v>
      </c>
      <c r="B55" s="9" t="str">
        <f>'8조'!B$7</f>
        <v/>
      </c>
      <c r="C55" s="11" t="str">
        <f>'8조'!C$7</f>
        <v>8조 - Batch Sequential - Modifiability</v>
      </c>
      <c r="D55" s="9" t="str">
        <f>'8조'!D$7</f>
        <v/>
      </c>
      <c r="E55" s="11" t="str">
        <f>'8조'!E$7</f>
        <v>8조 - Pipe and Filter - Modifiability</v>
      </c>
      <c r="F55" s="9" t="str">
        <f>'8조'!F$7</f>
        <v/>
      </c>
      <c r="G55" s="11" t="str">
        <f>'8조'!G$7</f>
        <v>8조 - Process Control - Modifiability</v>
      </c>
    </row>
    <row r="56" ht="15.75" customHeight="1">
      <c r="A56" s="7" t="s">
        <v>251</v>
      </c>
      <c r="B56" s="9" t="str">
        <f>'9조'!B$7</f>
        <v/>
      </c>
      <c r="C56" s="11" t="str">
        <f>'9조'!C$7</f>
        <v>9조 - Batch Sequential - Modifiability</v>
      </c>
      <c r="D56" s="9" t="str">
        <f>'9조'!D$7</f>
        <v/>
      </c>
      <c r="E56" s="11" t="str">
        <f>'9조'!E$7</f>
        <v>9조 - Pipe and Filter - Modifiability</v>
      </c>
      <c r="F56" s="9" t="str">
        <f>'9조'!F$7</f>
        <v/>
      </c>
      <c r="G56" s="11" t="str">
        <f>'9조'!G$7</f>
        <v>9조 - Process Control - Modifiability</v>
      </c>
    </row>
    <row r="57" ht="15.75" customHeight="1">
      <c r="A57" s="10"/>
      <c r="B57" s="13"/>
      <c r="C57" s="10"/>
      <c r="D57" s="13"/>
      <c r="E57" s="10"/>
      <c r="F57" s="13"/>
      <c r="G57" s="10"/>
    </row>
    <row r="58" ht="15.75" customHeight="1">
      <c r="A58" s="6" t="s">
        <v>176</v>
      </c>
      <c r="B58" s="6" t="str">
        <f>'Detailed Reasoning'!B$8</f>
        <v/>
      </c>
      <c r="C58" s="6" t="str">
        <f>'Detailed Reasoning'!C$8</f>
        <v/>
      </c>
      <c r="D58" s="6" t="str">
        <f>'Detailed Reasoning'!D$8</f>
        <v/>
      </c>
      <c r="E58" s="6" t="str">
        <f>'Detailed Reasoning'!E$8</f>
        <v/>
      </c>
      <c r="F58" s="8" t="str">
        <f>'Detailed Reasoning'!F$8</f>
        <v/>
      </c>
      <c r="G58" s="6" t="str">
        <f>'Detailed Reasoning'!G$8</f>
        <v/>
      </c>
    </row>
    <row r="59" ht="15.75" customHeight="1">
      <c r="A59" s="7" t="s">
        <v>264</v>
      </c>
      <c r="B59" s="9" t="str">
        <f>'1조'!B$8</f>
        <v>--</v>
      </c>
      <c r="C59" s="10" t="str">
        <f>'1조'!C8</f>
        <v>각 단계가 이전 단계가 완료가 되어야 실행이 되기 때문에 latency가 매우 높다</v>
      </c>
      <c r="D59" s="9" t="str">
        <f>'1조'!D$8</f>
        <v>+</v>
      </c>
      <c r="E59" s="10" t="str">
        <f>'1조'!E8</f>
        <v>Filter 병렬화 및 Pipeline Processing 가능하지만 파이프간 데이터가 이동할 때 오버헤드가 많을 수도 있음.</v>
      </c>
      <c r="F59" s="9" t="str">
        <f>'1조'!F$8</f>
        <v>++</v>
      </c>
      <c r="G59" s="10" t="str">
        <f>'1조'!G8</f>
        <v>실시간 상태를 기반으로 동적으로 제어할 수 있기 때문에 Performance에 유리합니다</v>
      </c>
    </row>
    <row r="60" ht="15.75" customHeight="1">
      <c r="A60" s="7" t="s">
        <v>272</v>
      </c>
      <c r="B60" s="9" t="str">
        <f>'2조'!B$8</f>
        <v>++</v>
      </c>
      <c r="C60" s="11" t="str">
        <f>'2조'!C$8</f>
        <v>대용량 데이터 일괄 처리에 최적화된 구조</v>
      </c>
      <c r="D60" s="9" t="str">
        <f>'2조'!D$8</f>
        <v/>
      </c>
      <c r="E60" s="11" t="str">
        <f>'2조'!E$8</f>
        <v>2조 - Pipe and Filter - Performance</v>
      </c>
      <c r="F60" s="9" t="str">
        <f>'2조'!F$8</f>
        <v>++</v>
      </c>
      <c r="G60" s="11" t="str">
        <f>'2조'!G$8</f>
        <v>실행 순서와 주기 제어로 빠른응답, 실시간 제어, 성능 예측 가능함</v>
      </c>
    </row>
    <row r="61" ht="15.75" customHeight="1">
      <c r="A61" s="7" t="s">
        <v>278</v>
      </c>
      <c r="B61" s="9" t="str">
        <f>'3조'!B$8</f>
        <v>--</v>
      </c>
      <c r="C61" s="11" t="str">
        <f>'3조'!C$8</f>
        <v>앞 동작이 끝나야 뒤 동작이 수행되기 때문에 성능이 안좋을 것 같다</v>
      </c>
      <c r="D61" s="9" t="str">
        <f>'3조'!D$8</f>
        <v/>
      </c>
      <c r="E61" s="11" t="str">
        <f>'3조'!E$8</f>
        <v>3조 - Pipe and Filter - Performance</v>
      </c>
      <c r="F61" s="9" t="str">
        <f>'3조'!F$8</f>
        <v/>
      </c>
      <c r="G61" s="11" t="str">
        <f>'3조'!G$8</f>
        <v>3조 - Process Control - Performance</v>
      </c>
    </row>
    <row r="62" ht="15.75" customHeight="1">
      <c r="A62" s="7" t="s">
        <v>282</v>
      </c>
      <c r="B62" s="9" t="str">
        <f>'4조'!B$8</f>
        <v>-</v>
      </c>
      <c r="C62" s="11" t="str">
        <f>'4조'!C$8</f>
        <v>병렬성이 떨어지기 때문에 성능상으로는 이점이 적음</v>
      </c>
      <c r="D62" s="9" t="str">
        <f>'4조'!D$8</f>
        <v/>
      </c>
      <c r="E62" s="11" t="str">
        <f>'4조'!E$8</f>
        <v>4조 - Pipe and Filter - Performance</v>
      </c>
      <c r="F62" s="9" t="str">
        <f>'4조'!F$8</f>
        <v/>
      </c>
      <c r="G62" s="11" t="str">
        <f>'4조'!G$8</f>
        <v>4조 - Process Control - Performance</v>
      </c>
    </row>
    <row r="63" ht="15.75" customHeight="1">
      <c r="A63" s="7" t="s">
        <v>287</v>
      </c>
      <c r="B63" s="9" t="str">
        <f>'5조'!B$8</f>
        <v>0</v>
      </c>
      <c r="C63" s="11" t="str">
        <f>'5조'!C$8</f>
        <v>performance 영향성 미비</v>
      </c>
      <c r="D63" s="9" t="str">
        <f>'5조'!D$8</f>
        <v>0</v>
      </c>
      <c r="E63" s="11" t="str">
        <f>'5조'!E$8</f>
        <v>동작 자체의 behavior 는 영향성 미비</v>
      </c>
      <c r="F63" s="9" t="str">
        <f>'5조'!F$8</f>
        <v/>
      </c>
      <c r="G63" s="11" t="str">
        <f>'5조'!G$8</f>
        <v>5조 - Process Control - Performance</v>
      </c>
    </row>
    <row r="64" ht="15.75" customHeight="1">
      <c r="A64" s="7" t="s">
        <v>291</v>
      </c>
      <c r="B64" s="9" t="str">
        <f>'6조'!B$8</f>
        <v>-</v>
      </c>
      <c r="C64" s="11" t="str">
        <f>'6조'!C$8</f>
        <v>이전 단계가 완전히 종료되어 디스크에 파일 저장이 끝나야 다음 단계가 시작되므로, 파이프라인 병렬 처리가 불가능하여 응답/대기 시간(Latency)이 매우 긺. 단, 실시간성이 필요 없는 대용량 데이터의 일괄 처리량(Throughput) 측면에서는 여전히 유효함.</v>
      </c>
      <c r="D64" s="9" t="str">
        <f>'6조'!D$8</f>
        <v>+</v>
      </c>
      <c r="E64" s="11" t="str">
        <f>'6조'!E$8</f>
        <v>Filter 병렬화 및 Pipeline Processing 가능하지만 파이프간 데이터가 이동할 때 오버헤드가 많을 수도 있음.</v>
      </c>
      <c r="F64" s="9" t="str">
        <f>'6조'!F$8</f>
        <v>++</v>
      </c>
      <c r="G64" s="11" t="str">
        <f>'6조'!G$8</f>
        <v>실행 순서와 주기 제어로 빠른응답, 실시간 제어, 성능 예측 가능함</v>
      </c>
    </row>
    <row r="65" ht="15.75" customHeight="1">
      <c r="A65" s="7" t="s">
        <v>296</v>
      </c>
      <c r="B65" s="9" t="str">
        <f>'7조'!B$8</f>
        <v/>
      </c>
      <c r="C65" s="11" t="str">
        <f>'7조'!C$8</f>
        <v>7조 - Batch Sequential - Performance</v>
      </c>
      <c r="D65" s="9" t="str">
        <f>'7조'!D$8</f>
        <v/>
      </c>
      <c r="E65" s="11" t="str">
        <f>'7조'!E$8</f>
        <v>7조 - Pipe and Filter - Performance</v>
      </c>
      <c r="F65" s="9" t="str">
        <f>'7조'!F$8</f>
        <v/>
      </c>
      <c r="G65" s="11" t="str">
        <f>'7조'!G$8</f>
        <v>7조 - Process Control - Performance</v>
      </c>
    </row>
    <row r="66" ht="15.75" customHeight="1">
      <c r="A66" s="7" t="s">
        <v>302</v>
      </c>
      <c r="B66" s="9" t="str">
        <f>'8조'!B$8</f>
        <v/>
      </c>
      <c r="C66" s="11" t="str">
        <f>'8조'!C$8</f>
        <v>8조 - Batch Sequential - Performance</v>
      </c>
      <c r="D66" s="9" t="str">
        <f>'8조'!D$8</f>
        <v/>
      </c>
      <c r="E66" s="11" t="str">
        <f>'8조'!E$8</f>
        <v>8조 - Pipe and Filter - Performance</v>
      </c>
      <c r="F66" s="9" t="str">
        <f>'8조'!F$8</f>
        <v/>
      </c>
      <c r="G66" s="11" t="str">
        <f>'8조'!G$8</f>
        <v>8조 - Process Control - Performance</v>
      </c>
    </row>
    <row r="67" ht="15.75" customHeight="1">
      <c r="A67" s="7" t="s">
        <v>306</v>
      </c>
      <c r="B67" s="9" t="str">
        <f>'9조'!B$8</f>
        <v/>
      </c>
      <c r="C67" s="11" t="str">
        <f>'9조'!C$8</f>
        <v>9조 - Batch Sequential - Performance</v>
      </c>
      <c r="D67" s="9" t="str">
        <f>'9조'!D$8</f>
        <v/>
      </c>
      <c r="E67" s="11" t="str">
        <f>'9조'!E$8</f>
        <v>9조 - Pipe and Filter - Performance</v>
      </c>
      <c r="F67" s="9" t="str">
        <f>'9조'!F$8</f>
        <v/>
      </c>
      <c r="G67" s="11" t="str">
        <f>'9조'!G$8</f>
        <v>9조 - Process Control - Performance</v>
      </c>
    </row>
    <row r="68" ht="15.75" customHeight="1">
      <c r="A68" s="10"/>
      <c r="B68" s="13"/>
      <c r="C68" s="10"/>
      <c r="D68" s="13"/>
      <c r="E68" s="10"/>
      <c r="F68" s="13"/>
      <c r="G68" s="10"/>
    </row>
    <row r="69" ht="15.75" customHeight="1">
      <c r="A69" s="6" t="s">
        <v>208</v>
      </c>
      <c r="B69" s="6" t="str">
        <f>'Detailed Reasoning'!B$9</f>
        <v/>
      </c>
      <c r="C69" s="6" t="str">
        <f>'Detailed Reasoning'!C$9</f>
        <v/>
      </c>
      <c r="D69" s="6" t="str">
        <f>'Detailed Reasoning'!D$9</f>
        <v/>
      </c>
      <c r="E69" s="6" t="str">
        <f>'Detailed Reasoning'!E$9</f>
        <v/>
      </c>
      <c r="F69" s="8" t="str">
        <f>'Detailed Reasoning'!F$9</f>
        <v/>
      </c>
      <c r="G69" s="8" t="str">
        <f>'Detailed Reasoning'!G$9</f>
        <v/>
      </c>
    </row>
    <row r="70" ht="15.75" customHeight="1">
      <c r="A70" s="7" t="s">
        <v>315</v>
      </c>
      <c r="B70" s="9" t="str">
        <f>'1조'!B$9</f>
        <v>++</v>
      </c>
      <c r="C70" s="10" t="str">
        <f>'1조'!C9</f>
        <v>각 단계가 순차적으로 실행되기 때문에 각 단계에서 결과를 검증하고 문제가 있으면 다음 단계로 진행하지 않도록 제어하기 쉬움</v>
      </c>
      <c r="D70" s="9" t="str">
        <f>'1조'!D$9</f>
        <v>0</v>
      </c>
      <c r="E70" s="10" t="str">
        <f>'1조'!E9</f>
        <v>Filter별 Validation 및 오류 격리가 가능하지만 잘못된 데이터가 Pipeline을 따라 전파될 수 있음</v>
      </c>
      <c r="F70" s="9" t="str">
        <f>'1조'!F$9</f>
        <v>++</v>
      </c>
      <c r="G70" s="10" t="str">
        <f>'1조'!G9</f>
        <v>시스템이 위험 범위(Critical Condition)를 벗어나지 않도록 감시하고 제어하는 것이 본래 목적이므로 안전성이 가장 뛰어난 아키텍처</v>
      </c>
    </row>
    <row r="71" ht="15.75" customHeight="1">
      <c r="A71" s="7" t="s">
        <v>322</v>
      </c>
      <c r="B71" s="9" t="str">
        <f>'2조'!B$9</f>
        <v>0</v>
      </c>
      <c r="C71" s="11" t="str">
        <f>'2조'!C$9</f>
        <v>실행 흐름이 예측 가능해 오작동 추적은 쉽지만, 부분 실패 격리가 어려움</v>
      </c>
      <c r="D71" s="9" t="str">
        <f>'2조'!D$9</f>
        <v/>
      </c>
      <c r="E71" s="11" t="str">
        <f>'2조'!E$9</f>
        <v>2조 - Pipe and Filter - Safety</v>
      </c>
      <c r="F71" s="9" t="str">
        <f>'2조'!F$9</f>
        <v>++</v>
      </c>
      <c r="G71" s="11" t="str">
        <f>'2조'!G$9</f>
        <v>상태 감시와 제한 조건 설정으로 위험한 동작 방지 가능함</v>
      </c>
    </row>
    <row r="72" ht="15.75" customHeight="1">
      <c r="A72" s="7" t="s">
        <v>327</v>
      </c>
      <c r="B72" s="9" t="str">
        <f>'3조'!B$9</f>
        <v>-</v>
      </c>
      <c r="C72" s="11" t="str">
        <f>'3조'!C$9</f>
        <v>Availability와 관련되어 한가지 component만 망가져도 피해가 클 것 같다.</v>
      </c>
      <c r="D72" s="9" t="str">
        <f>'3조'!D$9</f>
        <v/>
      </c>
      <c r="E72" s="11" t="str">
        <f>'3조'!E$9</f>
        <v>3조 - Pipe and Filter - Safety</v>
      </c>
      <c r="F72" s="9" t="str">
        <f>'3조'!F$9</f>
        <v/>
      </c>
      <c r="G72" s="11" t="str">
        <f>'3조'!G$9</f>
        <v>3조 - Process Control - Safety</v>
      </c>
    </row>
    <row r="73" ht="15.75" customHeight="1">
      <c r="A73" s="7" t="s">
        <v>332</v>
      </c>
      <c r="B73" s="9" t="str">
        <f>'4조'!B$9</f>
        <v>--</v>
      </c>
      <c r="C73" s="11" t="str">
        <f>'4조'!C$9</f>
        <v>전체 동작 중에 하나만 fault가 발생해도 전체의 fault로 이어짐</v>
      </c>
      <c r="D73" s="9" t="str">
        <f>'4조'!D$9</f>
        <v/>
      </c>
      <c r="E73" s="11" t="str">
        <f>'4조'!E$9</f>
        <v>4조 - Pipe and Filter - Safety</v>
      </c>
      <c r="F73" s="9" t="str">
        <f>'4조'!F$9</f>
        <v/>
      </c>
      <c r="G73" s="11" t="str">
        <f>'4조'!G$9</f>
        <v>4조 - Process Control - Safety</v>
      </c>
    </row>
    <row r="74" ht="15.75" customHeight="1">
      <c r="A74" s="7" t="s">
        <v>337</v>
      </c>
      <c r="B74" s="9" t="str">
        <f>'5조'!B$9</f>
        <v>++</v>
      </c>
      <c r="C74" s="11" t="str">
        <f>'5조'!C$9</f>
        <v>시스템 외부 outbound 모듈이 제일 마지막시퀀스 단 하나뿐임</v>
      </c>
      <c r="D74" s="9" t="str">
        <f>'5조'!D$9</f>
        <v/>
      </c>
      <c r="E74" s="11" t="str">
        <f>'5조'!E$9</f>
        <v/>
      </c>
      <c r="F74" s="9" t="str">
        <f>'5조'!F$9</f>
        <v/>
      </c>
      <c r="G74" s="11" t="str">
        <f>'5조'!G$9</f>
        <v>5조 - Process Control - Safety</v>
      </c>
    </row>
    <row r="75" ht="15.75" customHeight="1">
      <c r="A75" s="7" t="s">
        <v>339</v>
      </c>
      <c r="B75" s="9" t="str">
        <f>'6조'!B$9</f>
        <v>++</v>
      </c>
      <c r="C75" s="11" t="str">
        <f>'6조'!C$9</f>
        <v>실행 흐름이 예측 가능하고 단계별로 중간 결과를 검증(Gate/Validation)하여 오류가 있을 경우 다음 단계로의 전파를 사전에 차단할 수 있음. 외부 연동(Outbound)이 마지막에 집중되어 통제가 수월함.</v>
      </c>
      <c r="D75" s="9" t="str">
        <f>'6조'!D$9</f>
        <v>0</v>
      </c>
      <c r="E75" s="11" t="str">
        <f>'6조'!E$9</f>
        <v>Filter별 Validation 및 오류 격리가 가능하지만 잘못된 데이터가 Pipeline을 따라 전파될 수 있음</v>
      </c>
      <c r="F75" s="9" t="str">
        <f>'6조'!F$9</f>
        <v>++</v>
      </c>
      <c r="G75" s="11" t="str">
        <f>'6조'!G$9</f>
        <v>상태 감시와 제한 조건 설정으로 위험한 동작 방지 가능함</v>
      </c>
    </row>
    <row r="76" ht="15.75" customHeight="1">
      <c r="A76" s="7" t="s">
        <v>342</v>
      </c>
      <c r="B76" s="9" t="str">
        <f>'7조'!B$9</f>
        <v/>
      </c>
      <c r="C76" s="11" t="str">
        <f>'7조'!C$9</f>
        <v>7조 - Batch Sequential - Safety</v>
      </c>
      <c r="D76" s="9" t="str">
        <f>'7조'!D$9</f>
        <v/>
      </c>
      <c r="E76" s="11" t="str">
        <f>'7조'!E$9</f>
        <v>7조 - Pipe and Filter - Safety</v>
      </c>
      <c r="F76" s="9" t="str">
        <f>'7조'!F$9</f>
        <v/>
      </c>
      <c r="G76" s="11" t="str">
        <f>'7조'!G$9</f>
        <v>7조 - Process Control - Safety</v>
      </c>
    </row>
    <row r="77" ht="15.75" customHeight="1">
      <c r="A77" s="7" t="s">
        <v>346</v>
      </c>
      <c r="B77" s="9" t="str">
        <f>'8조'!B$9</f>
        <v/>
      </c>
      <c r="C77" s="11" t="str">
        <f>'8조'!C$9</f>
        <v>8조 - Batch Sequential - Safety</v>
      </c>
      <c r="D77" s="9" t="str">
        <f>'8조'!D$9</f>
        <v/>
      </c>
      <c r="E77" s="11" t="str">
        <f>'8조'!E$9</f>
        <v>8조 - Pipe and Filter - Safety</v>
      </c>
      <c r="F77" s="9" t="str">
        <f>'8조'!F$9</f>
        <v/>
      </c>
      <c r="G77" s="11" t="str">
        <f>'8조'!G$9</f>
        <v>8조 - Process Control - Safety</v>
      </c>
    </row>
    <row r="78" ht="15.75" customHeight="1">
      <c r="A78" s="7" t="s">
        <v>349</v>
      </c>
      <c r="B78" s="9" t="str">
        <f>'9조'!B$9</f>
        <v/>
      </c>
      <c r="C78" s="11" t="str">
        <f>'9조'!C$9</f>
        <v>9조 - Batch Sequential - Safety</v>
      </c>
      <c r="D78" s="9" t="str">
        <f>'9조'!D$9</f>
        <v/>
      </c>
      <c r="E78" s="11" t="str">
        <f>'9조'!E$9</f>
        <v>9조 - Pipe and Filter - Safety</v>
      </c>
      <c r="F78" s="9" t="str">
        <f>'9조'!F$9</f>
        <v/>
      </c>
      <c r="G78" s="11" t="str">
        <f>'9조'!G$9</f>
        <v>9조 - Process Control - Safety</v>
      </c>
    </row>
    <row r="79" ht="15.75" customHeight="1">
      <c r="A79" s="10"/>
      <c r="B79" s="13"/>
      <c r="C79" s="10"/>
      <c r="D79" s="13"/>
      <c r="E79" s="10"/>
      <c r="F79" s="13"/>
      <c r="G79" s="10"/>
    </row>
    <row r="80" ht="15.75" customHeight="1">
      <c r="A80" s="6" t="s">
        <v>242</v>
      </c>
      <c r="B80" s="6" t="str">
        <f>'Detailed Reasoning'!B$10</f>
        <v/>
      </c>
      <c r="C80" s="6" t="str">
        <f>'Detailed Reasoning'!C$10</f>
        <v/>
      </c>
      <c r="D80" s="6" t="str">
        <f>'Detailed Reasoning'!D$10</f>
        <v/>
      </c>
      <c r="E80" s="6" t="str">
        <f>'Detailed Reasoning'!E$10</f>
        <v/>
      </c>
      <c r="F80" s="6" t="str">
        <f>'Detailed Reasoning'!F$10</f>
        <v/>
      </c>
      <c r="G80" s="6" t="str">
        <f>'Detailed Reasoning'!G$10</f>
        <v/>
      </c>
    </row>
    <row r="81" ht="15.75" customHeight="1">
      <c r="A81" s="7" t="s">
        <v>355</v>
      </c>
      <c r="B81" s="9" t="str">
        <f>'1조'!B$10</f>
        <v>-</v>
      </c>
      <c r="C81" s="10" t="str">
        <f>'1조'!C10</f>
        <v>단순한 시퀀셜한 구조로 인해 권한 관리 및 감사 추적은 유리하나, 중간 저장 매체로 인한 데이터 유출 공격 포인트가 넓음</v>
      </c>
      <c r="D81" s="9" t="str">
        <f>'1조'!D$10</f>
        <v>0</v>
      </c>
      <c r="E81" s="10" t="str">
        <f>'1조'!E10</f>
        <v>Filter별 접근통제 및 데이터 보호 가능하지만 Pipe 구간과 중간 데이터 보호 필요</v>
      </c>
      <c r="F81" s="9" t="str">
        <f>'1조'!F$10</f>
        <v>-</v>
      </c>
      <c r="G81" s="10" t="str">
        <f>'1조'!G10</f>
        <v>피드백 루프나 센서 데이터가 조작될 경우 물리적 파괴나 시스템 마비가 가능</v>
      </c>
    </row>
    <row r="82" ht="15.75" customHeight="1">
      <c r="A82" s="7" t="s">
        <v>358</v>
      </c>
      <c r="B82" s="9" t="str">
        <f>'2조'!B$10</f>
        <v>0</v>
      </c>
      <c r="C82" s="11" t="str">
        <f>'2조'!C$10</f>
        <v>단계별 접근 통제는 가능하나, 보안 메커니즘을 내장하진 않고 있음</v>
      </c>
      <c r="D82" s="9" t="str">
        <f>'2조'!D$10</f>
        <v/>
      </c>
      <c r="E82" s="11" t="str">
        <f>'2조'!E$10</f>
        <v>2조 - Pipe and Filter - Security</v>
      </c>
      <c r="F82" s="9" t="str">
        <f>'2조'!F$10</f>
        <v>-</v>
      </c>
      <c r="G82" s="11" t="str">
        <f>'2조'!G$10</f>
        <v>Processing Unit, Control Unit으로의 보안 공격으로 시스템 전체가 위험해질 수 있음</v>
      </c>
    </row>
    <row r="83" ht="15.75" customHeight="1">
      <c r="A83" s="7" t="s">
        <v>359</v>
      </c>
      <c r="B83" s="9" t="str">
        <f>'3조'!B$10</f>
        <v>-</v>
      </c>
      <c r="C83" s="11" t="str">
        <f>'3조'!C$10</f>
        <v>중간중간의 input/output file이 탈취가 쉬울 것 같다..(?)</v>
      </c>
      <c r="D83" s="9" t="str">
        <f>'3조'!D$10</f>
        <v/>
      </c>
      <c r="E83" s="11" t="str">
        <f>'3조'!E$10</f>
        <v>3조 - Pipe and Filter - Security</v>
      </c>
      <c r="F83" s="9" t="str">
        <f>'3조'!F$10</f>
        <v/>
      </c>
      <c r="G83" s="11" t="str">
        <f>'3조'!G$10</f>
        <v>3조 - Process Control - Security</v>
      </c>
    </row>
    <row r="84" ht="15.75" customHeight="1">
      <c r="A84" s="7" t="s">
        <v>360</v>
      </c>
      <c r="B84" s="9" t="str">
        <f>'4조'!B$10</f>
        <v>--</v>
      </c>
      <c r="C84" s="11" t="str">
        <f>'4조'!C$10</f>
        <v>시스템 구조가 단순하고 각 step이 강하게 결합되어 있고 각 정보를 담당하는 부분이 명확하게 식별 가능하기 때문에 target 분석이 쉬움</v>
      </c>
      <c r="D84" s="9" t="str">
        <f>'4조'!D$10</f>
        <v/>
      </c>
      <c r="E84" s="11" t="str">
        <f>'4조'!E$10</f>
        <v>4조 - Pipe and Filter - Security</v>
      </c>
      <c r="F84" s="9" t="str">
        <f>'4조'!F$10</f>
        <v/>
      </c>
      <c r="G84" s="11" t="str">
        <f>'4조'!G$10</f>
        <v>4조 - Process Control - Security</v>
      </c>
    </row>
    <row r="85" ht="15.75" customHeight="1">
      <c r="A85" s="7" t="s">
        <v>364</v>
      </c>
      <c r="B85" s="9" t="str">
        <f>'5조'!B$10</f>
        <v>+</v>
      </c>
      <c r="C85" s="11" t="str">
        <f>'5조'!C$10</f>
        <v>sequence별 권한분리 가능 </v>
      </c>
      <c r="D85" s="9" t="str">
        <f>'5조'!D$10</f>
        <v/>
      </c>
      <c r="E85" s="11" t="str">
        <f>'5조'!E$10</f>
        <v>5조 - Pipe and Filter - Security</v>
      </c>
      <c r="F85" s="9" t="str">
        <f>'5조'!F$10</f>
        <v/>
      </c>
      <c r="G85" s="11" t="str">
        <f>'5조'!G$10</f>
        <v>5조 - Process Control - Security</v>
      </c>
    </row>
    <row r="86" ht="15.75" customHeight="1">
      <c r="A86" s="7" t="s">
        <v>366</v>
      </c>
      <c r="B86" s="9" t="str">
        <f>'6조'!B$10</f>
        <v>-</v>
      </c>
      <c r="C86" s="11" t="str">
        <f>'6조'!C$10</f>
        <v>단계별/시퀀스별 권한 분리 및 감사 추적은 유리하지만, 단계 간 주고받는 중간 저장 파일(디스크/스토리지)이 공격에 노출되거나 탈취·변조될 위험(공격 표면 증가)이 상대적으로 큼.</v>
      </c>
      <c r="D86" s="9" t="str">
        <f>'6조'!D$10</f>
        <v>0</v>
      </c>
      <c r="E86" s="11" t="str">
        <f>'6조'!E$10</f>
        <v>Filter별 접근통제 및 데이터 보호 가능하지만 Pipe 구간과 중간 데이터 보호 필요</v>
      </c>
      <c r="F86" s="9" t="str">
        <f>'6조'!F$10</f>
        <v>-</v>
      </c>
      <c r="G86" s="11" t="str">
        <f>'6조'!G$10</f>
        <v>Processing Unit, Control Unit으로의 보안 공격으로 시스템 전체가 위험해질 수 있음</v>
      </c>
    </row>
    <row r="87" ht="15.75" customHeight="1">
      <c r="A87" s="7" t="s">
        <v>370</v>
      </c>
      <c r="B87" s="9" t="str">
        <f>'7조'!B$10</f>
        <v/>
      </c>
      <c r="C87" s="11" t="str">
        <f>'7조'!C$10</f>
        <v>7조 - Batch Sequential - Security</v>
      </c>
      <c r="D87" s="9" t="str">
        <f>'7조'!D$10</f>
        <v/>
      </c>
      <c r="E87" s="11" t="str">
        <f>'7조'!E$10</f>
        <v>7조 - Pipe and Filter - Security</v>
      </c>
      <c r="F87" s="9" t="str">
        <f>'7조'!F$10</f>
        <v/>
      </c>
      <c r="G87" s="11" t="str">
        <f>'7조'!G$10</f>
        <v>7조 - Process Control - Security</v>
      </c>
    </row>
    <row r="88" ht="15.75" customHeight="1">
      <c r="A88" s="7" t="s">
        <v>373</v>
      </c>
      <c r="B88" s="9" t="str">
        <f>'8조'!B$10</f>
        <v/>
      </c>
      <c r="C88" s="11" t="str">
        <f>'8조'!C$10</f>
        <v>8조 - Batch Sequential - Security</v>
      </c>
      <c r="D88" s="9" t="str">
        <f>'8조'!D$10</f>
        <v/>
      </c>
      <c r="E88" s="11" t="str">
        <f>'8조'!E$10</f>
        <v>8조 - Pipe and Filter - Security</v>
      </c>
      <c r="F88" s="9" t="str">
        <f>'8조'!F$10</f>
        <v/>
      </c>
      <c r="G88" s="11" t="str">
        <f>'8조'!G$10</f>
        <v>8조 - Process Control - Security</v>
      </c>
    </row>
    <row r="89" ht="15.75" customHeight="1">
      <c r="A89" s="7" t="s">
        <v>375</v>
      </c>
      <c r="B89" s="9" t="str">
        <f>'9조'!B$10</f>
        <v/>
      </c>
      <c r="C89" s="11" t="str">
        <f>'9조'!C$10</f>
        <v>9조 - Batch Sequential - Security</v>
      </c>
      <c r="D89" s="9" t="str">
        <f>'9조'!D$10</f>
        <v/>
      </c>
      <c r="E89" s="11" t="str">
        <f>'9조'!E$10</f>
        <v>9조 - Pipe and Filter - Security</v>
      </c>
      <c r="F89" s="9" t="str">
        <f>'9조'!F$10</f>
        <v/>
      </c>
      <c r="G89" s="11" t="str">
        <f>'9조'!G$10</f>
        <v>9조 - Process Control - Security</v>
      </c>
    </row>
    <row r="90" ht="15.75" customHeight="1">
      <c r="A90" s="10"/>
      <c r="B90" s="13"/>
      <c r="C90" s="10"/>
      <c r="D90" s="13"/>
      <c r="E90" s="10"/>
      <c r="F90" s="13"/>
      <c r="G90" s="10"/>
    </row>
    <row r="91" ht="15.75" customHeight="1">
      <c r="A91" s="6" t="s">
        <v>273</v>
      </c>
      <c r="B91" s="6" t="str">
        <f>'Detailed Reasoning'!B$11</f>
        <v/>
      </c>
      <c r="C91" s="6" t="str">
        <f>'Detailed Reasoning'!C$11</f>
        <v/>
      </c>
      <c r="D91" s="6" t="str">
        <f>'Detailed Reasoning'!D$11</f>
        <v/>
      </c>
      <c r="E91" s="6" t="str">
        <f>'Detailed Reasoning'!E$11</f>
        <v/>
      </c>
      <c r="F91" s="6" t="str">
        <f>'Detailed Reasoning'!F$11</f>
        <v/>
      </c>
      <c r="G91" s="6" t="str">
        <f>'Detailed Reasoning'!G$11</f>
        <v/>
      </c>
    </row>
    <row r="92" ht="15.75" customHeight="1">
      <c r="A92" s="7" t="s">
        <v>382</v>
      </c>
      <c r="B92" s="9" t="str">
        <f>'1조'!B$11</f>
        <v>++</v>
      </c>
      <c r="C92" s="10" t="str">
        <f>'1조'!C11</f>
        <v>전체 Data Flow를 실행하지 않고 특정 Batch의 입력과 출력만 검증할 수 있기에</v>
      </c>
      <c r="D92" s="9" t="str">
        <f>'1조'!D$11</f>
        <v>+</v>
      </c>
      <c r="E92" s="10" t="str">
        <f>'1조'!E11</f>
        <v>표준 입출력을 가지므로 특정 필터만 떼어내어 Mock 데이터로 단위 테스트(Unit Test)를 수행하기가 쉬우나 비동기/동기가 섞여있으므로 전체 파이프라인 레이스 조건/타임아웃 테스트는 재현이 어려움</v>
      </c>
      <c r="F92" s="9" t="str">
        <f>'1조'!F$11</f>
        <v>--</v>
      </c>
      <c r="G92" s="10" t="str">
        <f>'1조'!G11</f>
        <v>외부 환경의 오차(Noise, 외란)에 따른 피드백 반응을 모든 케이스별로 재현하기 까다롭습니다.</v>
      </c>
    </row>
    <row r="93" ht="15.75" customHeight="1">
      <c r="A93" s="7" t="s">
        <v>387</v>
      </c>
      <c r="B93" s="9" t="str">
        <f>'2조'!B$11</f>
        <v>++</v>
      </c>
      <c r="C93" s="11" t="str">
        <f>'2조'!C$11</f>
        <v>각 단계를 독립적 입출력으로 분리 테스트 가능</v>
      </c>
      <c r="D93" s="9" t="str">
        <f>'2조'!D$11</f>
        <v/>
      </c>
      <c r="E93" s="11" t="str">
        <f>'2조'!E$11</f>
        <v>2조 - Pipe and Filter - Testability</v>
      </c>
      <c r="F93" s="9" t="str">
        <f>'2조'!F$11</f>
        <v>0</v>
      </c>
      <c r="G93" s="11" t="str">
        <f>'2조'!G$11</f>
        <v>Processing Unit, Control Unit의 단위테스트는 용이하나, 실시간 피드백과 타이밍 의존성 때문에 전체 통합테스트는 쉽지 않음</v>
      </c>
    </row>
    <row r="94" ht="15.75" customHeight="1">
      <c r="A94" s="7" t="s">
        <v>397</v>
      </c>
      <c r="B94" s="9" t="str">
        <f>'3조'!B$11</f>
        <v>++</v>
      </c>
      <c r="C94" s="11" t="str">
        <f>'3조'!C$11</f>
        <v>각 component가 독립적이기 때문에 test가 쉬울 것 같고 알맞은 input만 구비되면 될 것 같다</v>
      </c>
      <c r="D94" s="9" t="str">
        <f>'3조'!D$11</f>
        <v/>
      </c>
      <c r="E94" s="11" t="str">
        <f>'3조'!E$11</f>
        <v>3조 - Pipe and Filter - Testability</v>
      </c>
      <c r="F94" s="9" t="str">
        <f>'3조'!F$11</f>
        <v/>
      </c>
      <c r="G94" s="11" t="str">
        <f>'3조'!G$11</f>
        <v>3조 - Process Control - Testability</v>
      </c>
    </row>
    <row r="95" ht="15.75" customHeight="1">
      <c r="A95" s="7" t="s">
        <v>402</v>
      </c>
      <c r="B95" s="9" t="str">
        <f>'4조'!B$11</f>
        <v/>
      </c>
      <c r="C95" s="11" t="str">
        <f>'4조'!C$11</f>
        <v>4조 - Batch Sequential - Testability</v>
      </c>
      <c r="D95" s="9" t="str">
        <f>'4조'!D$11</f>
        <v/>
      </c>
      <c r="E95" s="11" t="str">
        <f>'4조'!E$11</f>
        <v>4조 - Pipe and Filter - Testability</v>
      </c>
      <c r="F95" s="9" t="str">
        <f>'4조'!F$11</f>
        <v/>
      </c>
      <c r="G95" s="11" t="str">
        <f>'4조'!G$11</f>
        <v>4조 - Process Control - Testability</v>
      </c>
    </row>
    <row r="96" ht="15.75" customHeight="1">
      <c r="A96" s="7" t="s">
        <v>407</v>
      </c>
      <c r="B96" s="9" t="str">
        <f>'5조'!B$11</f>
        <v>+</v>
      </c>
      <c r="C96" s="11" t="str">
        <f>'5조'!C$11</f>
        <v>sequence별 test범위 분리 가능</v>
      </c>
      <c r="D96" s="9" t="str">
        <f>'5조'!D$11</f>
        <v/>
      </c>
      <c r="E96" s="11" t="str">
        <f>'5조'!E$11</f>
        <v>5조 - Pipe and Filter - Testability</v>
      </c>
      <c r="F96" s="9" t="str">
        <f>'5조'!F$11</f>
        <v/>
      </c>
      <c r="G96" s="11" t="str">
        <f>'5조'!G$11</f>
        <v>5조 - Process Control - Testability</v>
      </c>
    </row>
    <row r="97" ht="15.75" customHeight="1">
      <c r="A97" s="7" t="s">
        <v>412</v>
      </c>
      <c r="B97" s="9" t="str">
        <f>'6조'!B$11</f>
        <v>++</v>
      </c>
      <c r="C97" s="11" t="str">
        <f>'6조'!C$11</f>
        <v>각 컴포넌트의 입력과 출력이 명확한 파일/데이터셋 형태로 규격화되어 있어, 전체 시스템을 구동하지 않고도 독립적인 단위 테스트(Mock/Sample 입력 검증) 및 결과 재현이 매우 쉬움.</v>
      </c>
      <c r="D97" s="9" t="str">
        <f>'6조'!D$11</f>
        <v>+</v>
      </c>
      <c r="E97" s="11" t="str">
        <f>'6조'!E$11</f>
        <v>표준 입출력을 가지므로 특정 필터만 떼어내어 Mock 데이터로 단위 테스트(Unit Test)를 수행하기가 쉬우나 비동기/동기가 섞여있으므로 전체 파이프라인 레이스 조건/타임아웃 테스트는 재현이 어려움</v>
      </c>
      <c r="F97" s="9" t="str">
        <f>'6조'!F$11</f>
        <v>0</v>
      </c>
      <c r="G97" s="11" t="str">
        <f>'6조'!G$11</f>
        <v>Processing Unit, Control Unit의 단위테스트는 용이하나, 실시간 피드백과 타이밍 의존성 때문에 전체 통합테스트는 쉽지 않음</v>
      </c>
    </row>
    <row r="98" ht="15.75" customHeight="1">
      <c r="A98" s="7" t="s">
        <v>418</v>
      </c>
      <c r="B98" s="9" t="str">
        <f>'7조'!B$11</f>
        <v/>
      </c>
      <c r="C98" s="11" t="str">
        <f>'7조'!C$11</f>
        <v>7조 - Batch Sequential - Testability</v>
      </c>
      <c r="D98" s="9" t="str">
        <f>'7조'!D$11</f>
        <v/>
      </c>
      <c r="E98" s="11" t="str">
        <f>'7조'!E$11</f>
        <v>7조 - Pipe and Filter - Testability</v>
      </c>
      <c r="F98" s="9" t="str">
        <f>'7조'!F$11</f>
        <v/>
      </c>
      <c r="G98" s="11" t="str">
        <f>'7조'!G$11</f>
        <v>7조 - Process Control - Testability</v>
      </c>
    </row>
    <row r="99" ht="15.75" customHeight="1">
      <c r="A99" s="7" t="s">
        <v>422</v>
      </c>
      <c r="B99" s="9" t="str">
        <f>'8조'!B$11</f>
        <v/>
      </c>
      <c r="C99" s="11" t="str">
        <f>'8조'!C$11</f>
        <v>8조 - Batch Sequential - Testability</v>
      </c>
      <c r="D99" s="9" t="str">
        <f>'8조'!D$11</f>
        <v/>
      </c>
      <c r="E99" s="11" t="str">
        <f>'8조'!E$11</f>
        <v>8조 - Pipe and Filter - Testability</v>
      </c>
      <c r="F99" s="9" t="str">
        <f>'8조'!F$11</f>
        <v/>
      </c>
      <c r="G99" s="11" t="str">
        <f>'8조'!G$11</f>
        <v>8조 - Process Control - Testability</v>
      </c>
    </row>
    <row r="100" ht="15.75" customHeight="1">
      <c r="A100" s="7" t="s">
        <v>425</v>
      </c>
      <c r="B100" s="9" t="str">
        <f>'9조'!B$11</f>
        <v/>
      </c>
      <c r="C100" s="11" t="str">
        <f>'9조'!C$11</f>
        <v>9조 - Batch Sequential - Testability</v>
      </c>
      <c r="D100" s="9" t="str">
        <f>'9조'!D$11</f>
        <v/>
      </c>
      <c r="E100" s="11" t="str">
        <f>'9조'!E$11</f>
        <v>9조 - Pipe and Filter - Testability</v>
      </c>
      <c r="F100" s="9" t="str">
        <f>'9조'!F$11</f>
        <v/>
      </c>
      <c r="G100" s="11" t="str">
        <f>'9조'!G$11</f>
        <v>9조 - Process Control - Testability</v>
      </c>
    </row>
    <row r="101" ht="15.0" customHeight="1">
      <c r="A101" s="10"/>
      <c r="B101" s="13"/>
      <c r="C101" s="10"/>
      <c r="D101" s="13"/>
      <c r="E101" s="10"/>
      <c r="F101" s="13"/>
      <c r="G101" s="10"/>
    </row>
    <row r="102" ht="15.75" customHeight="1">
      <c r="A102" s="6" t="s">
        <v>305</v>
      </c>
      <c r="B102" s="6" t="str">
        <f>'Detailed Reasoning'!B$12</f>
        <v/>
      </c>
      <c r="C102" s="6" t="str">
        <f>'Detailed Reasoning'!C$12</f>
        <v/>
      </c>
      <c r="D102" s="6" t="str">
        <f>'Detailed Reasoning'!D$12</f>
        <v/>
      </c>
      <c r="E102" s="6" t="str">
        <f>'Detailed Reasoning'!E$12</f>
        <v/>
      </c>
      <c r="F102" s="6" t="str">
        <f>'Detailed Reasoning'!F$12</f>
        <v/>
      </c>
      <c r="G102" s="6" t="str">
        <f>'Detailed Reasoning'!G$12</f>
        <v/>
      </c>
    </row>
    <row r="103" ht="15.75" customHeight="1">
      <c r="A103" s="7" t="s">
        <v>433</v>
      </c>
      <c r="B103" s="9" t="str">
        <f>'1조'!B$12</f>
        <v>0</v>
      </c>
      <c r="C103" s="10" t="str">
        <f>'1조'!C12</f>
        <v>데이터 처리가 순차적으로 수행되므로 처리 완료까지의 대기시간이 증가할 수 있어 즉각적인 사용자 응답 측면에서는 불리. 
 그러나 처리 진행상태, 오류 발생시 오류 발생 단계를 제공할 수 있어 사용성을 향상시킬 수 있음</v>
      </c>
      <c r="D103" s="9" t="str">
        <f>'1조'!D$12</f>
        <v>++</v>
      </c>
      <c r="E103" s="10" t="str">
        <f>'1조'!E12</f>
        <v>입력이나 변경 발생 시 밀리초~초 단위로 결과가 대시보드나 화면에 반영되므로 대기 시간이 없어 최상의 사용자 경험을 제공</v>
      </c>
      <c r="F103" s="9" t="str">
        <f>'1조'!F$12</f>
        <v>++</v>
      </c>
      <c r="G103" s="10" t="str">
        <f>'1조'!G12</f>
        <v>환경 변화에 즉각 대응하므로 사용자가 느끼는 시스템의 반응성이 뛰어남</v>
      </c>
    </row>
    <row r="104" ht="15.75" customHeight="1">
      <c r="A104" s="7" t="s">
        <v>440</v>
      </c>
      <c r="B104" s="9" t="str">
        <f>'2조'!B$12</f>
        <v>--</v>
      </c>
      <c r="C104" s="11" t="str">
        <f>'2조'!C$12</f>
        <v>사용자와의 실시간 상호작용이 없는 구조, 사람이 개입할 여지 적음</v>
      </c>
      <c r="D104" s="9" t="str">
        <f>'2조'!D$12</f>
        <v/>
      </c>
      <c r="E104" s="11" t="str">
        <f>'2조'!E$12</f>
        <v>2조 - Pipe and Filter - Usability</v>
      </c>
      <c r="F104" s="9" t="str">
        <f>'2조'!F$12</f>
        <v>--</v>
      </c>
      <c r="G104" s="11" t="str">
        <f>'2조'!G$12</f>
        <v>사람이 직접 조작하는 구조가 아님</v>
      </c>
    </row>
    <row r="105" ht="15.75" customHeight="1">
      <c r="A105" s="7" t="s">
        <v>443</v>
      </c>
      <c r="B105" s="9" t="str">
        <f>'3조'!B$12</f>
        <v>+</v>
      </c>
      <c r="C105" s="11" t="str">
        <f>'3조'!C$12</f>
        <v>모든 시퀀스를 거친 결과가 항상 예상범주 안에 있을 것이고 원하는 결과를 얻기 쉬울 것 같다</v>
      </c>
      <c r="D105" s="9" t="str">
        <f>'3조'!D$12</f>
        <v/>
      </c>
      <c r="E105" s="11" t="str">
        <f>'3조'!E$12</f>
        <v>3조 - Pipe and Filter - Usability</v>
      </c>
      <c r="F105" s="9" t="str">
        <f>'3조'!F$12</f>
        <v/>
      </c>
      <c r="G105" s="11" t="str">
        <f>'3조'!G$12</f>
        <v>3조 - Process Control - Usability</v>
      </c>
    </row>
    <row r="106" ht="15.75" customHeight="1">
      <c r="A106" s="7" t="s">
        <v>446</v>
      </c>
      <c r="B106" s="9" t="str">
        <f>'4조'!B$12</f>
        <v/>
      </c>
      <c r="C106" s="11" t="str">
        <f>'4조'!C$12</f>
        <v>4조 - Batch Sequential - Usability</v>
      </c>
      <c r="D106" s="9" t="str">
        <f>'4조'!D$12</f>
        <v/>
      </c>
      <c r="E106" s="11" t="str">
        <f>'4조'!E$12</f>
        <v>4조 - Pipe and Filter - Usability</v>
      </c>
      <c r="F106" s="9" t="str">
        <f>'4조'!F$12</f>
        <v/>
      </c>
      <c r="G106" s="11" t="str">
        <f>'4조'!G$12</f>
        <v>4조 - Process Control - Usability</v>
      </c>
    </row>
    <row r="107" ht="15.75" customHeight="1">
      <c r="A107" s="7" t="s">
        <v>449</v>
      </c>
      <c r="B107" s="9" t="str">
        <f>'5조'!B$12</f>
        <v>0</v>
      </c>
      <c r="C107" s="11" t="str">
        <f>'5조'!C$12</f>
        <v>usability 영향성 미비</v>
      </c>
      <c r="D107" s="9" t="str">
        <f>'5조'!D$12</f>
        <v/>
      </c>
      <c r="E107" s="11" t="str">
        <f>'5조'!E$12</f>
        <v>5조 - Pipe and Filter - Usability</v>
      </c>
      <c r="F107" s="9" t="str">
        <f>'5조'!F$12</f>
        <v/>
      </c>
      <c r="G107" s="11" t="str">
        <f>'5조'!G$12</f>
        <v>5조 - Process Control - Usability</v>
      </c>
    </row>
    <row r="108" ht="15.75" customHeight="1">
      <c r="A108" s="7" t="s">
        <v>452</v>
      </c>
      <c r="B108" s="9" t="str">
        <f>'6조'!B$12</f>
        <v>0</v>
      </c>
      <c r="C108" s="11" t="str">
        <f>'6조'!C$12</f>
        <v>사용자와의 실시간 상호작용(Interactive)이 없고 긴 대기 시간이 발생하여 최종 사용자 경험 측면에서는 불리함. 다만 순차적 실행 특성상 배치 진행 상태나 장애 단계 파악이 쉬워 시스템 운영자 관점의 사용성은 일부 충족됨.</v>
      </c>
      <c r="D108" s="9" t="str">
        <f>'6조'!D$12</f>
        <v>++</v>
      </c>
      <c r="E108" s="11" t="str">
        <f>'6조'!E$12</f>
        <v>입력이나 변경 발생 시 밀리초~초 단위로 결과가 대시보드나 화면에 반영되므로 대기 시간이 없어 최상의 사용자 경험을 제공</v>
      </c>
      <c r="F108" s="9" t="str">
        <f>'6조'!F$12</f>
        <v>--</v>
      </c>
      <c r="G108" s="11" t="str">
        <f>'6조'!G$12</f>
        <v>사람이 직접 조작하는 구조가 아님</v>
      </c>
    </row>
    <row r="109" ht="15.75" customHeight="1">
      <c r="A109" s="7" t="s">
        <v>458</v>
      </c>
      <c r="B109" s="9" t="str">
        <f>'7조'!B$12</f>
        <v/>
      </c>
      <c r="C109" s="11" t="str">
        <f>'7조'!C$12</f>
        <v>7조 - Batch Sequential - Usability</v>
      </c>
      <c r="D109" s="9" t="str">
        <f>'7조'!D$12</f>
        <v/>
      </c>
      <c r="E109" s="11" t="str">
        <f>'7조'!E$12</f>
        <v>7조 - Pipe and Filter - Usability</v>
      </c>
      <c r="F109" s="9" t="str">
        <f>'7조'!F$12</f>
        <v/>
      </c>
      <c r="G109" s="11" t="str">
        <f>'7조'!G$12</f>
        <v>7조 - Process Control - Usability</v>
      </c>
    </row>
    <row r="110" ht="15.75" customHeight="1">
      <c r="A110" s="7" t="s">
        <v>461</v>
      </c>
      <c r="B110" s="9" t="str">
        <f>'8조'!B$12</f>
        <v/>
      </c>
      <c r="C110" s="11" t="str">
        <f>'8조'!C$12</f>
        <v>8조 - Batch Sequential - Usability</v>
      </c>
      <c r="D110" s="9" t="str">
        <f>'8조'!D$12</f>
        <v/>
      </c>
      <c r="E110" s="11" t="str">
        <f>'8조'!E$12</f>
        <v>8조 - Pipe and Filter - Usability</v>
      </c>
      <c r="F110" s="9" t="str">
        <f>'8조'!F$12</f>
        <v/>
      </c>
      <c r="G110" s="11" t="str">
        <f>'8조'!G$12</f>
        <v>8조 - Process Control - Usability</v>
      </c>
    </row>
    <row r="111" ht="15.75" customHeight="1">
      <c r="A111" s="7" t="s">
        <v>465</v>
      </c>
      <c r="B111" s="9" t="str">
        <f>'9조'!B$12</f>
        <v/>
      </c>
      <c r="C111" s="11" t="str">
        <f>'9조'!C$12</f>
        <v>9조 - Batch Sequential - Usability</v>
      </c>
      <c r="D111" s="9" t="str">
        <f>'9조'!D$12</f>
        <v/>
      </c>
      <c r="E111" s="11" t="str">
        <f>'9조'!E$12</f>
        <v>9조 - Pipe and Filter - Usability</v>
      </c>
      <c r="F111" s="9" t="str">
        <f>'9조'!F$12</f>
        <v/>
      </c>
      <c r="G111" s="11" t="str">
        <f>'9조'!G$12</f>
        <v>9조 - Process Control - Usability</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B1:C1"/>
    <mergeCell ref="D1:E1"/>
    <mergeCell ref="F1:G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43.71"/>
    <col customWidth="1" min="4" max="4" width="7.71"/>
    <col customWidth="1" min="5" max="5" width="35.57"/>
    <col customWidth="1" min="6" max="6" width="14.43"/>
  </cols>
  <sheetData>
    <row r="1">
      <c r="A1" s="1" t="s">
        <v>0</v>
      </c>
      <c r="B1" s="2" t="s">
        <v>5</v>
      </c>
      <c r="C1" s="3"/>
      <c r="D1" s="2" t="s">
        <v>8</v>
      </c>
      <c r="E1" s="3"/>
    </row>
    <row r="2">
      <c r="A2" s="4"/>
      <c r="B2" s="5" t="s">
        <v>12</v>
      </c>
      <c r="C2" s="5" t="s">
        <v>13</v>
      </c>
      <c r="D2" s="5" t="s">
        <v>12</v>
      </c>
      <c r="E2" s="5" t="s">
        <v>13</v>
      </c>
    </row>
    <row r="3">
      <c r="A3" s="6" t="s">
        <v>14</v>
      </c>
      <c r="B3" s="6" t="str">
        <f>'Detailed Reasoning'!B16</f>
        <v/>
      </c>
      <c r="C3" s="6" t="str">
        <f>'Detailed Reasoning'!C16</f>
        <v/>
      </c>
      <c r="D3" s="6" t="str">
        <f>'Detailed Reasoning'!D16</f>
        <v/>
      </c>
      <c r="E3" s="6" t="str">
        <f>'Detailed Reasoning'!E16</f>
        <v/>
      </c>
    </row>
    <row r="4">
      <c r="A4" s="7" t="s">
        <v>16</v>
      </c>
      <c r="B4" s="9" t="str">
        <f>'1조'!B$16</f>
        <v/>
      </c>
      <c r="C4" s="10" t="str">
        <f>'1조'!C16</f>
        <v>1조 - Shared Respository - Availability</v>
      </c>
      <c r="D4" s="9" t="str">
        <f>'1조'!D$16</f>
        <v/>
      </c>
      <c r="E4" s="10" t="str">
        <f>'1조'!E16</f>
        <v>1조 - Blackboard - Availability</v>
      </c>
    </row>
    <row r="5">
      <c r="A5" s="7" t="s">
        <v>20</v>
      </c>
      <c r="B5" s="9" t="str">
        <f>'2조'!B$16</f>
        <v/>
      </c>
      <c r="C5" s="11" t="str">
        <f>'2조'!C$16</f>
        <v>2조 - Shared Respository - Availability</v>
      </c>
      <c r="D5" s="9" t="str">
        <f>'2조'!D$16</f>
        <v/>
      </c>
      <c r="E5" s="11" t="str">
        <f>'2조'!E$16</f>
        <v>2조 - Blackboard - Availability</v>
      </c>
    </row>
    <row r="6">
      <c r="A6" s="7" t="s">
        <v>23</v>
      </c>
      <c r="B6" s="9" t="str">
        <f>'3조'!B$16</f>
        <v>-</v>
      </c>
      <c r="C6" s="11" t="str">
        <f>'3조'!C$16</f>
        <v>Repository에 문제가 생기면 모든 client의 동작이 마비된다.</v>
      </c>
      <c r="D6" s="9" t="str">
        <f>'3조'!D$16</f>
        <v/>
      </c>
      <c r="E6" s="11" t="str">
        <f>'3조'!E$16</f>
        <v>3조 - Blackboard - Availability</v>
      </c>
    </row>
    <row r="7">
      <c r="A7" s="7" t="s">
        <v>27</v>
      </c>
      <c r="B7" s="9" t="str">
        <f>'4조'!B$16</f>
        <v/>
      </c>
      <c r="C7" s="11" t="str">
        <f>'4조'!C$16</f>
        <v>4조 - Shared Respository - Availability</v>
      </c>
      <c r="D7" s="9" t="str">
        <f>'4조'!D$16</f>
        <v>--</v>
      </c>
      <c r="E7" s="11" t="str">
        <f>'4조'!E$16</f>
        <v>	단일 공유 블랙보드가 단일 장애점</v>
      </c>
    </row>
    <row r="8">
      <c r="A8" s="7" t="s">
        <v>31</v>
      </c>
      <c r="B8" s="9" t="str">
        <f>'5조'!B$16</f>
        <v/>
      </c>
      <c r="C8" s="11" t="str">
        <f>'5조'!C$16</f>
        <v>5조 - Shared Respository - Availability</v>
      </c>
      <c r="D8" s="9" t="str">
        <f>'5조'!D$16</f>
        <v/>
      </c>
      <c r="E8" s="11" t="str">
        <f>'5조'!E$16</f>
        <v>5조 - Blackboard - Availability</v>
      </c>
    </row>
    <row r="9">
      <c r="A9" s="7" t="s">
        <v>34</v>
      </c>
      <c r="B9" s="9" t="str">
        <f>'6조'!B$16</f>
        <v>-</v>
      </c>
      <c r="C9" s="11" t="str">
        <f>'6조'!C$16</f>
        <v>Repository에 문제가 생기면 모든 client의 동작이 마비된다.</v>
      </c>
      <c r="D9" s="9" t="str">
        <f>'6조'!D$16</f>
        <v>--</v>
      </c>
      <c r="E9" s="11" t="str">
        <f>'6조'!E$16</f>
        <v>	단일 공유 블랙보드가 단일 장애점</v>
      </c>
    </row>
    <row r="10">
      <c r="A10" s="7" t="s">
        <v>37</v>
      </c>
      <c r="B10" s="9" t="str">
        <f>'7조'!B$16</f>
        <v/>
      </c>
      <c r="C10" s="11" t="str">
        <f>'7조'!C$16</f>
        <v>7조 - Shared Respository - Availability</v>
      </c>
      <c r="D10" s="9" t="str">
        <f>'7조'!D$16</f>
        <v/>
      </c>
      <c r="E10" s="11" t="str">
        <f>'7조'!E$16</f>
        <v>7조 - Blackboard - Availability</v>
      </c>
    </row>
    <row r="11">
      <c r="A11" s="7" t="s">
        <v>42</v>
      </c>
      <c r="B11" s="9" t="str">
        <f>'8조'!B$16</f>
        <v/>
      </c>
      <c r="C11" s="11" t="str">
        <f>'8조'!C$16</f>
        <v>8조 - Shared Respository - Availability</v>
      </c>
      <c r="D11" s="9" t="str">
        <f>'8조'!D$16</f>
        <v/>
      </c>
      <c r="E11" s="11" t="str">
        <f>'8조'!E$16</f>
        <v>8조 - Blackboard - Availability</v>
      </c>
    </row>
    <row r="12">
      <c r="A12" s="7" t="s">
        <v>45</v>
      </c>
      <c r="B12" s="9" t="str">
        <f>'9조'!B$16</f>
        <v/>
      </c>
      <c r="C12" s="11" t="str">
        <f>'9조'!C$16</f>
        <v>9조 - Shared Respository - Availability</v>
      </c>
      <c r="D12" s="9" t="str">
        <f>'9조'!D$16</f>
        <v/>
      </c>
      <c r="E12" s="11" t="str">
        <f>'9조'!E$16</f>
        <v>9조 - Blackboard - Availability</v>
      </c>
    </row>
    <row r="13">
      <c r="A13" s="10"/>
      <c r="B13" s="13"/>
      <c r="C13" s="10"/>
      <c r="D13" s="13"/>
      <c r="E13" s="10"/>
    </row>
    <row r="14" ht="15.0" customHeight="1">
      <c r="A14" s="6" t="s">
        <v>44</v>
      </c>
      <c r="B14" s="6" t="str">
        <f>'Detailed Reasoning'!B17</f>
        <v/>
      </c>
      <c r="C14" s="6" t="str">
        <f>'Detailed Reasoning'!C17</f>
        <v/>
      </c>
      <c r="D14" s="6" t="str">
        <f>'Detailed Reasoning'!D17</f>
        <v/>
      </c>
      <c r="E14" s="6" t="str">
        <f>'Detailed Reasoning'!E17</f>
        <v/>
      </c>
    </row>
    <row r="15">
      <c r="A15" s="7" t="s">
        <v>52</v>
      </c>
      <c r="B15" s="9" t="str">
        <f>'1조'!B$17</f>
        <v/>
      </c>
      <c r="C15" s="10" t="str">
        <f>'1조'!C17</f>
        <v>1조 - Shared Respository - Deployability</v>
      </c>
      <c r="D15" s="9" t="str">
        <f>'1조'!D$17</f>
        <v/>
      </c>
      <c r="E15" s="10" t="str">
        <f>'1조'!E17</f>
        <v>1조 - Blackboard - Deployability</v>
      </c>
    </row>
    <row r="16">
      <c r="A16" s="7" t="s">
        <v>55</v>
      </c>
      <c r="B16" s="9" t="str">
        <f>'2조'!B$17</f>
        <v/>
      </c>
      <c r="C16" s="11" t="str">
        <f>'2조'!C$17</f>
        <v>2조 - Shared Respository - Deployability</v>
      </c>
      <c r="D16" s="9" t="str">
        <f>'2조'!D$17</f>
        <v/>
      </c>
      <c r="E16" s="11" t="str">
        <f>'2조'!E$17</f>
        <v>2조 - Blackboard - Deployability</v>
      </c>
    </row>
    <row r="17">
      <c r="A17" s="7" t="s">
        <v>58</v>
      </c>
      <c r="B17" s="9" t="str">
        <f>'3조'!B$17</f>
        <v>-</v>
      </c>
      <c r="C17" s="11" t="str">
        <f>'3조'!C$17</f>
        <v>한 component의 변경이 시스템 전체에 영향을 미칠 수 있고 배포 용이성에 영향을 미친다.</v>
      </c>
      <c r="D17" s="9" t="str">
        <f>'3조'!D$17</f>
        <v/>
      </c>
      <c r="E17" s="11" t="str">
        <f>'3조'!E$17</f>
        <v>3조 - Blackboard - Deployability</v>
      </c>
    </row>
    <row r="18">
      <c r="A18" s="7" t="s">
        <v>62</v>
      </c>
      <c r="B18" s="9" t="str">
        <f>'4조'!B$17</f>
        <v/>
      </c>
      <c r="C18" s="11" t="str">
        <f>'4조'!C$17</f>
        <v>4조 - Shared Respository - Deployability</v>
      </c>
      <c r="D18" s="9" t="str">
        <f>'4조'!D$17</f>
        <v>-</v>
      </c>
      <c r="E18" s="11" t="str">
        <f>'4조'!E$17</f>
        <v>모든 지식원이 블랙보드/제어 컴포넌트에 강결합</v>
      </c>
    </row>
    <row r="19">
      <c r="A19" s="7" t="s">
        <v>65</v>
      </c>
      <c r="B19" s="9" t="str">
        <f>'5조'!B$17</f>
        <v/>
      </c>
      <c r="C19" s="11" t="str">
        <f>'5조'!C$17</f>
        <v>5조 - Shared Respository - Deployability</v>
      </c>
      <c r="D19" s="9" t="str">
        <f>'5조'!D$17</f>
        <v/>
      </c>
      <c r="E19" s="11" t="str">
        <f>'5조'!E$17</f>
        <v>5조 - Blackboard - Deployability</v>
      </c>
    </row>
    <row r="20">
      <c r="A20" s="7" t="s">
        <v>66</v>
      </c>
      <c r="B20" s="9" t="str">
        <f>'6조'!B$17</f>
        <v>-</v>
      </c>
      <c r="C20" s="11" t="str">
        <f>'6조'!C$17</f>
        <v>한 component의 변경이 시스템 전체에 영향을 미칠 수 있고 배포 용이성에 영향을 미친다.</v>
      </c>
      <c r="D20" s="9" t="str">
        <f>'6조'!D$17</f>
        <v>-</v>
      </c>
      <c r="E20" s="11" t="str">
        <f>'6조'!E$17</f>
        <v>모든 지식원이 블랙보드/제어 컴포넌트에 강결합</v>
      </c>
    </row>
    <row r="21" ht="15.75" customHeight="1">
      <c r="A21" s="7" t="s">
        <v>71</v>
      </c>
      <c r="B21" s="9" t="str">
        <f>'7조'!B$17</f>
        <v/>
      </c>
      <c r="C21" s="11" t="str">
        <f>'7조'!C$17</f>
        <v>7조 - Shared Respository - Deployability</v>
      </c>
      <c r="D21" s="9" t="str">
        <f>'7조'!D$17</f>
        <v/>
      </c>
      <c r="E21" s="11" t="str">
        <f>'7조'!E$17</f>
        <v>7조 - Blackboard - Deployability</v>
      </c>
    </row>
    <row r="22" ht="15.75" customHeight="1">
      <c r="A22" s="7" t="s">
        <v>74</v>
      </c>
      <c r="B22" s="9" t="str">
        <f>'8조'!B$17</f>
        <v/>
      </c>
      <c r="C22" s="11" t="str">
        <f>'8조'!C$17</f>
        <v>8조 - Shared Respository - Deployability</v>
      </c>
      <c r="D22" s="9" t="str">
        <f>'8조'!D$17</f>
        <v/>
      </c>
      <c r="E22" s="11" t="str">
        <f>'8조'!E$17</f>
        <v>8조 - Blackboard - Deployability</v>
      </c>
    </row>
    <row r="23" ht="15.75" customHeight="1">
      <c r="A23" s="7" t="s">
        <v>77</v>
      </c>
      <c r="B23" s="9" t="str">
        <f>'9조'!B$17</f>
        <v/>
      </c>
      <c r="C23" s="11" t="str">
        <f>'9조'!C$17</f>
        <v>9조 - Shared Respository - Deployability</v>
      </c>
      <c r="D23" s="9" t="str">
        <f>'9조'!D$17</f>
        <v/>
      </c>
      <c r="E23" s="11" t="str">
        <f>'9조'!E$17</f>
        <v>9조 - Blackboard - Deployability</v>
      </c>
    </row>
    <row r="24" ht="15.75" customHeight="1">
      <c r="A24" s="10"/>
      <c r="B24" s="13"/>
      <c r="C24" s="10"/>
      <c r="D24" s="13"/>
      <c r="E24" s="10"/>
    </row>
    <row r="25" ht="15.0" customHeight="1">
      <c r="A25" s="6" t="s">
        <v>80</v>
      </c>
      <c r="B25" s="6" t="str">
        <f>'Detailed Reasoning'!B18</f>
        <v/>
      </c>
      <c r="C25" s="6" t="str">
        <f>'Detailed Reasoning'!C18</f>
        <v/>
      </c>
      <c r="D25" s="6" t="str">
        <f>'Detailed Reasoning'!D18</f>
        <v/>
      </c>
      <c r="E25" s="6" t="str">
        <f>'Detailed Reasoning'!E18</f>
        <v/>
      </c>
    </row>
    <row r="26" ht="15.75" customHeight="1">
      <c r="A26" s="7" t="s">
        <v>83</v>
      </c>
      <c r="B26" s="9" t="str">
        <f>'1조'!B$18</f>
        <v/>
      </c>
      <c r="C26" s="10" t="str">
        <f>'1조'!C18</f>
        <v>1조 - Shared Respository - Integrability</v>
      </c>
      <c r="D26" s="9" t="str">
        <f>'1조'!D$18</f>
        <v/>
      </c>
      <c r="E26" s="10" t="str">
        <f>'1조'!E18</f>
        <v>1조 - Blackboard - Integrability</v>
      </c>
    </row>
    <row r="27" ht="15.75" customHeight="1">
      <c r="A27" s="7" t="s">
        <v>86</v>
      </c>
      <c r="B27" s="9" t="str">
        <f>'2조'!B$18</f>
        <v/>
      </c>
      <c r="C27" s="11" t="str">
        <f>'2조'!C$18</f>
        <v>2조 - Shared Respository - Integrability</v>
      </c>
      <c r="D27" s="9" t="str">
        <f>'2조'!D$18</f>
        <v/>
      </c>
      <c r="E27" s="11" t="str">
        <f>'2조'!E$18</f>
        <v>2조 - Blackboard - Integrability</v>
      </c>
    </row>
    <row r="28" ht="15.75" customHeight="1">
      <c r="A28" s="7" t="s">
        <v>89</v>
      </c>
      <c r="B28" s="9" t="str">
        <f>'3조'!B$18</f>
        <v>-</v>
      </c>
      <c r="C28" s="11" t="str">
        <f>'3조'!C$18</f>
        <v>repository의 있는 그대로를 사용하는 client가 추가되는 것이 쉽기 때문에
통합 용이성은 좋다.</v>
      </c>
      <c r="D28" s="9" t="str">
        <f>'3조'!D$18</f>
        <v/>
      </c>
      <c r="E28" s="11" t="str">
        <f>'3조'!E$18</f>
        <v>3조 - Blackboard - Integrability</v>
      </c>
    </row>
    <row r="29" ht="15.75" customHeight="1">
      <c r="A29" s="7" t="s">
        <v>93</v>
      </c>
      <c r="B29" s="9" t="str">
        <f>'4조'!B$18</f>
        <v/>
      </c>
      <c r="C29" s="11" t="str">
        <f>'4조'!C$18</f>
        <v>4조 - Shared Respository - Integrability</v>
      </c>
      <c r="D29" s="9" t="str">
        <f>'4조'!D$18</f>
        <v>+</v>
      </c>
      <c r="E29" s="11" t="str">
        <f>'4조'!E$18</f>
        <v>외부 컴포넌트도 또다른 Data Client로 추가하기 용이하다.</v>
      </c>
    </row>
    <row r="30" ht="15.75" customHeight="1">
      <c r="A30" s="7" t="s">
        <v>97</v>
      </c>
      <c r="B30" s="9" t="str">
        <f>'5조'!B$18</f>
        <v/>
      </c>
      <c r="C30" s="11" t="str">
        <f>'5조'!C$18</f>
        <v>5조 - Shared Respository - Integrability</v>
      </c>
      <c r="D30" s="9" t="str">
        <f>'5조'!D$18</f>
        <v/>
      </c>
      <c r="E30" s="11" t="str">
        <f>'5조'!E$18</f>
        <v>5조 - Blackboard - Integrability</v>
      </c>
    </row>
    <row r="31" ht="15.75" customHeight="1">
      <c r="A31" s="7" t="s">
        <v>100</v>
      </c>
      <c r="B31" s="9" t="str">
        <f>'6조'!B$18</f>
        <v>-</v>
      </c>
      <c r="C31" s="11" t="str">
        <f>'6조'!C$18</f>
        <v>repository의 있는 그대로를 사용하는 client가 추가되는 것이 쉽기 때문에
통합 용이성은 좋다.</v>
      </c>
      <c r="D31" s="9" t="str">
        <f>'6조'!D$18</f>
        <v>+</v>
      </c>
      <c r="E31" s="11" t="str">
        <f>'6조'!E$18</f>
        <v>외부 컴포넌트도 또다른 Data Client로 추가하기 용이하다.</v>
      </c>
    </row>
    <row r="32" ht="15.75" customHeight="1">
      <c r="A32" s="7" t="s">
        <v>104</v>
      </c>
      <c r="B32" s="9" t="str">
        <f>'7조'!B$18</f>
        <v/>
      </c>
      <c r="C32" s="11" t="str">
        <f>'7조'!C$18</f>
        <v>7조 - Shared Respository - Integrability</v>
      </c>
      <c r="D32" s="9" t="str">
        <f>'7조'!D$18</f>
        <v/>
      </c>
      <c r="E32" s="11" t="str">
        <f>'7조'!E$18</f>
        <v>7조 - Blackboard - Integrability</v>
      </c>
    </row>
    <row r="33" ht="15.75" customHeight="1">
      <c r="A33" s="7" t="s">
        <v>107</v>
      </c>
      <c r="B33" s="9" t="str">
        <f>'8조'!B$18</f>
        <v/>
      </c>
      <c r="C33" s="11" t="str">
        <f>'8조'!C$18</f>
        <v>8조 - Shared Respository - Integrability</v>
      </c>
      <c r="D33" s="9" t="str">
        <f>'8조'!D$18</f>
        <v/>
      </c>
      <c r="E33" s="11" t="str">
        <f>'8조'!E$18</f>
        <v>8조 - Blackboard - Integrability</v>
      </c>
    </row>
    <row r="34" ht="15.75" customHeight="1">
      <c r="A34" s="7" t="s">
        <v>110</v>
      </c>
      <c r="B34" s="9" t="str">
        <f>'9조'!B$18</f>
        <v/>
      </c>
      <c r="C34" s="11" t="str">
        <f>'9조'!C$18</f>
        <v>9조 - Shared Respository - Integrability</v>
      </c>
      <c r="D34" s="9" t="str">
        <f>'9조'!D$18</f>
        <v/>
      </c>
      <c r="E34" s="11" t="str">
        <f>'9조'!E$18</f>
        <v>9조 - Blackboard - Integrability</v>
      </c>
    </row>
    <row r="35" ht="15.75" customHeight="1">
      <c r="A35" s="10"/>
      <c r="B35" s="13"/>
      <c r="C35" s="10"/>
      <c r="D35" s="13"/>
      <c r="E35" s="10"/>
    </row>
    <row r="36" ht="15.75" customHeight="1">
      <c r="A36" s="6" t="s">
        <v>113</v>
      </c>
      <c r="B36" s="6" t="str">
        <f>'Detailed Reasoning'!B$19</f>
        <v/>
      </c>
      <c r="C36" s="6" t="str">
        <f>'Detailed Reasoning'!C$19</f>
        <v/>
      </c>
      <c r="D36" s="6" t="str">
        <f>'Detailed Reasoning'!D$19</f>
        <v/>
      </c>
      <c r="E36" s="6" t="str">
        <f>'Detailed Reasoning'!E$19</f>
        <v/>
      </c>
    </row>
    <row r="37" ht="15.75" customHeight="1">
      <c r="A37" s="10" t="s">
        <v>116</v>
      </c>
      <c r="B37" s="9" t="str">
        <f>'1조'!B$19</f>
        <v/>
      </c>
      <c r="C37" s="10" t="str">
        <f>'1조'!C19</f>
        <v>1조 - Shared Respository - Energy Efficiency</v>
      </c>
      <c r="D37" s="9" t="str">
        <f>'1조'!D$19</f>
        <v/>
      </c>
      <c r="E37" s="10" t="str">
        <f>'1조'!E19</f>
        <v>1조 - Blackboard - Energy Efficiency</v>
      </c>
    </row>
    <row r="38" ht="15.75" customHeight="1">
      <c r="A38" s="10" t="s">
        <v>119</v>
      </c>
      <c r="B38" s="9" t="str">
        <f>'2조'!B$19</f>
        <v/>
      </c>
      <c r="C38" s="11" t="str">
        <f>'2조'!C$19</f>
        <v>2조 - Shared Respository - Energy Efficiency</v>
      </c>
      <c r="D38" s="9" t="str">
        <f>'2조'!D$19</f>
        <v/>
      </c>
      <c r="E38" s="11" t="str">
        <f>'2조'!E$19</f>
        <v>2조 - Blackboard - Energy Efficiency</v>
      </c>
    </row>
    <row r="39" ht="15.75" customHeight="1">
      <c r="A39" s="10" t="s">
        <v>121</v>
      </c>
      <c r="B39" s="9" t="str">
        <f>'3조'!B$19</f>
        <v>+</v>
      </c>
      <c r="C39" s="11" t="str">
        <f>'3조'!C$19</f>
        <v>repository 하나를 공유하며 각 client가 독립적이기 때문에
낭비가 적어 에너지 효율성은 좋을 것 같다.</v>
      </c>
      <c r="D39" s="9" t="str">
        <f>'3조'!D$19</f>
        <v/>
      </c>
      <c r="E39" s="11" t="str">
        <f>'3조'!E$19</f>
        <v>3조 - Blackboard - Energy Efficiency</v>
      </c>
    </row>
    <row r="40" ht="15.75" customHeight="1">
      <c r="A40" s="10" t="s">
        <v>124</v>
      </c>
      <c r="B40" s="9" t="str">
        <f>'4조'!B$19</f>
        <v/>
      </c>
      <c r="C40" s="11" t="str">
        <f>'4조'!C$19</f>
        <v>4조 - Shared Respository - Energy Efficiency</v>
      </c>
      <c r="D40" s="9" t="str">
        <f>'4조'!D$19</f>
        <v>-</v>
      </c>
      <c r="E40" s="11" t="str">
        <f>'4조'!E$19</f>
        <v>제어 컴포넌트의 지속적 폴링/모니터링 오버헤드</v>
      </c>
    </row>
    <row r="41" ht="15.75" customHeight="1">
      <c r="A41" s="10" t="s">
        <v>127</v>
      </c>
      <c r="B41" s="9" t="str">
        <f>'5조'!B$19</f>
        <v/>
      </c>
      <c r="C41" s="11" t="str">
        <f>'5조'!C$19</f>
        <v>5조 - Shared Respository - Energy Efficiency</v>
      </c>
      <c r="D41" s="9" t="str">
        <f>'5조'!D$19</f>
        <v/>
      </c>
      <c r="E41" s="11" t="str">
        <f>'5조'!E$19</f>
        <v>5조 - Blackboard - Energy Efficiency</v>
      </c>
    </row>
    <row r="42" ht="15.75" customHeight="1">
      <c r="A42" s="10" t="s">
        <v>130</v>
      </c>
      <c r="B42" s="9" t="str">
        <f>'6조'!B$19</f>
        <v>+</v>
      </c>
      <c r="C42" s="11" t="str">
        <f>'6조'!C$19</f>
        <v>repository 하나를 공유하며 각 client가 독립적이기 때문에
낭비가 적어 에너지 효율성은 좋을 것 같다.</v>
      </c>
      <c r="D42" s="9" t="str">
        <f>'6조'!D$19</f>
        <v>-</v>
      </c>
      <c r="E42" s="11" t="str">
        <f>'6조'!E$19</f>
        <v>제어 컴포넌트의 지속적 폴링/모니터링 오버헤드</v>
      </c>
    </row>
    <row r="43" ht="15.75" customHeight="1">
      <c r="A43" s="10" t="s">
        <v>132</v>
      </c>
      <c r="B43" s="9" t="str">
        <f>'7조'!B$19</f>
        <v/>
      </c>
      <c r="C43" s="11" t="str">
        <f>'7조'!C$19</f>
        <v>7조 - Shared Respository - Energy Efficiency</v>
      </c>
      <c r="D43" s="9" t="str">
        <f>'7조'!D$19</f>
        <v/>
      </c>
      <c r="E43" s="11" t="str">
        <f>'7조'!E$19</f>
        <v>7조 - Blackboard - Energy Efficiency</v>
      </c>
    </row>
    <row r="44" ht="15.75" customHeight="1">
      <c r="A44" s="10" t="s">
        <v>138</v>
      </c>
      <c r="B44" s="9" t="str">
        <f>'8조'!B$19</f>
        <v/>
      </c>
      <c r="C44" s="11" t="str">
        <f>'8조'!C$19</f>
        <v>8조 - Shared Respository - Energy Efficiency</v>
      </c>
      <c r="D44" s="9" t="str">
        <f>'8조'!D$19</f>
        <v/>
      </c>
      <c r="E44" s="11" t="str">
        <f>'8조'!E$19</f>
        <v>8조 - Blackboard - Energy Efficiency</v>
      </c>
    </row>
    <row r="45" ht="15.75" customHeight="1">
      <c r="A45" s="10" t="s">
        <v>141</v>
      </c>
      <c r="B45" s="9" t="str">
        <f>'9조'!B$19</f>
        <v/>
      </c>
      <c r="C45" s="11" t="str">
        <f>'9조'!C$19</f>
        <v>9조 - Shared Respository - Energy Efficiency</v>
      </c>
      <c r="D45" s="9" t="str">
        <f>'9조'!D$19</f>
        <v/>
      </c>
      <c r="E45" s="11" t="str">
        <f>'9조'!E$19</f>
        <v>9조 - Blackboard - Energy Efficiency</v>
      </c>
    </row>
    <row r="46" ht="15.75" customHeight="1">
      <c r="A46" s="10"/>
      <c r="B46" s="13"/>
      <c r="C46" s="10"/>
      <c r="D46" s="13"/>
      <c r="E46" s="10"/>
    </row>
    <row r="47" ht="15.75" customHeight="1">
      <c r="A47" s="6" t="s">
        <v>144</v>
      </c>
      <c r="B47" s="6" t="str">
        <f>'Detailed Reasoning'!B$20</f>
        <v/>
      </c>
      <c r="C47" s="6" t="str">
        <f>'Detailed Reasoning'!C$20</f>
        <v/>
      </c>
      <c r="D47" s="6" t="str">
        <f>'Detailed Reasoning'!D$20</f>
        <v/>
      </c>
      <c r="E47" s="6" t="str">
        <f>'Detailed Reasoning'!E$20</f>
        <v/>
      </c>
    </row>
    <row r="48" ht="15.75" customHeight="1">
      <c r="A48" s="7" t="s">
        <v>148</v>
      </c>
      <c r="B48" s="9" t="str">
        <f>'1조'!B$20</f>
        <v/>
      </c>
      <c r="C48" s="10" t="str">
        <f>'1조'!C20</f>
        <v>1조 - Shared Respository - Modifiability</v>
      </c>
      <c r="D48" s="9" t="str">
        <f>'1조'!D$20</f>
        <v/>
      </c>
      <c r="E48" s="10" t="str">
        <f>'1조'!E20</f>
        <v>1조 - Blackboard - Modifiability</v>
      </c>
    </row>
    <row r="49" ht="15.75" customHeight="1">
      <c r="A49" s="7" t="s">
        <v>151</v>
      </c>
      <c r="B49" s="9" t="str">
        <f>'2조'!B$20</f>
        <v/>
      </c>
      <c r="C49" s="11" t="str">
        <f>'2조'!C$20</f>
        <v>2조 - Shared Respository - Modifiability</v>
      </c>
      <c r="D49" s="9" t="str">
        <f>'2조'!D$20</f>
        <v/>
      </c>
      <c r="E49" s="11" t="str">
        <f>'2조'!E$20</f>
        <v>2조 - Blackboard - Modifiability</v>
      </c>
    </row>
    <row r="50" ht="15.75" customHeight="1">
      <c r="A50" s="7" t="s">
        <v>154</v>
      </c>
      <c r="B50" s="9" t="str">
        <f>'3조'!B$20</f>
        <v>-</v>
      </c>
      <c r="C50" s="11" t="str">
        <f>'3조'!C$20</f>
        <v>deployability와 마찬가지로 한 component의 변경이 시스템 전체에 영향을 미칠 수 있음</v>
      </c>
      <c r="D50" s="9" t="str">
        <f>'3조'!D$20</f>
        <v/>
      </c>
      <c r="E50" s="11" t="str">
        <f>'3조'!E$20</f>
        <v>3조 - Blackboard - Modifiability</v>
      </c>
    </row>
    <row r="51" ht="15.75" customHeight="1">
      <c r="A51" s="7" t="s">
        <v>157</v>
      </c>
      <c r="B51" s="9" t="str">
        <f>'4조'!B$20</f>
        <v/>
      </c>
      <c r="C51" s="11" t="str">
        <f>'4조'!C$20</f>
        <v>4조 - Shared Respository - Modifiability</v>
      </c>
      <c r="D51" s="9" t="str">
        <f>'4조'!D$20</f>
        <v>+</v>
      </c>
      <c r="E51" s="11" t="str">
        <f>'4조'!E$20</f>
        <v>인터페이스만 맞추면 지식원 추가/제거 용이</v>
      </c>
    </row>
    <row r="52" ht="15.75" customHeight="1">
      <c r="A52" s="7" t="s">
        <v>160</v>
      </c>
      <c r="B52" s="9" t="str">
        <f>'5조'!B$20</f>
        <v/>
      </c>
      <c r="C52" s="11" t="str">
        <f>'5조'!C$20</f>
        <v>5조 - Shared Respository - Modifiability</v>
      </c>
      <c r="D52" s="9" t="str">
        <f>'5조'!D$20</f>
        <v/>
      </c>
      <c r="E52" s="11" t="str">
        <f>'5조'!E$20</f>
        <v>5조 - Blackboard - Modifiability</v>
      </c>
    </row>
    <row r="53" ht="15.75" customHeight="1">
      <c r="A53" s="7" t="s">
        <v>162</v>
      </c>
      <c r="B53" s="9" t="str">
        <f>'6조'!B$20</f>
        <v>-</v>
      </c>
      <c r="C53" s="11" t="str">
        <f>'6조'!C$20</f>
        <v>deployability와 마찬가지로 한 component의 변경이 시스템 전체에 영향을 미칠 수 있음</v>
      </c>
      <c r="D53" s="9" t="str">
        <f>'6조'!D$20</f>
        <v>+</v>
      </c>
      <c r="E53" s="11" t="str">
        <f>'6조'!E$20</f>
        <v>인터페이스만 맞추면 지식원 추가/제거 용이</v>
      </c>
    </row>
    <row r="54" ht="15.75" customHeight="1">
      <c r="A54" s="7" t="s">
        <v>165</v>
      </c>
      <c r="B54" s="9" t="str">
        <f>'7조'!B$20</f>
        <v/>
      </c>
      <c r="C54" s="11" t="str">
        <f>'7조'!C$20</f>
        <v>7조 - Shared Respository - Modifiability</v>
      </c>
      <c r="D54" s="9" t="str">
        <f>'7조'!D$20</f>
        <v/>
      </c>
      <c r="E54" s="11" t="str">
        <f>'7조'!E$20</f>
        <v>7조 - Blackboard - Modifiability</v>
      </c>
    </row>
    <row r="55" ht="15.75" customHeight="1">
      <c r="A55" s="7" t="s">
        <v>169</v>
      </c>
      <c r="B55" s="9" t="str">
        <f>'8조'!B$20</f>
        <v/>
      </c>
      <c r="C55" s="11" t="str">
        <f>'8조'!C$20</f>
        <v>8조 - Shared Respository - Modifiability</v>
      </c>
      <c r="D55" s="9" t="str">
        <f>'8조'!D$20</f>
        <v/>
      </c>
      <c r="E55" s="11" t="str">
        <f>'8조'!E$20</f>
        <v>8조 - Blackboard - Modifiability</v>
      </c>
    </row>
    <row r="56" ht="15.75" customHeight="1">
      <c r="A56" s="7" t="s">
        <v>172</v>
      </c>
      <c r="B56" s="9" t="str">
        <f>'9조'!B$20</f>
        <v/>
      </c>
      <c r="C56" s="11" t="str">
        <f>'9조'!C$20</f>
        <v>9조 - Shared Respository - Modifiability</v>
      </c>
      <c r="D56" s="9" t="str">
        <f>'9조'!D$20</f>
        <v/>
      </c>
      <c r="E56" s="11" t="str">
        <f>'9조'!E$20</f>
        <v>9조 - Blackboard - Modifiability</v>
      </c>
    </row>
    <row r="57" ht="15.75" customHeight="1">
      <c r="A57" s="10"/>
      <c r="B57" s="13"/>
      <c r="C57" s="10"/>
      <c r="D57" s="13"/>
      <c r="E57" s="10"/>
    </row>
    <row r="58" ht="15.75" customHeight="1">
      <c r="A58" s="6" t="s">
        <v>176</v>
      </c>
      <c r="B58" s="6" t="str">
        <f>'Detailed Reasoning'!B$21</f>
        <v/>
      </c>
      <c r="C58" s="6" t="str">
        <f>'Detailed Reasoning'!C$21</f>
        <v/>
      </c>
      <c r="D58" s="6" t="str">
        <f>'Detailed Reasoning'!D$21</f>
        <v/>
      </c>
      <c r="E58" s="6" t="str">
        <f>'Detailed Reasoning'!E$21</f>
        <v/>
      </c>
    </row>
    <row r="59" ht="15.75" customHeight="1">
      <c r="A59" s="7" t="s">
        <v>180</v>
      </c>
      <c r="B59" s="9" t="str">
        <f>'1조'!B$21</f>
        <v/>
      </c>
      <c r="C59" s="10" t="str">
        <f>'1조'!C21</f>
        <v>1조 - Shared Respository - Performance</v>
      </c>
      <c r="D59" s="9" t="str">
        <f>'1조'!D$21</f>
        <v/>
      </c>
      <c r="E59" s="10" t="str">
        <f>'1조'!E21</f>
        <v>1조 - Blackboard - Performance</v>
      </c>
    </row>
    <row r="60" ht="15.75" customHeight="1">
      <c r="A60" s="7" t="s">
        <v>184</v>
      </c>
      <c r="B60" s="9" t="str">
        <f>'2조'!B$21</f>
        <v/>
      </c>
      <c r="C60" s="11" t="str">
        <f>'2조'!C$21</f>
        <v>2조 - Shared Respository - Performance</v>
      </c>
      <c r="D60" s="9" t="str">
        <f>'2조'!D$21</f>
        <v/>
      </c>
      <c r="E60" s="11" t="str">
        <f>'2조'!E$21</f>
        <v>2조 - Blackboard - Performance</v>
      </c>
    </row>
    <row r="61" ht="15.75" customHeight="1">
      <c r="A61" s="7" t="s">
        <v>186</v>
      </c>
      <c r="B61" s="9" t="str">
        <f>'3조'!B$21</f>
        <v>+</v>
      </c>
      <c r="C61" s="11" t="str">
        <f>'3조'!C$21</f>
        <v>component간의 호출 없이 repo와만 소통하기 때문에 성능에서 장점을 취할 수 있다.
하지만 repo가 병목인 상황이라면 좋지 않을 수 있다</v>
      </c>
      <c r="D61" s="9" t="str">
        <f>'3조'!D$21</f>
        <v/>
      </c>
      <c r="E61" s="11" t="str">
        <f>'3조'!E$21</f>
        <v>3조 - Blackboard - Performance</v>
      </c>
    </row>
    <row r="62" ht="15.75" customHeight="1">
      <c r="A62" s="7" t="s">
        <v>189</v>
      </c>
      <c r="B62" s="9" t="str">
        <f>'4조'!B$21</f>
        <v/>
      </c>
      <c r="C62" s="11" t="str">
        <f>'4조'!C$21</f>
        <v>4조 - Shared Respository - Performance</v>
      </c>
      <c r="D62" s="9" t="str">
        <f>'4조'!D$21</f>
        <v>--</v>
      </c>
      <c r="E62" s="11" t="str">
        <f>'4조'!E$21</f>
        <v>공유 자원 접근 경합 + 스케줄링 오버헤드로 병목</v>
      </c>
    </row>
    <row r="63" ht="15.75" customHeight="1">
      <c r="A63" s="7" t="s">
        <v>193</v>
      </c>
      <c r="B63" s="9" t="str">
        <f>'5조'!B$21</f>
        <v/>
      </c>
      <c r="C63" s="11" t="str">
        <f>'5조'!C$21</f>
        <v>5조 - Shared Respository - Performance</v>
      </c>
      <c r="D63" s="9" t="str">
        <f>'5조'!D$21</f>
        <v/>
      </c>
      <c r="E63" s="11" t="str">
        <f>'5조'!E$21</f>
        <v>5조 - Blackboard - Performance</v>
      </c>
    </row>
    <row r="64" ht="15.75" customHeight="1">
      <c r="A64" s="7" t="s">
        <v>196</v>
      </c>
      <c r="B64" s="9" t="str">
        <f>'6조'!B$21</f>
        <v>+</v>
      </c>
      <c r="C64" s="11" t="str">
        <f>'6조'!C$21</f>
        <v>component간의 호출 없이 repo와만 소통하기 때문에 성능에서 장점을 취할 수 있다.
하지만 repo가 병목인 상황이라면 좋지 않을 수 있다</v>
      </c>
      <c r="D64" s="9" t="str">
        <f>'6조'!D$21</f>
        <v>--</v>
      </c>
      <c r="E64" s="11" t="str">
        <f>'6조'!E$21</f>
        <v>공유 자원 접근 경합 + 스케줄링 오버헤드로 병목</v>
      </c>
    </row>
    <row r="65" ht="15.75" customHeight="1">
      <c r="A65" s="7" t="s">
        <v>199</v>
      </c>
      <c r="B65" s="9" t="str">
        <f>'7조'!B$21</f>
        <v/>
      </c>
      <c r="C65" s="11" t="str">
        <f>'7조'!C$21</f>
        <v>7조 - Shared Respository - Performance</v>
      </c>
      <c r="D65" s="9" t="str">
        <f>'7조'!D$21</f>
        <v/>
      </c>
      <c r="E65" s="11" t="str">
        <f>'7조'!E$21</f>
        <v>7조 - Blackboard - Performance</v>
      </c>
    </row>
    <row r="66" ht="15.75" customHeight="1">
      <c r="A66" s="7" t="s">
        <v>202</v>
      </c>
      <c r="B66" s="9" t="str">
        <f>'8조'!B$21</f>
        <v/>
      </c>
      <c r="C66" s="11" t="str">
        <f>'8조'!C$21</f>
        <v>8조 - Shared Respository - Performance</v>
      </c>
      <c r="D66" s="9" t="str">
        <f>'8조'!D$21</f>
        <v/>
      </c>
      <c r="E66" s="11" t="str">
        <f>'8조'!E$21</f>
        <v>8조 - Blackboard - Performance</v>
      </c>
    </row>
    <row r="67" ht="15.75" customHeight="1">
      <c r="A67" s="7" t="s">
        <v>205</v>
      </c>
      <c r="B67" s="9" t="str">
        <f>'9조'!B$21</f>
        <v/>
      </c>
      <c r="C67" s="11" t="str">
        <f>'9조'!C$21</f>
        <v>9조 - Shared Respository - Performance</v>
      </c>
      <c r="D67" s="9" t="str">
        <f>'9조'!D$21</f>
        <v/>
      </c>
      <c r="E67" s="11" t="str">
        <f>'9조'!E$21</f>
        <v>9조 - Blackboard - Performance</v>
      </c>
    </row>
    <row r="68" ht="15.75" customHeight="1">
      <c r="A68" s="10"/>
      <c r="B68" s="13"/>
      <c r="C68" s="10"/>
      <c r="D68" s="13"/>
      <c r="E68" s="10"/>
    </row>
    <row r="69" ht="15.75" customHeight="1">
      <c r="A69" s="6" t="s">
        <v>208</v>
      </c>
      <c r="B69" s="6" t="str">
        <f>'Detailed Reasoning'!B$22</f>
        <v/>
      </c>
      <c r="C69" s="6" t="str">
        <f>'Detailed Reasoning'!C$22</f>
        <v/>
      </c>
      <c r="D69" s="6" t="str">
        <f>'Detailed Reasoning'!D$22</f>
        <v/>
      </c>
      <c r="E69" s="6" t="str">
        <f>'Detailed Reasoning'!E$22</f>
        <v/>
      </c>
    </row>
    <row r="70" ht="15.75" customHeight="1">
      <c r="A70" s="7" t="s">
        <v>211</v>
      </c>
      <c r="B70" s="9" t="str">
        <f>'1조'!B$22</f>
        <v/>
      </c>
      <c r="C70" s="10" t="str">
        <f>'1조'!C22</f>
        <v>1조 - Shared Respository - Safety</v>
      </c>
      <c r="D70" s="9" t="str">
        <f>'1조'!D$22</f>
        <v/>
      </c>
      <c r="E70" s="10" t="str">
        <f>'1조'!E22</f>
        <v>1조 - Blackboard - Safety</v>
      </c>
    </row>
    <row r="71" ht="15.75" customHeight="1">
      <c r="A71" s="7" t="s">
        <v>216</v>
      </c>
      <c r="B71" s="9" t="str">
        <f>'2조'!B$22</f>
        <v/>
      </c>
      <c r="C71" s="11" t="str">
        <f>'2조'!C$22</f>
        <v>2조 - Shared Respository - Safety</v>
      </c>
      <c r="D71" s="9" t="str">
        <f>'2조'!D$22</f>
        <v/>
      </c>
      <c r="E71" s="11" t="str">
        <f>'2조'!E$22</f>
        <v>2조 - Blackboard - Safety</v>
      </c>
    </row>
    <row r="72" ht="15.75" customHeight="1">
      <c r="A72" s="7" t="s">
        <v>219</v>
      </c>
      <c r="B72" s="9" t="str">
        <f>'3조'!B$22</f>
        <v>--</v>
      </c>
      <c r="C72" s="11" t="str">
        <f>'3조'!C$22</f>
        <v>repo의 오류가 전체 시스템에 영향을 미치고 데이터 유실 가능성이 있기 때문에
safety 측면에서 안좋을 것 같음</v>
      </c>
      <c r="D72" s="9" t="str">
        <f>'3조'!D$22</f>
        <v/>
      </c>
      <c r="E72" s="11" t="str">
        <f>'3조'!E$22</f>
        <v>3조 - Blackboard - Safety</v>
      </c>
    </row>
    <row r="73" ht="15.75" customHeight="1">
      <c r="A73" s="7" t="s">
        <v>222</v>
      </c>
      <c r="B73" s="9" t="str">
        <f>'4조'!B$22</f>
        <v/>
      </c>
      <c r="C73" s="11" t="str">
        <f>'4조'!C$22</f>
        <v>4조 - Shared Respository - Safety</v>
      </c>
      <c r="D73" s="9" t="str">
        <f>'4조'!D$22</f>
        <v>-</v>
      </c>
      <c r="E73" s="11" t="str">
        <f>'4조'!E$22</f>
        <v>Data store / Orchestrator의 fault가 시스템 전체 fault로 이어지기 쉽다.</v>
      </c>
    </row>
    <row r="74" ht="15.75" customHeight="1">
      <c r="A74" s="7" t="s">
        <v>225</v>
      </c>
      <c r="B74" s="9" t="str">
        <f>'5조'!B$22</f>
        <v/>
      </c>
      <c r="C74" s="11" t="str">
        <f>'5조'!C$22</f>
        <v>5조 - Shared Respository - Safety</v>
      </c>
      <c r="D74" s="9" t="str">
        <f>'5조'!D$22</f>
        <v/>
      </c>
      <c r="E74" s="11" t="str">
        <f>'5조'!E$22</f>
        <v>5조 - Blackboard - Safety</v>
      </c>
    </row>
    <row r="75" ht="15.75" customHeight="1">
      <c r="A75" s="7" t="s">
        <v>228</v>
      </c>
      <c r="B75" s="9" t="str">
        <f>'6조'!B$22</f>
        <v>--</v>
      </c>
      <c r="C75" s="11" t="str">
        <f>'6조'!C$22</f>
        <v>repo의 오류가 전체 시스템에 영향을 미치고 데이터 유실 가능성이 있기 때문에
safety 측면에서 안좋을 것 같음</v>
      </c>
      <c r="D75" s="9" t="str">
        <f>'6조'!D$22</f>
        <v>-</v>
      </c>
      <c r="E75" s="11" t="str">
        <f>'6조'!E$22</f>
        <v>Data store / Orchestrator의 fault가 시스템 전체 fault로 이어지기 쉽다.</v>
      </c>
    </row>
    <row r="76" ht="15.75" customHeight="1">
      <c r="A76" s="7" t="s">
        <v>231</v>
      </c>
      <c r="B76" s="9" t="str">
        <f>'7조'!B$22</f>
        <v/>
      </c>
      <c r="C76" s="11" t="str">
        <f>'7조'!C$22</f>
        <v>7조 - Shared Respository - Safety</v>
      </c>
      <c r="D76" s="9" t="str">
        <f>'7조'!D$22</f>
        <v/>
      </c>
      <c r="E76" s="11" t="str">
        <f>'7조'!E$22</f>
        <v>7조 - Blackboard - Safety</v>
      </c>
    </row>
    <row r="77" ht="15.75" customHeight="1">
      <c r="A77" s="7" t="s">
        <v>235</v>
      </c>
      <c r="B77" s="9" t="str">
        <f>'8조'!B$22</f>
        <v/>
      </c>
      <c r="C77" s="11" t="str">
        <f>'8조'!C$22</f>
        <v>8조 - Shared Respository - Safety</v>
      </c>
      <c r="D77" s="9" t="str">
        <f>'8조'!D$22</f>
        <v/>
      </c>
      <c r="E77" s="11" t="str">
        <f>'8조'!E$22</f>
        <v>8조 - Blackboard - Safety</v>
      </c>
    </row>
    <row r="78" ht="15.75" customHeight="1">
      <c r="A78" s="7" t="s">
        <v>238</v>
      </c>
      <c r="B78" s="9" t="str">
        <f>'9조'!B$22</f>
        <v/>
      </c>
      <c r="C78" s="11" t="str">
        <f>'9조'!C$22</f>
        <v>9조 - Shared Respository - Safety</v>
      </c>
      <c r="D78" s="9" t="str">
        <f>'9조'!D$22</f>
        <v/>
      </c>
      <c r="E78" s="11" t="str">
        <f>'9조'!E$22</f>
        <v>9조 - Blackboard - Safety</v>
      </c>
    </row>
    <row r="79" ht="15.75" customHeight="1">
      <c r="A79" s="10"/>
      <c r="B79" s="13"/>
      <c r="C79" s="10"/>
      <c r="D79" s="13"/>
      <c r="E79" s="10"/>
    </row>
    <row r="80" ht="15.75" customHeight="1">
      <c r="A80" s="6" t="s">
        <v>242</v>
      </c>
      <c r="B80" s="6" t="str">
        <f>'Detailed Reasoning'!B$23</f>
        <v/>
      </c>
      <c r="C80" s="6" t="str">
        <f>'Detailed Reasoning'!C$23</f>
        <v/>
      </c>
      <c r="D80" s="6" t="str">
        <f>'Detailed Reasoning'!D$23</f>
        <v/>
      </c>
      <c r="E80" s="6" t="str">
        <f>'Detailed Reasoning'!E$23</f>
        <v/>
      </c>
    </row>
    <row r="81" ht="15.75" customHeight="1">
      <c r="A81" s="7" t="s">
        <v>245</v>
      </c>
      <c r="B81" s="9" t="str">
        <f>'1조'!B$23</f>
        <v/>
      </c>
      <c r="C81" s="10" t="str">
        <f>'1조'!C23</f>
        <v>1조 - Shared Respository - Security</v>
      </c>
      <c r="D81" s="9" t="str">
        <f>'1조'!D$23</f>
        <v/>
      </c>
      <c r="E81" s="10" t="str">
        <f>'1조'!E23</f>
        <v>1조 - Blackboard - Security</v>
      </c>
    </row>
    <row r="82" ht="15.75" customHeight="1">
      <c r="A82" s="7" t="s">
        <v>250</v>
      </c>
      <c r="B82" s="9" t="str">
        <f>'2조'!B$23</f>
        <v/>
      </c>
      <c r="C82" s="11" t="str">
        <f>'2조'!C$23</f>
        <v>2조 - Shared Respository - Security</v>
      </c>
      <c r="D82" s="9" t="str">
        <f>'2조'!D$23</f>
        <v/>
      </c>
      <c r="E82" s="11" t="str">
        <f>'2조'!E$23</f>
        <v>2조 - Blackboard - Security</v>
      </c>
    </row>
    <row r="83" ht="15.75" customHeight="1">
      <c r="A83" s="7" t="s">
        <v>253</v>
      </c>
      <c r="B83" s="9" t="str">
        <f>'3조'!B$23</f>
        <v>-</v>
      </c>
      <c r="C83" s="11" t="str">
        <f>'3조'!C$23</f>
        <v>repository의 수정이 여러 client에 의해 가능하다는 점에서 보안 측면에서 안좋을 것 같음(권한 관리 문제 등)</v>
      </c>
      <c r="D83" s="9" t="str">
        <f>'3조'!D$23</f>
        <v/>
      </c>
      <c r="E83" s="11" t="str">
        <f>'3조'!E$23</f>
        <v>3조 - Blackboard - Security</v>
      </c>
    </row>
    <row r="84" ht="15.75" customHeight="1">
      <c r="A84" s="7" t="s">
        <v>256</v>
      </c>
      <c r="B84" s="9" t="str">
        <f>'4조'!B$23</f>
        <v/>
      </c>
      <c r="C84" s="11" t="str">
        <f>'4조'!C$23</f>
        <v>4조 - Shared Respository - Security</v>
      </c>
      <c r="D84" s="9" t="str">
        <f>'4조'!D$23</f>
        <v>--</v>
      </c>
      <c r="E84" s="11" t="str">
        <f>'4조'!E$23</f>
        <v>Data Store / Orchestrator가 공격당할 경우 시스템 전체를 마비시키기 쉽다.</v>
      </c>
    </row>
    <row r="85" ht="15.75" customHeight="1">
      <c r="A85" s="7" t="s">
        <v>258</v>
      </c>
      <c r="B85" s="9" t="str">
        <f>'5조'!B$23</f>
        <v/>
      </c>
      <c r="C85" s="11" t="str">
        <f>'5조'!C$23</f>
        <v>5조 - Shared Respository - Security</v>
      </c>
      <c r="D85" s="9" t="str">
        <f>'5조'!D$23</f>
        <v/>
      </c>
      <c r="E85" s="11" t="str">
        <f>'5조'!E$23</f>
        <v>5조 - Blackboard - Security</v>
      </c>
    </row>
    <row r="86" ht="15.75" customHeight="1">
      <c r="A86" s="7" t="s">
        <v>261</v>
      </c>
      <c r="B86" s="9" t="str">
        <f>'6조'!B$23</f>
        <v>-</v>
      </c>
      <c r="C86" s="11" t="str">
        <f>'6조'!C$23</f>
        <v>repository의 수정이 여러 client에 의해 가능하다는 점에서 보안 측면에서 안좋을 것 같음(권한 관리 문제 등)</v>
      </c>
      <c r="D86" s="9" t="str">
        <f>'6조'!D$23</f>
        <v>--</v>
      </c>
      <c r="E86" s="11" t="str">
        <f>'6조'!E$23</f>
        <v>Data Store / Orchestrator가 공격당할 경우 시스템 전체를 마비시키기 쉽다.</v>
      </c>
    </row>
    <row r="87" ht="15.75" customHeight="1">
      <c r="A87" s="7" t="s">
        <v>265</v>
      </c>
      <c r="B87" s="9" t="str">
        <f>'7조'!B$23</f>
        <v/>
      </c>
      <c r="C87" s="11" t="str">
        <f>'7조'!C$23</f>
        <v>7조 - Shared Respository - Security</v>
      </c>
      <c r="D87" s="9" t="str">
        <f>'7조'!D$23</f>
        <v/>
      </c>
      <c r="E87" s="11" t="str">
        <f>'7조'!E$23</f>
        <v>7조 - Blackboard - Security</v>
      </c>
    </row>
    <row r="88" ht="15.75" customHeight="1">
      <c r="A88" s="7" t="s">
        <v>268</v>
      </c>
      <c r="B88" s="9" t="str">
        <f>'8조'!B$23</f>
        <v/>
      </c>
      <c r="C88" s="11" t="str">
        <f>'8조'!C$23</f>
        <v>8조 - Shared Respository - Security</v>
      </c>
      <c r="D88" s="9" t="str">
        <f>'8조'!D$23</f>
        <v/>
      </c>
      <c r="E88" s="11" t="str">
        <f>'8조'!E$23</f>
        <v>8조 - Blackboard - Security</v>
      </c>
    </row>
    <row r="89" ht="15.75" customHeight="1">
      <c r="A89" s="7" t="s">
        <v>270</v>
      </c>
      <c r="B89" s="9" t="str">
        <f>'9조'!B$23</f>
        <v/>
      </c>
      <c r="C89" s="11" t="str">
        <f>'9조'!C$23</f>
        <v>9조 - Shared Respository - Security</v>
      </c>
      <c r="D89" s="9" t="str">
        <f>'9조'!D$23</f>
        <v/>
      </c>
      <c r="E89" s="11" t="str">
        <f>'9조'!E$23</f>
        <v>9조 - Blackboard - Security</v>
      </c>
    </row>
    <row r="90" ht="15.75" customHeight="1">
      <c r="A90" s="10"/>
      <c r="B90" s="13"/>
      <c r="C90" s="10"/>
      <c r="D90" s="13"/>
      <c r="E90" s="10"/>
    </row>
    <row r="91" ht="15.75" customHeight="1">
      <c r="A91" s="6" t="s">
        <v>273</v>
      </c>
      <c r="B91" s="6" t="str">
        <f>'Detailed Reasoning'!B$24</f>
        <v/>
      </c>
      <c r="C91" s="6" t="str">
        <f>'Detailed Reasoning'!C$24</f>
        <v/>
      </c>
      <c r="D91" s="6" t="str">
        <f>'Detailed Reasoning'!D$24</f>
        <v/>
      </c>
      <c r="E91" s="6" t="str">
        <f>'Detailed Reasoning'!E$24</f>
        <v/>
      </c>
    </row>
    <row r="92" ht="15.75" customHeight="1">
      <c r="A92" s="7" t="s">
        <v>276</v>
      </c>
      <c r="B92" s="9" t="str">
        <f>'1조'!B$24</f>
        <v/>
      </c>
      <c r="C92" s="10" t="str">
        <f>'1조'!C24</f>
        <v>1조 - Shared Respository - Testability</v>
      </c>
      <c r="D92" s="9" t="str">
        <f>'1조'!D$24</f>
        <v/>
      </c>
      <c r="E92" s="10" t="str">
        <f>'1조'!E24</f>
        <v>1조 - Blackboard - Testability</v>
      </c>
    </row>
    <row r="93" ht="15.75" customHeight="1">
      <c r="A93" s="7" t="s">
        <v>280</v>
      </c>
      <c r="B93" s="9" t="str">
        <f>'2조'!B$24</f>
        <v/>
      </c>
      <c r="C93" s="11" t="str">
        <f>'2조'!C$24</f>
        <v>2조 - Shared Respository - Testability</v>
      </c>
      <c r="D93" s="9" t="str">
        <f>'2조'!D$24</f>
        <v/>
      </c>
      <c r="E93" s="11" t="str">
        <f>'2조'!E$24</f>
        <v>2조 - Blackboard - Testability</v>
      </c>
    </row>
    <row r="94" ht="15.75" customHeight="1">
      <c r="A94" s="7" t="s">
        <v>283</v>
      </c>
      <c r="B94" s="9" t="str">
        <f>'3조'!B$24</f>
        <v>-</v>
      </c>
      <c r="C94" s="11" t="str">
        <f>'3조'!C$24</f>
        <v>각 client의 테스트 시 repository가 포함되어야 하기 때문에 test가 어려움</v>
      </c>
      <c r="D94" s="9" t="str">
        <f>'3조'!D$24</f>
        <v/>
      </c>
      <c r="E94" s="11" t="str">
        <f>'3조'!E$24</f>
        <v>3조 - Blackboard - Testability</v>
      </c>
    </row>
    <row r="95" ht="15.75" customHeight="1">
      <c r="A95" s="7" t="s">
        <v>285</v>
      </c>
      <c r="B95" s="9" t="str">
        <f>'4조'!B$24</f>
        <v/>
      </c>
      <c r="C95" s="11" t="str">
        <f>'4조'!C$24</f>
        <v>4조 - Shared Respository - Testability</v>
      </c>
      <c r="D95" s="9" t="str">
        <f>'4조'!D$24</f>
        <v>+</v>
      </c>
      <c r="E95" s="11" t="str">
        <f>'4조'!E$24</f>
        <v>단위테스트를 만들기에 용이함</v>
      </c>
    </row>
    <row r="96" ht="15.75" customHeight="1">
      <c r="A96" s="7" t="s">
        <v>288</v>
      </c>
      <c r="B96" s="9" t="str">
        <f>'5조'!B$24</f>
        <v/>
      </c>
      <c r="C96" s="11" t="str">
        <f>'5조'!C$24</f>
        <v>5조 - Shared Respository - Testability</v>
      </c>
      <c r="D96" s="9" t="str">
        <f>'5조'!D$24</f>
        <v/>
      </c>
      <c r="E96" s="11" t="str">
        <f>'5조'!E$24</f>
        <v>5조 - Blackboard - Testability</v>
      </c>
    </row>
    <row r="97" ht="15.75" customHeight="1">
      <c r="A97" s="7" t="s">
        <v>292</v>
      </c>
      <c r="B97" s="9" t="str">
        <f>'6조'!B$24</f>
        <v>-</v>
      </c>
      <c r="C97" s="11" t="str">
        <f>'6조'!C$24</f>
        <v>각 client의 테스트 시 repository가 포함되어야 하기 때문에 test가 어려움</v>
      </c>
      <c r="D97" s="9" t="str">
        <f>'6조'!D$24</f>
        <v>+</v>
      </c>
      <c r="E97" s="11" t="str">
        <f>'6조'!E$24</f>
        <v>단위테스트를 만들기에 용이함</v>
      </c>
    </row>
    <row r="98" ht="15.75" customHeight="1">
      <c r="A98" s="7" t="s">
        <v>294</v>
      </c>
      <c r="B98" s="9" t="str">
        <f>'7조'!B$24</f>
        <v/>
      </c>
      <c r="C98" s="11" t="str">
        <f>'7조'!C$24</f>
        <v>7조 - Shared Respository - Testability</v>
      </c>
      <c r="D98" s="9" t="str">
        <f>'7조'!D$24</f>
        <v/>
      </c>
      <c r="E98" s="11" t="str">
        <f>'7조'!E$24</f>
        <v>7조 - Blackboard - Testability</v>
      </c>
    </row>
    <row r="99" ht="15.75" customHeight="1">
      <c r="A99" s="7" t="s">
        <v>298</v>
      </c>
      <c r="B99" s="9" t="str">
        <f>'8조'!B$24</f>
        <v/>
      </c>
      <c r="C99" s="11" t="str">
        <f>'8조'!C$24</f>
        <v>8조 - Shared Respository - Testability</v>
      </c>
      <c r="D99" s="9" t="str">
        <f>'8조'!D$24</f>
        <v/>
      </c>
      <c r="E99" s="11" t="str">
        <f>'8조'!E$24</f>
        <v>8조 - Blackboard - Testability</v>
      </c>
    </row>
    <row r="100" ht="15.75" customHeight="1">
      <c r="A100" s="7" t="s">
        <v>301</v>
      </c>
      <c r="B100" s="9" t="str">
        <f>'9조'!B$24</f>
        <v/>
      </c>
      <c r="C100" s="11" t="str">
        <f>'9조'!C$24</f>
        <v>9조 - Shared Respository - Testability</v>
      </c>
      <c r="D100" s="9" t="str">
        <f>'9조'!D$24</f>
        <v/>
      </c>
      <c r="E100" s="11" t="str">
        <f>'9조'!E$24</f>
        <v>9조 - Blackboard - Testability</v>
      </c>
    </row>
    <row r="101" ht="15.0" customHeight="1">
      <c r="A101" s="10"/>
      <c r="B101" s="13"/>
      <c r="C101" s="10"/>
      <c r="D101" s="13"/>
      <c r="E101" s="10"/>
    </row>
    <row r="102" ht="15.75" customHeight="1">
      <c r="A102" s="6" t="s">
        <v>305</v>
      </c>
      <c r="B102" s="6" t="str">
        <f>'Detailed Reasoning'!B$25</f>
        <v/>
      </c>
      <c r="C102" s="6" t="str">
        <f>'Detailed Reasoning'!C$25</f>
        <v/>
      </c>
      <c r="D102" s="6" t="str">
        <f>'Detailed Reasoning'!D$25</f>
        <v/>
      </c>
      <c r="E102" s="6" t="str">
        <f>'Detailed Reasoning'!E$25</f>
        <v/>
      </c>
    </row>
    <row r="103" ht="15.75" customHeight="1">
      <c r="A103" s="7" t="s">
        <v>308</v>
      </c>
      <c r="B103" s="9" t="str">
        <f>'1조'!B$25</f>
        <v/>
      </c>
      <c r="C103" s="10" t="str">
        <f>'1조'!C25</f>
        <v>1조 - Shared Respository - Usability</v>
      </c>
      <c r="D103" s="9" t="str">
        <f>'1조'!D$25</f>
        <v/>
      </c>
      <c r="E103" s="10" t="str">
        <f>'1조'!E25</f>
        <v>1조 - Blackboard - Usability</v>
      </c>
    </row>
    <row r="104" ht="15.75" customHeight="1">
      <c r="A104" s="7" t="s">
        <v>311</v>
      </c>
      <c r="B104" s="9" t="str">
        <f>'2조'!B$25</f>
        <v/>
      </c>
      <c r="C104" s="11" t="str">
        <f>'2조'!C$25</f>
        <v>2조 - Shared Respository - Usability</v>
      </c>
      <c r="D104" s="9" t="str">
        <f>'2조'!D$25</f>
        <v/>
      </c>
      <c r="E104" s="11" t="str">
        <f>'2조'!E$25</f>
        <v>2조 - Blackboard - Usability</v>
      </c>
    </row>
    <row r="105" ht="15.75" customHeight="1">
      <c r="A105" s="7" t="s">
        <v>314</v>
      </c>
      <c r="B105" s="9" t="str">
        <f>'3조'!B$25</f>
        <v>+</v>
      </c>
      <c r="C105" s="11" t="str">
        <f>'3조'!C$25</f>
        <v>client가 원하는 동작을 repo 대상으로 그냥 하면 되기 때문에 사용성이 좋다</v>
      </c>
      <c r="D105" s="9" t="str">
        <f>'3조'!D$25</f>
        <v/>
      </c>
      <c r="E105" s="11" t="str">
        <f>'3조'!E$25</f>
        <v>3조 - Blackboard - Usability</v>
      </c>
    </row>
    <row r="106" ht="15.75" customHeight="1">
      <c r="A106" s="7" t="s">
        <v>317</v>
      </c>
      <c r="B106" s="9" t="str">
        <f>'4조'!B$25</f>
        <v/>
      </c>
      <c r="C106" s="11" t="str">
        <f>'4조'!C$25</f>
        <v>4조 - Shared Respository - Usability</v>
      </c>
      <c r="D106" s="9" t="str">
        <f>'4조'!D$25</f>
        <v>0</v>
      </c>
      <c r="E106" s="11" t="str">
        <f>'4조'!E$25</f>
        <v>내부 구조 스타일이라 사용자 인터페이스와 무관</v>
      </c>
    </row>
    <row r="107" ht="15.75" customHeight="1">
      <c r="A107" s="7" t="s">
        <v>320</v>
      </c>
      <c r="B107" s="9" t="str">
        <f>'5조'!B$25</f>
        <v/>
      </c>
      <c r="C107" s="11" t="str">
        <f>'5조'!C$25</f>
        <v>5조 - Shared Respository - Usability</v>
      </c>
      <c r="D107" s="9" t="str">
        <f>'5조'!D$25</f>
        <v/>
      </c>
      <c r="E107" s="11" t="str">
        <f>'5조'!E$25</f>
        <v>5조 - Blackboard - Usability</v>
      </c>
    </row>
    <row r="108" ht="15.75" customHeight="1">
      <c r="A108" s="7" t="s">
        <v>324</v>
      </c>
      <c r="B108" s="9" t="str">
        <f>'6조'!B$25</f>
        <v>+</v>
      </c>
      <c r="C108" s="11" t="str">
        <f>'6조'!C$25</f>
        <v>client가 원하는 동작을 repo 대상으로 그냥 하면 되기 때문에 사용성이 좋다</v>
      </c>
      <c r="D108" s="9" t="str">
        <f>'6조'!D$25</f>
        <v>0</v>
      </c>
      <c r="E108" s="11" t="str">
        <f>'6조'!E$25</f>
        <v>내부 구조 스타일이라 사용자 인터페이스와 무관</v>
      </c>
    </row>
    <row r="109" ht="15.75" customHeight="1">
      <c r="A109" s="7" t="s">
        <v>325</v>
      </c>
      <c r="B109" s="9" t="str">
        <f>'7조'!B$25</f>
        <v/>
      </c>
      <c r="C109" s="11" t="str">
        <f>'7조'!C$25</f>
        <v>7조 - Shared Respository - Usability</v>
      </c>
      <c r="D109" s="9" t="str">
        <f>'7조'!D$25</f>
        <v/>
      </c>
      <c r="E109" s="11" t="str">
        <f>'7조'!E$25</f>
        <v>7조 - Blackboard - Usability</v>
      </c>
    </row>
    <row r="110" ht="15.75" customHeight="1">
      <c r="A110" s="7" t="s">
        <v>329</v>
      </c>
      <c r="B110" s="9" t="str">
        <f>'8조'!B$25</f>
        <v/>
      </c>
      <c r="C110" s="11" t="str">
        <f>'8조'!C$25</f>
        <v>8조 - Shared Respository - Usability</v>
      </c>
      <c r="D110" s="9" t="str">
        <f>'8조'!D$25</f>
        <v/>
      </c>
      <c r="E110" s="11" t="str">
        <f>'8조'!E$25</f>
        <v>8조 - Blackboard - Usability</v>
      </c>
    </row>
    <row r="111" ht="15.75" customHeight="1">
      <c r="A111" s="7" t="s">
        <v>331</v>
      </c>
      <c r="B111" s="9" t="str">
        <f>'9조'!B$25</f>
        <v/>
      </c>
      <c r="C111" s="11" t="str">
        <f>'9조'!C$25</f>
        <v>9조 - Shared Respository - Usability</v>
      </c>
      <c r="D111" s="9" t="str">
        <f>'9조'!D$25</f>
        <v/>
      </c>
      <c r="E111" s="11" t="str">
        <f>'9조'!E$25</f>
        <v>9조 - Blackboard - Usability</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9.14"/>
    <col customWidth="1" min="2" max="2" width="7.71"/>
    <col customWidth="1" min="3" max="3" width="51.0"/>
    <col customWidth="1" min="4" max="4" width="7.71"/>
    <col customWidth="1" min="5" max="5" width="49.0"/>
    <col customWidth="1" min="6" max="6" width="14.43"/>
  </cols>
  <sheetData>
    <row r="1">
      <c r="A1" s="1" t="s">
        <v>3</v>
      </c>
      <c r="B1" s="2" t="s">
        <v>7</v>
      </c>
      <c r="C1" s="3"/>
      <c r="D1" s="2" t="s">
        <v>11</v>
      </c>
      <c r="E1" s="3"/>
    </row>
    <row r="2">
      <c r="A2" s="4"/>
      <c r="B2" s="5" t="s">
        <v>12</v>
      </c>
      <c r="C2" s="5" t="s">
        <v>13</v>
      </c>
      <c r="D2" s="5" t="s">
        <v>12</v>
      </c>
      <c r="E2" s="5" t="s">
        <v>13</v>
      </c>
    </row>
    <row r="3" ht="15.0" customHeight="1">
      <c r="A3" s="6" t="s">
        <v>14</v>
      </c>
      <c r="B3" s="6" t="str">
        <f>'Detailed Reasoning'!B$29</f>
        <v/>
      </c>
      <c r="C3" s="6" t="str">
        <f>'Detailed Reasoning'!C$29</f>
        <v/>
      </c>
      <c r="D3" s="6" t="str">
        <f>'Detailed Reasoning'!D$29</f>
        <v/>
      </c>
      <c r="E3" s="6" t="str">
        <f>'Detailed Reasoning'!E$29</f>
        <v/>
      </c>
    </row>
    <row r="4">
      <c r="A4" s="7" t="s">
        <v>15</v>
      </c>
      <c r="B4" s="9" t="str">
        <f>'1조'!B$29</f>
        <v/>
      </c>
      <c r="C4" s="10" t="str">
        <f>'1조'!C29</f>
        <v>1조 - Non-Buffered Event Based - Availability</v>
      </c>
      <c r="D4" s="9" t="str">
        <f>'1조'!D$29</f>
        <v/>
      </c>
      <c r="E4" s="10" t="str">
        <f>'1조'!E29</f>
        <v>1조 - Buffered Message Based - Availability</v>
      </c>
    </row>
    <row r="5">
      <c r="A5" s="7" t="s">
        <v>19</v>
      </c>
      <c r="B5" s="9" t="str">
        <f>'2조'!B$29</f>
        <v/>
      </c>
      <c r="C5" s="11" t="str">
        <f>'2조'!C$29</f>
        <v>2조 - Non-Buffered Event Based - Availability</v>
      </c>
      <c r="D5" s="9" t="str">
        <f>'2조'!D$29</f>
        <v/>
      </c>
      <c r="E5" s="11" t="str">
        <f>'2조'!E$29</f>
        <v>2조 - Buffered Message Based - Availability</v>
      </c>
    </row>
    <row r="6">
      <c r="A6" s="7" t="s">
        <v>22</v>
      </c>
      <c r="B6" s="9" t="str">
        <f>'3조'!B$29</f>
        <v/>
      </c>
      <c r="C6" s="11" t="str">
        <f>'3조'!C$29</f>
        <v>3조 - Non-Buffered Event Based - Availability</v>
      </c>
      <c r="D6" s="9" t="str">
        <f>'3조'!D$29</f>
        <v/>
      </c>
      <c r="E6" s="11" t="str">
        <f>'3조'!E$29</f>
        <v>3조 - Buffered Message Based - Availability</v>
      </c>
    </row>
    <row r="7">
      <c r="A7" s="7" t="s">
        <v>26</v>
      </c>
      <c r="B7" s="9" t="str">
        <f>'4조'!B$29</f>
        <v/>
      </c>
      <c r="C7" s="11" t="str">
        <f>'4조'!C$29</f>
        <v>4조 - Non-Buffered Event Based - Availability</v>
      </c>
      <c r="D7" s="9" t="str">
        <f>'4조'!D$29</f>
        <v/>
      </c>
      <c r="E7" s="11" t="str">
        <f>'4조'!E$29</f>
        <v>4조 - Buffered Message Based - Availability</v>
      </c>
    </row>
    <row r="8">
      <c r="A8" s="7" t="s">
        <v>29</v>
      </c>
      <c r="B8" s="9" t="str">
        <f>'5조'!B$29</f>
        <v>--</v>
      </c>
      <c r="C8" s="11" t="str">
        <f>'5조'!C$29</f>
        <v>producer가 어느 한 custormer에 잡혀있을 경우 producer 가 블로킹된다.</v>
      </c>
      <c r="D8" s="9" t="str">
        <f>'5조'!D$29</f>
        <v/>
      </c>
      <c r="E8" s="11" t="str">
        <f>'5조'!E$29</f>
        <v>5조 - Buffered Message Based - Availability</v>
      </c>
    </row>
    <row r="9">
      <c r="A9" s="7" t="s">
        <v>32</v>
      </c>
      <c r="B9" s="9" t="str">
        <f>'6조'!B$29</f>
        <v>--</v>
      </c>
      <c r="C9" s="11" t="str">
        <f>'6조'!C$29</f>
        <v>producer가 어느 한 custormer에 잡혀있을 경우 producer 가 블로킹된다.</v>
      </c>
      <c r="D9" s="9" t="str">
        <f>'6조'!D$29</f>
        <v>+</v>
      </c>
      <c r="E9" s="11" t="str">
        <f>'6조'!E$29</f>
        <v>메시지가 버퍼에 저장되므로 Consumer가 일시적으로 중단되어도 복구 후 처리를 계속할 수 있다.</v>
      </c>
    </row>
    <row r="10">
      <c r="A10" s="7" t="s">
        <v>36</v>
      </c>
      <c r="B10" s="9" t="str">
        <f>'7조'!B$29</f>
        <v/>
      </c>
      <c r="C10" s="11" t="str">
        <f>'7조'!C$29</f>
        <v>7조 - Non-Buffered Event Based - Availability</v>
      </c>
      <c r="D10" s="9" t="str">
        <f>'7조'!D$29</f>
        <v/>
      </c>
      <c r="E10" s="11" t="str">
        <f>'7조'!E$29</f>
        <v>7조 - Buffered Message Based - Availability</v>
      </c>
    </row>
    <row r="11">
      <c r="A11" s="7" t="s">
        <v>39</v>
      </c>
      <c r="B11" s="9" t="str">
        <f>'8조'!B$29</f>
        <v/>
      </c>
      <c r="C11" s="11" t="str">
        <f>'8조'!C$29</f>
        <v>8조 - Non-Buffered Event Based - Availability</v>
      </c>
      <c r="D11" s="9" t="str">
        <f>'8조'!D$29</f>
        <v/>
      </c>
      <c r="E11" s="11" t="str">
        <f>'8조'!E$29</f>
        <v>8조 - Buffered Message Based - Availability</v>
      </c>
    </row>
    <row r="12">
      <c r="A12" s="7" t="s">
        <v>41</v>
      </c>
      <c r="B12" s="9" t="str">
        <f>'9조'!B$29</f>
        <v/>
      </c>
      <c r="C12" s="11" t="str">
        <f>'9조'!C$29</f>
        <v>9조 - Non-Buffered Event Based - Availability</v>
      </c>
      <c r="D12" s="9" t="str">
        <f>'9조'!D$29</f>
        <v/>
      </c>
      <c r="E12" s="11" t="str">
        <f>'9조'!E$29</f>
        <v>9조 - Buffered Message Based - Availability</v>
      </c>
    </row>
    <row r="13">
      <c r="A13" s="10"/>
      <c r="B13" s="13"/>
      <c r="C13" s="10"/>
      <c r="D13" s="13"/>
      <c r="E13" s="10"/>
    </row>
    <row r="14" ht="15.0" customHeight="1">
      <c r="A14" s="6" t="s">
        <v>44</v>
      </c>
      <c r="B14" s="6" t="str">
        <f>'Detailed Reasoning'!B$30</f>
        <v/>
      </c>
      <c r="C14" s="6" t="str">
        <f>'Detailed Reasoning'!C$30</f>
        <v/>
      </c>
      <c r="D14" s="6" t="str">
        <f>'Detailed Reasoning'!D$30</f>
        <v/>
      </c>
      <c r="E14" s="6" t="str">
        <f>'Detailed Reasoning'!E$30</f>
        <v/>
      </c>
    </row>
    <row r="15">
      <c r="A15" s="7" t="s">
        <v>48</v>
      </c>
      <c r="B15" s="9" t="str">
        <f>'1조'!B$30</f>
        <v/>
      </c>
      <c r="C15" s="10" t="str">
        <f>'1조'!C30</f>
        <v>1조 - Non-Buffered Event Based - Deployability</v>
      </c>
      <c r="D15" s="9" t="str">
        <f>'1조'!D$30</f>
        <v/>
      </c>
      <c r="E15" s="10" t="str">
        <f>'1조'!E30</f>
        <v>1조 - Buffered Message Based - Deployability</v>
      </c>
    </row>
    <row r="16">
      <c r="A16" s="7" t="s">
        <v>51</v>
      </c>
      <c r="B16" s="9" t="str">
        <f>'2조'!B$30</f>
        <v/>
      </c>
      <c r="C16" s="11" t="str">
        <f>'2조'!C$30</f>
        <v>2조 - Non-Buffered Event Based - Deployability</v>
      </c>
      <c r="D16" s="9" t="str">
        <f>'2조'!D$30</f>
        <v/>
      </c>
      <c r="E16" s="11" t="str">
        <f>'2조'!E$30</f>
        <v>2조 - Buffered Message Based - Deployability</v>
      </c>
    </row>
    <row r="17">
      <c r="A17" s="7" t="s">
        <v>54</v>
      </c>
      <c r="B17" s="9" t="str">
        <f>'3조'!B$30</f>
        <v/>
      </c>
      <c r="C17" s="11" t="str">
        <f>'3조'!C$30</f>
        <v>3조 - Non-Buffered Event Based - Deployability</v>
      </c>
      <c r="D17" s="9" t="str">
        <f>'3조'!D$30</f>
        <v/>
      </c>
      <c r="E17" s="11" t="str">
        <f>'3조'!E$30</f>
        <v>3조 - Buffered Message Based - Deployability</v>
      </c>
    </row>
    <row r="18">
      <c r="A18" s="7" t="s">
        <v>57</v>
      </c>
      <c r="B18" s="9" t="str">
        <f>'4조'!B$30</f>
        <v/>
      </c>
      <c r="C18" s="11" t="str">
        <f>'4조'!C$30</f>
        <v>4조 - Non-Buffered Event Based - Deployability</v>
      </c>
      <c r="D18" s="9" t="str">
        <f>'4조'!D$30</f>
        <v/>
      </c>
      <c r="E18" s="11" t="str">
        <f>'4조'!E$30</f>
        <v>4조 - Buffered Message Based - Deployability</v>
      </c>
    </row>
    <row r="19">
      <c r="A19" s="7" t="s">
        <v>61</v>
      </c>
      <c r="B19" s="9" t="str">
        <f>'5조'!B$30</f>
        <v>+</v>
      </c>
      <c r="C19" s="11" t="str">
        <f>'5조'!C$30</f>
        <v>customer 확장이 자유롭다</v>
      </c>
      <c r="D19" s="9" t="str">
        <f>'5조'!D$30</f>
        <v/>
      </c>
      <c r="E19" s="11" t="str">
        <f>'5조'!E$30</f>
        <v>5조 - Buffered Message Based - Deployability</v>
      </c>
    </row>
    <row r="20">
      <c r="A20" s="7" t="s">
        <v>64</v>
      </c>
      <c r="B20" s="9" t="str">
        <f>'6조'!B$30</f>
        <v>+</v>
      </c>
      <c r="C20" s="11" t="str">
        <f>'6조'!C$30</f>
        <v>customer 확장이 자유롭다</v>
      </c>
      <c r="D20" s="9" t="str">
        <f>'6조'!D$30</f>
        <v>++</v>
      </c>
      <c r="E20" s="11" t="str">
        <f>'6조'!E$30</f>
        <v>Producer와 Consumer를 독립적으로 배포·교체할 수 있다.</v>
      </c>
    </row>
    <row r="21" ht="15.75" customHeight="1">
      <c r="A21" s="7" t="s">
        <v>68</v>
      </c>
      <c r="B21" s="9" t="str">
        <f>'7조'!B$30</f>
        <v/>
      </c>
      <c r="C21" s="11" t="str">
        <f>'7조'!C$30</f>
        <v>7조 - Non-Buffered Event Based - Deployability</v>
      </c>
      <c r="D21" s="9" t="str">
        <f>'7조'!D$30</f>
        <v/>
      </c>
      <c r="E21" s="11" t="str">
        <f>'7조'!E$30</f>
        <v>7조 - Buffered Message Based - Deployability</v>
      </c>
    </row>
    <row r="22" ht="15.75" customHeight="1">
      <c r="A22" s="7" t="s">
        <v>72</v>
      </c>
      <c r="B22" s="9" t="str">
        <f>'8조'!B$30</f>
        <v/>
      </c>
      <c r="C22" s="11" t="str">
        <f>'8조'!C$30</f>
        <v>8조 - Non-Buffered Event Based - Deployability</v>
      </c>
      <c r="D22" s="9" t="str">
        <f>'8조'!D$30</f>
        <v/>
      </c>
      <c r="E22" s="11" t="str">
        <f>'8조'!E$30</f>
        <v>8조 - Buffered Message Based - Deployability</v>
      </c>
    </row>
    <row r="23" ht="15.75" customHeight="1">
      <c r="A23" s="7" t="s">
        <v>76</v>
      </c>
      <c r="B23" s="9" t="str">
        <f>'9조'!B$30</f>
        <v/>
      </c>
      <c r="C23" s="11" t="str">
        <f>'9조'!C$30</f>
        <v>9조 - Non-Buffered Event Based - Deployability</v>
      </c>
      <c r="D23" s="9" t="str">
        <f>'9조'!D$30</f>
        <v/>
      </c>
      <c r="E23" s="11" t="str">
        <f>'9조'!E$30</f>
        <v>9조 - Buffered Message Based - Deployability</v>
      </c>
    </row>
    <row r="24" ht="15.75" customHeight="1">
      <c r="A24" s="10"/>
      <c r="B24" s="13"/>
      <c r="C24" s="10"/>
      <c r="D24" s="13"/>
      <c r="E24" s="10"/>
    </row>
    <row r="25" ht="15.0" customHeight="1">
      <c r="A25" s="6" t="s">
        <v>80</v>
      </c>
      <c r="B25" s="6" t="str">
        <f>'Detailed Reasoning'!B$31</f>
        <v/>
      </c>
      <c r="C25" s="6" t="str">
        <f>'Detailed Reasoning'!C$31</f>
        <v/>
      </c>
      <c r="D25" s="6" t="str">
        <f>'Detailed Reasoning'!D$31</f>
        <v/>
      </c>
      <c r="E25" s="6" t="str">
        <f>'Detailed Reasoning'!E$31</f>
        <v/>
      </c>
    </row>
    <row r="26" ht="15.75" customHeight="1">
      <c r="A26" s="7" t="s">
        <v>84</v>
      </c>
      <c r="B26" s="9" t="str">
        <f>'1조'!B$31</f>
        <v/>
      </c>
      <c r="C26" s="10" t="str">
        <f>'1조'!C31</f>
        <v>1조 - Non-Buffered Event Based - Integrability</v>
      </c>
      <c r="D26" s="9" t="str">
        <f>'1조'!D$31</f>
        <v/>
      </c>
      <c r="E26" s="10" t="str">
        <f>'1조'!E31</f>
        <v>1조 - Buffered Message Based - Integrability</v>
      </c>
    </row>
    <row r="27" ht="15.75" customHeight="1">
      <c r="A27" s="7" t="s">
        <v>87</v>
      </c>
      <c r="B27" s="9" t="str">
        <f>'2조'!B$31</f>
        <v/>
      </c>
      <c r="C27" s="11" t="str">
        <f>'2조'!C$31</f>
        <v>2조 - Non-Buffered Event Based - Integrability</v>
      </c>
      <c r="D27" s="9" t="str">
        <f>'2조'!D$31</f>
        <v/>
      </c>
      <c r="E27" s="11" t="str">
        <f>'2조'!E$31</f>
        <v>2조 - Buffered Message Based - Integrability</v>
      </c>
    </row>
    <row r="28" ht="15.75" customHeight="1">
      <c r="A28" s="7" t="s">
        <v>90</v>
      </c>
      <c r="B28" s="9" t="str">
        <f>'3조'!B$31</f>
        <v/>
      </c>
      <c r="C28" s="11" t="str">
        <f>'3조'!C$31</f>
        <v>3조 - Non-Buffered Event Based - Integrability</v>
      </c>
      <c r="D28" s="9" t="str">
        <f>'3조'!D$31</f>
        <v/>
      </c>
      <c r="E28" s="11" t="str">
        <f>'3조'!E$31</f>
        <v>3조 - Buffered Message Based - Integrability</v>
      </c>
    </row>
    <row r="29" ht="15.75" customHeight="1">
      <c r="A29" s="7" t="s">
        <v>94</v>
      </c>
      <c r="B29" s="9" t="str">
        <f>'4조'!B$31</f>
        <v/>
      </c>
      <c r="C29" s="11" t="str">
        <f>'4조'!C$31</f>
        <v>4조 - Non-Buffered Event Based - Integrability</v>
      </c>
      <c r="D29" s="9" t="str">
        <f>'4조'!D$31</f>
        <v/>
      </c>
      <c r="E29" s="11" t="str">
        <f>'4조'!E$31</f>
        <v>4조 - Buffered Message Based - Integrability</v>
      </c>
    </row>
    <row r="30" ht="15.75" customHeight="1">
      <c r="A30" s="7" t="s">
        <v>98</v>
      </c>
      <c r="B30" s="9" t="str">
        <f>'5조'!B$31</f>
        <v>+</v>
      </c>
      <c r="C30" s="11" t="str">
        <f>'5조'!C$31</f>
        <v>customer 확장이 자유롭다</v>
      </c>
      <c r="D30" s="9" t="str">
        <f>'5조'!D$31</f>
        <v/>
      </c>
      <c r="E30" s="11" t="str">
        <f>'5조'!E$31</f>
        <v>5조 - Buffered Message Based - Integrability</v>
      </c>
    </row>
    <row r="31" ht="15.75" customHeight="1">
      <c r="A31" s="7" t="s">
        <v>101</v>
      </c>
      <c r="B31" s="9" t="str">
        <f>'6조'!B$31</f>
        <v>+</v>
      </c>
      <c r="C31" s="11" t="str">
        <f>'6조'!C$31</f>
        <v>customer 확장이 자유롭다</v>
      </c>
      <c r="D31" s="9" t="str">
        <f>'6조'!D$31</f>
        <v>+</v>
      </c>
      <c r="E31" s="11" t="str">
        <f>'6조'!E$31</f>
        <v>producer/consumer가 서로의 신원을 몰라도 되는 익명성 덕분에 새로운 서비스를 붙이기 쉽다</v>
      </c>
    </row>
    <row r="32" ht="15.75" customHeight="1">
      <c r="A32" s="7" t="s">
        <v>105</v>
      </c>
      <c r="B32" s="9" t="str">
        <f>'7조'!B$31</f>
        <v/>
      </c>
      <c r="C32" s="11" t="str">
        <f>'7조'!C$31</f>
        <v>7조 - Non-Buffered Event Based - Integrability</v>
      </c>
      <c r="D32" s="9" t="str">
        <f>'7조'!D$31</f>
        <v/>
      </c>
      <c r="E32" s="11" t="str">
        <f>'7조'!E$31</f>
        <v>7조 - Buffered Message Based - Integrability</v>
      </c>
    </row>
    <row r="33" ht="15.75" customHeight="1">
      <c r="A33" s="7" t="s">
        <v>108</v>
      </c>
      <c r="B33" s="9" t="str">
        <f>'8조'!B$31</f>
        <v/>
      </c>
      <c r="C33" s="11" t="str">
        <f>'8조'!C$31</f>
        <v>8조 - Non-Buffered Event Based - Integrability</v>
      </c>
      <c r="D33" s="9" t="str">
        <f>'8조'!D$31</f>
        <v/>
      </c>
      <c r="E33" s="11" t="str">
        <f>'8조'!E$31</f>
        <v>8조 - Buffered Message Based - Integrability</v>
      </c>
    </row>
    <row r="34" ht="15.75" customHeight="1">
      <c r="A34" s="7" t="s">
        <v>111</v>
      </c>
      <c r="B34" s="9" t="str">
        <f>'9조'!B$31</f>
        <v/>
      </c>
      <c r="C34" s="11" t="str">
        <f>'9조'!C$31</f>
        <v>9조 - Non-Buffered Event Based - Integrability</v>
      </c>
      <c r="D34" s="9" t="str">
        <f>'9조'!D$31</f>
        <v/>
      </c>
      <c r="E34" s="11" t="str">
        <f>'9조'!E$31</f>
        <v>9조 - Buffered Message Based - Integrability</v>
      </c>
    </row>
    <row r="35" ht="15.75" customHeight="1">
      <c r="A35" s="10"/>
      <c r="B35" s="13"/>
      <c r="C35" s="10"/>
      <c r="D35" s="13"/>
      <c r="E35" s="10"/>
    </row>
    <row r="36" ht="15.75" customHeight="1">
      <c r="A36" s="6" t="s">
        <v>113</v>
      </c>
      <c r="B36" s="6" t="str">
        <f>'Detailed Reasoning'!B$32</f>
        <v/>
      </c>
      <c r="C36" s="6" t="str">
        <f>'Detailed Reasoning'!C$32</f>
        <v/>
      </c>
      <c r="D36" s="6" t="str">
        <f>'Detailed Reasoning'!D$32</f>
        <v/>
      </c>
      <c r="E36" s="6" t="str">
        <f>'Detailed Reasoning'!E$32</f>
        <v/>
      </c>
    </row>
    <row r="37" ht="15.75" customHeight="1">
      <c r="A37" s="10" t="s">
        <v>118</v>
      </c>
      <c r="B37" s="9" t="str">
        <f>'1조'!B$32</f>
        <v/>
      </c>
      <c r="C37" s="10" t="str">
        <f>'1조'!C32</f>
        <v>1조 - Non-Buffered Event Based - Energy Efficiency</v>
      </c>
      <c r="D37" s="9" t="str">
        <f>'1조'!D$32</f>
        <v/>
      </c>
      <c r="E37" s="10" t="str">
        <f>'1조'!E32</f>
        <v>1조 - Buffered Message Based - Energy Efficiency</v>
      </c>
    </row>
    <row r="38" ht="15.75" customHeight="1">
      <c r="A38" s="10" t="s">
        <v>122</v>
      </c>
      <c r="B38" s="9" t="str">
        <f>'2조'!B$32</f>
        <v/>
      </c>
      <c r="C38" s="11" t="str">
        <f>'2조'!C$32</f>
        <v>2조 - Non-Buffered Event Based - Energy Efficiency</v>
      </c>
      <c r="D38" s="9" t="str">
        <f>'2조'!D$32</f>
        <v/>
      </c>
      <c r="E38" s="11" t="str">
        <f>'2조'!E$32</f>
        <v>2조 - Buffered Message Based - Energy Efficiency</v>
      </c>
    </row>
    <row r="39" ht="15.75" customHeight="1">
      <c r="A39" s="10" t="s">
        <v>126</v>
      </c>
      <c r="B39" s="9" t="str">
        <f>'3조'!B$32</f>
        <v/>
      </c>
      <c r="C39" s="11" t="str">
        <f>'3조'!C$32</f>
        <v>3조 - Non-Buffered Event Based - Energy Efficiency</v>
      </c>
      <c r="D39" s="9" t="str">
        <f>'3조'!D$32</f>
        <v/>
      </c>
      <c r="E39" s="11" t="str">
        <f>'3조'!E$32</f>
        <v>3조 - Buffered Message Based - Energy Efficiency</v>
      </c>
    </row>
    <row r="40" ht="15.75" customHeight="1">
      <c r="A40" s="10" t="s">
        <v>129</v>
      </c>
      <c r="B40" s="9" t="str">
        <f>'4조'!B$32</f>
        <v/>
      </c>
      <c r="C40" s="11" t="str">
        <f>'4조'!C$32</f>
        <v>4조 - Non-Buffered Event Based - Energy Efficiency</v>
      </c>
      <c r="D40" s="9" t="str">
        <f>'4조'!D$32</f>
        <v/>
      </c>
      <c r="E40" s="11" t="str">
        <f>'4조'!E$32</f>
        <v>4조 - Buffered Message Based - Energy Efficiency</v>
      </c>
    </row>
    <row r="41" ht="15.75" customHeight="1">
      <c r="A41" s="10" t="s">
        <v>134</v>
      </c>
      <c r="B41" s="9" t="str">
        <f>'5조'!B$32</f>
        <v>--</v>
      </c>
      <c r="C41" s="11" t="str">
        <f>'5조'!C$32</f>
        <v>prooducer 동작 시 customer 가 통신을 받지 않는 이상은 이벤트가 낭비된다.</v>
      </c>
      <c r="D41" s="9" t="str">
        <f>'5조'!D$32</f>
        <v/>
      </c>
      <c r="E41" s="11" t="str">
        <f>'5조'!E$32</f>
        <v>5조 - Buffered Message Based - Energy Efficiency</v>
      </c>
    </row>
    <row r="42" ht="15.75" customHeight="1">
      <c r="A42" s="10" t="s">
        <v>136</v>
      </c>
      <c r="B42" s="9" t="str">
        <f>'6조'!B$32</f>
        <v>--</v>
      </c>
      <c r="C42" s="11" t="str">
        <f>'6조'!C$32</f>
        <v>prooducer 동작 시 customer 가 통신을 받지 않는 이상은 이벤트가 낭비된다.</v>
      </c>
      <c r="D42" s="9" t="str">
        <f>'6조'!D$32</f>
        <v>-</v>
      </c>
      <c r="E42" s="11" t="str">
        <f>'6조'!E$32</f>
        <v>메시지 저장과 전달, 직렬화·역직렬화, Broker 운영 및 재시도 처리에 추가적인 계산·저장·통신 자원이 필요하다.</v>
      </c>
    </row>
    <row r="43" ht="15.75" customHeight="1">
      <c r="A43" s="10" t="s">
        <v>142</v>
      </c>
      <c r="B43" s="9" t="str">
        <f>'7조'!B$32</f>
        <v/>
      </c>
      <c r="C43" s="11" t="str">
        <f>'7조'!C$32</f>
        <v>7조 - Non-Buffered Event Based - Energy Efficiency</v>
      </c>
      <c r="D43" s="9" t="str">
        <f>'7조'!D$32</f>
        <v/>
      </c>
      <c r="E43" s="11" t="str">
        <f>'7조'!E$32</f>
        <v>7조 - Buffered Message Based - Energy Efficiency</v>
      </c>
    </row>
    <row r="44" ht="15.75" customHeight="1">
      <c r="A44" s="10" t="s">
        <v>146</v>
      </c>
      <c r="B44" s="9" t="str">
        <f>'8조'!B$32</f>
        <v/>
      </c>
      <c r="C44" s="11" t="str">
        <f>'8조'!C$32</f>
        <v>8조 - Non-Buffered Event Based - Energy Efficiency</v>
      </c>
      <c r="D44" s="9" t="str">
        <f>'8조'!D$32</f>
        <v/>
      </c>
      <c r="E44" s="11" t="str">
        <f>'8조'!E$32</f>
        <v>8조 - Buffered Message Based - Energy Efficiency</v>
      </c>
    </row>
    <row r="45" ht="15.75" customHeight="1">
      <c r="A45" s="10" t="s">
        <v>149</v>
      </c>
      <c r="B45" s="9" t="str">
        <f>'9조'!B$32</f>
        <v/>
      </c>
      <c r="C45" s="11" t="str">
        <f>'9조'!C$32</f>
        <v>9조 - Non-Buffered Event Based - Energy Efficiency</v>
      </c>
      <c r="D45" s="9" t="str">
        <f>'9조'!D$32</f>
        <v/>
      </c>
      <c r="E45" s="11" t="str">
        <f>'9조'!E$32</f>
        <v>9조 - Buffered Message Based - Energy Efficiency</v>
      </c>
    </row>
    <row r="46" ht="15.75" customHeight="1">
      <c r="A46" s="10"/>
      <c r="B46" s="13"/>
      <c r="C46" s="10"/>
      <c r="D46" s="13"/>
      <c r="E46" s="10"/>
    </row>
    <row r="47" ht="15.75" customHeight="1">
      <c r="A47" s="6" t="s">
        <v>144</v>
      </c>
      <c r="B47" s="6" t="str">
        <f>'Detailed Reasoning'!B$33</f>
        <v/>
      </c>
      <c r="C47" s="6" t="str">
        <f>'Detailed Reasoning'!C$33</f>
        <v/>
      </c>
      <c r="D47" s="6" t="str">
        <f>'Detailed Reasoning'!D$33</f>
        <v/>
      </c>
      <c r="E47" s="6" t="str">
        <f>'Detailed Reasoning'!E$33</f>
        <v/>
      </c>
    </row>
    <row r="48" ht="15.75" customHeight="1">
      <c r="A48" s="7" t="s">
        <v>156</v>
      </c>
      <c r="B48" s="9" t="str">
        <f>'1조'!B$33</f>
        <v/>
      </c>
      <c r="C48" s="10" t="str">
        <f>'1조'!C33</f>
        <v>1조 - Non-Buffered Event Based - Modifiability</v>
      </c>
      <c r="D48" s="9" t="str">
        <f>'1조'!D$33</f>
        <v/>
      </c>
      <c r="E48" s="10" t="str">
        <f>'1조'!E33</f>
        <v>1조 - Buffered Message Based - Modifiability</v>
      </c>
    </row>
    <row r="49" ht="15.75" customHeight="1">
      <c r="A49" s="7" t="s">
        <v>158</v>
      </c>
      <c r="B49" s="9" t="str">
        <f>'2조'!B$33</f>
        <v/>
      </c>
      <c r="C49" s="11" t="str">
        <f>'2조'!C$33</f>
        <v>2조 - Non-Buffered Event Based - Modifiability</v>
      </c>
      <c r="D49" s="9" t="str">
        <f>'2조'!D$33</f>
        <v/>
      </c>
      <c r="E49" s="11" t="str">
        <f>'2조'!E$33</f>
        <v>2조 - Buffered Message Based - Modifiability</v>
      </c>
    </row>
    <row r="50" ht="15.75" customHeight="1">
      <c r="A50" s="7" t="s">
        <v>161</v>
      </c>
      <c r="B50" s="9" t="str">
        <f>'3조'!B$33</f>
        <v/>
      </c>
      <c r="C50" s="11" t="str">
        <f>'3조'!C$33</f>
        <v>3조 - Non-Buffered Event Based - Modifiability</v>
      </c>
      <c r="D50" s="9" t="str">
        <f>'3조'!D$33</f>
        <v/>
      </c>
      <c r="E50" s="11" t="str">
        <f>'3조'!E$33</f>
        <v>3조 - Buffered Message Based - Modifiability</v>
      </c>
    </row>
    <row r="51" ht="15.75" customHeight="1">
      <c r="A51" s="7" t="s">
        <v>164</v>
      </c>
      <c r="B51" s="9" t="str">
        <f>'4조'!B$33</f>
        <v/>
      </c>
      <c r="C51" s="11" t="str">
        <f>'4조'!C$33</f>
        <v>4조 - Non-Buffered Event Based - Modifiability</v>
      </c>
      <c r="D51" s="9" t="str">
        <f>'4조'!D$33</f>
        <v/>
      </c>
      <c r="E51" s="11" t="str">
        <f>'4조'!E$33</f>
        <v>4조 - Buffered Message Based - Modifiability</v>
      </c>
    </row>
    <row r="52" ht="15.75" customHeight="1">
      <c r="A52" s="7" t="s">
        <v>168</v>
      </c>
      <c r="B52" s="9" t="str">
        <f>'5조'!B$33</f>
        <v>+</v>
      </c>
      <c r="C52" s="11" t="str">
        <f>'5조'!C$33</f>
        <v>producer및 customer 확장이 자유롭다</v>
      </c>
      <c r="D52" s="9" t="str">
        <f>'5조'!D$33</f>
        <v/>
      </c>
      <c r="E52" s="11" t="str">
        <f>'5조'!E$33</f>
        <v>5조 - Buffered Message Based - Modifiability</v>
      </c>
    </row>
    <row r="53" ht="15.75" customHeight="1">
      <c r="A53" s="7" t="s">
        <v>171</v>
      </c>
      <c r="B53" s="9" t="str">
        <f>'6조'!B$33</f>
        <v>+</v>
      </c>
      <c r="C53" s="11" t="str">
        <f>'6조'!C$33</f>
        <v>producer및 customer 확장이 자유롭다</v>
      </c>
      <c r="D53" s="9" t="str">
        <f>'6조'!D$33</f>
        <v>+</v>
      </c>
      <c r="E53" s="11" t="str">
        <f>'6조'!E$33</f>
        <v>Producer와 Consumer가 서로의 구현을 알지 않는 약한 결합 구조이므로 한쪽의 변경이 다른 쪽에 미치는 영향이 작다.</v>
      </c>
    </row>
    <row r="54" ht="15.75" customHeight="1">
      <c r="A54" s="7" t="s">
        <v>174</v>
      </c>
      <c r="B54" s="9" t="str">
        <f>'7조'!B$33</f>
        <v/>
      </c>
      <c r="C54" s="11" t="str">
        <f>'7조'!C$33</f>
        <v>7조 - Non-Buffered Event Based - Modifiability</v>
      </c>
      <c r="D54" s="9" t="str">
        <f>'7조'!D$33</f>
        <v/>
      </c>
      <c r="E54" s="11" t="str">
        <f>'7조'!E$33</f>
        <v>7조 - Buffered Message Based - Modifiability</v>
      </c>
    </row>
    <row r="55" ht="15.75" customHeight="1">
      <c r="A55" s="7" t="s">
        <v>179</v>
      </c>
      <c r="B55" s="9" t="str">
        <f>'8조'!B$33</f>
        <v/>
      </c>
      <c r="C55" s="11" t="str">
        <f>'8조'!C$33</f>
        <v>8조 - Non-Buffered Event Based - Modifiability</v>
      </c>
      <c r="D55" s="9" t="str">
        <f>'8조'!D$33</f>
        <v/>
      </c>
      <c r="E55" s="11" t="str">
        <f>'8조'!E$33</f>
        <v>8조 - Buffered Message Based - Modifiability</v>
      </c>
    </row>
    <row r="56" ht="15.75" customHeight="1">
      <c r="A56" s="7" t="s">
        <v>182</v>
      </c>
      <c r="B56" s="9" t="str">
        <f>'9조'!B$33</f>
        <v/>
      </c>
      <c r="C56" s="11" t="str">
        <f>'9조'!C$33</f>
        <v>9조 - Non-Buffered Event Based - Modifiability</v>
      </c>
      <c r="D56" s="9" t="str">
        <f>'9조'!D$33</f>
        <v/>
      </c>
      <c r="E56" s="11" t="str">
        <f>'9조'!E$33</f>
        <v>9조 - Buffered Message Based - Modifiability</v>
      </c>
    </row>
    <row r="57" ht="15.75" customHeight="1">
      <c r="A57" s="10"/>
      <c r="B57" s="13"/>
      <c r="C57" s="10"/>
      <c r="D57" s="13"/>
      <c r="E57" s="10"/>
    </row>
    <row r="58" ht="15.75" customHeight="1">
      <c r="A58" s="6" t="s">
        <v>176</v>
      </c>
      <c r="B58" s="6" t="str">
        <f>'Detailed Reasoning'!B$34</f>
        <v/>
      </c>
      <c r="C58" s="6" t="str">
        <f>'Detailed Reasoning'!C$34</f>
        <v/>
      </c>
      <c r="D58" s="6" t="str">
        <f>'Detailed Reasoning'!D$34</f>
        <v/>
      </c>
      <c r="E58" s="6" t="str">
        <f>'Detailed Reasoning'!E$34</f>
        <v/>
      </c>
    </row>
    <row r="59" ht="15.75" customHeight="1">
      <c r="A59" s="7" t="s">
        <v>191</v>
      </c>
      <c r="B59" s="9" t="str">
        <f>'1조'!B$34</f>
        <v/>
      </c>
      <c r="C59" s="10" t="str">
        <f>'1조'!C34</f>
        <v>1조 - Non-Buffered Event Based - Performance</v>
      </c>
      <c r="D59" s="9" t="str">
        <f>'1조'!D$34</f>
        <v/>
      </c>
      <c r="E59" s="10" t="str">
        <f>'1조'!E34</f>
        <v>1조 - Buffered Message Based - Performance</v>
      </c>
    </row>
    <row r="60" ht="15.75" customHeight="1">
      <c r="A60" s="7" t="s">
        <v>194</v>
      </c>
      <c r="B60" s="9" t="str">
        <f>'2조'!B$34</f>
        <v/>
      </c>
      <c r="C60" s="11" t="str">
        <f>'2조'!C$34</f>
        <v>2조 - Non-Buffered Event Based - Performance</v>
      </c>
      <c r="D60" s="9" t="str">
        <f>'2조'!D$34</f>
        <v/>
      </c>
      <c r="E60" s="11" t="str">
        <f>'2조'!E$34</f>
        <v>2조 - Buffered Message Based - Performance</v>
      </c>
    </row>
    <row r="61" ht="15.75" customHeight="1">
      <c r="A61" s="7" t="s">
        <v>198</v>
      </c>
      <c r="B61" s="9" t="str">
        <f>'3조'!B$34</f>
        <v/>
      </c>
      <c r="C61" s="11" t="str">
        <f>'3조'!C$34</f>
        <v>3조 - Non-Buffered Event Based - Performance</v>
      </c>
      <c r="D61" s="9" t="str">
        <f>'3조'!D$34</f>
        <v/>
      </c>
      <c r="E61" s="11" t="str">
        <f>'3조'!E$34</f>
        <v>3조 - Buffered Message Based - Performance</v>
      </c>
    </row>
    <row r="62" ht="15.75" customHeight="1">
      <c r="A62" s="7" t="s">
        <v>201</v>
      </c>
      <c r="B62" s="9" t="str">
        <f>'4조'!B$34</f>
        <v/>
      </c>
      <c r="C62" s="11" t="str">
        <f>'4조'!C$34</f>
        <v>4조 - Non-Buffered Event Based - Performance</v>
      </c>
      <c r="D62" s="9" t="str">
        <f>'4조'!D$34</f>
        <v/>
      </c>
      <c r="E62" s="11" t="str">
        <f>'4조'!E$34</f>
        <v>4조 - Buffered Message Based - Performance</v>
      </c>
    </row>
    <row r="63" ht="15.75" customHeight="1">
      <c r="A63" s="7" t="s">
        <v>204</v>
      </c>
      <c r="B63" s="9" t="str">
        <f>'5조'!B$34</f>
        <v>-</v>
      </c>
      <c r="C63" s="11" t="str">
        <f>'5조'!C$34</f>
        <v>동기 실행이라 producer의 응답 시간이 모든 consumer 처리 시간의 합이 되어 고빈도·저지연 상황에서 병목이 된다.</v>
      </c>
      <c r="D63" s="9" t="str">
        <f>'5조'!D$34</f>
        <v/>
      </c>
      <c r="E63" s="11" t="str">
        <f>'5조'!E$34</f>
        <v>5조 - Buffered Message Based - Performance</v>
      </c>
    </row>
    <row r="64" ht="15.75" customHeight="1">
      <c r="A64" s="7" t="s">
        <v>206</v>
      </c>
      <c r="B64" s="9" t="str">
        <f>'6조'!B$34</f>
        <v>-</v>
      </c>
      <c r="C64" s="11" t="str">
        <f>'6조'!C$34</f>
        <v>동기 실행이라 producer의 응답 시간이 모든 consumer 처리 시간의 합이 되어 고빈도·저지연 상황에서 병목이 된다.</v>
      </c>
      <c r="D64" s="9" t="str">
        <f>'6조'!D$34</f>
        <v>0</v>
      </c>
      <c r="E64" s="11" t="str">
        <f>'6조'!E$34</f>
        <v>비동기 처리로 동시성은 높지만 큐를 거치는 간접 전달이라 즉시 응답이 필요한 요청엔 지연이 생길 수 있다.</v>
      </c>
    </row>
    <row r="65" ht="15.75" customHeight="1">
      <c r="A65" s="7" t="s">
        <v>212</v>
      </c>
      <c r="B65" s="9" t="str">
        <f>'7조'!B$34</f>
        <v/>
      </c>
      <c r="C65" s="11" t="str">
        <f>'7조'!C$34</f>
        <v>7조 - Non-Buffered Event Based - Performance</v>
      </c>
      <c r="D65" s="9" t="str">
        <f>'7조'!D$34</f>
        <v/>
      </c>
      <c r="E65" s="11" t="str">
        <f>'7조'!E$34</f>
        <v>7조 - Buffered Message Based - Performance</v>
      </c>
    </row>
    <row r="66" ht="15.75" customHeight="1">
      <c r="A66" s="7" t="s">
        <v>214</v>
      </c>
      <c r="B66" s="9" t="str">
        <f>'8조'!B$34</f>
        <v/>
      </c>
      <c r="C66" s="11" t="str">
        <f>'8조'!C$34</f>
        <v>8조 - Non-Buffered Event Based - Performance</v>
      </c>
      <c r="D66" s="9" t="str">
        <f>'8조'!D$34</f>
        <v/>
      </c>
      <c r="E66" s="11" t="str">
        <f>'8조'!E$34</f>
        <v>8조 - Buffered Message Based - Performance</v>
      </c>
    </row>
    <row r="67" ht="15.75" customHeight="1">
      <c r="A67" s="7" t="s">
        <v>218</v>
      </c>
      <c r="B67" s="9" t="str">
        <f>'9조'!B$34</f>
        <v/>
      </c>
      <c r="C67" s="11" t="str">
        <f>'9조'!C$34</f>
        <v>9조 - Non-Buffered Event Based - Performance</v>
      </c>
      <c r="D67" s="9" t="str">
        <f>'9조'!D$34</f>
        <v/>
      </c>
      <c r="E67" s="11" t="str">
        <f>'9조'!E$34</f>
        <v>9조 - Buffered Message Based - Performance</v>
      </c>
    </row>
    <row r="68" ht="15.75" customHeight="1">
      <c r="A68" s="10"/>
      <c r="B68" s="13"/>
      <c r="C68" s="10"/>
      <c r="D68" s="13"/>
      <c r="E68" s="10"/>
    </row>
    <row r="69" ht="15.75" customHeight="1">
      <c r="A69" s="6" t="s">
        <v>208</v>
      </c>
      <c r="B69" s="6" t="str">
        <f>'Detailed Reasoning'!B$35</f>
        <v/>
      </c>
      <c r="C69" s="6" t="str">
        <f>'Detailed Reasoning'!C$35</f>
        <v/>
      </c>
      <c r="D69" s="6" t="str">
        <f>'Detailed Reasoning'!D$35</f>
        <v/>
      </c>
      <c r="E69" s="6" t="str">
        <f>'Detailed Reasoning'!E$35</f>
        <v/>
      </c>
    </row>
    <row r="70" ht="15.75" customHeight="1">
      <c r="A70" s="7" t="s">
        <v>226</v>
      </c>
      <c r="B70" s="9" t="str">
        <f>'1조'!B$35</f>
        <v/>
      </c>
      <c r="C70" s="10" t="str">
        <f>'1조'!C35</f>
        <v>1조 - Non-Buffered Event Based - Safety</v>
      </c>
      <c r="D70" s="9" t="str">
        <f>'1조'!D$35</f>
        <v/>
      </c>
      <c r="E70" s="10" t="str">
        <f>'1조'!E35</f>
        <v>1조 - Buffered Message Based - Safety</v>
      </c>
    </row>
    <row r="71" ht="15.75" customHeight="1">
      <c r="A71" s="7" t="s">
        <v>229</v>
      </c>
      <c r="B71" s="9" t="str">
        <f>'2조'!B$35</f>
        <v/>
      </c>
      <c r="C71" s="11" t="str">
        <f>'2조'!C$35</f>
        <v>2조 - Non-Buffered Event Based - Safety</v>
      </c>
      <c r="D71" s="9" t="str">
        <f>'2조'!D$35</f>
        <v/>
      </c>
      <c r="E71" s="11" t="str">
        <f>'2조'!E$35</f>
        <v>2조 - Buffered Message Based - Safety</v>
      </c>
    </row>
    <row r="72" ht="15.75" customHeight="1">
      <c r="A72" s="7" t="s">
        <v>233</v>
      </c>
      <c r="B72" s="9" t="str">
        <f>'3조'!B$35</f>
        <v/>
      </c>
      <c r="C72" s="11" t="str">
        <f>'3조'!C$35</f>
        <v>3조 - Non-Buffered Event Based - Safety</v>
      </c>
      <c r="D72" s="9" t="str">
        <f>'3조'!D$35</f>
        <v/>
      </c>
      <c r="E72" s="11" t="str">
        <f>'3조'!E$35</f>
        <v>3조 - Buffered Message Based - Safety</v>
      </c>
    </row>
    <row r="73" ht="15.75" customHeight="1">
      <c r="A73" s="7" t="s">
        <v>236</v>
      </c>
      <c r="B73" s="9" t="str">
        <f>'4조'!B$35</f>
        <v/>
      </c>
      <c r="C73" s="11" t="str">
        <f>'4조'!C$35</f>
        <v>4조 - Non-Buffered Event Based - Safety</v>
      </c>
      <c r="D73" s="9" t="str">
        <f>'4조'!D$35</f>
        <v/>
      </c>
      <c r="E73" s="11" t="str">
        <f>'4조'!E$35</f>
        <v>4조 - Buffered Message Based - Safety</v>
      </c>
    </row>
    <row r="74" ht="15.75" customHeight="1">
      <c r="A74" s="7" t="s">
        <v>237</v>
      </c>
      <c r="B74" s="9" t="str">
        <f>'5조'!B$35</f>
        <v>-</v>
      </c>
      <c r="C74" s="11" t="str">
        <f>'5조'!C$35</f>
        <v>이벤트가 저장되지 않고 실행 순서도 보장되지 않아, 유실·중복·순서 역전이 조용히 발생하며 검출 수단이 없다.</v>
      </c>
      <c r="D74" s="9" t="str">
        <f>'5조'!D$35</f>
        <v/>
      </c>
      <c r="E74" s="11" t="str">
        <f>'5조'!E$35</f>
        <v>5조 - Buffered Message Based - Safety</v>
      </c>
    </row>
    <row r="75" ht="15.75" customHeight="1">
      <c r="A75" s="7" t="s">
        <v>240</v>
      </c>
      <c r="B75" s="9" t="str">
        <f>'6조'!B$35</f>
        <v>-</v>
      </c>
      <c r="C75" s="11" t="str">
        <f>'6조'!C$35</f>
        <v>이벤트가 저장되지 않고 실행 순서도 보장되지 않아, 유실·중복·순서 역전이 조용히 발생하며 검출 수단이 없다.</v>
      </c>
      <c r="D75" s="9" t="str">
        <f>'6조'!D$35</f>
        <v>0</v>
      </c>
      <c r="E75" s="11" t="str">
        <f>'6조'!E$35</f>
        <v>메시지 저장과 재처리는 오류 전파를 줄이지만, 메시지의 중복·순서 변경·지연 처리로 인해 잘못된 상태가 발생할 수도 있다.</v>
      </c>
    </row>
    <row r="76" ht="15.75" customHeight="1">
      <c r="A76" s="7" t="s">
        <v>243</v>
      </c>
      <c r="B76" s="9" t="str">
        <f>'7조'!B$35</f>
        <v/>
      </c>
      <c r="C76" s="11" t="str">
        <f>'7조'!C$35</f>
        <v>7조 - Non-Buffered Event Based - Safety</v>
      </c>
      <c r="D76" s="9" t="str">
        <f>'7조'!D$35</f>
        <v/>
      </c>
      <c r="E76" s="11" t="str">
        <f>'7조'!E$35</f>
        <v>7조 - Buffered Message Based - Safety</v>
      </c>
    </row>
    <row r="77" ht="15.75" customHeight="1">
      <c r="A77" s="7" t="s">
        <v>246</v>
      </c>
      <c r="B77" s="9" t="str">
        <f>'8조'!B$35</f>
        <v/>
      </c>
      <c r="C77" s="11" t="str">
        <f>'8조'!C$35</f>
        <v>8조 - Non-Buffered Event Based - Safety</v>
      </c>
      <c r="D77" s="9" t="str">
        <f>'8조'!D$35</f>
        <v/>
      </c>
      <c r="E77" s="11" t="str">
        <f>'8조'!E$35</f>
        <v>8조 - Buffered Message Based - Safety</v>
      </c>
    </row>
    <row r="78" ht="15.75" customHeight="1">
      <c r="A78" s="7" t="s">
        <v>249</v>
      </c>
      <c r="B78" s="9" t="str">
        <f>'9조'!B$35</f>
        <v/>
      </c>
      <c r="C78" s="11" t="str">
        <f>'9조'!C$35</f>
        <v>9조 - Non-Buffered Event Based - Safety</v>
      </c>
      <c r="D78" s="9" t="str">
        <f>'9조'!D$35</f>
        <v/>
      </c>
      <c r="E78" s="11" t="str">
        <f>'9조'!E$35</f>
        <v>9조 - Buffered Message Based - Safety</v>
      </c>
    </row>
    <row r="79" ht="15.75" customHeight="1">
      <c r="A79" s="10"/>
      <c r="B79" s="13"/>
      <c r="C79" s="10"/>
      <c r="D79" s="13"/>
      <c r="E79" s="10"/>
    </row>
    <row r="80" ht="15.75" customHeight="1">
      <c r="A80" s="6" t="s">
        <v>242</v>
      </c>
      <c r="B80" s="6" t="str">
        <f>'Detailed Reasoning'!B$36</f>
        <v/>
      </c>
      <c r="C80" s="6" t="str">
        <f>'Detailed Reasoning'!C$36</f>
        <v/>
      </c>
      <c r="D80" s="6" t="str">
        <f>'Detailed Reasoning'!D$36</f>
        <v/>
      </c>
      <c r="E80" s="6" t="str">
        <f>'Detailed Reasoning'!E$36</f>
        <v/>
      </c>
    </row>
    <row r="81" ht="15.75" customHeight="1">
      <c r="A81" s="7" t="s">
        <v>254</v>
      </c>
      <c r="B81" s="9" t="str">
        <f>'1조'!B$36</f>
        <v/>
      </c>
      <c r="C81" s="10" t="str">
        <f>'1조'!C36</f>
        <v>1조 - Non-Buffered Event Based - Security</v>
      </c>
      <c r="D81" s="9" t="str">
        <f>'1조'!D$36</f>
        <v/>
      </c>
      <c r="E81" s="10" t="str">
        <f>'1조'!E36</f>
        <v>1조 - Buffered Message Based - Security</v>
      </c>
    </row>
    <row r="82" ht="15.75" customHeight="1">
      <c r="A82" s="7" t="s">
        <v>257</v>
      </c>
      <c r="B82" s="9" t="str">
        <f>'2조'!B$36</f>
        <v/>
      </c>
      <c r="C82" s="11" t="str">
        <f>'2조'!C$36</f>
        <v>2조 - Non-Buffered Event Based - Security</v>
      </c>
      <c r="D82" s="9" t="str">
        <f>'2조'!D$36</f>
        <v/>
      </c>
      <c r="E82" s="11" t="str">
        <f>'2조'!E$36</f>
        <v>2조 - Buffered Message Based - Security</v>
      </c>
    </row>
    <row r="83" ht="15.75" customHeight="1">
      <c r="A83" s="7" t="s">
        <v>260</v>
      </c>
      <c r="B83" s="9" t="str">
        <f>'3조'!B$36</f>
        <v/>
      </c>
      <c r="C83" s="11" t="str">
        <f>'3조'!C$36</f>
        <v>3조 - Non-Buffered Event Based - Security</v>
      </c>
      <c r="D83" s="9" t="str">
        <f>'3조'!D$36</f>
        <v/>
      </c>
      <c r="E83" s="11" t="str">
        <f>'3조'!E$36</f>
        <v>3조 - Buffered Message Based - Security</v>
      </c>
    </row>
    <row r="84" ht="15.75" customHeight="1">
      <c r="A84" s="7" t="s">
        <v>263</v>
      </c>
      <c r="B84" s="9" t="str">
        <f>'4조'!B$36</f>
        <v/>
      </c>
      <c r="C84" s="11" t="str">
        <f>'4조'!C$36</f>
        <v>4조 - Non-Buffered Event Based - Security</v>
      </c>
      <c r="D84" s="9" t="str">
        <f>'4조'!D$36</f>
        <v/>
      </c>
      <c r="E84" s="11" t="str">
        <f>'4조'!E$36</f>
        <v>4조 - Buffered Message Based - Security</v>
      </c>
    </row>
    <row r="85" ht="15.75" customHeight="1">
      <c r="A85" s="7" t="s">
        <v>266</v>
      </c>
      <c r="B85" s="9" t="str">
        <f>'5조'!B$36</f>
        <v>-</v>
      </c>
      <c r="C85" s="11" t="str">
        <f>'5조'!C$36</f>
        <v>producer 가 타겟 전송 범위를 지정하기 힘들다.</v>
      </c>
      <c r="D85" s="9" t="str">
        <f>'5조'!D$36</f>
        <v/>
      </c>
      <c r="E85" s="11" t="str">
        <f>'5조'!E$36</f>
        <v>5조 - Buffered Message Based - Security</v>
      </c>
    </row>
    <row r="86" ht="15.75" customHeight="1">
      <c r="A86" s="7" t="s">
        <v>271</v>
      </c>
      <c r="B86" s="9" t="str">
        <f>'6조'!B$36</f>
        <v>-</v>
      </c>
      <c r="C86" s="11" t="str">
        <f>'6조'!C$36</f>
        <v>producer 가 타겟 전송 범위를 지정하기 힘들다.</v>
      </c>
      <c r="D86" s="9" t="str">
        <f>'6조'!D$36</f>
        <v>0</v>
      </c>
      <c r="E86" s="11" t="str">
        <f>'6조'!E$36</f>
        <v>익명성이 오히려 인가되지 않은 구독자를 걸러내기 어렵게 만들 수 있으면서도 Broker가 인증·인가·감사와 메시지 접근 통제를 집중적으로 적용할 수 있다.</v>
      </c>
    </row>
    <row r="87" ht="15.75" customHeight="1">
      <c r="A87" s="7" t="s">
        <v>274</v>
      </c>
      <c r="B87" s="9" t="str">
        <f>'7조'!B$36</f>
        <v/>
      </c>
      <c r="C87" s="11" t="str">
        <f>'7조'!C$36</f>
        <v>7조 - Non-Buffered Event Based - Security</v>
      </c>
      <c r="D87" s="9" t="str">
        <f>'7조'!D$36</f>
        <v/>
      </c>
      <c r="E87" s="11" t="str">
        <f>'7조'!E$36</f>
        <v>7조 - Buffered Message Based - Security</v>
      </c>
    </row>
    <row r="88" ht="15.75" customHeight="1">
      <c r="A88" s="7" t="s">
        <v>277</v>
      </c>
      <c r="B88" s="9" t="str">
        <f>'8조'!B$36</f>
        <v/>
      </c>
      <c r="C88" s="11" t="str">
        <f>'8조'!C$36</f>
        <v>8조 - Non-Buffered Event Based - Security</v>
      </c>
      <c r="D88" s="9" t="str">
        <f>'8조'!D$36</f>
        <v/>
      </c>
      <c r="E88" s="11" t="str">
        <f>'8조'!E$36</f>
        <v>8조 - Buffered Message Based - Security</v>
      </c>
    </row>
    <row r="89" ht="15.75" customHeight="1">
      <c r="A89" s="7" t="s">
        <v>281</v>
      </c>
      <c r="B89" s="9" t="str">
        <f>'9조'!B$36</f>
        <v/>
      </c>
      <c r="C89" s="11" t="str">
        <f>'9조'!C$36</f>
        <v>9조 - Non-Buffered Event Based - Security</v>
      </c>
      <c r="D89" s="9" t="str">
        <f>'9조'!D$36</f>
        <v/>
      </c>
      <c r="E89" s="11" t="str">
        <f>'9조'!E$36</f>
        <v>9조 - Buffered Message Based - Security</v>
      </c>
    </row>
    <row r="90" ht="15.75" customHeight="1">
      <c r="A90" s="10"/>
      <c r="B90" s="13"/>
      <c r="C90" s="10"/>
      <c r="D90" s="13"/>
      <c r="E90" s="10"/>
    </row>
    <row r="91" ht="15.75" customHeight="1">
      <c r="A91" s="6" t="s">
        <v>273</v>
      </c>
      <c r="B91" s="6" t="str">
        <f>'Detailed Reasoning'!B$37</f>
        <v/>
      </c>
      <c r="C91" s="6" t="str">
        <f>'Detailed Reasoning'!C$37</f>
        <v/>
      </c>
      <c r="D91" s="6" t="str">
        <f>'Detailed Reasoning'!D$37</f>
        <v/>
      </c>
      <c r="E91" s="6" t="str">
        <f>'Detailed Reasoning'!E$37</f>
        <v/>
      </c>
    </row>
    <row r="92" ht="15.75" customHeight="1">
      <c r="A92" s="7" t="s">
        <v>289</v>
      </c>
      <c r="B92" s="9" t="str">
        <f>'1조'!B$37</f>
        <v/>
      </c>
      <c r="C92" s="10" t="str">
        <f>'1조'!C37</f>
        <v>1조 - Non-Buffered Event Based - Testability</v>
      </c>
      <c r="D92" s="9" t="str">
        <f>'1조'!D$37</f>
        <v/>
      </c>
      <c r="E92" s="10" t="str">
        <f>'1조'!E37</f>
        <v>1조 - Buffered Message Based - Testability</v>
      </c>
    </row>
    <row r="93" ht="15.75" customHeight="1">
      <c r="A93" s="7" t="s">
        <v>295</v>
      </c>
      <c r="B93" s="9" t="str">
        <f>'2조'!B$37</f>
        <v/>
      </c>
      <c r="C93" s="11" t="str">
        <f>'2조'!C$37</f>
        <v>2조 - Non-Buffered Event Based - Testability</v>
      </c>
      <c r="D93" s="9" t="str">
        <f>'2조'!D$37</f>
        <v/>
      </c>
      <c r="E93" s="11" t="str">
        <f>'2조'!E$37</f>
        <v>2조 - Buffered Message Based - Testability</v>
      </c>
    </row>
    <row r="94" ht="15.75" customHeight="1">
      <c r="A94" s="7" t="s">
        <v>299</v>
      </c>
      <c r="B94" s="9" t="str">
        <f>'3조'!B$37</f>
        <v/>
      </c>
      <c r="C94" s="11" t="str">
        <f>'3조'!C$37</f>
        <v>3조 - Non-Buffered Event Based - Testability</v>
      </c>
      <c r="D94" s="9" t="str">
        <f>'3조'!D$37</f>
        <v/>
      </c>
      <c r="E94" s="11" t="str">
        <f>'3조'!E$37</f>
        <v>3조 - Buffered Message Based - Testability</v>
      </c>
    </row>
    <row r="95" ht="15.75" customHeight="1">
      <c r="A95" s="7" t="s">
        <v>303</v>
      </c>
      <c r="B95" s="9" t="str">
        <f>'4조'!B$37</f>
        <v/>
      </c>
      <c r="C95" s="11" t="str">
        <f>'4조'!C$37</f>
        <v>4조 - Non-Buffered Event Based - Testability</v>
      </c>
      <c r="D95" s="9" t="str">
        <f>'4조'!D$37</f>
        <v/>
      </c>
      <c r="E95" s="11" t="str">
        <f>'4조'!E$37</f>
        <v>4조 - Buffered Message Based - Testability</v>
      </c>
    </row>
    <row r="96" ht="15.75" customHeight="1">
      <c r="A96" s="7" t="s">
        <v>307</v>
      </c>
      <c r="B96" s="9" t="str">
        <f>'5조'!B$37</f>
        <v>-</v>
      </c>
      <c r="C96" s="11" t="str">
        <f>'5조'!C$37</f>
        <v>관계성이 명시되어있지 않아 파악이 힘들다</v>
      </c>
      <c r="D96" s="9" t="str">
        <f>'5조'!D$37</f>
        <v/>
      </c>
      <c r="E96" s="11" t="str">
        <f>'5조'!E$37</f>
        <v>5조 - Buffered Message Based - Testability</v>
      </c>
    </row>
    <row r="97" ht="15.75" customHeight="1">
      <c r="A97" s="7" t="s">
        <v>310</v>
      </c>
      <c r="B97" s="9" t="str">
        <f>'6조'!B$37</f>
        <v>-</v>
      </c>
      <c r="C97" s="11" t="str">
        <f>'6조'!C$37</f>
        <v>관계성이 명시되어있지 않아 파악이 힘들다</v>
      </c>
      <c r="D97" s="9" t="str">
        <f>'6조'!D$37</f>
        <v>-</v>
      </c>
      <c r="E97" s="11" t="str">
        <f>'6조'!E$37</f>
        <v>메시지가 비동기로 큐를 거쳐 도착하는 타이밍에 의존해 시나리오 재현이 어렵다.</v>
      </c>
    </row>
    <row r="98" ht="15.75" customHeight="1">
      <c r="A98" s="7" t="s">
        <v>312</v>
      </c>
      <c r="B98" s="9" t="str">
        <f>'7조'!B$37</f>
        <v/>
      </c>
      <c r="C98" s="11" t="str">
        <f>'7조'!C$37</f>
        <v>7조 - Non-Buffered Event Based - Testability</v>
      </c>
      <c r="D98" s="9" t="str">
        <f>'7조'!D$37</f>
        <v/>
      </c>
      <c r="E98" s="11" t="str">
        <f>'7조'!E$37</f>
        <v>7조 - Buffered Message Based - Testability</v>
      </c>
    </row>
    <row r="99" ht="15.75" customHeight="1">
      <c r="A99" s="7" t="s">
        <v>318</v>
      </c>
      <c r="B99" s="9" t="str">
        <f>'8조'!B$37</f>
        <v/>
      </c>
      <c r="C99" s="11" t="str">
        <f>'8조'!C$37</f>
        <v>8조 - Non-Buffered Event Based - Testability</v>
      </c>
      <c r="D99" s="9" t="str">
        <f>'8조'!D$37</f>
        <v/>
      </c>
      <c r="E99" s="11" t="str">
        <f>'8조'!E$37</f>
        <v>8조 - Buffered Message Based - Testability</v>
      </c>
    </row>
    <row r="100" ht="15.75" customHeight="1">
      <c r="A100" s="7" t="s">
        <v>321</v>
      </c>
      <c r="B100" s="9" t="str">
        <f>'9조'!B$37</f>
        <v/>
      </c>
      <c r="C100" s="11" t="str">
        <f>'9조'!C$37</f>
        <v>9조 - Non-Buffered Event Based - Testability</v>
      </c>
      <c r="D100" s="9" t="str">
        <f>'9조'!D$37</f>
        <v/>
      </c>
      <c r="E100" s="11" t="str">
        <f>'9조'!E$37</f>
        <v>9조 - Buffered Message Based - Testability</v>
      </c>
    </row>
    <row r="101" ht="15.0" customHeight="1">
      <c r="A101" s="10"/>
      <c r="B101" s="13"/>
      <c r="C101" s="10"/>
      <c r="D101" s="13"/>
      <c r="E101" s="10"/>
    </row>
    <row r="102" ht="15.75" customHeight="1">
      <c r="A102" s="6" t="s">
        <v>305</v>
      </c>
      <c r="B102" s="6" t="str">
        <f>'Detailed Reasoning'!B$38</f>
        <v/>
      </c>
      <c r="C102" s="6" t="str">
        <f>'Detailed Reasoning'!C$38</f>
        <v/>
      </c>
      <c r="D102" s="6" t="str">
        <f>'Detailed Reasoning'!D$38</f>
        <v/>
      </c>
      <c r="E102" s="6" t="str">
        <f>'Detailed Reasoning'!E$38</f>
        <v/>
      </c>
    </row>
    <row r="103" ht="15.75" customHeight="1">
      <c r="A103" s="7" t="s">
        <v>328</v>
      </c>
      <c r="B103" s="9" t="str">
        <f>'1조'!B$38</f>
        <v/>
      </c>
      <c r="C103" s="10" t="str">
        <f>'1조'!C38</f>
        <v>1조 - Non-Buffered Event Based - Usability</v>
      </c>
      <c r="D103" s="9" t="str">
        <f>'1조'!D$38</f>
        <v/>
      </c>
      <c r="E103" s="10" t="str">
        <f>'1조'!E38</f>
        <v>1조 - Buffered Message Based - Usability</v>
      </c>
    </row>
    <row r="104" ht="15.75" customHeight="1">
      <c r="A104" s="7" t="s">
        <v>333</v>
      </c>
      <c r="B104" s="9" t="str">
        <f>'2조'!B$38</f>
        <v/>
      </c>
      <c r="C104" s="11" t="str">
        <f>'2조'!C$38</f>
        <v>2조 - Non-Buffered Event Based - Usability</v>
      </c>
      <c r="D104" s="9" t="str">
        <f>'2조'!D$38</f>
        <v/>
      </c>
      <c r="E104" s="11" t="str">
        <f>'2조'!E$38</f>
        <v>2조 - Buffered Message Based - Usability</v>
      </c>
    </row>
    <row r="105" ht="15.75" customHeight="1">
      <c r="A105" s="7" t="s">
        <v>336</v>
      </c>
      <c r="B105" s="9" t="str">
        <f>'3조'!B$38</f>
        <v/>
      </c>
      <c r="C105" s="11" t="str">
        <f>'3조'!C$38</f>
        <v>3조 - Non-Buffered Event Based - Usability</v>
      </c>
      <c r="D105" s="9" t="str">
        <f>'3조'!D$38</f>
        <v/>
      </c>
      <c r="E105" s="11" t="str">
        <f>'3조'!E$38</f>
        <v>3조 - Buffered Message Based - Usability</v>
      </c>
    </row>
    <row r="106" ht="15.75" customHeight="1">
      <c r="A106" s="7" t="s">
        <v>338</v>
      </c>
      <c r="B106" s="9" t="str">
        <f>'4조'!B$38</f>
        <v/>
      </c>
      <c r="C106" s="11" t="str">
        <f>'4조'!C$38</f>
        <v>4조 - Non-Buffered Event Based - Usability</v>
      </c>
      <c r="D106" s="9" t="str">
        <f>'4조'!D$38</f>
        <v/>
      </c>
      <c r="E106" s="11" t="str">
        <f>'4조'!E$38</f>
        <v>4조 - Buffered Message Based - Usability</v>
      </c>
    </row>
    <row r="107" ht="15.75" customHeight="1">
      <c r="A107" s="7" t="s">
        <v>341</v>
      </c>
      <c r="B107" s="9" t="str">
        <f>'5조'!B$38</f>
        <v>-</v>
      </c>
      <c r="C107" s="11" t="str">
        <f>'5조'!C$38</f>
        <v>sync 관계이며, customer 가 producer 를 잡고있으면 그동안은 불가용상태이다.</v>
      </c>
      <c r="D107" s="9" t="str">
        <f>'5조'!D$38</f>
        <v/>
      </c>
      <c r="E107" s="11" t="str">
        <f>'5조'!E$38</f>
        <v>5조 - Buffered Message Based - Usability</v>
      </c>
    </row>
    <row r="108" ht="15.75" customHeight="1">
      <c r="A108" s="7" t="s">
        <v>344</v>
      </c>
      <c r="B108" s="9" t="str">
        <f>'6조'!B$38</f>
        <v>-</v>
      </c>
      <c r="C108" s="11" t="str">
        <f>'6조'!C$38</f>
        <v>sync 관계이며, customer 가 producer 를 잡고있으면 그동안은 불가용상태이다.</v>
      </c>
      <c r="D108" s="9" t="str">
        <f>'6조'!D$38</f>
        <v>+</v>
      </c>
      <c r="E108" s="11" t="str">
        <f>'6조'!E$38</f>
        <v>긴 작업을 비동기로 처리할 수 있어 사용자 요청을 차단하지 않고 화면의 응답성을 유지할 수 있다.</v>
      </c>
    </row>
    <row r="109" ht="15.75" customHeight="1">
      <c r="A109" s="7" t="s">
        <v>348</v>
      </c>
      <c r="B109" s="9" t="str">
        <f>'7조'!B$38</f>
        <v/>
      </c>
      <c r="C109" s="11" t="str">
        <f>'7조'!C$38</f>
        <v>7조 - Non-Buffered Event Based - Usability</v>
      </c>
      <c r="D109" s="9" t="str">
        <f>'7조'!D$38</f>
        <v/>
      </c>
      <c r="E109" s="11" t="str">
        <f>'7조'!E$38</f>
        <v>7조 - Buffered Message Based - Usability</v>
      </c>
    </row>
    <row r="110" ht="15.75" customHeight="1">
      <c r="A110" s="7" t="s">
        <v>350</v>
      </c>
      <c r="B110" s="9" t="str">
        <f>'8조'!B$38</f>
        <v/>
      </c>
      <c r="C110" s="11" t="str">
        <f>'8조'!C$38</f>
        <v>8조 - Non-Buffered Event Based - Usability</v>
      </c>
      <c r="D110" s="9" t="str">
        <f>'8조'!D$38</f>
        <v/>
      </c>
      <c r="E110" s="11" t="str">
        <f>'8조'!E$38</f>
        <v>8조 - Buffered Message Based - Usability</v>
      </c>
    </row>
    <row r="111" ht="15.75" customHeight="1">
      <c r="A111" s="7" t="s">
        <v>352</v>
      </c>
      <c r="B111" s="9" t="str">
        <f>'9조'!B$38</f>
        <v/>
      </c>
      <c r="C111" s="11" t="str">
        <f>'9조'!C$38</f>
        <v>9조 - Non-Buffered Event Based - Usability</v>
      </c>
      <c r="D111" s="9" t="str">
        <f>'9조'!D$38</f>
        <v/>
      </c>
      <c r="E111" s="11" t="str">
        <f>'9조'!E$38</f>
        <v>9조 - Buffered Message Based - Usability</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1.43"/>
    <col customWidth="1" min="2" max="2" width="7.71"/>
    <col customWidth="1" min="3" max="3" width="29.29"/>
    <col customWidth="1" min="4" max="4" width="7.71"/>
    <col customWidth="1" min="5" max="5" width="28.57"/>
    <col customWidth="1" min="6" max="6" width="14.43"/>
  </cols>
  <sheetData>
    <row r="1">
      <c r="A1" s="1" t="s">
        <v>1</v>
      </c>
      <c r="B1" s="2" t="s">
        <v>4</v>
      </c>
      <c r="C1" s="3"/>
      <c r="D1" s="2" t="s">
        <v>9</v>
      </c>
      <c r="E1" s="3"/>
    </row>
    <row r="2">
      <c r="A2" s="4"/>
      <c r="B2" s="5" t="s">
        <v>12</v>
      </c>
      <c r="C2" s="5" t="s">
        <v>13</v>
      </c>
      <c r="D2" s="5" t="s">
        <v>12</v>
      </c>
      <c r="E2" s="5" t="s">
        <v>13</v>
      </c>
    </row>
    <row r="3" ht="15.0" customHeight="1">
      <c r="A3" s="6" t="s">
        <v>14</v>
      </c>
      <c r="B3" s="6" t="str">
        <f>'Detailed Reasoning'!B$42</f>
        <v/>
      </c>
      <c r="C3" s="6" t="str">
        <f>'Detailed Reasoning'!C$42</f>
        <v/>
      </c>
      <c r="D3" s="6" t="str">
        <f>'Detailed Reasoning'!D$42</f>
        <v/>
      </c>
      <c r="E3" s="6" t="str">
        <f>'Detailed Reasoning'!E$42</f>
        <v/>
      </c>
    </row>
    <row r="4">
      <c r="A4" s="7" t="s">
        <v>17</v>
      </c>
      <c r="B4" s="9" t="str">
        <f>'1조'!B$42</f>
        <v/>
      </c>
      <c r="C4" s="10" t="str">
        <f>'1조'!C42</f>
        <v>1조 - MVC - Availability</v>
      </c>
      <c r="D4" s="9" t="str">
        <f>'1조'!D$42</f>
        <v/>
      </c>
      <c r="E4" s="10" t="str">
        <f>'1조'!E42</f>
        <v>1조 - PAC - Availability</v>
      </c>
    </row>
    <row r="5">
      <c r="A5" s="7" t="s">
        <v>21</v>
      </c>
      <c r="B5" s="9" t="str">
        <f>'2조'!B$42</f>
        <v/>
      </c>
      <c r="C5" s="11" t="str">
        <f>'2조'!C$42</f>
        <v>2조 - MVC - Availability</v>
      </c>
      <c r="D5" s="9" t="str">
        <f>'2조'!D$42</f>
        <v/>
      </c>
      <c r="E5" s="11" t="str">
        <f>'2조'!E$42</f>
        <v>2조 - PAC - Availability</v>
      </c>
    </row>
    <row r="6">
      <c r="A6" s="7" t="s">
        <v>25</v>
      </c>
      <c r="B6" s="9" t="str">
        <f>'3조'!B$42</f>
        <v/>
      </c>
      <c r="C6" s="11" t="str">
        <f>'3조'!C$42</f>
        <v>3조 - MVC - Availability</v>
      </c>
      <c r="D6" s="9" t="str">
        <f>'3조'!D$42</f>
        <v/>
      </c>
      <c r="E6" s="11" t="str">
        <f>'3조'!E$42</f>
        <v>3조 - PAC - Availability</v>
      </c>
    </row>
    <row r="7">
      <c r="A7" s="7" t="s">
        <v>28</v>
      </c>
      <c r="B7" s="9" t="str">
        <f>'4조'!B$42</f>
        <v/>
      </c>
      <c r="C7" s="11" t="str">
        <f>'4조'!C$42</f>
        <v>4조 - MVC - Availability</v>
      </c>
      <c r="D7" s="9" t="str">
        <f>'4조'!D$42</f>
        <v/>
      </c>
      <c r="E7" s="11" t="str">
        <f>'4조'!E$42</f>
        <v>4조 - PAC - Availability</v>
      </c>
    </row>
    <row r="8">
      <c r="A8" s="7" t="s">
        <v>33</v>
      </c>
      <c r="B8" s="9" t="str">
        <f>'5조'!B$42</f>
        <v/>
      </c>
      <c r="C8" s="11" t="str">
        <f>'5조'!C$42</f>
        <v>5조 - MVC - Availability</v>
      </c>
      <c r="D8" s="9" t="str">
        <f>'5조'!D$42</f>
        <v/>
      </c>
      <c r="E8" s="11" t="str">
        <f>'5조'!E$42</f>
        <v>5조 - PAC - Availability</v>
      </c>
    </row>
    <row r="9">
      <c r="A9" s="7" t="s">
        <v>38</v>
      </c>
      <c r="B9" s="9" t="str">
        <f>'6조'!B$42</f>
        <v/>
      </c>
      <c r="C9" s="11" t="str">
        <f>'6조'!C$42</f>
        <v>6조 - MVC - Availability</v>
      </c>
      <c r="D9" s="9" t="str">
        <f>'6조'!D$42</f>
        <v/>
      </c>
      <c r="E9" s="11" t="str">
        <f>'6조'!E$42</f>
        <v>6조 - PAC - Availability</v>
      </c>
    </row>
    <row r="10">
      <c r="A10" s="7" t="s">
        <v>43</v>
      </c>
      <c r="B10" s="9" t="str">
        <f>'7조'!B$42</f>
        <v/>
      </c>
      <c r="C10" s="11" t="str">
        <f>'7조'!C$42</f>
        <v>7조 - MVC - Availability</v>
      </c>
      <c r="D10" s="9" t="str">
        <f>'7조'!D$42</f>
        <v/>
      </c>
      <c r="E10" s="11" t="str">
        <f>'7조'!E$42</f>
        <v>7조 - PAC - Availability</v>
      </c>
    </row>
    <row r="11">
      <c r="A11" s="7" t="s">
        <v>46</v>
      </c>
      <c r="B11" s="9" t="str">
        <f>'8조'!B$42</f>
        <v/>
      </c>
      <c r="C11" s="11" t="str">
        <f>'8조'!C$42</f>
        <v>8조 - MVC - Availability</v>
      </c>
      <c r="D11" s="9" t="str">
        <f>'8조'!D$42</f>
        <v/>
      </c>
      <c r="E11" s="11" t="str">
        <f>'8조'!E$42</f>
        <v>8조 - PAC - Availability</v>
      </c>
    </row>
    <row r="12">
      <c r="A12" s="7" t="s">
        <v>49</v>
      </c>
      <c r="B12" s="9" t="str">
        <f>'9조'!B$42</f>
        <v/>
      </c>
      <c r="C12" s="11" t="str">
        <f>'9조'!C$42</f>
        <v>9조 - MVC - Availability</v>
      </c>
      <c r="D12" s="9" t="str">
        <f>'9조'!D$42</f>
        <v/>
      </c>
      <c r="E12" s="11" t="str">
        <f>'9조'!E$42</f>
        <v>9조 - PAC - Availability</v>
      </c>
    </row>
    <row r="13">
      <c r="A13" s="10"/>
      <c r="B13" s="13"/>
      <c r="C13" s="10"/>
      <c r="D13" s="13"/>
      <c r="E13" s="10"/>
    </row>
    <row r="14" ht="15.0" customHeight="1">
      <c r="A14" s="6" t="s">
        <v>44</v>
      </c>
      <c r="B14" s="6" t="str">
        <f>'Detailed Reasoning'!B$43</f>
        <v/>
      </c>
      <c r="C14" s="6" t="str">
        <f>'Detailed Reasoning'!C$43</f>
        <v/>
      </c>
      <c r="D14" s="6" t="str">
        <f>'Detailed Reasoning'!D$43</f>
        <v/>
      </c>
      <c r="E14" s="6" t="str">
        <f>'Detailed Reasoning'!E$43</f>
        <v/>
      </c>
    </row>
    <row r="15">
      <c r="A15" s="7" t="s">
        <v>56</v>
      </c>
      <c r="B15" s="9" t="str">
        <f>'1조'!B$43</f>
        <v/>
      </c>
      <c r="C15" s="10" t="str">
        <f>'1조'!C43</f>
        <v>1조 - MVC - Deployability</v>
      </c>
      <c r="D15" s="9" t="str">
        <f>'1조'!D$43</f>
        <v/>
      </c>
      <c r="E15" s="10" t="str">
        <f>'1조'!E43</f>
        <v>1조 - PAC - Deployability</v>
      </c>
    </row>
    <row r="16">
      <c r="A16" s="7" t="s">
        <v>60</v>
      </c>
      <c r="B16" s="9" t="str">
        <f>'2조'!B$43</f>
        <v/>
      </c>
      <c r="C16" s="11" t="str">
        <f>'2조'!C$43</f>
        <v>2조 - MVC - Deployability</v>
      </c>
      <c r="D16" s="9" t="str">
        <f>'2조'!D$43</f>
        <v/>
      </c>
      <c r="E16" s="11" t="str">
        <f>'2조'!E$43</f>
        <v>2조 - PAC - Deployability</v>
      </c>
    </row>
    <row r="17">
      <c r="A17" s="7" t="s">
        <v>63</v>
      </c>
      <c r="B17" s="9" t="str">
        <f>'3조'!B$43</f>
        <v/>
      </c>
      <c r="C17" s="11" t="str">
        <f>'3조'!C$43</f>
        <v>3조 - MVC - Deployability</v>
      </c>
      <c r="D17" s="9" t="str">
        <f>'3조'!D$43</f>
        <v/>
      </c>
      <c r="E17" s="11" t="str">
        <f>'3조'!E$43</f>
        <v>3조 - PAC - Deployability</v>
      </c>
    </row>
    <row r="18">
      <c r="A18" s="7" t="s">
        <v>67</v>
      </c>
      <c r="B18" s="9" t="str">
        <f>'4조'!B$43</f>
        <v/>
      </c>
      <c r="C18" s="11" t="str">
        <f>'4조'!C$43</f>
        <v>4조 - MVC - Deployability</v>
      </c>
      <c r="D18" s="9" t="str">
        <f>'4조'!D$43</f>
        <v/>
      </c>
      <c r="E18" s="11" t="str">
        <f>'4조'!E$43</f>
        <v>4조 - PAC - Deployability</v>
      </c>
    </row>
    <row r="19">
      <c r="A19" s="7" t="s">
        <v>70</v>
      </c>
      <c r="B19" s="9" t="str">
        <f>'5조'!B$43</f>
        <v/>
      </c>
      <c r="C19" s="11" t="str">
        <f>'5조'!C$43</f>
        <v>5조 - MVC - Deployability</v>
      </c>
      <c r="D19" s="9" t="str">
        <f>'5조'!D$43</f>
        <v/>
      </c>
      <c r="E19" s="11" t="str">
        <f>'5조'!E$43</f>
        <v>5조 - PAC - Deployability</v>
      </c>
    </row>
    <row r="20">
      <c r="A20" s="7" t="s">
        <v>73</v>
      </c>
      <c r="B20" s="9" t="str">
        <f>'6조'!B$43</f>
        <v>+</v>
      </c>
      <c r="C20" s="11" t="str">
        <f>'6조'!C$43</f>
        <v>비즈니스 로직은 그대로 유지하고 룩앤필만 유지할 수 있게 구현만 하면 된다.</v>
      </c>
      <c r="D20" s="9" t="str">
        <f>'6조'!D$43</f>
        <v/>
      </c>
      <c r="E20" s="11" t="str">
        <f>'6조'!E$43</f>
        <v>6조 - PAC - Deployability</v>
      </c>
    </row>
    <row r="21" ht="15.75" customHeight="1">
      <c r="A21" s="7" t="s">
        <v>78</v>
      </c>
      <c r="B21" s="9" t="str">
        <f>'7조'!B$43</f>
        <v/>
      </c>
      <c r="C21" s="11" t="str">
        <f>'7조'!C$43</f>
        <v>7조 - MVC - Deployability</v>
      </c>
      <c r="D21" s="9" t="str">
        <f>'7조'!D$43</f>
        <v/>
      </c>
      <c r="E21" s="11" t="str">
        <f>'7조'!E$43</f>
        <v>7조 - PAC - Deployability</v>
      </c>
    </row>
    <row r="22" ht="15.75" customHeight="1">
      <c r="A22" s="7" t="s">
        <v>81</v>
      </c>
      <c r="B22" s="9" t="str">
        <f>'8조'!B$43</f>
        <v/>
      </c>
      <c r="C22" s="11" t="str">
        <f>'8조'!C$43</f>
        <v>8조 - MVC - Deployability</v>
      </c>
      <c r="D22" s="9" t="str">
        <f>'8조'!D$43</f>
        <v/>
      </c>
      <c r="E22" s="11" t="str">
        <f>'8조'!E$43</f>
        <v>8조 - PAC - Deployability</v>
      </c>
    </row>
    <row r="23" ht="15.75" customHeight="1">
      <c r="A23" s="7" t="s">
        <v>85</v>
      </c>
      <c r="B23" s="9" t="str">
        <f>'9조'!B$43</f>
        <v/>
      </c>
      <c r="C23" s="11" t="str">
        <f>'9조'!C$43</f>
        <v>9조 - MVC - Deployability</v>
      </c>
      <c r="D23" s="9" t="str">
        <f>'9조'!D$43</f>
        <v/>
      </c>
      <c r="E23" s="11" t="str">
        <f>'9조'!E$43</f>
        <v>9조 - PAC - Deployability</v>
      </c>
    </row>
    <row r="24" ht="15.75" customHeight="1">
      <c r="A24" s="10"/>
      <c r="B24" s="13"/>
      <c r="C24" s="10"/>
      <c r="D24" s="13"/>
      <c r="E24" s="10"/>
    </row>
    <row r="25" ht="15.0" customHeight="1">
      <c r="A25" s="6" t="s">
        <v>80</v>
      </c>
      <c r="B25" s="6" t="str">
        <f>'Detailed Reasoning'!B$44</f>
        <v/>
      </c>
      <c r="C25" s="6" t="str">
        <f>'Detailed Reasoning'!C$44</f>
        <v/>
      </c>
      <c r="D25" s="6" t="str">
        <f>'Detailed Reasoning'!D$44</f>
        <v/>
      </c>
      <c r="E25" s="6" t="str">
        <f>'Detailed Reasoning'!E$44</f>
        <v/>
      </c>
    </row>
    <row r="26" ht="15.75" customHeight="1">
      <c r="A26" s="7" t="s">
        <v>91</v>
      </c>
      <c r="B26" s="9" t="str">
        <f>'1조'!B$44</f>
        <v/>
      </c>
      <c r="C26" s="10" t="str">
        <f>'1조'!C44</f>
        <v>1조 - MVC - Integrability</v>
      </c>
      <c r="D26" s="9" t="str">
        <f>'1조'!D$44</f>
        <v/>
      </c>
      <c r="E26" s="10" t="str">
        <f>'1조'!E44</f>
        <v>1조 - PAC - Integrability</v>
      </c>
    </row>
    <row r="27" ht="15.75" customHeight="1">
      <c r="A27" s="7" t="s">
        <v>95</v>
      </c>
      <c r="B27" s="9" t="str">
        <f>'2조'!B$44</f>
        <v/>
      </c>
      <c r="C27" s="11" t="str">
        <f>'2조'!C$44</f>
        <v>2조 - MVC - Integrability</v>
      </c>
      <c r="D27" s="9" t="str">
        <f>'2조'!D$44</f>
        <v/>
      </c>
      <c r="E27" s="11" t="str">
        <f>'2조'!E$44</f>
        <v>2조 - PAC - Integrability</v>
      </c>
    </row>
    <row r="28" ht="15.75" customHeight="1">
      <c r="A28" s="7" t="s">
        <v>99</v>
      </c>
      <c r="B28" s="9" t="str">
        <f>'3조'!B$44</f>
        <v/>
      </c>
      <c r="C28" s="11" t="str">
        <f>'3조'!C$44</f>
        <v>3조 - MVC - Integrability</v>
      </c>
      <c r="D28" s="9" t="str">
        <f>'3조'!D$44</f>
        <v/>
      </c>
      <c r="E28" s="11" t="str">
        <f>'3조'!E$44</f>
        <v>3조 - PAC - Integrability</v>
      </c>
    </row>
    <row r="29" ht="15.75" customHeight="1">
      <c r="A29" s="7" t="s">
        <v>103</v>
      </c>
      <c r="B29" s="9" t="str">
        <f>'4조'!B$44</f>
        <v/>
      </c>
      <c r="C29" s="11" t="str">
        <f>'4조'!C$44</f>
        <v>4조 - MVC - Integrability</v>
      </c>
      <c r="D29" s="9" t="str">
        <f>'4조'!D$44</f>
        <v/>
      </c>
      <c r="E29" s="11" t="str">
        <f>'4조'!E$44</f>
        <v>4조 - PAC - Integrability</v>
      </c>
    </row>
    <row r="30" ht="15.75" customHeight="1">
      <c r="A30" s="7" t="s">
        <v>109</v>
      </c>
      <c r="B30" s="9" t="str">
        <f>'5조'!B$44</f>
        <v/>
      </c>
      <c r="C30" s="11" t="str">
        <f>'5조'!C$44</f>
        <v>5조 - MVC - Integrability</v>
      </c>
      <c r="D30" s="9" t="str">
        <f>'5조'!D$44</f>
        <v/>
      </c>
      <c r="E30" s="11" t="str">
        <f>'5조'!E$44</f>
        <v>5조 - PAC - Integrability</v>
      </c>
    </row>
    <row r="31" ht="15.75" customHeight="1">
      <c r="A31" s="7" t="s">
        <v>112</v>
      </c>
      <c r="B31" s="9" t="str">
        <f>'6조'!B$44</f>
        <v/>
      </c>
      <c r="C31" s="11" t="str">
        <f>'6조'!C$44</f>
        <v>6조 - MVC - Integrability</v>
      </c>
      <c r="D31" s="9" t="str">
        <f>'6조'!D$44</f>
        <v/>
      </c>
      <c r="E31" s="11" t="str">
        <f>'6조'!E$44</f>
        <v>6조 - PAC - Integrability</v>
      </c>
    </row>
    <row r="32" ht="15.75" customHeight="1">
      <c r="A32" s="7" t="s">
        <v>114</v>
      </c>
      <c r="B32" s="9" t="str">
        <f>'7조'!B$44</f>
        <v/>
      </c>
      <c r="C32" s="11" t="str">
        <f>'7조'!C$44</f>
        <v>7조 - MVC - Integrability</v>
      </c>
      <c r="D32" s="9" t="str">
        <f>'7조'!D$44</f>
        <v/>
      </c>
      <c r="E32" s="11" t="str">
        <f>'7조'!E$44</f>
        <v>7조 - PAC - Integrability</v>
      </c>
    </row>
    <row r="33" ht="15.75" customHeight="1">
      <c r="A33" s="7" t="s">
        <v>117</v>
      </c>
      <c r="B33" s="9" t="str">
        <f>'8조'!B$44</f>
        <v/>
      </c>
      <c r="C33" s="11" t="str">
        <f>'8조'!C$44</f>
        <v>8조 - MVC - Integrability</v>
      </c>
      <c r="D33" s="9" t="str">
        <f>'8조'!D$44</f>
        <v/>
      </c>
      <c r="E33" s="11" t="str">
        <f>'8조'!E$44</f>
        <v>8조 - PAC - Integrability</v>
      </c>
    </row>
    <row r="34" ht="15.75" customHeight="1">
      <c r="A34" s="7" t="s">
        <v>123</v>
      </c>
      <c r="B34" s="9" t="str">
        <f>'9조'!B$44</f>
        <v/>
      </c>
      <c r="C34" s="11" t="str">
        <f>'9조'!C$44</f>
        <v>9조 - MVC - Integrability</v>
      </c>
      <c r="D34" s="9" t="str">
        <f>'9조'!D$44</f>
        <v/>
      </c>
      <c r="E34" s="11" t="str">
        <f>'9조'!E$44</f>
        <v>9조 - PAC - Integrability</v>
      </c>
    </row>
    <row r="35" ht="15.75" customHeight="1">
      <c r="A35" s="10"/>
      <c r="B35" s="13"/>
      <c r="C35" s="10"/>
      <c r="D35" s="13"/>
      <c r="E35" s="10"/>
    </row>
    <row r="36" ht="15.75" customHeight="1">
      <c r="A36" s="6" t="s">
        <v>113</v>
      </c>
      <c r="B36" s="6" t="str">
        <f>'Detailed Reasoning'!B$45</f>
        <v/>
      </c>
      <c r="C36" s="6" t="str">
        <f>'Detailed Reasoning'!C$45</f>
        <v/>
      </c>
      <c r="D36" s="6" t="str">
        <f>'Detailed Reasoning'!D$45</f>
        <v/>
      </c>
      <c r="E36" s="6" t="str">
        <f>'Detailed Reasoning'!E$45</f>
        <v/>
      </c>
    </row>
    <row r="37" ht="15.75" customHeight="1">
      <c r="A37" s="10" t="s">
        <v>128</v>
      </c>
      <c r="B37" s="9" t="str">
        <f>'1조'!B$45</f>
        <v/>
      </c>
      <c r="C37" s="10" t="str">
        <f>'1조'!C45</f>
        <v>1조 - MVC - Energy Efficiency</v>
      </c>
      <c r="D37" s="9" t="str">
        <f>'1조'!D$45</f>
        <v/>
      </c>
      <c r="E37" s="10" t="str">
        <f>'1조'!E45</f>
        <v>1조 - PAC - Energy Efficiency</v>
      </c>
    </row>
    <row r="38" ht="15.75" customHeight="1">
      <c r="A38" s="10" t="s">
        <v>133</v>
      </c>
      <c r="B38" s="9" t="str">
        <f>'2조'!B$45</f>
        <v/>
      </c>
      <c r="C38" s="11" t="str">
        <f>'2조'!C$45</f>
        <v>2조 - MVC - Energy Efficiency</v>
      </c>
      <c r="D38" s="9" t="str">
        <f>'2조'!D$45</f>
        <v/>
      </c>
      <c r="E38" s="11" t="str">
        <f>'2조'!E$45</f>
        <v>2조 - PAC - Energy Efficiency</v>
      </c>
    </row>
    <row r="39" ht="15.75" customHeight="1">
      <c r="A39" s="10" t="s">
        <v>137</v>
      </c>
      <c r="B39" s="9" t="str">
        <f>'3조'!B$45</f>
        <v/>
      </c>
      <c r="C39" s="11" t="str">
        <f>'3조'!C$45</f>
        <v>3조 - MVC - Energy Efficiency</v>
      </c>
      <c r="D39" s="9" t="str">
        <f>'3조'!D$45</f>
        <v/>
      </c>
      <c r="E39" s="11" t="str">
        <f>'3조'!E$45</f>
        <v>3조 - PAC - Energy Efficiency</v>
      </c>
    </row>
    <row r="40" ht="15.75" customHeight="1">
      <c r="A40" s="10" t="s">
        <v>140</v>
      </c>
      <c r="B40" s="9" t="str">
        <f>'4조'!B$45</f>
        <v/>
      </c>
      <c r="C40" s="11" t="str">
        <f>'4조'!C$45</f>
        <v>4조 - MVC - Energy Efficiency</v>
      </c>
      <c r="D40" s="9" t="str">
        <f>'4조'!D$45</f>
        <v/>
      </c>
      <c r="E40" s="11" t="str">
        <f>'4조'!E$45</f>
        <v>4조 - PAC - Energy Efficiency</v>
      </c>
    </row>
    <row r="41" ht="15.75" customHeight="1">
      <c r="A41" s="10" t="s">
        <v>143</v>
      </c>
      <c r="B41" s="9" t="str">
        <f>'5조'!B$45</f>
        <v/>
      </c>
      <c r="C41" s="11" t="str">
        <f>'5조'!C$45</f>
        <v>5조 - MVC - Energy Efficiency</v>
      </c>
      <c r="D41" s="9" t="str">
        <f>'5조'!D$45</f>
        <v/>
      </c>
      <c r="E41" s="11" t="str">
        <f>'5조'!E$45</f>
        <v>5조 - PAC - Energy Efficiency</v>
      </c>
    </row>
    <row r="42" ht="15.75" customHeight="1">
      <c r="A42" s="10" t="s">
        <v>147</v>
      </c>
      <c r="B42" s="9" t="str">
        <f>'6조'!B$45</f>
        <v/>
      </c>
      <c r="C42" s="11" t="str">
        <f>'6조'!C$45</f>
        <v>6조 - MVC - Energy Efficiency</v>
      </c>
      <c r="D42" s="9" t="str">
        <f>'6조'!D$45</f>
        <v/>
      </c>
      <c r="E42" s="11" t="str">
        <f>'6조'!E$45</f>
        <v>6조 - PAC - Energy Efficiency</v>
      </c>
    </row>
    <row r="43" ht="15.75" customHeight="1">
      <c r="A43" s="10" t="s">
        <v>152</v>
      </c>
      <c r="B43" s="9" t="str">
        <f>'7조'!B$45</f>
        <v/>
      </c>
      <c r="C43" s="11" t="str">
        <f>'7조'!C$45</f>
        <v>7조 - MVC - Energy Efficiency</v>
      </c>
      <c r="D43" s="9" t="str">
        <f>'7조'!D$45</f>
        <v/>
      </c>
      <c r="E43" s="11" t="str">
        <f>'7조'!E$45</f>
        <v>7조 - PAC - Energy Efficiency</v>
      </c>
    </row>
    <row r="44" ht="15.75" customHeight="1">
      <c r="A44" s="10" t="s">
        <v>155</v>
      </c>
      <c r="B44" s="9" t="str">
        <f>'8조'!B$45</f>
        <v/>
      </c>
      <c r="C44" s="11" t="str">
        <f>'8조'!C$45</f>
        <v>8조 - MVC - Energy Efficiency</v>
      </c>
      <c r="D44" s="9" t="str">
        <f>'8조'!D$45</f>
        <v/>
      </c>
      <c r="E44" s="11" t="str">
        <f>'8조'!E$45</f>
        <v>8조 - PAC - Energy Efficiency</v>
      </c>
    </row>
    <row r="45" ht="15.75" customHeight="1">
      <c r="A45" s="10" t="s">
        <v>159</v>
      </c>
      <c r="B45" s="9" t="str">
        <f>'9조'!B$45</f>
        <v/>
      </c>
      <c r="C45" s="11" t="str">
        <f>'9조'!C$45</f>
        <v>9조 - MVC - Energy Efficiency</v>
      </c>
      <c r="D45" s="9" t="str">
        <f>'9조'!D$45</f>
        <v/>
      </c>
      <c r="E45" s="11" t="str">
        <f>'9조'!E$45</f>
        <v>9조 - PAC - Energy Efficiency</v>
      </c>
    </row>
    <row r="46" ht="15.75" customHeight="1">
      <c r="A46" s="10"/>
      <c r="B46" s="13"/>
      <c r="C46" s="10"/>
      <c r="D46" s="13"/>
      <c r="E46" s="10"/>
    </row>
    <row r="47" ht="15.75" customHeight="1">
      <c r="A47" s="6" t="s">
        <v>144</v>
      </c>
      <c r="B47" s="6" t="str">
        <f>'Detailed Reasoning'!B$46</f>
        <v/>
      </c>
      <c r="C47" s="6" t="str">
        <f>'Detailed Reasoning'!C$46</f>
        <v/>
      </c>
      <c r="D47" s="6" t="str">
        <f>'Detailed Reasoning'!D$46</f>
        <v/>
      </c>
      <c r="E47" s="6" t="str">
        <f>'Detailed Reasoning'!E$46</f>
        <v/>
      </c>
    </row>
    <row r="48" ht="15.75" customHeight="1">
      <c r="A48" s="7" t="s">
        <v>166</v>
      </c>
      <c r="B48" s="9" t="str">
        <f>'1조'!B$46</f>
        <v/>
      </c>
      <c r="C48" s="10" t="str">
        <f>'1조'!C46</f>
        <v>1조 - MVC - Modifiability</v>
      </c>
      <c r="D48" s="9" t="str">
        <f>'1조'!D$46</f>
        <v/>
      </c>
      <c r="E48" s="10" t="str">
        <f>'1조'!E46</f>
        <v>1조 - PAC - Modifiability</v>
      </c>
    </row>
    <row r="49" ht="15.75" customHeight="1">
      <c r="A49" s="7" t="s">
        <v>170</v>
      </c>
      <c r="B49" s="9" t="str">
        <f>'2조'!B$46</f>
        <v/>
      </c>
      <c r="C49" s="11" t="str">
        <f>'2조'!C$46</f>
        <v>2조 - MVC - Modifiability</v>
      </c>
      <c r="D49" s="9" t="str">
        <f>'2조'!D$46</f>
        <v/>
      </c>
      <c r="E49" s="11" t="str">
        <f>'2조'!E$46</f>
        <v>2조 - PAC - Modifiability</v>
      </c>
    </row>
    <row r="50" ht="15.75" customHeight="1">
      <c r="A50" s="7" t="s">
        <v>175</v>
      </c>
      <c r="B50" s="9" t="str">
        <f>'3조'!B$46</f>
        <v/>
      </c>
      <c r="C50" s="11" t="str">
        <f>'3조'!C$46</f>
        <v>3조 - MVC - Modifiability</v>
      </c>
      <c r="D50" s="9" t="str">
        <f>'3조'!D$46</f>
        <v/>
      </c>
      <c r="E50" s="11" t="str">
        <f>'3조'!E$46</f>
        <v>3조 - PAC - Modifiability</v>
      </c>
    </row>
    <row r="51" ht="15.75" customHeight="1">
      <c r="A51" s="7" t="s">
        <v>178</v>
      </c>
      <c r="B51" s="9" t="str">
        <f>'4조'!B$46</f>
        <v/>
      </c>
      <c r="C51" s="11" t="str">
        <f>'4조'!C$46</f>
        <v>4조 - MVC - Modifiability</v>
      </c>
      <c r="D51" s="9" t="str">
        <f>'4조'!D$46</f>
        <v/>
      </c>
      <c r="E51" s="11" t="str">
        <f>'4조'!E$46</f>
        <v>4조 - PAC - Modifiability</v>
      </c>
    </row>
    <row r="52" ht="15.75" customHeight="1">
      <c r="A52" s="7" t="s">
        <v>181</v>
      </c>
      <c r="B52" s="9" t="str">
        <f>'5조'!B$46</f>
        <v/>
      </c>
      <c r="C52" s="11" t="str">
        <f>'5조'!C$46</f>
        <v>5조 - MVC - Modifiability</v>
      </c>
      <c r="D52" s="9" t="str">
        <f>'5조'!D$46</f>
        <v/>
      </c>
      <c r="E52" s="11" t="str">
        <f>'5조'!E$46</f>
        <v>5조 - PAC - Modifiability</v>
      </c>
    </row>
    <row r="53" ht="15.75" customHeight="1">
      <c r="A53" s="7" t="s">
        <v>185</v>
      </c>
      <c r="B53" s="9" t="str">
        <f>'6조'!B$46</f>
        <v>++</v>
      </c>
      <c r="C53" s="11" t="str">
        <f>'6조'!C$46</f>
        <v>각 기능별 분리된 부분을 독립적으로 변경하고 교체하기 쉬워진다.</v>
      </c>
      <c r="D53" s="9" t="str">
        <f>'6조'!D$46</f>
        <v/>
      </c>
      <c r="E53" s="11" t="str">
        <f>'6조'!E$46</f>
        <v>6조 - PAC - Modifiability</v>
      </c>
    </row>
    <row r="54" ht="15.75" customHeight="1">
      <c r="A54" s="7" t="s">
        <v>188</v>
      </c>
      <c r="B54" s="9" t="str">
        <f>'7조'!B$46</f>
        <v/>
      </c>
      <c r="C54" s="11" t="str">
        <f>'7조'!C$46</f>
        <v>7조 - MVC - Modifiability</v>
      </c>
      <c r="D54" s="9" t="str">
        <f>'7조'!D$46</f>
        <v/>
      </c>
      <c r="E54" s="11" t="str">
        <f>'7조'!E$46</f>
        <v>7조 - PAC - Modifiability</v>
      </c>
    </row>
    <row r="55" ht="15.75" customHeight="1">
      <c r="A55" s="7" t="s">
        <v>192</v>
      </c>
      <c r="B55" s="9" t="str">
        <f>'8조'!B$46</f>
        <v/>
      </c>
      <c r="C55" s="11" t="str">
        <f>'8조'!C$46</f>
        <v>8조 - MVC - Modifiability</v>
      </c>
      <c r="D55" s="9" t="str">
        <f>'8조'!D$46</f>
        <v/>
      </c>
      <c r="E55" s="11" t="str">
        <f>'8조'!E$46</f>
        <v>8조 - PAC - Modifiability</v>
      </c>
    </row>
    <row r="56" ht="15.75" customHeight="1">
      <c r="A56" s="7" t="s">
        <v>197</v>
      </c>
      <c r="B56" s="9" t="str">
        <f>'9조'!B$46</f>
        <v/>
      </c>
      <c r="C56" s="11" t="str">
        <f>'9조'!C$46</f>
        <v>9조 - MVC - Modifiability</v>
      </c>
      <c r="D56" s="9" t="str">
        <f>'9조'!D$46</f>
        <v/>
      </c>
      <c r="E56" s="11" t="str">
        <f>'9조'!E$46</f>
        <v>9조 - PAC - Modifiability</v>
      </c>
    </row>
    <row r="57" ht="15.75" customHeight="1">
      <c r="A57" s="10"/>
      <c r="B57" s="13"/>
      <c r="C57" s="10"/>
      <c r="D57" s="13"/>
      <c r="E57" s="10"/>
    </row>
    <row r="58" ht="15.75" customHeight="1">
      <c r="A58" s="6" t="s">
        <v>176</v>
      </c>
      <c r="B58" s="6" t="str">
        <f>'Detailed Reasoning'!B$47</f>
        <v/>
      </c>
      <c r="C58" s="6" t="str">
        <f>'Detailed Reasoning'!C$47</f>
        <v/>
      </c>
      <c r="D58" s="6" t="str">
        <f>'Detailed Reasoning'!D$47</f>
        <v/>
      </c>
      <c r="E58" s="6" t="str">
        <f>'Detailed Reasoning'!E$47</f>
        <v/>
      </c>
    </row>
    <row r="59" ht="15.75" customHeight="1">
      <c r="A59" s="7" t="s">
        <v>203</v>
      </c>
      <c r="B59" s="9" t="str">
        <f>'1조'!B$47</f>
        <v/>
      </c>
      <c r="C59" s="10" t="str">
        <f>'1조'!C47</f>
        <v>1조 - MVC - Performance</v>
      </c>
      <c r="D59" s="9" t="str">
        <f>'1조'!D$47</f>
        <v/>
      </c>
      <c r="E59" s="10" t="str">
        <f>'1조'!E47</f>
        <v>1조 - PAC - Performance</v>
      </c>
    </row>
    <row r="60" ht="15.75" customHeight="1">
      <c r="A60" s="7" t="s">
        <v>207</v>
      </c>
      <c r="B60" s="9" t="str">
        <f>'2조'!B$47</f>
        <v/>
      </c>
      <c r="C60" s="11" t="str">
        <f>'2조'!C$47</f>
        <v>2조 - MVC - Performance</v>
      </c>
      <c r="D60" s="9" t="str">
        <f>'2조'!D$47</f>
        <v/>
      </c>
      <c r="E60" s="11" t="str">
        <f>'2조'!E$47</f>
        <v>2조 - PAC - Performance</v>
      </c>
    </row>
    <row r="61" ht="15.75" customHeight="1">
      <c r="A61" s="7" t="s">
        <v>209</v>
      </c>
      <c r="B61" s="9" t="str">
        <f>'3조'!B$47</f>
        <v/>
      </c>
      <c r="C61" s="11" t="str">
        <f>'3조'!C$47</f>
        <v>3조 - MVC - Performance</v>
      </c>
      <c r="D61" s="9" t="str">
        <f>'3조'!D$47</f>
        <v/>
      </c>
      <c r="E61" s="11" t="str">
        <f>'3조'!E$47</f>
        <v>3조 - PAC - Performance</v>
      </c>
    </row>
    <row r="62" ht="15.75" customHeight="1">
      <c r="A62" s="7" t="s">
        <v>213</v>
      </c>
      <c r="B62" s="9" t="str">
        <f>'4조'!B$47</f>
        <v/>
      </c>
      <c r="C62" s="11" t="str">
        <f>'4조'!C$47</f>
        <v>4조 - MVC - Performance</v>
      </c>
      <c r="D62" s="9" t="str">
        <f>'4조'!D$47</f>
        <v/>
      </c>
      <c r="E62" s="11" t="str">
        <f>'4조'!E$47</f>
        <v>4조 - PAC - Performance</v>
      </c>
    </row>
    <row r="63" ht="15.75" customHeight="1">
      <c r="A63" s="7" t="s">
        <v>217</v>
      </c>
      <c r="B63" s="9" t="str">
        <f>'5조'!B$47</f>
        <v/>
      </c>
      <c r="C63" s="11" t="str">
        <f>'5조'!C$47</f>
        <v>5조 - MVC - Performance</v>
      </c>
      <c r="D63" s="9" t="str">
        <f>'5조'!D$47</f>
        <v/>
      </c>
      <c r="E63" s="11" t="str">
        <f>'5조'!E$47</f>
        <v>5조 - PAC - Performance</v>
      </c>
    </row>
    <row r="64" ht="15.75" customHeight="1">
      <c r="A64" s="7" t="s">
        <v>220</v>
      </c>
      <c r="B64" s="9" t="str">
        <f>'6조'!B$47</f>
        <v/>
      </c>
      <c r="C64" s="11" t="str">
        <f>'6조'!C$47</f>
        <v>6조 - MVC - Performance</v>
      </c>
      <c r="D64" s="9" t="str">
        <f>'6조'!D$47</f>
        <v/>
      </c>
      <c r="E64" s="11" t="str">
        <f>'6조'!E$47</f>
        <v>6조 - PAC - Performance</v>
      </c>
    </row>
    <row r="65" ht="15.75" customHeight="1">
      <c r="A65" s="7" t="s">
        <v>223</v>
      </c>
      <c r="B65" s="9" t="str">
        <f>'7조'!B$47</f>
        <v/>
      </c>
      <c r="C65" s="11" t="str">
        <f>'7조'!C$47</f>
        <v>7조 - MVC - Performance</v>
      </c>
      <c r="D65" s="9" t="str">
        <f>'7조'!D$47</f>
        <v/>
      </c>
      <c r="E65" s="11" t="str">
        <f>'7조'!E$47</f>
        <v>7조 - PAC - Performance</v>
      </c>
    </row>
    <row r="66" ht="15.75" customHeight="1">
      <c r="A66" s="7" t="s">
        <v>227</v>
      </c>
      <c r="B66" s="9" t="str">
        <f>'8조'!B$47</f>
        <v/>
      </c>
      <c r="C66" s="11" t="str">
        <f>'8조'!C$47</f>
        <v>8조 - MVC - Performance</v>
      </c>
      <c r="D66" s="9" t="str">
        <f>'8조'!D$47</f>
        <v/>
      </c>
      <c r="E66" s="11" t="str">
        <f>'8조'!E$47</f>
        <v>8조 - PAC - Performance</v>
      </c>
    </row>
    <row r="67" ht="15.75" customHeight="1">
      <c r="A67" s="7" t="s">
        <v>232</v>
      </c>
      <c r="B67" s="9" t="str">
        <f>'9조'!B$47</f>
        <v/>
      </c>
      <c r="C67" s="11" t="str">
        <f>'9조'!C$47</f>
        <v>9조 - MVC - Performance</v>
      </c>
      <c r="D67" s="9" t="str">
        <f>'9조'!D$47</f>
        <v/>
      </c>
      <c r="E67" s="11" t="str">
        <f>'9조'!E$47</f>
        <v>9조 - PAC - Performance</v>
      </c>
    </row>
    <row r="68" ht="15.75" customHeight="1">
      <c r="A68" s="10"/>
      <c r="B68" s="13"/>
      <c r="C68" s="10"/>
      <c r="D68" s="13"/>
      <c r="E68" s="10"/>
    </row>
    <row r="69" ht="15.75" customHeight="1">
      <c r="A69" s="6" t="s">
        <v>208</v>
      </c>
      <c r="B69" s="6" t="str">
        <f>'Detailed Reasoning'!B$48</f>
        <v/>
      </c>
      <c r="C69" s="6" t="str">
        <f>'Detailed Reasoning'!C$48</f>
        <v/>
      </c>
      <c r="D69" s="6" t="str">
        <f>'Detailed Reasoning'!D$48</f>
        <v/>
      </c>
      <c r="E69" s="6" t="str">
        <f>'Detailed Reasoning'!E$48</f>
        <v/>
      </c>
    </row>
    <row r="70" ht="15.75" customHeight="1">
      <c r="A70" s="7" t="s">
        <v>239</v>
      </c>
      <c r="B70" s="9" t="str">
        <f>'1조'!B$48</f>
        <v/>
      </c>
      <c r="C70" s="10" t="str">
        <f>'1조'!C48</f>
        <v>1조 - MVC - Safety</v>
      </c>
      <c r="D70" s="9" t="str">
        <f>'1조'!D$48</f>
        <v/>
      </c>
      <c r="E70" s="10" t="str">
        <f>'1조'!E48</f>
        <v>1조 - PAC - Safety</v>
      </c>
    </row>
    <row r="71" ht="15.75" customHeight="1">
      <c r="A71" s="7" t="s">
        <v>244</v>
      </c>
      <c r="B71" s="9" t="str">
        <f>'2조'!B$48</f>
        <v/>
      </c>
      <c r="C71" s="11" t="str">
        <f>'2조'!C$48</f>
        <v>2조 - MVC - Safety</v>
      </c>
      <c r="D71" s="9" t="str">
        <f>'2조'!D$48</f>
        <v/>
      </c>
      <c r="E71" s="11" t="str">
        <f>'2조'!E$48</f>
        <v>2조 - PAC - Safety</v>
      </c>
    </row>
    <row r="72" ht="15.75" customHeight="1">
      <c r="A72" s="7" t="s">
        <v>248</v>
      </c>
      <c r="B72" s="9" t="str">
        <f>'3조'!B$48</f>
        <v/>
      </c>
      <c r="C72" s="11" t="str">
        <f>'3조'!C$48</f>
        <v>3조 - MVC - Safety</v>
      </c>
      <c r="D72" s="9" t="str">
        <f>'3조'!D$48</f>
        <v/>
      </c>
      <c r="E72" s="11" t="str">
        <f>'3조'!E$48</f>
        <v>3조 - PAC - Safety</v>
      </c>
    </row>
    <row r="73" ht="15.75" customHeight="1">
      <c r="A73" s="7" t="s">
        <v>252</v>
      </c>
      <c r="B73" s="9" t="str">
        <f>'4조'!B$48</f>
        <v/>
      </c>
      <c r="C73" s="11" t="str">
        <f>'4조'!C$48</f>
        <v>4조 - MVC - Safety</v>
      </c>
      <c r="D73" s="9" t="str">
        <f>'4조'!D$48</f>
        <v/>
      </c>
      <c r="E73" s="11" t="str">
        <f>'4조'!E$48</f>
        <v>4조 - PAC - Safety</v>
      </c>
    </row>
    <row r="74" ht="15.75" customHeight="1">
      <c r="A74" s="7" t="s">
        <v>255</v>
      </c>
      <c r="B74" s="9" t="str">
        <f>'5조'!B$48</f>
        <v/>
      </c>
      <c r="C74" s="11" t="str">
        <f>'5조'!C$48</f>
        <v>5조 - MVC - Safety</v>
      </c>
      <c r="D74" s="9" t="str">
        <f>'5조'!D$48</f>
        <v/>
      </c>
      <c r="E74" s="11" t="str">
        <f>'5조'!E$48</f>
        <v>5조 - PAC - Safety</v>
      </c>
    </row>
    <row r="75" ht="15.75" customHeight="1">
      <c r="A75" s="7" t="s">
        <v>259</v>
      </c>
      <c r="B75" s="9" t="str">
        <f>'6조'!B$48</f>
        <v/>
      </c>
      <c r="C75" s="11" t="str">
        <f>'6조'!C$48</f>
        <v>6조 - MVC - Safety</v>
      </c>
      <c r="D75" s="9" t="str">
        <f>'6조'!D$48</f>
        <v/>
      </c>
      <c r="E75" s="11" t="str">
        <f>'6조'!E$48</f>
        <v>6조 - PAC - Safety</v>
      </c>
    </row>
    <row r="76" ht="15.75" customHeight="1">
      <c r="A76" s="7" t="s">
        <v>262</v>
      </c>
      <c r="B76" s="9" t="str">
        <f>'7조'!B$48</f>
        <v/>
      </c>
      <c r="C76" s="11" t="str">
        <f>'7조'!C$48</f>
        <v>7조 - MVC - Safety</v>
      </c>
      <c r="D76" s="9" t="str">
        <f>'7조'!D$48</f>
        <v/>
      </c>
      <c r="E76" s="11" t="str">
        <f>'7조'!E$48</f>
        <v>7조 - PAC - Safety</v>
      </c>
    </row>
    <row r="77" ht="15.75" customHeight="1">
      <c r="A77" s="7" t="s">
        <v>267</v>
      </c>
      <c r="B77" s="9" t="str">
        <f>'8조'!B$48</f>
        <v/>
      </c>
      <c r="C77" s="11" t="str">
        <f>'8조'!C$48</f>
        <v>8조 - MVC - Safety</v>
      </c>
      <c r="D77" s="9" t="str">
        <f>'8조'!D$48</f>
        <v/>
      </c>
      <c r="E77" s="11" t="str">
        <f>'8조'!E$48</f>
        <v>8조 - PAC - Safety</v>
      </c>
    </row>
    <row r="78" ht="15.75" customHeight="1">
      <c r="A78" s="7" t="s">
        <v>269</v>
      </c>
      <c r="B78" s="9" t="str">
        <f>'9조'!B$48</f>
        <v/>
      </c>
      <c r="C78" s="11" t="str">
        <f>'9조'!C$48</f>
        <v>9조 - MVC - Safety</v>
      </c>
      <c r="D78" s="9" t="str">
        <f>'9조'!D$48</f>
        <v/>
      </c>
      <c r="E78" s="11" t="str">
        <f>'9조'!E$48</f>
        <v>9조 - PAC - Safety</v>
      </c>
    </row>
    <row r="79" ht="15.75" customHeight="1">
      <c r="A79" s="10"/>
      <c r="B79" s="13"/>
      <c r="C79" s="10"/>
      <c r="D79" s="13"/>
      <c r="E79" s="10"/>
    </row>
    <row r="80" ht="15.75" customHeight="1">
      <c r="A80" s="6" t="s">
        <v>242</v>
      </c>
      <c r="B80" s="6" t="str">
        <f>'Detailed Reasoning'!B$49</f>
        <v/>
      </c>
      <c r="C80" s="6" t="str">
        <f>'Detailed Reasoning'!C$49</f>
        <v/>
      </c>
      <c r="D80" s="6" t="str">
        <f>'Detailed Reasoning'!D$49</f>
        <v/>
      </c>
      <c r="E80" s="6" t="str">
        <f>'Detailed Reasoning'!E$49</f>
        <v/>
      </c>
    </row>
    <row r="81" ht="15.75" customHeight="1">
      <c r="A81" s="7" t="s">
        <v>275</v>
      </c>
      <c r="B81" s="9" t="str">
        <f>'1조'!B$49</f>
        <v/>
      </c>
      <c r="C81" s="10" t="str">
        <f>'1조'!C49</f>
        <v>1조 - MVC - Security</v>
      </c>
      <c r="D81" s="9" t="str">
        <f>'1조'!D$49</f>
        <v/>
      </c>
      <c r="E81" s="10" t="str">
        <f>'1조'!E49</f>
        <v>1조 - PAC - Security</v>
      </c>
    </row>
    <row r="82" ht="15.75" customHeight="1">
      <c r="A82" s="7" t="s">
        <v>279</v>
      </c>
      <c r="B82" s="9" t="str">
        <f>'2조'!B$49</f>
        <v/>
      </c>
      <c r="C82" s="11" t="str">
        <f>'2조'!C$49</f>
        <v>2조 - MVC - Security</v>
      </c>
      <c r="D82" s="9" t="str">
        <f>'2조'!D$49</f>
        <v/>
      </c>
      <c r="E82" s="11" t="str">
        <f>'2조'!E$49</f>
        <v>2조 - PAC - Security</v>
      </c>
    </row>
    <row r="83" ht="15.75" customHeight="1">
      <c r="A83" s="7" t="s">
        <v>284</v>
      </c>
      <c r="B83" s="9" t="str">
        <f>'3조'!B$49</f>
        <v/>
      </c>
      <c r="C83" s="11" t="str">
        <f>'3조'!C$49</f>
        <v>3조 - MVC - Security</v>
      </c>
      <c r="D83" s="9" t="str">
        <f>'3조'!D$49</f>
        <v/>
      </c>
      <c r="E83" s="11" t="str">
        <f>'3조'!E$49</f>
        <v>3조 - PAC - Security</v>
      </c>
    </row>
    <row r="84" ht="15.75" customHeight="1">
      <c r="A84" s="7" t="s">
        <v>286</v>
      </c>
      <c r="B84" s="9" t="str">
        <f>'4조'!B$49</f>
        <v/>
      </c>
      <c r="C84" s="11" t="str">
        <f>'4조'!C$49</f>
        <v>4조 - MVC - Security</v>
      </c>
      <c r="D84" s="9" t="str">
        <f>'4조'!D$49</f>
        <v/>
      </c>
      <c r="E84" s="11" t="str">
        <f>'4조'!E$49</f>
        <v>4조 - PAC - Security</v>
      </c>
    </row>
    <row r="85" ht="15.75" customHeight="1">
      <c r="A85" s="7" t="s">
        <v>290</v>
      </c>
      <c r="B85" s="9" t="str">
        <f>'5조'!B$49</f>
        <v/>
      </c>
      <c r="C85" s="11" t="str">
        <f>'5조'!C$49</f>
        <v>5조 - MVC - Security</v>
      </c>
      <c r="D85" s="9" t="str">
        <f>'5조'!D$49</f>
        <v/>
      </c>
      <c r="E85" s="11" t="str">
        <f>'5조'!E$49</f>
        <v>5조 - PAC - Security</v>
      </c>
    </row>
    <row r="86" ht="15.75" customHeight="1">
      <c r="A86" s="7" t="s">
        <v>293</v>
      </c>
      <c r="B86" s="9" t="str">
        <f>'6조'!B$49</f>
        <v/>
      </c>
      <c r="C86" s="11" t="str">
        <f>'6조'!C$49</f>
        <v>6조 - MVC - Security</v>
      </c>
      <c r="D86" s="9" t="str">
        <f>'6조'!D$49</f>
        <v/>
      </c>
      <c r="E86" s="11" t="str">
        <f>'6조'!E$49</f>
        <v>6조 - PAC - Security</v>
      </c>
    </row>
    <row r="87" ht="15.75" customHeight="1">
      <c r="A87" s="7" t="s">
        <v>297</v>
      </c>
      <c r="B87" s="9" t="str">
        <f>'7조'!B$49</f>
        <v/>
      </c>
      <c r="C87" s="11" t="str">
        <f>'7조'!C$49</f>
        <v>7조 - MVC - Security</v>
      </c>
      <c r="D87" s="9" t="str">
        <f>'7조'!D$49</f>
        <v/>
      </c>
      <c r="E87" s="11" t="str">
        <f>'7조'!E$49</f>
        <v>7조 - PAC - Security</v>
      </c>
    </row>
    <row r="88" ht="15.75" customHeight="1">
      <c r="A88" s="7" t="s">
        <v>300</v>
      </c>
      <c r="B88" s="9" t="str">
        <f>'8조'!B$49</f>
        <v/>
      </c>
      <c r="C88" s="11" t="str">
        <f>'8조'!C$49</f>
        <v>8조 - MVC - Security</v>
      </c>
      <c r="D88" s="9" t="str">
        <f>'8조'!D$49</f>
        <v/>
      </c>
      <c r="E88" s="11" t="str">
        <f>'8조'!E$49</f>
        <v>8조 - PAC - Security</v>
      </c>
    </row>
    <row r="89" ht="15.75" customHeight="1">
      <c r="A89" s="7" t="s">
        <v>304</v>
      </c>
      <c r="B89" s="9" t="str">
        <f>'9조'!B$49</f>
        <v/>
      </c>
      <c r="C89" s="11" t="str">
        <f>'9조'!C$49</f>
        <v>9조 - MVC - Security</v>
      </c>
      <c r="D89" s="9" t="str">
        <f>'9조'!D$49</f>
        <v/>
      </c>
      <c r="E89" s="11" t="str">
        <f>'9조'!E$49</f>
        <v>9조 - PAC - Security</v>
      </c>
    </row>
    <row r="90" ht="15.75" customHeight="1">
      <c r="A90" s="10"/>
      <c r="B90" s="13"/>
      <c r="C90" s="10"/>
      <c r="D90" s="13"/>
      <c r="E90" s="10"/>
    </row>
    <row r="91" ht="15.75" customHeight="1">
      <c r="A91" s="6" t="s">
        <v>273</v>
      </c>
      <c r="B91" s="6" t="str">
        <f>'Detailed Reasoning'!B$50</f>
        <v/>
      </c>
      <c r="C91" s="6" t="str">
        <f>'Detailed Reasoning'!C$50</f>
        <v/>
      </c>
      <c r="D91" s="6" t="str">
        <f>'Detailed Reasoning'!D$50</f>
        <v/>
      </c>
      <c r="E91" s="6" t="str">
        <f>'Detailed Reasoning'!E$50</f>
        <v/>
      </c>
    </row>
    <row r="92" ht="15.75" customHeight="1">
      <c r="A92" s="7" t="s">
        <v>309</v>
      </c>
      <c r="B92" s="9" t="str">
        <f>'1조'!B$50</f>
        <v/>
      </c>
      <c r="C92" s="10" t="str">
        <f>'1조'!C50</f>
        <v>1조 - MVC - Testability</v>
      </c>
      <c r="D92" s="9" t="str">
        <f>'1조'!D$50</f>
        <v/>
      </c>
      <c r="E92" s="10" t="str">
        <f>'1조'!E50</f>
        <v>1조 - PAC - Testability</v>
      </c>
    </row>
    <row r="93" ht="15.75" customHeight="1">
      <c r="A93" s="7" t="s">
        <v>313</v>
      </c>
      <c r="B93" s="9" t="str">
        <f>'2조'!B$50</f>
        <v/>
      </c>
      <c r="C93" s="11" t="str">
        <f>'2조'!C$50</f>
        <v>2조 - MVC - Testability</v>
      </c>
      <c r="D93" s="9" t="str">
        <f>'2조'!D$50</f>
        <v/>
      </c>
      <c r="E93" s="11" t="str">
        <f>'2조'!E$50</f>
        <v>2조 - PAC - Testability</v>
      </c>
    </row>
    <row r="94" ht="15.75" customHeight="1">
      <c r="A94" s="7" t="s">
        <v>316</v>
      </c>
      <c r="B94" s="9" t="str">
        <f>'3조'!B$50</f>
        <v/>
      </c>
      <c r="C94" s="11" t="str">
        <f>'3조'!C$50</f>
        <v>3조 - MVC - Testability</v>
      </c>
      <c r="D94" s="9" t="str">
        <f>'3조'!D$50</f>
        <v/>
      </c>
      <c r="E94" s="11" t="str">
        <f>'3조'!E$50</f>
        <v>3조 - PAC - Testability</v>
      </c>
    </row>
    <row r="95" ht="15.75" customHeight="1">
      <c r="A95" s="7" t="s">
        <v>319</v>
      </c>
      <c r="B95" s="9" t="str">
        <f>'4조'!B$50</f>
        <v/>
      </c>
      <c r="C95" s="11" t="str">
        <f>'4조'!C$50</f>
        <v>4조 - MVC - Testability</v>
      </c>
      <c r="D95" s="9" t="str">
        <f>'4조'!D$50</f>
        <v/>
      </c>
      <c r="E95" s="11" t="str">
        <f>'4조'!E$50</f>
        <v>4조 - PAC - Testability</v>
      </c>
    </row>
    <row r="96" ht="15.75" customHeight="1">
      <c r="A96" s="7" t="s">
        <v>323</v>
      </c>
      <c r="B96" s="9" t="str">
        <f>'5조'!B$50</f>
        <v/>
      </c>
      <c r="C96" s="11" t="str">
        <f>'5조'!C$50</f>
        <v>5조 - MVC - Testability</v>
      </c>
      <c r="D96" s="9" t="str">
        <f>'5조'!D$50</f>
        <v/>
      </c>
      <c r="E96" s="11" t="str">
        <f>'5조'!E$50</f>
        <v>5조 - PAC - Testability</v>
      </c>
    </row>
    <row r="97" ht="15.75" customHeight="1">
      <c r="A97" s="7" t="s">
        <v>326</v>
      </c>
      <c r="B97" s="9" t="str">
        <f>'6조'!B$50</f>
        <v/>
      </c>
      <c r="C97" s="11" t="str">
        <f>'6조'!C$50</f>
        <v>6조 - MVC - Testability</v>
      </c>
      <c r="D97" s="9" t="str">
        <f>'6조'!D$50</f>
        <v>--</v>
      </c>
      <c r="E97" s="11" t="str">
        <f>'6조'!E$50</f>
        <v> 테스트 결과를 확인하기 어렵다.</v>
      </c>
    </row>
    <row r="98" ht="15.75" customHeight="1">
      <c r="A98" s="7" t="s">
        <v>330</v>
      </c>
      <c r="B98" s="9" t="str">
        <f>'7조'!B$50</f>
        <v/>
      </c>
      <c r="C98" s="11" t="str">
        <f>'7조'!C$50</f>
        <v>7조 - MVC - Testability</v>
      </c>
      <c r="D98" s="9" t="str">
        <f>'7조'!D$50</f>
        <v/>
      </c>
      <c r="E98" s="11" t="str">
        <f>'7조'!E$50</f>
        <v>7조 - PAC - Testability</v>
      </c>
    </row>
    <row r="99" ht="15.75" customHeight="1">
      <c r="A99" s="7" t="s">
        <v>334</v>
      </c>
      <c r="B99" s="9" t="str">
        <f>'8조'!B$50</f>
        <v/>
      </c>
      <c r="C99" s="11" t="str">
        <f>'8조'!C$50</f>
        <v>8조 - MVC - Testability</v>
      </c>
      <c r="D99" s="9" t="str">
        <f>'8조'!D$50</f>
        <v/>
      </c>
      <c r="E99" s="11" t="str">
        <f>'8조'!E$50</f>
        <v>8조 - PAC - Testability</v>
      </c>
    </row>
    <row r="100" ht="15.75" customHeight="1">
      <c r="A100" s="7" t="s">
        <v>335</v>
      </c>
      <c r="B100" s="9" t="str">
        <f>'9조'!B$50</f>
        <v/>
      </c>
      <c r="C100" s="11" t="str">
        <f>'9조'!C$50</f>
        <v>9조 - MVC - Testability</v>
      </c>
      <c r="D100" s="9" t="str">
        <f>'9조'!D$50</f>
        <v/>
      </c>
      <c r="E100" s="11" t="str">
        <f>'9조'!E$50</f>
        <v>9조 - PAC - Testability</v>
      </c>
    </row>
    <row r="101" ht="15.0" customHeight="1">
      <c r="A101" s="10"/>
      <c r="B101" s="13"/>
      <c r="C101" s="10"/>
      <c r="D101" s="13"/>
      <c r="E101" s="10"/>
    </row>
    <row r="102" ht="15.75" customHeight="1">
      <c r="A102" s="6" t="s">
        <v>305</v>
      </c>
      <c r="B102" s="6" t="str">
        <f>'Detailed Reasoning'!B$51</f>
        <v/>
      </c>
      <c r="C102" s="6" t="str">
        <f>'Detailed Reasoning'!C$51</f>
        <v/>
      </c>
      <c r="D102" s="6" t="str">
        <f>'Detailed Reasoning'!D$51</f>
        <v/>
      </c>
      <c r="E102" s="6" t="str">
        <f>'Detailed Reasoning'!E$51</f>
        <v/>
      </c>
    </row>
    <row r="103" ht="15.75" customHeight="1">
      <c r="A103" s="7" t="s">
        <v>340</v>
      </c>
      <c r="B103" s="9" t="str">
        <f>'1조'!B$51</f>
        <v/>
      </c>
      <c r="C103" s="10" t="str">
        <f>'1조'!C51</f>
        <v>1조 - MVC - Usability</v>
      </c>
      <c r="D103" s="9" t="str">
        <f>'1조'!D$51</f>
        <v/>
      </c>
      <c r="E103" s="10" t="str">
        <f>'1조'!E51</f>
        <v>1조 - PAC - Usability</v>
      </c>
    </row>
    <row r="104" ht="15.75" customHeight="1">
      <c r="A104" s="7" t="s">
        <v>343</v>
      </c>
      <c r="B104" s="9" t="str">
        <f>'2조'!B$51</f>
        <v/>
      </c>
      <c r="C104" s="11" t="str">
        <f>'2조'!C$51</f>
        <v>2조 - MVC - Usability</v>
      </c>
      <c r="D104" s="9" t="str">
        <f>'2조'!D$51</f>
        <v/>
      </c>
      <c r="E104" s="11" t="str">
        <f>'2조'!E$51</f>
        <v>2조 - PAC - Usability</v>
      </c>
    </row>
    <row r="105" ht="15.75" customHeight="1">
      <c r="A105" s="7" t="s">
        <v>345</v>
      </c>
      <c r="B105" s="9" t="str">
        <f>'3조'!B$51</f>
        <v/>
      </c>
      <c r="C105" s="11" t="str">
        <f>'3조'!C$51</f>
        <v>3조 - MVC - Usability</v>
      </c>
      <c r="D105" s="9" t="str">
        <f>'3조'!D$51</f>
        <v/>
      </c>
      <c r="E105" s="11" t="str">
        <f>'3조'!E$51</f>
        <v>3조 - PAC - Usability</v>
      </c>
    </row>
    <row r="106" ht="15.75" customHeight="1">
      <c r="A106" s="7" t="s">
        <v>347</v>
      </c>
      <c r="B106" s="9" t="str">
        <f>'4조'!B$51</f>
        <v/>
      </c>
      <c r="C106" s="11" t="str">
        <f>'4조'!C$51</f>
        <v>4조 - MVC - Usability</v>
      </c>
      <c r="D106" s="9" t="str">
        <f>'4조'!D$51</f>
        <v/>
      </c>
      <c r="E106" s="11" t="str">
        <f>'4조'!E$51</f>
        <v>4조 - PAC - Usability</v>
      </c>
    </row>
    <row r="107" ht="15.75" customHeight="1">
      <c r="A107" s="7" t="s">
        <v>351</v>
      </c>
      <c r="B107" s="9" t="str">
        <f>'5조'!B$51</f>
        <v/>
      </c>
      <c r="C107" s="11" t="str">
        <f>'5조'!C$51</f>
        <v>5조 - MVC - Usability</v>
      </c>
      <c r="D107" s="9" t="str">
        <f>'5조'!D$51</f>
        <v/>
      </c>
      <c r="E107" s="11" t="str">
        <f>'5조'!E$51</f>
        <v>5조 - PAC - Usability</v>
      </c>
    </row>
    <row r="108" ht="15.75" customHeight="1">
      <c r="A108" s="7" t="s">
        <v>353</v>
      </c>
      <c r="B108" s="9" t="str">
        <f>'6조'!B$51</f>
        <v/>
      </c>
      <c r="C108" s="11" t="str">
        <f>'6조'!C$51</f>
        <v>6조 - MVC - Usability</v>
      </c>
      <c r="D108" s="9" t="str">
        <f>'6조'!D$51</f>
        <v/>
      </c>
      <c r="E108" s="11" t="str">
        <f>'6조'!E$51</f>
        <v>6조 - PAC - Usability</v>
      </c>
    </row>
    <row r="109" ht="15.75" customHeight="1">
      <c r="A109" s="7" t="s">
        <v>354</v>
      </c>
      <c r="B109" s="9" t="str">
        <f>'7조'!B$51</f>
        <v/>
      </c>
      <c r="C109" s="11" t="str">
        <f>'7조'!C$51</f>
        <v>7조 - MVC - Usability</v>
      </c>
      <c r="D109" s="9" t="str">
        <f>'7조'!D$51</f>
        <v/>
      </c>
      <c r="E109" s="11" t="str">
        <f>'7조'!E$51</f>
        <v>7조 - PAC - Usability</v>
      </c>
    </row>
    <row r="110" ht="15.75" customHeight="1">
      <c r="A110" s="7" t="s">
        <v>356</v>
      </c>
      <c r="B110" s="9" t="str">
        <f>'8조'!B$51</f>
        <v/>
      </c>
      <c r="C110" s="11" t="str">
        <f>'8조'!C$51</f>
        <v>8조 - MVC - Usability</v>
      </c>
      <c r="D110" s="9" t="str">
        <f>'8조'!D$51</f>
        <v/>
      </c>
      <c r="E110" s="11" t="str">
        <f>'8조'!E$51</f>
        <v>8조 - PAC - Usability</v>
      </c>
    </row>
    <row r="111" ht="15.75" customHeight="1">
      <c r="A111" s="7" t="s">
        <v>357</v>
      </c>
      <c r="B111" s="9" t="str">
        <f>'9조'!B$51</f>
        <v/>
      </c>
      <c r="C111" s="11" t="str">
        <f>'9조'!C$51</f>
        <v>9조 - MVC - Usability</v>
      </c>
      <c r="D111" s="9" t="str">
        <f>'9조'!D$51</f>
        <v/>
      </c>
      <c r="E111" s="11" t="str">
        <f>'9조'!E$51</f>
        <v>9조 - PAC - Usability</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41.29"/>
    <col customWidth="1" min="4" max="4" width="7.71"/>
    <col customWidth="1" min="5" max="5" width="37.57"/>
    <col customWidth="1" min="6" max="6" width="14.43"/>
  </cols>
  <sheetData>
    <row r="1">
      <c r="A1" s="1" t="s">
        <v>361</v>
      </c>
      <c r="B1" s="2" t="s">
        <v>362</v>
      </c>
      <c r="C1" s="3"/>
      <c r="D1" s="2" t="s">
        <v>363</v>
      </c>
      <c r="E1" s="3"/>
    </row>
    <row r="2">
      <c r="A2" s="4"/>
      <c r="B2" s="5" t="s">
        <v>12</v>
      </c>
      <c r="C2" s="5" t="s">
        <v>13</v>
      </c>
      <c r="D2" s="5" t="s">
        <v>12</v>
      </c>
      <c r="E2" s="5" t="s">
        <v>13</v>
      </c>
    </row>
    <row r="3" ht="15.0" customHeight="1">
      <c r="A3" s="6" t="s">
        <v>14</v>
      </c>
      <c r="B3" s="6" t="str">
        <f>'Detailed Reasoning'!B$55</f>
        <v/>
      </c>
      <c r="C3" s="6" t="str">
        <f>'Detailed Reasoning'!C$55</f>
        <v/>
      </c>
      <c r="D3" s="6" t="str">
        <f>'Detailed Reasoning'!D$55</f>
        <v/>
      </c>
      <c r="E3" s="6" t="str">
        <f>'Detailed Reasoning'!E$55</f>
        <v/>
      </c>
    </row>
    <row r="4">
      <c r="A4" s="7" t="s">
        <v>365</v>
      </c>
      <c r="B4" s="9" t="str">
        <f>'1조'!B$55</f>
        <v/>
      </c>
      <c r="C4" s="11" t="s">
        <v>367</v>
      </c>
      <c r="D4" s="9" t="str">
        <f>'1조'!D$55</f>
        <v/>
      </c>
      <c r="E4" s="11" t="s">
        <v>368</v>
      </c>
    </row>
    <row r="5">
      <c r="A5" s="7" t="s">
        <v>369</v>
      </c>
      <c r="B5" s="9" t="str">
        <f>'2조'!B$55</f>
        <v/>
      </c>
      <c r="C5" s="11" t="str">
        <f>'2조'!C$55</f>
        <v>2조 - Main-subroutine - Availability</v>
      </c>
      <c r="D5" s="9" t="str">
        <f>'2조'!D$55</f>
        <v/>
      </c>
      <c r="E5" s="11" t="str">
        <f>'2조'!E$55</f>
        <v>2조 - Master-Slave - Availability</v>
      </c>
    </row>
    <row r="6">
      <c r="A6" s="7" t="s">
        <v>371</v>
      </c>
      <c r="B6" s="9" t="str">
        <f>'3조'!B$55</f>
        <v/>
      </c>
      <c r="C6" s="11" t="str">
        <f>'3조'!C$55</f>
        <v>3조 - Main-subroutine - Availability</v>
      </c>
      <c r="D6" s="9" t="str">
        <f>'3조'!D$55</f>
        <v/>
      </c>
      <c r="E6" s="11" t="str">
        <f>'3조'!E$55</f>
        <v>3조 - Master-Slave - Availability</v>
      </c>
    </row>
    <row r="7">
      <c r="A7" s="7" t="s">
        <v>372</v>
      </c>
      <c r="B7" s="9" t="str">
        <f>'4조'!B$55</f>
        <v/>
      </c>
      <c r="C7" s="11" t="str">
        <f>'4조'!C$55</f>
        <v>4조 - Main-subroutine - Availability</v>
      </c>
      <c r="D7" s="9" t="str">
        <f>'4조'!D$55</f>
        <v/>
      </c>
      <c r="E7" s="11" t="str">
        <f>'4조'!E$55</f>
        <v>4조 - Master-Slave - Availability</v>
      </c>
    </row>
    <row r="8">
      <c r="A8" s="7" t="s">
        <v>374</v>
      </c>
      <c r="B8" s="9" t="str">
        <f>'5조'!B$55</f>
        <v/>
      </c>
      <c r="C8" s="11" t="str">
        <f>'5조'!C$55</f>
        <v>5조 - Main-subroutine - Availability</v>
      </c>
      <c r="D8" s="9" t="str">
        <f>'5조'!D$55</f>
        <v/>
      </c>
      <c r="E8" s="11" t="str">
        <f>'5조'!E$55</f>
        <v>5조 - Master-Slave - Availability</v>
      </c>
    </row>
    <row r="9">
      <c r="A9" s="7" t="s">
        <v>376</v>
      </c>
      <c r="B9" s="9" t="str">
        <f>'6조'!B$55</f>
        <v>-</v>
      </c>
      <c r="C9" s="11" t="str">
        <f>'6조'!C$55</f>
        <v>Main이 여러 subroutine을 순차적으로 호출하는 구조라서 한  subroutine에 장애가 발생하면 전체 실행 흐름에 영향을 줄 가능성이 높음</v>
      </c>
      <c r="D9" s="9" t="str">
        <f>'6조'!D$55</f>
        <v>0</v>
      </c>
      <c r="E9" s="11" t="str">
        <f>'6조'!E$55</f>
        <v>Fault Tolerence 특징이 있지만 Master 단일 포인트 Fail 시 가용성이 훼손될 수 있다.</v>
      </c>
    </row>
    <row r="10">
      <c r="A10" s="7" t="s">
        <v>380</v>
      </c>
      <c r="B10" s="9" t="str">
        <f>'7조'!B$55</f>
        <v/>
      </c>
      <c r="C10" s="11" t="str">
        <f>'7조'!C$55</f>
        <v>7조 - Main-subroutine - Availability</v>
      </c>
      <c r="D10" s="9" t="str">
        <f>'7조'!D$55</f>
        <v/>
      </c>
      <c r="E10" s="11" t="str">
        <f>'7조'!E$55</f>
        <v>7조 - Master-Slave - Availability</v>
      </c>
    </row>
    <row r="11">
      <c r="A11" s="7" t="s">
        <v>381</v>
      </c>
      <c r="B11" s="9" t="str">
        <f>'8조'!B$55</f>
        <v/>
      </c>
      <c r="C11" s="11" t="str">
        <f>'8조'!C$55</f>
        <v>8조 - Main-subroutine - Availability</v>
      </c>
      <c r="D11" s="9" t="str">
        <f>'8조'!D$55</f>
        <v/>
      </c>
      <c r="E11" s="11" t="str">
        <f>'8조'!E$55</f>
        <v>8조 - Master-Slave - Availability</v>
      </c>
    </row>
    <row r="12">
      <c r="A12" s="7" t="s">
        <v>383</v>
      </c>
      <c r="B12" s="9" t="str">
        <f>'9조'!B$55</f>
        <v/>
      </c>
      <c r="C12" s="11" t="str">
        <f>'9조'!C$55</f>
        <v>9조 - Main-subroutine - Availability</v>
      </c>
      <c r="D12" s="9" t="str">
        <f>'9조'!D$55</f>
        <v/>
      </c>
      <c r="E12" s="11" t="str">
        <f>'9조'!E$55</f>
        <v>9조 - Master-Slave - Availability</v>
      </c>
    </row>
    <row r="13">
      <c r="A13" s="10"/>
      <c r="B13" s="13"/>
      <c r="C13" s="10"/>
      <c r="D13" s="13"/>
      <c r="E13" s="10"/>
    </row>
    <row r="14" ht="15.0" customHeight="1">
      <c r="A14" s="6" t="s">
        <v>44</v>
      </c>
      <c r="B14" s="6" t="str">
        <f>'Detailed Reasoning'!B$56</f>
        <v/>
      </c>
      <c r="C14" s="6" t="str">
        <f>'Detailed Reasoning'!C$56</f>
        <v/>
      </c>
      <c r="D14" s="6" t="str">
        <f>'Detailed Reasoning'!D$56</f>
        <v/>
      </c>
      <c r="E14" s="6" t="str">
        <f>'Detailed Reasoning'!E$56</f>
        <v/>
      </c>
    </row>
    <row r="15">
      <c r="A15" s="7" t="s">
        <v>393</v>
      </c>
      <c r="B15" s="9" t="str">
        <f>'1조'!B$56</f>
        <v/>
      </c>
      <c r="C15" s="11" t="s">
        <v>394</v>
      </c>
      <c r="D15" s="9" t="str">
        <f>'1조'!D$56</f>
        <v/>
      </c>
      <c r="E15" s="11" t="s">
        <v>395</v>
      </c>
    </row>
    <row r="16">
      <c r="A16" s="7" t="s">
        <v>398</v>
      </c>
      <c r="B16" s="9" t="str">
        <f>'2조'!B$56</f>
        <v/>
      </c>
      <c r="C16" s="11" t="str">
        <f>'2조'!C$56</f>
        <v>2조 - Main-subroutine - Deployability</v>
      </c>
      <c r="D16" s="9" t="str">
        <f>'2조'!D$56</f>
        <v/>
      </c>
      <c r="E16" s="11" t="str">
        <f>'2조'!E$56</f>
        <v>2조 - Master-Slave - Deployability</v>
      </c>
    </row>
    <row r="17">
      <c r="A17" s="7" t="s">
        <v>401</v>
      </c>
      <c r="B17" s="9" t="str">
        <f>'3조'!B$56</f>
        <v/>
      </c>
      <c r="C17" s="11" t="str">
        <f>'3조'!C$56</f>
        <v>3조 - Main-subroutine - Deployability</v>
      </c>
      <c r="D17" s="9" t="str">
        <f>'3조'!D$56</f>
        <v/>
      </c>
      <c r="E17" s="11" t="str">
        <f>'3조'!E$56</f>
        <v>3조 - Master-Slave - Deployability</v>
      </c>
    </row>
    <row r="18">
      <c r="A18" s="7" t="s">
        <v>405</v>
      </c>
      <c r="B18" s="9" t="str">
        <f>'4조'!B$56</f>
        <v/>
      </c>
      <c r="C18" s="11" t="str">
        <f>'4조'!C$56</f>
        <v>4조 - Main-subroutine - Deployability</v>
      </c>
      <c r="D18" s="9" t="str">
        <f>'4조'!D$56</f>
        <v/>
      </c>
      <c r="E18" s="11" t="str">
        <f>'4조'!E$56</f>
        <v>4조 - Master-Slave - Deployability</v>
      </c>
    </row>
    <row r="19">
      <c r="A19" s="7" t="s">
        <v>408</v>
      </c>
      <c r="B19" s="9" t="str">
        <f>'5조'!B$56</f>
        <v/>
      </c>
      <c r="C19" s="11" t="str">
        <f>'5조'!C$56</f>
        <v>5조 - Main-subroutine - Deployability</v>
      </c>
      <c r="D19" s="9" t="str">
        <f>'5조'!D$56</f>
        <v/>
      </c>
      <c r="E19" s="11" t="str">
        <f>'5조'!E$56</f>
        <v>5조 - Master-Slave - Deployability</v>
      </c>
    </row>
    <row r="20">
      <c r="A20" s="7" t="s">
        <v>413</v>
      </c>
      <c r="B20" s="9" t="str">
        <f>'6조'!B$56</f>
        <v>-</v>
      </c>
      <c r="C20" s="11" t="str">
        <f>'6조'!C$56</f>
        <v>Main과 subroutine이 하나의 바이너리로 강하게 묶여있어 특정 서브루틴만 독립적 배포 불가. 특정 서브루틴 고치면 전체 시스템 재빌드 및 재배포 필요. 배포시 무중단 배포가 불가능하다. </v>
      </c>
      <c r="D20" s="9" t="str">
        <f>'6조'!D$56</f>
        <v>0</v>
      </c>
      <c r="E20" s="11" t="str">
        <f>'6조'!E$56</f>
        <v>Slave를 교체할 때는 배포에 장점이 있지만, Slave-Master와의 호환성 문제가 생길 시 혹은 Master 교체 시 배포용이성이 떨어진다. </v>
      </c>
    </row>
    <row r="21" ht="15.75" customHeight="1">
      <c r="A21" s="7" t="s">
        <v>417</v>
      </c>
      <c r="B21" s="9" t="str">
        <f>'7조'!B$56</f>
        <v/>
      </c>
      <c r="C21" s="11" t="str">
        <f>'7조'!C$56</f>
        <v>7조 - Main-subroutine - Deployability</v>
      </c>
      <c r="D21" s="9" t="str">
        <f>'7조'!D$56</f>
        <v/>
      </c>
      <c r="E21" s="11" t="str">
        <f>'7조'!E$56</f>
        <v>7조 - Master-Slave - Deployability</v>
      </c>
    </row>
    <row r="22" ht="15.75" customHeight="1">
      <c r="A22" s="7" t="s">
        <v>421</v>
      </c>
      <c r="B22" s="9" t="str">
        <f>'8조'!B$56</f>
        <v/>
      </c>
      <c r="C22" s="11" t="str">
        <f>'8조'!C$56</f>
        <v>8조 - Main-subroutine - Deployability</v>
      </c>
      <c r="D22" s="9" t="str">
        <f>'8조'!D$56</f>
        <v/>
      </c>
      <c r="E22" s="11" t="str">
        <f>'8조'!E$56</f>
        <v>8조 - Master-Slave - Deployability</v>
      </c>
    </row>
    <row r="23" ht="15.75" customHeight="1">
      <c r="A23" s="7" t="s">
        <v>423</v>
      </c>
      <c r="B23" s="9" t="str">
        <f>'9조'!B$56</f>
        <v/>
      </c>
      <c r="C23" s="11" t="str">
        <f>'9조'!C$56</f>
        <v>9조 - Main-subroutine - Deployability</v>
      </c>
      <c r="D23" s="9" t="str">
        <f>'9조'!D$56</f>
        <v/>
      </c>
      <c r="E23" s="11" t="str">
        <f>'9조'!E$56</f>
        <v>9조 - Master-Slave - Deployability</v>
      </c>
    </row>
    <row r="24" ht="15.75" customHeight="1">
      <c r="A24" s="10"/>
      <c r="B24" s="13"/>
      <c r="C24" s="10"/>
      <c r="D24" s="13"/>
      <c r="E24" s="10"/>
    </row>
    <row r="25" ht="15.0" customHeight="1">
      <c r="A25" s="6" t="s">
        <v>80</v>
      </c>
      <c r="B25" s="6" t="str">
        <f>'Detailed Reasoning'!B$57</f>
        <v/>
      </c>
      <c r="C25" s="6" t="str">
        <f>'Detailed Reasoning'!C$57</f>
        <v/>
      </c>
      <c r="D25" s="6" t="str">
        <f>'Detailed Reasoning'!D$57</f>
        <v/>
      </c>
      <c r="E25" s="6" t="str">
        <f>'Detailed Reasoning'!E$57</f>
        <v/>
      </c>
    </row>
    <row r="26" ht="15.75" customHeight="1">
      <c r="A26" s="7" t="s">
        <v>427</v>
      </c>
      <c r="B26" s="9" t="str">
        <f>'1조'!B$57</f>
        <v/>
      </c>
      <c r="C26" s="11" t="s">
        <v>428</v>
      </c>
      <c r="D26" s="9" t="str">
        <f>'1조'!D$57</f>
        <v/>
      </c>
      <c r="E26" s="11" t="s">
        <v>429</v>
      </c>
    </row>
    <row r="27" ht="15.75" customHeight="1">
      <c r="A27" s="7" t="s">
        <v>430</v>
      </c>
      <c r="B27" s="9" t="str">
        <f>'2조'!B$57</f>
        <v/>
      </c>
      <c r="C27" s="11" t="str">
        <f>'2조'!C$57</f>
        <v>2조 - Main-subroutine - Integrability</v>
      </c>
      <c r="D27" s="9" t="str">
        <f>'2조'!D$57</f>
        <v/>
      </c>
      <c r="E27" s="11" t="str">
        <f>'2조'!E$57</f>
        <v>2조 - Master-Slave - Integrability</v>
      </c>
    </row>
    <row r="28" ht="15.75" customHeight="1">
      <c r="A28" s="7" t="s">
        <v>431</v>
      </c>
      <c r="B28" s="9" t="str">
        <f>'3조'!B$57</f>
        <v/>
      </c>
      <c r="C28" s="11" t="str">
        <f>'3조'!C$57</f>
        <v>3조 - Main-subroutine - Integrability</v>
      </c>
      <c r="D28" s="9" t="str">
        <f>'3조'!D$57</f>
        <v/>
      </c>
      <c r="E28" s="11" t="str">
        <f>'3조'!E$57</f>
        <v>3조 - Master-Slave - Integrability</v>
      </c>
    </row>
    <row r="29" ht="15.75" customHeight="1">
      <c r="A29" s="7" t="s">
        <v>438</v>
      </c>
      <c r="B29" s="9" t="str">
        <f>'4조'!B$57</f>
        <v/>
      </c>
      <c r="C29" s="11" t="str">
        <f>'4조'!C$57</f>
        <v>4조 - Main-subroutine - Integrability</v>
      </c>
      <c r="D29" s="9" t="str">
        <f>'4조'!D$57</f>
        <v/>
      </c>
      <c r="E29" s="11" t="str">
        <f>'4조'!E$57</f>
        <v>4조 - Master-Slave - Integrability</v>
      </c>
    </row>
    <row r="30" ht="15.75" customHeight="1">
      <c r="A30" s="7" t="s">
        <v>439</v>
      </c>
      <c r="B30" s="9" t="str">
        <f>'5조'!B$57</f>
        <v/>
      </c>
      <c r="C30" s="11" t="str">
        <f>'5조'!C$57</f>
        <v>5조 - Main-subroutine - Integrability</v>
      </c>
      <c r="D30" s="9" t="str">
        <f>'5조'!D$57</f>
        <v/>
      </c>
      <c r="E30" s="11" t="str">
        <f>'5조'!E$57</f>
        <v>5조 - Master-Slave - Integrability</v>
      </c>
    </row>
    <row r="31" ht="15.75" customHeight="1">
      <c r="A31" s="7" t="s">
        <v>442</v>
      </c>
      <c r="B31" s="9" t="str">
        <f>'6조'!B$57</f>
        <v>-</v>
      </c>
      <c r="C31" s="11" t="str">
        <f>'6조'!C$57</f>
        <v>Subroutine 간 interface를 통해 통합할 수 있지만, 기본적으로 호출 관계가 강하게 결합되어 있다.
새로운 외부 시스템이나 component를 추가하려면 기존 main/subroutine 구조를 수정해야 할 가능성이 있다.</v>
      </c>
      <c r="D31" s="9" t="str">
        <f>'6조'!D$57</f>
        <v>0</v>
      </c>
      <c r="E31" s="11" t="str">
        <f>'6조'!E$57</f>
        <v>다른 component를 slave로 추가할 componet의 인터페이스, 프로토콜 호환성이 중요하게 작용한다.
같은 규약을 가진 componet의 경우 통합용이성이 좋다.</v>
      </c>
    </row>
    <row r="32" ht="15.75" customHeight="1">
      <c r="A32" s="7" t="s">
        <v>444</v>
      </c>
      <c r="B32" s="9" t="str">
        <f>'7조'!B$57</f>
        <v/>
      </c>
      <c r="C32" s="11" t="str">
        <f>'7조'!C$57</f>
        <v>7조 - Main-subroutine - Integrability</v>
      </c>
      <c r="D32" s="9" t="str">
        <f>'7조'!D$57</f>
        <v/>
      </c>
      <c r="E32" s="11" t="str">
        <f>'7조'!E$57</f>
        <v>7조 - Master-Slave - Integrability</v>
      </c>
    </row>
    <row r="33" ht="15.75" customHeight="1">
      <c r="A33" s="7" t="s">
        <v>447</v>
      </c>
      <c r="B33" s="9" t="str">
        <f>'8조'!B$57</f>
        <v/>
      </c>
      <c r="C33" s="11" t="str">
        <f>'8조'!C$57</f>
        <v>8조 - Main-subroutine - Integrability</v>
      </c>
      <c r="D33" s="9" t="str">
        <f>'8조'!D$57</f>
        <v/>
      </c>
      <c r="E33" s="11" t="str">
        <f>'8조'!E$57</f>
        <v>8조 - Master-Slave - Integrability</v>
      </c>
    </row>
    <row r="34" ht="15.75" customHeight="1">
      <c r="A34" s="7" t="s">
        <v>450</v>
      </c>
      <c r="B34" s="9" t="str">
        <f>'9조'!B$57</f>
        <v/>
      </c>
      <c r="C34" s="11" t="str">
        <f>'9조'!C$57</f>
        <v>9조 - Main-subroutine - Integrability</v>
      </c>
      <c r="D34" s="9" t="str">
        <f>'9조'!D$57</f>
        <v/>
      </c>
      <c r="E34" s="11" t="str">
        <f>'9조'!E$57</f>
        <v>9조 - Master-Slave - Integrability</v>
      </c>
    </row>
    <row r="35" ht="15.75" customHeight="1">
      <c r="A35" s="10"/>
      <c r="B35" s="13"/>
      <c r="C35" s="10"/>
      <c r="D35" s="13"/>
      <c r="E35" s="10"/>
    </row>
    <row r="36" ht="15.75" customHeight="1">
      <c r="A36" s="6" t="s">
        <v>113</v>
      </c>
      <c r="B36" s="6" t="str">
        <f>'Detailed Reasoning'!B$58</f>
        <v/>
      </c>
      <c r="C36" s="6" t="str">
        <f>'Detailed Reasoning'!C$58</f>
        <v/>
      </c>
      <c r="D36" s="6" t="str">
        <f>'Detailed Reasoning'!D$58</f>
        <v/>
      </c>
      <c r="E36" s="6" t="str">
        <f>'Detailed Reasoning'!E$58</f>
        <v/>
      </c>
    </row>
    <row r="37" ht="15.75" customHeight="1">
      <c r="A37" s="10" t="s">
        <v>453</v>
      </c>
      <c r="B37" s="9" t="str">
        <f>'1조'!B$58</f>
        <v/>
      </c>
      <c r="C37" s="11" t="s">
        <v>454</v>
      </c>
      <c r="D37" s="9" t="str">
        <f>'1조'!D$58</f>
        <v/>
      </c>
      <c r="E37" s="11" t="s">
        <v>456</v>
      </c>
    </row>
    <row r="38" ht="15.75" customHeight="1">
      <c r="A38" s="10" t="s">
        <v>457</v>
      </c>
      <c r="B38" s="9" t="str">
        <f>'2조'!B$58</f>
        <v/>
      </c>
      <c r="C38" s="11" t="str">
        <f>'2조'!C$58</f>
        <v>2조 - Main-subroutine - Energy Efficiency</v>
      </c>
      <c r="D38" s="9" t="str">
        <f>'2조'!D$58</f>
        <v/>
      </c>
      <c r="E38" s="11" t="str">
        <f>'2조'!E$58</f>
        <v>2조 - Master-Slave - Energy Efficiency</v>
      </c>
    </row>
    <row r="39" ht="15.75" customHeight="1">
      <c r="A39" s="10" t="s">
        <v>460</v>
      </c>
      <c r="B39" s="9" t="str">
        <f>'3조'!B$58</f>
        <v/>
      </c>
      <c r="C39" s="11" t="str">
        <f>'3조'!C$58</f>
        <v>3조 - Main-subroutine - Energy Efficiency</v>
      </c>
      <c r="D39" s="9" t="str">
        <f>'3조'!D$58</f>
        <v/>
      </c>
      <c r="E39" s="11" t="str">
        <f>'3조'!E$58</f>
        <v>3조 - Master-Slave - Energy Efficiency</v>
      </c>
    </row>
    <row r="40" ht="15.75" customHeight="1">
      <c r="A40" s="10" t="s">
        <v>462</v>
      </c>
      <c r="B40" s="9" t="str">
        <f>'4조'!B$58</f>
        <v/>
      </c>
      <c r="C40" s="11" t="str">
        <f>'4조'!C$58</f>
        <v>4조 - Main-subroutine - Energy Efficiency</v>
      </c>
      <c r="D40" s="9" t="str">
        <f>'4조'!D$58</f>
        <v/>
      </c>
      <c r="E40" s="11" t="str">
        <f>'4조'!E$58</f>
        <v>4조 - Master-Slave - Energy Efficiency</v>
      </c>
    </row>
    <row r="41" ht="15.75" customHeight="1">
      <c r="A41" s="10" t="s">
        <v>464</v>
      </c>
      <c r="B41" s="9" t="str">
        <f>'5조'!B$58</f>
        <v/>
      </c>
      <c r="C41" s="11" t="str">
        <f>'5조'!C$58</f>
        <v>5조 - Main-subroutine - Energy Efficiency</v>
      </c>
      <c r="D41" s="9" t="str">
        <f>'5조'!D$58</f>
        <v/>
      </c>
      <c r="E41" s="11" t="str">
        <f>'5조'!E$58</f>
        <v>5조 - Master-Slave - Energy Efficiency</v>
      </c>
    </row>
    <row r="42" ht="15.75" customHeight="1">
      <c r="A42" s="10" t="s">
        <v>466</v>
      </c>
      <c r="B42" s="9" t="str">
        <f>'6조'!B$58</f>
        <v>++</v>
      </c>
      <c r="C42" s="11" t="str">
        <f>'6조'!C$58</f>
        <v>불필요한 communication이나 middleware layer가 거의 없기 때문에 효율적</v>
      </c>
      <c r="D42" s="9" t="str">
        <f>'6조'!D$58</f>
        <v>-</v>
      </c>
      <c r="E42" s="11" t="str">
        <f>'6조'!E$58</f>
        <v>master-slave간 통신에서 overhead가 발생하여 추가적인 에너지 소모가 있을 수 있다.</v>
      </c>
    </row>
    <row r="43" ht="15.75" customHeight="1">
      <c r="A43" s="10" t="s">
        <v>468</v>
      </c>
      <c r="B43" s="9" t="str">
        <f>'7조'!B$58</f>
        <v/>
      </c>
      <c r="C43" s="11" t="str">
        <f>'7조'!C$58</f>
        <v>7조 - Main-subroutine - Energy Efficiency</v>
      </c>
      <c r="D43" s="9" t="str">
        <f>'7조'!D$58</f>
        <v/>
      </c>
      <c r="E43" s="11" t="str">
        <f>'7조'!E$58</f>
        <v>7조 - Master-Slave - Energy Efficiency</v>
      </c>
    </row>
    <row r="44" ht="15.75" customHeight="1">
      <c r="A44" s="10" t="s">
        <v>473</v>
      </c>
      <c r="B44" s="9" t="str">
        <f>'8조'!B$58</f>
        <v/>
      </c>
      <c r="C44" s="11" t="str">
        <f>'8조'!C$58</f>
        <v>8조 - Main-subroutine - Energy Efficiency</v>
      </c>
      <c r="D44" s="9" t="str">
        <f>'8조'!D$58</f>
        <v/>
      </c>
      <c r="E44" s="11" t="str">
        <f>'8조'!E$58</f>
        <v>8조 - Master-Slave - Energy Efficiency</v>
      </c>
    </row>
    <row r="45" ht="15.75" customHeight="1">
      <c r="A45" s="10" t="s">
        <v>474</v>
      </c>
      <c r="B45" s="9" t="str">
        <f>'9조'!B$58</f>
        <v/>
      </c>
      <c r="C45" s="11" t="str">
        <f>'9조'!C$58</f>
        <v>9조 - Main-subroutine - Energy Efficiency</v>
      </c>
      <c r="D45" s="9" t="str">
        <f>'9조'!D$58</f>
        <v/>
      </c>
      <c r="E45" s="11" t="str">
        <f>'9조'!E$58</f>
        <v>9조 - Master-Slave - Energy Efficiency</v>
      </c>
    </row>
    <row r="46" ht="15.75" customHeight="1">
      <c r="A46" s="10"/>
      <c r="B46" s="13"/>
      <c r="C46" s="10"/>
      <c r="D46" s="13"/>
      <c r="E46" s="10"/>
    </row>
    <row r="47" ht="15.75" customHeight="1">
      <c r="A47" s="6" t="s">
        <v>144</v>
      </c>
      <c r="B47" s="6" t="str">
        <f>'Detailed Reasoning'!B$59</f>
        <v/>
      </c>
      <c r="C47" s="6" t="str">
        <f>'Detailed Reasoning'!C$59</f>
        <v/>
      </c>
      <c r="D47" s="6" t="str">
        <f>'Detailed Reasoning'!D$59</f>
        <v/>
      </c>
      <c r="E47" s="6" t="str">
        <f>'Detailed Reasoning'!E$59</f>
        <v/>
      </c>
    </row>
    <row r="48" ht="15.75" customHeight="1">
      <c r="A48" s="7" t="s">
        <v>477</v>
      </c>
      <c r="B48" s="9" t="str">
        <f>'1조'!B$59</f>
        <v/>
      </c>
      <c r="C48" s="11" t="s">
        <v>478</v>
      </c>
      <c r="D48" s="9" t="str">
        <f>'1조'!D$59</f>
        <v/>
      </c>
      <c r="E48" s="11" t="s">
        <v>479</v>
      </c>
    </row>
    <row r="49" ht="15.75" customHeight="1">
      <c r="A49" s="7" t="s">
        <v>481</v>
      </c>
      <c r="B49" s="9" t="str">
        <f>'2조'!B$59</f>
        <v/>
      </c>
      <c r="C49" s="11" t="str">
        <f>'2조'!C$59</f>
        <v>2조 - Main-subroutine - Modifiability</v>
      </c>
      <c r="D49" s="9" t="str">
        <f>'2조'!D$59</f>
        <v/>
      </c>
      <c r="E49" s="11" t="str">
        <f>'2조'!E$59</f>
        <v>2조 - Master-Slave - Modifiability</v>
      </c>
    </row>
    <row r="50" ht="15.75" customHeight="1">
      <c r="A50" s="7" t="s">
        <v>482</v>
      </c>
      <c r="B50" s="9" t="str">
        <f>'3조'!B$59</f>
        <v/>
      </c>
      <c r="C50" s="11" t="str">
        <f>'3조'!C$59</f>
        <v>3조 - Main-subroutine - Modifiability</v>
      </c>
      <c r="D50" s="9" t="str">
        <f>'3조'!D$59</f>
        <v/>
      </c>
      <c r="E50" s="11" t="str">
        <f>'3조'!E$59</f>
        <v>3조 - Master-Slave - Modifiability</v>
      </c>
    </row>
    <row r="51" ht="15.75" customHeight="1">
      <c r="A51" s="7" t="s">
        <v>484</v>
      </c>
      <c r="B51" s="9" t="str">
        <f>'4조'!B$59</f>
        <v/>
      </c>
      <c r="C51" s="11" t="str">
        <f>'4조'!C$59</f>
        <v>4조 - Main-subroutine - Modifiability</v>
      </c>
      <c r="D51" s="9" t="str">
        <f>'4조'!D$59</f>
        <v/>
      </c>
      <c r="E51" s="11" t="str">
        <f>'4조'!E$59</f>
        <v>4조 - Master-Slave - Modifiability</v>
      </c>
    </row>
    <row r="52" ht="15.75" customHeight="1">
      <c r="A52" s="7" t="s">
        <v>485</v>
      </c>
      <c r="B52" s="9" t="str">
        <f>'5조'!B$59</f>
        <v/>
      </c>
      <c r="C52" s="11" t="str">
        <f>'5조'!C$59</f>
        <v>5조 - Main-subroutine - Modifiability</v>
      </c>
      <c r="D52" s="9" t="str">
        <f>'5조'!D$59</f>
        <v/>
      </c>
      <c r="E52" s="11" t="str">
        <f>'5조'!E$59</f>
        <v>5조 - Master-Slave - Modifiability</v>
      </c>
    </row>
    <row r="53" ht="15.75" customHeight="1">
      <c r="A53" s="7" t="s">
        <v>487</v>
      </c>
      <c r="B53" s="9" t="str">
        <f>'6조'!B$59</f>
        <v>--</v>
      </c>
      <c r="C53" s="11" t="str">
        <f>'6조'!C$59</f>
        <v>Main이 subroutine의 구조와 호출 순서를 강하게 알고 있기 때문에 변경의 영향이 상위 구조까지 전파될 수 있다.</v>
      </c>
      <c r="D53" s="9" t="str">
        <f>'6조'!D$59</f>
        <v>+</v>
      </c>
      <c r="E53" s="11" t="str">
        <f>'6조'!E$59</f>
        <v>component의 수정이 master에 영향을 주지 않는 한 다른 component에 영향을 미치지 않기 때문에 변경 용이성이 좋다.</v>
      </c>
    </row>
    <row r="54" ht="15.75" customHeight="1">
      <c r="A54" s="7" t="s">
        <v>488</v>
      </c>
      <c r="B54" s="9" t="str">
        <f>'7조'!B$59</f>
        <v/>
      </c>
      <c r="C54" s="11" t="str">
        <f>'7조'!C$59</f>
        <v>7조 - Main-subroutine - Modifiability</v>
      </c>
      <c r="D54" s="9" t="str">
        <f>'7조'!D$59</f>
        <v/>
      </c>
      <c r="E54" s="11" t="str">
        <f>'7조'!E$59</f>
        <v>7조 - Master-Slave - Modifiability</v>
      </c>
    </row>
    <row r="55" ht="15.75" customHeight="1">
      <c r="A55" s="7" t="s">
        <v>490</v>
      </c>
      <c r="B55" s="9" t="str">
        <f>'8조'!B$59</f>
        <v/>
      </c>
      <c r="C55" s="11" t="str">
        <f>'8조'!C$59</f>
        <v>8조 - Main-subroutine - Modifiability</v>
      </c>
      <c r="D55" s="9" t="str">
        <f>'8조'!D$59</f>
        <v/>
      </c>
      <c r="E55" s="11" t="str">
        <f>'8조'!E$59</f>
        <v>8조 - Master-Slave - Modifiability</v>
      </c>
    </row>
    <row r="56" ht="15.75" customHeight="1">
      <c r="A56" s="7" t="s">
        <v>491</v>
      </c>
      <c r="B56" s="9" t="str">
        <f>'9조'!B$59</f>
        <v/>
      </c>
      <c r="C56" s="11" t="str">
        <f>'9조'!C$59</f>
        <v>9조 - Main-subroutine - Modifiability</v>
      </c>
      <c r="D56" s="9" t="str">
        <f>'9조'!D$59</f>
        <v/>
      </c>
      <c r="E56" s="11" t="str">
        <f>'9조'!E$59</f>
        <v>9조 - Master-Slave - Modifiability</v>
      </c>
    </row>
    <row r="57" ht="15.75" customHeight="1">
      <c r="A57" s="10"/>
      <c r="B57" s="13"/>
      <c r="C57" s="10"/>
      <c r="D57" s="13"/>
      <c r="E57" s="10"/>
    </row>
    <row r="58" ht="15.75" customHeight="1">
      <c r="A58" s="6" t="s">
        <v>176</v>
      </c>
      <c r="B58" s="6" t="str">
        <f>'Detailed Reasoning'!B$60</f>
        <v/>
      </c>
      <c r="C58" s="6" t="str">
        <f>'Detailed Reasoning'!C$60</f>
        <v/>
      </c>
      <c r="D58" s="6" t="str">
        <f>'Detailed Reasoning'!D$60</f>
        <v/>
      </c>
      <c r="E58" s="6" t="str">
        <f>'Detailed Reasoning'!E$60</f>
        <v/>
      </c>
    </row>
    <row r="59" ht="15.75" customHeight="1">
      <c r="A59" s="7" t="s">
        <v>493</v>
      </c>
      <c r="B59" s="9" t="str">
        <f>'1조'!B$60</f>
        <v/>
      </c>
      <c r="C59" s="11" t="s">
        <v>494</v>
      </c>
      <c r="D59" s="9" t="str">
        <f>'1조'!D$60</f>
        <v/>
      </c>
      <c r="E59" s="11" t="s">
        <v>495</v>
      </c>
    </row>
    <row r="60" ht="15.75" customHeight="1">
      <c r="A60" s="7" t="s">
        <v>496</v>
      </c>
      <c r="B60" s="9" t="str">
        <f>'2조'!B$60</f>
        <v/>
      </c>
      <c r="C60" s="11" t="str">
        <f>'2조'!C$60</f>
        <v>2조 - Main-subroutine - Performance</v>
      </c>
      <c r="D60" s="9" t="str">
        <f>'2조'!D$60</f>
        <v/>
      </c>
      <c r="E60" s="11" t="str">
        <f>'2조'!E$60</f>
        <v>2조 - Master-Slave - Performance</v>
      </c>
    </row>
    <row r="61" ht="15.75" customHeight="1">
      <c r="A61" s="7" t="s">
        <v>498</v>
      </c>
      <c r="B61" s="9" t="str">
        <f>'3조'!B$60</f>
        <v/>
      </c>
      <c r="C61" s="11" t="str">
        <f>'3조'!C$60</f>
        <v>3조 - Main-subroutine - Performance</v>
      </c>
      <c r="D61" s="9" t="str">
        <f>'3조'!D$60</f>
        <v/>
      </c>
      <c r="E61" s="11" t="str">
        <f>'3조'!E$60</f>
        <v>3조 - Master-Slave - Performance</v>
      </c>
    </row>
    <row r="62" ht="15.75" customHeight="1">
      <c r="A62" s="7" t="s">
        <v>505</v>
      </c>
      <c r="B62" s="9" t="str">
        <f>'4조'!B$60</f>
        <v/>
      </c>
      <c r="C62" s="11" t="str">
        <f>'4조'!C$60</f>
        <v>4조 - Main-subroutine - Performance</v>
      </c>
      <c r="D62" s="9" t="str">
        <f>'4조'!D$60</f>
        <v/>
      </c>
      <c r="E62" s="11" t="str">
        <f>'4조'!E$60</f>
        <v>4조 - Master-Slave - Performance</v>
      </c>
    </row>
    <row r="63" ht="15.75" customHeight="1">
      <c r="A63" s="7" t="s">
        <v>506</v>
      </c>
      <c r="B63" s="9" t="str">
        <f>'5조'!B$60</f>
        <v/>
      </c>
      <c r="C63" s="11" t="str">
        <f>'5조'!C$60</f>
        <v>5조 - Main-subroutine - Performance</v>
      </c>
      <c r="D63" s="9" t="str">
        <f>'5조'!D$60</f>
        <v/>
      </c>
      <c r="E63" s="11" t="str">
        <f>'5조'!E$60</f>
        <v>5조 - Master-Slave - Performance</v>
      </c>
    </row>
    <row r="64" ht="15.75" customHeight="1">
      <c r="A64" s="7" t="s">
        <v>508</v>
      </c>
      <c r="B64" s="9" t="str">
        <f>'6조'!B$60</f>
        <v>++</v>
      </c>
      <c r="C64" s="11" t="str">
        <f>'6조'!C$60</f>
        <v>Main이 Subroutime을 함수 호출하므로 네트워크, IPC보다 처리속도가 매우 빠름</v>
      </c>
      <c r="D64" s="9" t="str">
        <f>'6조'!D$60</f>
        <v>+</v>
      </c>
      <c r="E64" s="11" t="str">
        <f>'6조'!E$60</f>
        <v>Slave를 늘리면 읽기 작업에 대한 시스템 응답시간을 줄임으로 인해 퍼포먼스를 증가시킬 수 있다. 단 쓰기 작업의 경우에는 마스터 업데이트 및 슬레이브 업데이트까지 데이터 무결성을 위한 동시성 작업이 요구되기 때문에 쓰기 작업에 대한 응답시간은 지연될 수 있다.</v>
      </c>
    </row>
    <row r="65" ht="15.75" customHeight="1">
      <c r="A65" s="7" t="s">
        <v>510</v>
      </c>
      <c r="B65" s="9" t="str">
        <f>'7조'!B$60</f>
        <v/>
      </c>
      <c r="C65" s="11" t="str">
        <f>'7조'!C$60</f>
        <v>7조 - Main-subroutine - Performance</v>
      </c>
      <c r="D65" s="9" t="str">
        <f>'7조'!D$60</f>
        <v/>
      </c>
      <c r="E65" s="11" t="str">
        <f>'7조'!E$60</f>
        <v>7조 - Master-Slave - Performance</v>
      </c>
    </row>
    <row r="66" ht="15.75" customHeight="1">
      <c r="A66" s="7" t="s">
        <v>512</v>
      </c>
      <c r="B66" s="9" t="str">
        <f>'8조'!B$60</f>
        <v/>
      </c>
      <c r="C66" s="11" t="str">
        <f>'8조'!C$60</f>
        <v>8조 - Main-subroutine - Performance</v>
      </c>
      <c r="D66" s="9" t="str">
        <f>'8조'!D$60</f>
        <v/>
      </c>
      <c r="E66" s="11" t="str">
        <f>'8조'!E$60</f>
        <v>8조 - Master-Slave - Performance</v>
      </c>
    </row>
    <row r="67" ht="15.75" customHeight="1">
      <c r="A67" s="7" t="s">
        <v>514</v>
      </c>
      <c r="B67" s="9" t="str">
        <f>'9조'!B$60</f>
        <v/>
      </c>
      <c r="C67" s="11" t="str">
        <f>'9조'!C$60</f>
        <v>9조 - Main-subroutine - Performance</v>
      </c>
      <c r="D67" s="9" t="str">
        <f>'9조'!D$60</f>
        <v/>
      </c>
      <c r="E67" s="11" t="str">
        <f>'9조'!E$60</f>
        <v>9조 - Master-Slave - Performance</v>
      </c>
    </row>
    <row r="68" ht="15.75" customHeight="1">
      <c r="A68" s="10"/>
      <c r="B68" s="13"/>
      <c r="C68" s="10"/>
      <c r="D68" s="13"/>
      <c r="E68" s="10"/>
    </row>
    <row r="69" ht="15.75" customHeight="1">
      <c r="A69" s="6" t="s">
        <v>208</v>
      </c>
      <c r="B69" s="6" t="str">
        <f>'Detailed Reasoning'!B$61</f>
        <v/>
      </c>
      <c r="C69" s="6" t="str">
        <f>'Detailed Reasoning'!C$61</f>
        <v/>
      </c>
      <c r="D69" s="6" t="str">
        <f>'Detailed Reasoning'!D$61</f>
        <v/>
      </c>
      <c r="E69" s="6" t="str">
        <f>'Detailed Reasoning'!E$61</f>
        <v/>
      </c>
    </row>
    <row r="70" ht="15.75" customHeight="1">
      <c r="A70" s="7" t="s">
        <v>517</v>
      </c>
      <c r="B70" s="9" t="str">
        <f>'1조'!B$61</f>
        <v/>
      </c>
      <c r="C70" s="11" t="s">
        <v>518</v>
      </c>
      <c r="D70" s="9" t="str">
        <f>'1조'!D$61</f>
        <v/>
      </c>
      <c r="E70" s="11" t="s">
        <v>519</v>
      </c>
    </row>
    <row r="71" ht="15.75" customHeight="1">
      <c r="A71" s="7" t="s">
        <v>520</v>
      </c>
      <c r="B71" s="9" t="str">
        <f>'2조'!B$61</f>
        <v/>
      </c>
      <c r="C71" s="11" t="str">
        <f>'2조'!C$61</f>
        <v>2조 - Main-subroutine - Safety</v>
      </c>
      <c r="D71" s="9" t="str">
        <f>'2조'!D$61</f>
        <v/>
      </c>
      <c r="E71" s="11" t="str">
        <f>'2조'!E$61</f>
        <v>2조 - Master-Slave - Safety</v>
      </c>
    </row>
    <row r="72" ht="15.75" customHeight="1">
      <c r="A72" s="7" t="s">
        <v>521</v>
      </c>
      <c r="B72" s="9" t="str">
        <f>'3조'!B$61</f>
        <v/>
      </c>
      <c r="C72" s="11" t="str">
        <f>'3조'!C$61</f>
        <v>3조 - Main-subroutine - Safety</v>
      </c>
      <c r="D72" s="9" t="str">
        <f>'3조'!D$61</f>
        <v/>
      </c>
      <c r="E72" s="11" t="str">
        <f>'3조'!E$61</f>
        <v>3조 - Master-Slave - Safety</v>
      </c>
    </row>
    <row r="73" ht="15.75" customHeight="1">
      <c r="A73" s="7" t="s">
        <v>523</v>
      </c>
      <c r="B73" s="9" t="str">
        <f>'4조'!B$61</f>
        <v/>
      </c>
      <c r="C73" s="11" t="str">
        <f>'4조'!C$61</f>
        <v>4조 - Main-subroutine - Safety</v>
      </c>
      <c r="D73" s="9" t="str">
        <f>'4조'!D$61</f>
        <v/>
      </c>
      <c r="E73" s="11" t="str">
        <f>'4조'!E$61</f>
        <v>4조 - Master-Slave - Safety</v>
      </c>
    </row>
    <row r="74" ht="15.75" customHeight="1">
      <c r="A74" s="7" t="s">
        <v>524</v>
      </c>
      <c r="B74" s="9" t="str">
        <f>'5조'!B$61</f>
        <v/>
      </c>
      <c r="C74" s="11" t="str">
        <f>'5조'!C$61</f>
        <v>5조 - Main-subroutine - Safety</v>
      </c>
      <c r="D74" s="9" t="str">
        <f>'5조'!D$61</f>
        <v/>
      </c>
      <c r="E74" s="11" t="str">
        <f>'5조'!E$61</f>
        <v>5조 - Master-Slave - Safety</v>
      </c>
    </row>
    <row r="75" ht="15.75" customHeight="1">
      <c r="A75" s="7" t="s">
        <v>525</v>
      </c>
      <c r="B75" s="9" t="str">
        <f>'6조'!B$61</f>
        <v>-</v>
      </c>
      <c r="C75" s="11" t="str">
        <f>'6조'!C$61</f>
        <v>예외 처리가 호출 스택을 타고 상위로 전파되는 구조라 발생한 오류가 상위로 쉽게 전파됨</v>
      </c>
      <c r="D75" s="9" t="str">
        <f>'6조'!D$61</f>
        <v>++</v>
      </c>
      <c r="E75" s="11" t="str">
        <f>'6조'!E$61</f>
        <v>하나의 Slave에서 fault가 발생하더라도 다른 Slave에서 응답하면 되기 때문에 전체 시스템 fault를 야기하지 않을 수 있다.</v>
      </c>
    </row>
    <row r="76" ht="15.75" customHeight="1">
      <c r="A76" s="7" t="s">
        <v>528</v>
      </c>
      <c r="B76" s="9" t="str">
        <f>'7조'!B$61</f>
        <v/>
      </c>
      <c r="C76" s="11" t="str">
        <f>'7조'!C$61</f>
        <v>7조 - Main-subroutine - Safety</v>
      </c>
      <c r="D76" s="9" t="str">
        <f>'7조'!D$61</f>
        <v/>
      </c>
      <c r="E76" s="11" t="str">
        <f>'7조'!E$61</f>
        <v>7조 - Master-Slave - Safety</v>
      </c>
    </row>
    <row r="77" ht="15.75" customHeight="1">
      <c r="A77" s="7" t="s">
        <v>532</v>
      </c>
      <c r="B77" s="9" t="str">
        <f>'8조'!B$61</f>
        <v/>
      </c>
      <c r="C77" s="11" t="str">
        <f>'8조'!C$61</f>
        <v>8조 - Main-subroutine - Safety</v>
      </c>
      <c r="D77" s="9" t="str">
        <f>'8조'!D$61</f>
        <v/>
      </c>
      <c r="E77" s="11" t="str">
        <f>'8조'!E$61</f>
        <v>8조 - Master-Slave - Safety</v>
      </c>
    </row>
    <row r="78" ht="15.75" customHeight="1">
      <c r="A78" s="7" t="s">
        <v>534</v>
      </c>
      <c r="B78" s="9" t="str">
        <f>'9조'!B$61</f>
        <v/>
      </c>
      <c r="C78" s="11" t="str">
        <f>'9조'!C$61</f>
        <v>9조 - Main-subroutine - Safety</v>
      </c>
      <c r="D78" s="9" t="str">
        <f>'9조'!D$61</f>
        <v/>
      </c>
      <c r="E78" s="11" t="str">
        <f>'9조'!E$61</f>
        <v>9조 - Master-Slave - Safety</v>
      </c>
    </row>
    <row r="79" ht="15.75" customHeight="1">
      <c r="A79" s="10"/>
      <c r="B79" s="13"/>
      <c r="C79" s="10"/>
      <c r="D79" s="13"/>
      <c r="E79" s="10"/>
    </row>
    <row r="80" ht="15.75" customHeight="1">
      <c r="A80" s="6" t="s">
        <v>242</v>
      </c>
      <c r="B80" s="6" t="str">
        <f>'Detailed Reasoning'!B$62</f>
        <v/>
      </c>
      <c r="C80" s="6" t="str">
        <f>'Detailed Reasoning'!C$62</f>
        <v/>
      </c>
      <c r="D80" s="6" t="str">
        <f>'Detailed Reasoning'!D$62</f>
        <v/>
      </c>
      <c r="E80" s="6" t="str">
        <f>'Detailed Reasoning'!E$62</f>
        <v/>
      </c>
    </row>
    <row r="81" ht="15.75" customHeight="1">
      <c r="A81" s="7" t="s">
        <v>536</v>
      </c>
      <c r="B81" s="9" t="str">
        <f>'1조'!B$62</f>
        <v/>
      </c>
      <c r="C81" s="11" t="s">
        <v>537</v>
      </c>
      <c r="D81" s="9" t="str">
        <f>'1조'!D$62</f>
        <v/>
      </c>
      <c r="E81" s="11" t="s">
        <v>538</v>
      </c>
    </row>
    <row r="82" ht="15.75" customHeight="1">
      <c r="A82" s="7" t="s">
        <v>539</v>
      </c>
      <c r="B82" s="9" t="str">
        <f>'2조'!B$62</f>
        <v/>
      </c>
      <c r="C82" s="11" t="str">
        <f>'2조'!C$62</f>
        <v>2조 - Main-subroutine - Security</v>
      </c>
      <c r="D82" s="9" t="str">
        <f>'2조'!D$62</f>
        <v/>
      </c>
      <c r="E82" s="11" t="str">
        <f>'2조'!E$62</f>
        <v>2조 - Master-Slave - Security</v>
      </c>
    </row>
    <row r="83" ht="15.75" customHeight="1">
      <c r="A83" s="7" t="s">
        <v>541</v>
      </c>
      <c r="B83" s="9" t="str">
        <f>'3조'!B$62</f>
        <v/>
      </c>
      <c r="C83" s="11" t="str">
        <f>'3조'!C$62</f>
        <v>3조 - Main-subroutine - Security</v>
      </c>
      <c r="D83" s="9" t="str">
        <f>'3조'!D$62</f>
        <v/>
      </c>
      <c r="E83" s="11" t="str">
        <f>'3조'!E$62</f>
        <v>3조 - Master-Slave - Security</v>
      </c>
    </row>
    <row r="84" ht="15.75" customHeight="1">
      <c r="A84" s="7" t="s">
        <v>542</v>
      </c>
      <c r="B84" s="9" t="str">
        <f>'4조'!B$62</f>
        <v/>
      </c>
      <c r="C84" s="11" t="str">
        <f>'4조'!C$62</f>
        <v>4조 - Main-subroutine - Security</v>
      </c>
      <c r="D84" s="9" t="str">
        <f>'4조'!D$62</f>
        <v/>
      </c>
      <c r="E84" s="11" t="str">
        <f>'4조'!E$62</f>
        <v>4조 - Master-Slave - Security</v>
      </c>
    </row>
    <row r="85" ht="15.75" customHeight="1">
      <c r="A85" s="7" t="s">
        <v>544</v>
      </c>
      <c r="B85" s="9" t="str">
        <f>'5조'!B$62</f>
        <v/>
      </c>
      <c r="C85" s="11" t="str">
        <f>'5조'!C$62</f>
        <v>5조 - Main-subroutine - Security</v>
      </c>
      <c r="D85" s="9" t="str">
        <f>'5조'!D$62</f>
        <v/>
      </c>
      <c r="E85" s="11" t="str">
        <f>'5조'!E$62</f>
        <v>5조 - Master-Slave - Security</v>
      </c>
    </row>
    <row r="86" ht="15.75" customHeight="1">
      <c r="A86" s="7" t="s">
        <v>546</v>
      </c>
      <c r="B86" s="9" t="str">
        <f>'6조'!B$62</f>
        <v>-</v>
      </c>
      <c r="C86" s="11" t="str">
        <f>'6조'!C$62</f>
        <v>프로세스 내부에 보안 경계가 없어 한 Subroutine이 다른 메모리와 자원에 접근 가능</v>
      </c>
      <c r="D86" s="9" t="str">
        <f>'6조'!D$62</f>
        <v>-</v>
      </c>
      <c r="E86" s="11" t="str">
        <f>'6조'!E$62</f>
        <v>Master가 공격당할 경우 시스템 failure를 야기시킬 수 있다. (a single point of failure)</v>
      </c>
    </row>
    <row r="87" ht="15.75" customHeight="1">
      <c r="A87" s="7" t="s">
        <v>548</v>
      </c>
      <c r="B87" s="9" t="str">
        <f>'7조'!B$62</f>
        <v/>
      </c>
      <c r="C87" s="11" t="str">
        <f>'7조'!C$62</f>
        <v>7조 - Main-subroutine - Security</v>
      </c>
      <c r="D87" s="9" t="str">
        <f>'7조'!D$62</f>
        <v/>
      </c>
      <c r="E87" s="11" t="str">
        <f>'7조'!E$62</f>
        <v>7조 - Master-Slave - Security</v>
      </c>
    </row>
    <row r="88" ht="15.75" customHeight="1">
      <c r="A88" s="7" t="s">
        <v>549</v>
      </c>
      <c r="B88" s="9" t="str">
        <f>'8조'!B$62</f>
        <v/>
      </c>
      <c r="C88" s="11" t="str">
        <f>'8조'!C$62</f>
        <v>8조 - Main-subroutine - Security</v>
      </c>
      <c r="D88" s="9" t="str">
        <f>'8조'!D$62</f>
        <v/>
      </c>
      <c r="E88" s="11" t="str">
        <f>'8조'!E$62</f>
        <v>8조 - Master-Slave - Security</v>
      </c>
    </row>
    <row r="89" ht="15.75" customHeight="1">
      <c r="A89" s="7" t="s">
        <v>551</v>
      </c>
      <c r="B89" s="9" t="str">
        <f>'9조'!B$62</f>
        <v/>
      </c>
      <c r="C89" s="11" t="str">
        <f>'9조'!C$62</f>
        <v>9조 - Main-subroutine - Security</v>
      </c>
      <c r="D89" s="9" t="str">
        <f>'9조'!D$62</f>
        <v/>
      </c>
      <c r="E89" s="11" t="str">
        <f>'9조'!E$62</f>
        <v>9조 - Master-Slave - Security</v>
      </c>
    </row>
    <row r="90" ht="15.75" customHeight="1">
      <c r="A90" s="10"/>
      <c r="B90" s="13"/>
      <c r="C90" s="10"/>
      <c r="D90" s="13"/>
      <c r="E90" s="10"/>
    </row>
    <row r="91" ht="15.75" customHeight="1">
      <c r="A91" s="6" t="s">
        <v>273</v>
      </c>
      <c r="B91" s="6" t="str">
        <f>'Detailed Reasoning'!B$63</f>
        <v/>
      </c>
      <c r="C91" s="6" t="str">
        <f>'Detailed Reasoning'!C$63</f>
        <v/>
      </c>
      <c r="D91" s="6" t="str">
        <f>'Detailed Reasoning'!D$63</f>
        <v/>
      </c>
      <c r="E91" s="6" t="str">
        <f>'Detailed Reasoning'!E$63</f>
        <v/>
      </c>
    </row>
    <row r="92" ht="15.75" customHeight="1">
      <c r="A92" s="7" t="s">
        <v>552</v>
      </c>
      <c r="B92" s="9" t="str">
        <f>'1조'!B$63</f>
        <v/>
      </c>
      <c r="C92" s="11" t="s">
        <v>553</v>
      </c>
      <c r="D92" s="9" t="str">
        <f>'1조'!D$63</f>
        <v/>
      </c>
      <c r="E92" s="11" t="s">
        <v>555</v>
      </c>
    </row>
    <row r="93" ht="15.75" customHeight="1">
      <c r="A93" s="7" t="s">
        <v>556</v>
      </c>
      <c r="B93" s="9" t="str">
        <f>'2조'!B$63</f>
        <v/>
      </c>
      <c r="C93" s="11" t="str">
        <f>'2조'!C$63</f>
        <v>2조 - Main-subroutine - Testability</v>
      </c>
      <c r="D93" s="9" t="str">
        <f>'2조'!D$63</f>
        <v/>
      </c>
      <c r="E93" s="11" t="str">
        <f>'2조'!E$63</f>
        <v>2조 - Master-Slave - Testability</v>
      </c>
    </row>
    <row r="94" ht="15.75" customHeight="1">
      <c r="A94" s="7" t="s">
        <v>560</v>
      </c>
      <c r="B94" s="9" t="str">
        <f>'3조'!B$63</f>
        <v/>
      </c>
      <c r="C94" s="11" t="str">
        <f>'3조'!C$63</f>
        <v>3조 - Main-subroutine - Testability</v>
      </c>
      <c r="D94" s="9" t="str">
        <f>'3조'!D$63</f>
        <v/>
      </c>
      <c r="E94" s="11" t="str">
        <f>'3조'!E$63</f>
        <v>3조 - Master-Slave - Testability</v>
      </c>
    </row>
    <row r="95" ht="15.75" customHeight="1">
      <c r="A95" s="7" t="s">
        <v>562</v>
      </c>
      <c r="B95" s="9" t="str">
        <f>'4조'!B$63</f>
        <v/>
      </c>
      <c r="C95" s="11" t="str">
        <f>'4조'!C$63</f>
        <v>4조 - Main-subroutine - Testability</v>
      </c>
      <c r="D95" s="9" t="str">
        <f>'4조'!D$63</f>
        <v/>
      </c>
      <c r="E95" s="11" t="str">
        <f>'4조'!E$63</f>
        <v>4조 - Master-Slave - Testability</v>
      </c>
    </row>
    <row r="96" ht="15.75" customHeight="1">
      <c r="A96" s="7" t="s">
        <v>564</v>
      </c>
      <c r="B96" s="9" t="str">
        <f>'5조'!B$63</f>
        <v/>
      </c>
      <c r="C96" s="11" t="str">
        <f>'5조'!C$63</f>
        <v>5조 - Main-subroutine - Testability</v>
      </c>
      <c r="D96" s="9" t="str">
        <f>'5조'!D$63</f>
        <v/>
      </c>
      <c r="E96" s="11" t="str">
        <f>'5조'!E$63</f>
        <v>5조 - Master-Slave - Testability</v>
      </c>
    </row>
    <row r="97" ht="15.75" customHeight="1">
      <c r="A97" s="7" t="s">
        <v>565</v>
      </c>
      <c r="B97" s="9" t="str">
        <f>'6조'!B$63</f>
        <v>0</v>
      </c>
      <c r="C97" s="11" t="str">
        <f>'6조'!C$63</f>
        <v>Subroutine 단위테스트는 쉬우나, 통합테스트의 어려움이 있음</v>
      </c>
      <c r="D97" s="9" t="str">
        <f>'6조'!D$63</f>
        <v>-</v>
      </c>
      <c r="E97" s="11" t="str">
        <f>'6조'!E$63</f>
        <v>분산된 환경에 대한 통합 테스트가 어려워진다.</v>
      </c>
    </row>
    <row r="98" ht="15.75" customHeight="1">
      <c r="A98" s="7" t="s">
        <v>567</v>
      </c>
      <c r="B98" s="9" t="str">
        <f>'7조'!B$63</f>
        <v/>
      </c>
      <c r="C98" s="11" t="str">
        <f>'7조'!C$63</f>
        <v>7조 - Main-subroutine - Testability</v>
      </c>
      <c r="D98" s="9" t="str">
        <f>'7조'!D$63</f>
        <v/>
      </c>
      <c r="E98" s="11" t="str">
        <f>'7조'!E$63</f>
        <v>7조 - Master-Slave - Testability</v>
      </c>
    </row>
    <row r="99" ht="15.75" customHeight="1">
      <c r="A99" s="7" t="s">
        <v>570</v>
      </c>
      <c r="B99" s="9" t="str">
        <f>'8조'!B$63</f>
        <v/>
      </c>
      <c r="C99" s="11" t="str">
        <f>'8조'!C$63</f>
        <v>8조 - Main-subroutine - Testability</v>
      </c>
      <c r="D99" s="9" t="str">
        <f>'8조'!D$63</f>
        <v/>
      </c>
      <c r="E99" s="11" t="str">
        <f>'8조'!E$63</f>
        <v>8조 - Master-Slave - Testability</v>
      </c>
    </row>
    <row r="100" ht="15.75" customHeight="1">
      <c r="A100" s="7" t="s">
        <v>571</v>
      </c>
      <c r="B100" s="9" t="str">
        <f>'9조'!B$63</f>
        <v/>
      </c>
      <c r="C100" s="11" t="str">
        <f>'9조'!C$63</f>
        <v>9조 - Main-subroutine - Testability</v>
      </c>
      <c r="D100" s="9" t="str">
        <f>'9조'!D$63</f>
        <v/>
      </c>
      <c r="E100" s="11" t="str">
        <f>'9조'!E$63</f>
        <v>9조 - Master-Slave - Testability</v>
      </c>
    </row>
    <row r="101" ht="15.0" customHeight="1">
      <c r="A101" s="10"/>
      <c r="B101" s="13"/>
      <c r="C101" s="10"/>
      <c r="D101" s="13"/>
      <c r="E101" s="10"/>
    </row>
    <row r="102" ht="15.75" customHeight="1">
      <c r="A102" s="6" t="s">
        <v>305</v>
      </c>
      <c r="B102" s="6" t="str">
        <f>'Detailed Reasoning'!B$64</f>
        <v/>
      </c>
      <c r="C102" s="6" t="str">
        <f>'Detailed Reasoning'!C$64</f>
        <v/>
      </c>
      <c r="D102" s="6" t="str">
        <f>'Detailed Reasoning'!D$64</f>
        <v/>
      </c>
      <c r="E102" s="6" t="str">
        <f>'Detailed Reasoning'!E$64</f>
        <v/>
      </c>
    </row>
    <row r="103" ht="15.75" customHeight="1">
      <c r="A103" s="7" t="s">
        <v>574</v>
      </c>
      <c r="B103" s="9" t="str">
        <f>'1조'!B$64</f>
        <v/>
      </c>
      <c r="C103" s="11" t="s">
        <v>575</v>
      </c>
      <c r="D103" s="9" t="str">
        <f>'1조'!D$64</f>
        <v/>
      </c>
      <c r="E103" s="11" t="s">
        <v>576</v>
      </c>
    </row>
    <row r="104" ht="15.75" customHeight="1">
      <c r="A104" s="7" t="s">
        <v>577</v>
      </c>
      <c r="B104" s="9" t="str">
        <f>'2조'!B$64</f>
        <v/>
      </c>
      <c r="C104" s="11" t="str">
        <f>'2조'!C$64</f>
        <v>2조 - Main-subroutine - Usability</v>
      </c>
      <c r="D104" s="9" t="str">
        <f>'2조'!D$64</f>
        <v/>
      </c>
      <c r="E104" s="11" t="str">
        <f>'2조'!E$64</f>
        <v>2조 - Master-Slave - Usability</v>
      </c>
    </row>
    <row r="105" ht="15.75" customHeight="1">
      <c r="A105" s="7" t="s">
        <v>578</v>
      </c>
      <c r="B105" s="9" t="str">
        <f>'3조'!B$64</f>
        <v/>
      </c>
      <c r="C105" s="11" t="str">
        <f>'3조'!C$64</f>
        <v>3조 - Main-subroutine - Usability</v>
      </c>
      <c r="D105" s="9" t="str">
        <f>'3조'!D$64</f>
        <v/>
      </c>
      <c r="E105" s="11" t="str">
        <f>'3조'!E$64</f>
        <v>3조 - Master-Slave - Usability</v>
      </c>
    </row>
    <row r="106" ht="15.75" customHeight="1">
      <c r="A106" s="7" t="s">
        <v>580</v>
      </c>
      <c r="B106" s="9" t="str">
        <f>'4조'!B$64</f>
        <v/>
      </c>
      <c r="C106" s="11" t="str">
        <f>'4조'!C$64</f>
        <v>4조 - Main-subroutine - Usability</v>
      </c>
      <c r="D106" s="9" t="str">
        <f>'4조'!D$64</f>
        <v/>
      </c>
      <c r="E106" s="11" t="str">
        <f>'4조'!E$64</f>
        <v>4조 - Master-Slave - Usability</v>
      </c>
    </row>
    <row r="107" ht="15.75" customHeight="1">
      <c r="A107" s="7" t="s">
        <v>581</v>
      </c>
      <c r="B107" s="9" t="str">
        <f>'5조'!B$64</f>
        <v/>
      </c>
      <c r="C107" s="11" t="str">
        <f>'5조'!C$64</f>
        <v>5조 - Main-subroutine - Usability</v>
      </c>
      <c r="D107" s="9" t="str">
        <f>'5조'!D$64</f>
        <v/>
      </c>
      <c r="E107" s="11" t="str">
        <f>'5조'!E$64</f>
        <v>5조 - Master-Slave - Usability</v>
      </c>
    </row>
    <row r="108" ht="15.75" customHeight="1">
      <c r="A108" s="7" t="s">
        <v>583</v>
      </c>
      <c r="B108" s="9" t="str">
        <f>'6조'!B$64</f>
        <v>0</v>
      </c>
      <c r="C108" s="11" t="str">
        <f>'6조'!C$64</f>
        <v>구조 자체가 사용자 경험을 직접 결정하지 않음</v>
      </c>
      <c r="D108" s="9" t="str">
        <f>'6조'!D$64</f>
        <v>+</v>
      </c>
      <c r="E108" s="11" t="str">
        <f>'6조'!E$64</f>
        <v>대부분의 경우 쓰기 작업보다 읽기 작업이 일반적으로 더 많이 발생하기 때문에 읽기 작업에 대한 응답시간 향상은 사용자 경험을 증대시킬 수 있다.</v>
      </c>
    </row>
    <row r="109" ht="15.75" customHeight="1">
      <c r="A109" s="7" t="s">
        <v>585</v>
      </c>
      <c r="B109" s="9" t="str">
        <f>'7조'!B$64</f>
        <v/>
      </c>
      <c r="C109" s="11" t="str">
        <f>'7조'!C$64</f>
        <v>7조 - Main-subroutine - Usability</v>
      </c>
      <c r="D109" s="9" t="str">
        <f>'7조'!D$64</f>
        <v/>
      </c>
      <c r="E109" s="11" t="str">
        <f>'7조'!E$64</f>
        <v>7조 - Master-Slave - Usability</v>
      </c>
    </row>
    <row r="110" ht="15.75" customHeight="1">
      <c r="A110" s="7" t="s">
        <v>586</v>
      </c>
      <c r="B110" s="9" t="str">
        <f>'8조'!B$64</f>
        <v/>
      </c>
      <c r="C110" s="11" t="str">
        <f>'8조'!C$64</f>
        <v>8조 - Main-subroutine - Usability</v>
      </c>
      <c r="D110" s="9" t="str">
        <f>'8조'!D$64</f>
        <v/>
      </c>
      <c r="E110" s="11" t="str">
        <f>'8조'!E$64</f>
        <v>8조 - Master-Slave - Usability</v>
      </c>
    </row>
    <row r="111" ht="15.75" customHeight="1">
      <c r="A111" s="7" t="s">
        <v>587</v>
      </c>
      <c r="B111" s="9" t="str">
        <f>'9조'!B$64</f>
        <v/>
      </c>
      <c r="C111" s="11" t="str">
        <f>'9조'!C$64</f>
        <v>9조 - Main-subroutine - Usability</v>
      </c>
      <c r="D111" s="9" t="str">
        <f>'9조'!D$64</f>
        <v/>
      </c>
      <c r="E111" s="11" t="str">
        <f>'9조'!E$64</f>
        <v>9조 - Master-Slave - Usability</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32.43"/>
    <col customWidth="1" min="4" max="4" width="7.71"/>
    <col customWidth="1" min="5" max="5" width="40.29"/>
    <col customWidth="1" min="6" max="6" width="7.71"/>
    <col customWidth="1" min="7" max="7" width="36.71"/>
  </cols>
  <sheetData>
    <row r="1">
      <c r="A1" s="1" t="s">
        <v>361</v>
      </c>
      <c r="B1" s="2" t="s">
        <v>377</v>
      </c>
      <c r="C1" s="3"/>
      <c r="D1" s="2" t="s">
        <v>378</v>
      </c>
      <c r="E1" s="3"/>
      <c r="F1" s="2" t="s">
        <v>379</v>
      </c>
      <c r="G1" s="3"/>
    </row>
    <row r="2">
      <c r="A2" s="4"/>
      <c r="B2" s="5" t="s">
        <v>12</v>
      </c>
      <c r="C2" s="5" t="s">
        <v>13</v>
      </c>
      <c r="D2" s="5" t="s">
        <v>12</v>
      </c>
      <c r="E2" s="5" t="s">
        <v>13</v>
      </c>
      <c r="F2" s="5" t="s">
        <v>12</v>
      </c>
      <c r="G2" s="5" t="s">
        <v>13</v>
      </c>
    </row>
    <row r="3" ht="15.0" customHeight="1">
      <c r="A3" s="6" t="s">
        <v>14</v>
      </c>
      <c r="B3" s="6" t="str">
        <f>'Detailed Reasoning'!B$68</f>
        <v/>
      </c>
      <c r="C3" s="6" t="str">
        <f>'Detailed Reasoning'!C$68</f>
        <v/>
      </c>
      <c r="D3" s="6" t="str">
        <f>'Detailed Reasoning'!D$68</f>
        <v/>
      </c>
      <c r="E3" s="6" t="str">
        <f>'Detailed Reasoning'!E$68</f>
        <v/>
      </c>
      <c r="F3" s="8" t="str">
        <f>'Detailed Reasoning'!F$68</f>
        <v/>
      </c>
      <c r="G3" s="8" t="str">
        <f>'Detailed Reasoning'!G$68</f>
        <v/>
      </c>
    </row>
    <row r="4">
      <c r="A4" s="14" t="s">
        <v>384</v>
      </c>
      <c r="B4" s="15" t="str">
        <f>'1조'!B$68</f>
        <v/>
      </c>
      <c r="C4" s="15" t="s">
        <v>385</v>
      </c>
      <c r="D4" s="15" t="str">
        <f>'1조'!D$68</f>
        <v/>
      </c>
      <c r="E4" s="15" t="s">
        <v>388</v>
      </c>
      <c r="F4" s="15" t="str">
        <f>'1조'!F$68</f>
        <v/>
      </c>
      <c r="G4" s="15" t="s">
        <v>390</v>
      </c>
    </row>
    <row r="5">
      <c r="A5" s="14" t="s">
        <v>391</v>
      </c>
      <c r="B5" s="15" t="str">
        <f>'2조'!B$68</f>
        <v/>
      </c>
      <c r="C5" s="15" t="str">
        <f>'2조'!C$68</f>
        <v>2조 - Layered - Availability</v>
      </c>
      <c r="D5" s="15" t="str">
        <f>'2조'!D$68</f>
        <v/>
      </c>
      <c r="E5" s="15" t="str">
        <f>'2조'!E$68</f>
        <v>2조 - Virtual Machine - Availability</v>
      </c>
      <c r="F5" s="15" t="str">
        <f>'2조'!F$68</f>
        <v/>
      </c>
      <c r="G5" s="15" t="str">
        <f>'2조'!G$68</f>
        <v>2조 - Microkernel - Availability</v>
      </c>
    </row>
    <row r="6">
      <c r="A6" s="14" t="s">
        <v>399</v>
      </c>
      <c r="B6" s="15" t="str">
        <f>'3조'!B$68</f>
        <v/>
      </c>
      <c r="C6" s="15" t="str">
        <f>'3조'!C$68</f>
        <v>3조 - Layered - Availability</v>
      </c>
      <c r="D6" s="15" t="str">
        <f>'3조'!D$68</f>
        <v/>
      </c>
      <c r="E6" s="15" t="str">
        <f>'3조'!E$68</f>
        <v>3조 - Virtual Machine - Availability</v>
      </c>
      <c r="F6" s="15" t="str">
        <f>'3조'!F$68</f>
        <v/>
      </c>
      <c r="G6" s="15" t="str">
        <f>'3조'!G$68</f>
        <v>3조 - Microkernel - Availability</v>
      </c>
    </row>
    <row r="7">
      <c r="A7" s="14" t="s">
        <v>403</v>
      </c>
      <c r="B7" s="15" t="str">
        <f>'4조'!B$68</f>
        <v/>
      </c>
      <c r="C7" s="15" t="str">
        <f>'4조'!C$68</f>
        <v>4조 - Layered - Availability</v>
      </c>
      <c r="D7" s="15" t="str">
        <f>'4조'!D$68</f>
        <v/>
      </c>
      <c r="E7" s="15" t="str">
        <f>'4조'!E$68</f>
        <v>4조 - Virtual Machine - Availability</v>
      </c>
      <c r="F7" s="15" t="str">
        <f>'4조'!F$68</f>
        <v/>
      </c>
      <c r="G7" s="15" t="str">
        <f>'4조'!G$68</f>
        <v>4조 - Microkernel - Availability</v>
      </c>
    </row>
    <row r="8">
      <c r="A8" s="14" t="s">
        <v>409</v>
      </c>
      <c r="B8" s="15" t="str">
        <f>'5조'!B$68</f>
        <v/>
      </c>
      <c r="C8" s="15" t="str">
        <f>'5조'!C$68</f>
        <v>5조 - Layered - Availability</v>
      </c>
      <c r="D8" s="15" t="str">
        <f>'5조'!D$68</f>
        <v/>
      </c>
      <c r="E8" s="15" t="str">
        <f>'5조'!E$68</f>
        <v>5조 - Virtual Machine - Availability</v>
      </c>
      <c r="F8" s="15" t="str">
        <f>'5조'!F$68</f>
        <v/>
      </c>
      <c r="G8" s="15" t="str">
        <f>'5조'!G$68</f>
        <v>5조 - Microkernel - Availability</v>
      </c>
    </row>
    <row r="9">
      <c r="A9" s="14" t="s">
        <v>414</v>
      </c>
      <c r="B9" s="15" t="str">
        <f>'6조'!B$68</f>
        <v>0</v>
      </c>
      <c r="C9" s="15" t="str">
        <f>'6조'!C$68</f>
        <v>계층 분리는 결함의 위치 파악과 복구에 도움이 되지만, 하위 Layer에 장애가 발생하면 이를 사용하는 모든 상위 Layer가 영향을 받는다.</v>
      </c>
      <c r="D9" s="15" t="str">
        <f>'6조'!D$68</f>
        <v/>
      </c>
      <c r="E9" s="15" t="str">
        <f>'6조'!E$68</f>
        <v>6조 - Virtual Machine - Availability</v>
      </c>
      <c r="F9" s="15" t="str">
        <f>'6조'!F$68</f>
        <v/>
      </c>
      <c r="G9" s="15" t="str">
        <f>'6조'!G$68</f>
        <v>6조 - Microkernel - Availability</v>
      </c>
    </row>
    <row r="10">
      <c r="A10" s="14" t="s">
        <v>420</v>
      </c>
      <c r="B10" s="15" t="str">
        <f>'7조'!B$68</f>
        <v/>
      </c>
      <c r="C10" s="15" t="str">
        <f>'7조'!C$68</f>
        <v>7조 - Layered - Availability</v>
      </c>
      <c r="D10" s="15" t="str">
        <f>'7조'!D$68</f>
        <v/>
      </c>
      <c r="E10" s="15" t="str">
        <f>'7조'!E$68</f>
        <v>7조 - Virtual Machine - Availability</v>
      </c>
      <c r="F10" s="15" t="str">
        <f>'7조'!F$68</f>
        <v/>
      </c>
      <c r="G10" s="15" t="str">
        <f>'7조'!G$68</f>
        <v>7조 - Microkernel - Availability</v>
      </c>
    </row>
    <row r="11">
      <c r="A11" s="14" t="s">
        <v>424</v>
      </c>
      <c r="B11" s="15" t="str">
        <f>'8조'!B$68</f>
        <v/>
      </c>
      <c r="C11" s="15" t="str">
        <f>'8조'!C$68</f>
        <v>8조 - Layered - Availability</v>
      </c>
      <c r="D11" s="15" t="str">
        <f>'8조'!D$68</f>
        <v/>
      </c>
      <c r="E11" s="15" t="str">
        <f>'8조'!E$68</f>
        <v>8조 - Virtual Machine - Availability</v>
      </c>
      <c r="F11" s="15" t="str">
        <f>'8조'!F$68</f>
        <v/>
      </c>
      <c r="G11" s="15" t="str">
        <f>'8조'!G$68</f>
        <v>8조 - Microkernel - Availability</v>
      </c>
    </row>
    <row r="12">
      <c r="A12" s="14" t="s">
        <v>426</v>
      </c>
      <c r="B12" s="15" t="str">
        <f>'9조'!B$68</f>
        <v/>
      </c>
      <c r="C12" s="15" t="str">
        <f>'9조'!C$68</f>
        <v>9조 - Layered - Availability</v>
      </c>
      <c r="D12" s="15" t="str">
        <f>'9조'!D$68</f>
        <v/>
      </c>
      <c r="E12" s="15" t="str">
        <f>'9조'!E$68</f>
        <v>9조 - Virtual Machine - Availability</v>
      </c>
      <c r="F12" s="15" t="str">
        <f>'9조'!F$68</f>
        <v/>
      </c>
      <c r="G12" s="15" t="str">
        <f>'9조'!G$68</f>
        <v>9조 - Microkernel - Availability</v>
      </c>
    </row>
    <row r="13">
      <c r="A13" s="16"/>
      <c r="B13" s="16"/>
      <c r="C13" s="16"/>
      <c r="D13" s="16"/>
      <c r="E13" s="16"/>
      <c r="F13" s="16"/>
      <c r="G13" s="16"/>
    </row>
    <row r="14" ht="15.0" customHeight="1">
      <c r="A14" s="6" t="s">
        <v>44</v>
      </c>
      <c r="B14" s="6" t="str">
        <f>'Detailed Reasoning'!B$69</f>
        <v/>
      </c>
      <c r="C14" s="6" t="str">
        <f>'Detailed Reasoning'!C$69</f>
        <v/>
      </c>
      <c r="D14" s="6" t="str">
        <f>'Detailed Reasoning'!D$69</f>
        <v/>
      </c>
      <c r="E14" s="6" t="str">
        <f>'Detailed Reasoning'!E$69</f>
        <v/>
      </c>
      <c r="F14" s="8" t="str">
        <f>'Detailed Reasoning'!F$69</f>
        <v/>
      </c>
      <c r="G14" s="8" t="str">
        <f>'Detailed Reasoning'!G$69</f>
        <v/>
      </c>
    </row>
    <row r="15">
      <c r="A15" s="14" t="s">
        <v>432</v>
      </c>
      <c r="B15" s="15" t="str">
        <f>'1조'!B$69</f>
        <v/>
      </c>
      <c r="C15" s="15" t="s">
        <v>434</v>
      </c>
      <c r="D15" s="15" t="str">
        <f>'1조'!D$69</f>
        <v/>
      </c>
      <c r="E15" s="15" t="s">
        <v>435</v>
      </c>
      <c r="F15" s="15" t="str">
        <f>'1조'!F$69</f>
        <v/>
      </c>
      <c r="G15" s="15" t="s">
        <v>436</v>
      </c>
    </row>
    <row r="16">
      <c r="A16" s="14" t="s">
        <v>437</v>
      </c>
      <c r="B16" s="15" t="str">
        <f>'2조'!B$69</f>
        <v/>
      </c>
      <c r="C16" s="15" t="str">
        <f>'2조'!C$69</f>
        <v>2조 - Layered - Deployability</v>
      </c>
      <c r="D16" s="15" t="str">
        <f>'2조'!D$69</f>
        <v/>
      </c>
      <c r="E16" s="15" t="str">
        <f>'2조'!E$69</f>
        <v>2조 - Virtual Machine - Deployability</v>
      </c>
      <c r="F16" s="15" t="str">
        <f>'2조'!F$69</f>
        <v/>
      </c>
      <c r="G16" s="15" t="str">
        <f>'2조'!G$69</f>
        <v>2조 - Microkernel - Deployability</v>
      </c>
    </row>
    <row r="17">
      <c r="A17" s="14" t="s">
        <v>441</v>
      </c>
      <c r="B17" s="15" t="str">
        <f>'3조'!B$69</f>
        <v/>
      </c>
      <c r="C17" s="15" t="str">
        <f>'3조'!C$69</f>
        <v>3조 - Layered - Deployability</v>
      </c>
      <c r="D17" s="15" t="str">
        <f>'3조'!D$69</f>
        <v/>
      </c>
      <c r="E17" s="15" t="str">
        <f>'3조'!E$69</f>
        <v>3조 - Virtual Machine - Deployability</v>
      </c>
      <c r="F17" s="15" t="str">
        <f>'3조'!F$69</f>
        <v/>
      </c>
      <c r="G17" s="15" t="str">
        <f>'3조'!G$69</f>
        <v>3조 - Microkernel - Deployability</v>
      </c>
    </row>
    <row r="18">
      <c r="A18" s="14" t="s">
        <v>445</v>
      </c>
      <c r="B18" s="15" t="str">
        <f>'4조'!B$69</f>
        <v/>
      </c>
      <c r="C18" s="15" t="str">
        <f>'4조'!C$69</f>
        <v>4조 - Layered - Deployability</v>
      </c>
      <c r="D18" s="15" t="str">
        <f>'4조'!D$69</f>
        <v/>
      </c>
      <c r="E18" s="15" t="str">
        <f>'4조'!E$69</f>
        <v>4조 - Virtual Machine - Deployability</v>
      </c>
      <c r="F18" s="15" t="str">
        <f>'4조'!F$69</f>
        <v/>
      </c>
      <c r="G18" s="15" t="str">
        <f>'4조'!G$69</f>
        <v>4조 - Microkernel - Deployability</v>
      </c>
    </row>
    <row r="19">
      <c r="A19" s="14" t="s">
        <v>448</v>
      </c>
      <c r="B19" s="15" t="str">
        <f>'5조'!B$69</f>
        <v/>
      </c>
      <c r="C19" s="15" t="str">
        <f>'5조'!C$69</f>
        <v>5조 - Layered - Deployability</v>
      </c>
      <c r="D19" s="15" t="str">
        <f>'5조'!D$69</f>
        <v/>
      </c>
      <c r="E19" s="15" t="str">
        <f>'5조'!E$69</f>
        <v>5조 - Virtual Machine - Deployability</v>
      </c>
      <c r="F19" s="15" t="str">
        <f>'5조'!F$69</f>
        <v/>
      </c>
      <c r="G19" s="15" t="str">
        <f>'5조'!G$69</f>
        <v>5조 - Microkernel - Deployability</v>
      </c>
    </row>
    <row r="20">
      <c r="A20" s="14" t="s">
        <v>451</v>
      </c>
      <c r="B20" s="15" t="str">
        <f>'6조'!B$69</f>
        <v>+</v>
      </c>
      <c r="C20" s="15" t="str">
        <f>'6조'!C$69</f>
        <v>계층별 책임과 인터페이스가 분리되어 있어 변경된 Layer를 비교적 독립적으로 배포·교체할 수 있다. 다만 하위 인터페이스 변경 시 상위 Layer도 함께 배포해야 할 수 있다.</v>
      </c>
      <c r="D20" s="15" t="str">
        <f>'6조'!D$69</f>
        <v/>
      </c>
      <c r="E20" s="15" t="str">
        <f>'6조'!E$69</f>
        <v>6조 - Virtual Machine - Deployability</v>
      </c>
      <c r="F20" s="15" t="str">
        <f>'6조'!F$69</f>
        <v/>
      </c>
      <c r="G20" s="15" t="str">
        <f>'6조'!G$69</f>
        <v>6조 - Microkernel - Deployability</v>
      </c>
    </row>
    <row r="21" ht="15.75" customHeight="1">
      <c r="A21" s="14" t="s">
        <v>455</v>
      </c>
      <c r="B21" s="15" t="str">
        <f>'7조'!B$69</f>
        <v/>
      </c>
      <c r="C21" s="15" t="str">
        <f>'7조'!C$69</f>
        <v>7조 - Layered - Deployability</v>
      </c>
      <c r="D21" s="15" t="str">
        <f>'7조'!D$69</f>
        <v/>
      </c>
      <c r="E21" s="15" t="str">
        <f>'7조'!E$69</f>
        <v>7조 - Virtual Machine - Deployability</v>
      </c>
      <c r="F21" s="15" t="str">
        <f>'7조'!F$69</f>
        <v/>
      </c>
      <c r="G21" s="15" t="str">
        <f>'7조'!G$69</f>
        <v>7조 - Microkernel - Deployability</v>
      </c>
    </row>
    <row r="22" ht="15.75" customHeight="1">
      <c r="A22" s="14" t="s">
        <v>459</v>
      </c>
      <c r="B22" s="15" t="str">
        <f>'8조'!B$69</f>
        <v/>
      </c>
      <c r="C22" s="15" t="str">
        <f>'8조'!C$69</f>
        <v>8조 - Layered - Deployability</v>
      </c>
      <c r="D22" s="15" t="str">
        <f>'8조'!D$69</f>
        <v/>
      </c>
      <c r="E22" s="15" t="str">
        <f>'8조'!E$69</f>
        <v>8조 - Virtual Machine - Deployability</v>
      </c>
      <c r="F22" s="15" t="str">
        <f>'8조'!F$69</f>
        <v/>
      </c>
      <c r="G22" s="15" t="str">
        <f>'8조'!G$69</f>
        <v>8조 - Microkernel - Deployability</v>
      </c>
    </row>
    <row r="23" ht="15.75" customHeight="1">
      <c r="A23" s="14" t="s">
        <v>463</v>
      </c>
      <c r="B23" s="15" t="str">
        <f>'9조'!B$69</f>
        <v/>
      </c>
      <c r="C23" s="15" t="str">
        <f>'9조'!C$69</f>
        <v>9조 - Layered - Deployability</v>
      </c>
      <c r="D23" s="15" t="str">
        <f>'9조'!D$69</f>
        <v/>
      </c>
      <c r="E23" s="15" t="str">
        <f>'9조'!E$69</f>
        <v>9조 - Virtual Machine - Deployability</v>
      </c>
      <c r="F23" s="15" t="str">
        <f>'9조'!F$69</f>
        <v/>
      </c>
      <c r="G23" s="15" t="str">
        <f>'9조'!G$69</f>
        <v>9조 - Microkernel - Deployability</v>
      </c>
    </row>
    <row r="24" ht="15.75" customHeight="1">
      <c r="A24" s="16"/>
      <c r="B24" s="16"/>
      <c r="C24" s="16"/>
      <c r="D24" s="16"/>
      <c r="E24" s="16"/>
      <c r="F24" s="16"/>
      <c r="G24" s="16"/>
    </row>
    <row r="25" ht="15.0" customHeight="1">
      <c r="A25" s="6" t="s">
        <v>80</v>
      </c>
      <c r="B25" s="6" t="str">
        <f>'Detailed Reasoning'!B$70</f>
        <v/>
      </c>
      <c r="C25" s="6" t="str">
        <f>'Detailed Reasoning'!C$70</f>
        <v/>
      </c>
      <c r="D25" s="6" t="str">
        <f>'Detailed Reasoning'!D$70</f>
        <v/>
      </c>
      <c r="E25" s="6" t="str">
        <f>'Detailed Reasoning'!E$70</f>
        <v/>
      </c>
      <c r="F25" s="8" t="str">
        <f>'Detailed Reasoning'!F$70</f>
        <v/>
      </c>
      <c r="G25" s="8" t="str">
        <f>'Detailed Reasoning'!G$70</f>
        <v/>
      </c>
    </row>
    <row r="26" ht="15.75" customHeight="1">
      <c r="A26" s="14" t="s">
        <v>467</v>
      </c>
      <c r="B26" s="15" t="str">
        <f>'1조'!B$70</f>
        <v/>
      </c>
      <c r="C26" s="15" t="s">
        <v>469</v>
      </c>
      <c r="D26" s="15" t="str">
        <f>'1조'!D$70</f>
        <v/>
      </c>
      <c r="E26" s="15" t="s">
        <v>470</v>
      </c>
      <c r="F26" s="15" t="str">
        <f>'1조'!F$70</f>
        <v/>
      </c>
      <c r="G26" s="15" t="s">
        <v>471</v>
      </c>
    </row>
    <row r="27" ht="15.75" customHeight="1">
      <c r="A27" s="14" t="s">
        <v>472</v>
      </c>
      <c r="B27" s="15" t="str">
        <f>'2조'!B$70</f>
        <v/>
      </c>
      <c r="C27" s="15" t="str">
        <f>'2조'!C$70</f>
        <v>2조 - Layered - Integrability</v>
      </c>
      <c r="D27" s="15" t="str">
        <f>'2조'!D$70</f>
        <v/>
      </c>
      <c r="E27" s="15" t="str">
        <f>'2조'!E$70</f>
        <v>2조 - Virtual Machine - Integrability</v>
      </c>
      <c r="F27" s="15" t="str">
        <f>'2조'!F$70</f>
        <v/>
      </c>
      <c r="G27" s="15" t="str">
        <f>'2조'!G$70</f>
        <v>2조 - Microkernel - Integrability</v>
      </c>
    </row>
    <row r="28" ht="15.75" customHeight="1">
      <c r="A28" s="14" t="s">
        <v>475</v>
      </c>
      <c r="B28" s="15" t="str">
        <f>'3조'!B$70</f>
        <v/>
      </c>
      <c r="C28" s="15" t="str">
        <f>'3조'!C$70</f>
        <v>3조 - Layered - Integrability</v>
      </c>
      <c r="D28" s="15" t="str">
        <f>'3조'!D$70</f>
        <v/>
      </c>
      <c r="E28" s="15" t="str">
        <f>'3조'!E$70</f>
        <v>3조 - Virtual Machine - Integrability</v>
      </c>
      <c r="F28" s="15" t="str">
        <f>'3조'!F$70</f>
        <v/>
      </c>
      <c r="G28" s="15" t="str">
        <f>'3조'!G$70</f>
        <v>3조 - Microkernel - Integrability</v>
      </c>
    </row>
    <row r="29" ht="15.75" customHeight="1">
      <c r="A29" s="14" t="s">
        <v>476</v>
      </c>
      <c r="B29" s="15" t="str">
        <f>'4조'!B$70</f>
        <v/>
      </c>
      <c r="C29" s="15" t="str">
        <f>'4조'!C$70</f>
        <v>4조 - Layered - Integrability</v>
      </c>
      <c r="D29" s="15" t="str">
        <f>'4조'!D$70</f>
        <v/>
      </c>
      <c r="E29" s="15" t="str">
        <f>'4조'!E$70</f>
        <v>4조 - Virtual Machine - Integrability</v>
      </c>
      <c r="F29" s="15" t="str">
        <f>'4조'!F$70</f>
        <v/>
      </c>
      <c r="G29" s="15" t="str">
        <f>'4조'!G$70</f>
        <v>4조 - Microkernel - Integrability</v>
      </c>
    </row>
    <row r="30" ht="15.75" customHeight="1">
      <c r="A30" s="14" t="s">
        <v>480</v>
      </c>
      <c r="B30" s="15" t="str">
        <f>'5조'!B$70</f>
        <v/>
      </c>
      <c r="C30" s="15" t="str">
        <f>'5조'!C$70</f>
        <v>5조 - Layered - Integrability</v>
      </c>
      <c r="D30" s="15" t="str">
        <f>'5조'!D$70</f>
        <v/>
      </c>
      <c r="E30" s="15" t="str">
        <f>'5조'!E$70</f>
        <v>5조 - Virtual Machine - Integrability</v>
      </c>
      <c r="F30" s="15" t="str">
        <f>'5조'!F$70</f>
        <v/>
      </c>
      <c r="G30" s="15" t="str">
        <f>'5조'!G$70</f>
        <v>5조 - Microkernel - Integrability</v>
      </c>
    </row>
    <row r="31" ht="15.75" customHeight="1">
      <c r="A31" s="14" t="s">
        <v>483</v>
      </c>
      <c r="B31" s="15" t="str">
        <f>'6조'!B$70</f>
        <v>+</v>
      </c>
      <c r="C31" s="15" t="str">
        <f>'6조'!C$70</f>
        <v>각 layer가 정의된 인터페이스로 서비스를 제공하므로(약한 결합), 그 인터페이스만 유지되면 아래 구현을 새 컴포넌트로 교체하거나 다른 시스템과 연동하기 쉽다</v>
      </c>
      <c r="D31" s="15" t="str">
        <f>'6조'!D$70</f>
        <v/>
      </c>
      <c r="E31" s="15" t="str">
        <f>'6조'!E$70</f>
        <v>6조 - Virtual Machine - Integrability</v>
      </c>
      <c r="F31" s="15" t="str">
        <f>'6조'!F$70</f>
        <v/>
      </c>
      <c r="G31" s="15" t="str">
        <f>'6조'!G$70</f>
        <v>6조 - Microkernel - Integrability</v>
      </c>
    </row>
    <row r="32" ht="15.75" customHeight="1">
      <c r="A32" s="14" t="s">
        <v>486</v>
      </c>
      <c r="B32" s="15" t="str">
        <f>'7조'!B$70</f>
        <v/>
      </c>
      <c r="C32" s="15" t="str">
        <f>'7조'!C$70</f>
        <v>7조 - Layered - Integrability</v>
      </c>
      <c r="D32" s="15" t="str">
        <f>'7조'!D$70</f>
        <v/>
      </c>
      <c r="E32" s="15" t="str">
        <f>'7조'!E$70</f>
        <v>7조 - Virtual Machine - Integrability</v>
      </c>
      <c r="F32" s="15" t="str">
        <f>'7조'!F$70</f>
        <v/>
      </c>
      <c r="G32" s="15" t="str">
        <f>'7조'!G$70</f>
        <v>7조 - Microkernel - Integrability</v>
      </c>
    </row>
    <row r="33" ht="15.75" customHeight="1">
      <c r="A33" s="14" t="s">
        <v>489</v>
      </c>
      <c r="B33" s="15" t="str">
        <f>'8조'!B$70</f>
        <v/>
      </c>
      <c r="C33" s="15" t="str">
        <f>'8조'!C$70</f>
        <v>8조 - Layered - Integrability</v>
      </c>
      <c r="D33" s="15" t="str">
        <f>'8조'!D$70</f>
        <v/>
      </c>
      <c r="E33" s="15" t="str">
        <f>'8조'!E$70</f>
        <v>8조 - Virtual Machine - Integrability</v>
      </c>
      <c r="F33" s="15" t="str">
        <f>'8조'!F$70</f>
        <v/>
      </c>
      <c r="G33" s="15" t="str">
        <f>'8조'!G$70</f>
        <v>8조 - Microkernel - Integrability</v>
      </c>
    </row>
    <row r="34" ht="15.75" customHeight="1">
      <c r="A34" s="14" t="s">
        <v>492</v>
      </c>
      <c r="B34" s="15" t="str">
        <f>'9조'!B$70</f>
        <v/>
      </c>
      <c r="C34" s="15" t="str">
        <f>'9조'!C$70</f>
        <v>9조 - Layered - Integrability</v>
      </c>
      <c r="D34" s="15" t="str">
        <f>'9조'!D$70</f>
        <v/>
      </c>
      <c r="E34" s="15" t="str">
        <f>'9조'!E$70</f>
        <v>9조 - Virtual Machine - Integrability</v>
      </c>
      <c r="F34" s="15" t="str">
        <f>'9조'!F$70</f>
        <v/>
      </c>
      <c r="G34" s="15" t="str">
        <f>'9조'!G$70</f>
        <v>9조 - Microkernel - Integrability</v>
      </c>
    </row>
    <row r="35" ht="15.75" customHeight="1">
      <c r="A35" s="16"/>
      <c r="B35" s="16"/>
      <c r="C35" s="16"/>
      <c r="D35" s="16"/>
      <c r="E35" s="16"/>
      <c r="F35" s="16"/>
      <c r="G35" s="16"/>
    </row>
    <row r="36" ht="15.75" customHeight="1">
      <c r="A36" s="6" t="s">
        <v>113</v>
      </c>
      <c r="B36" s="6" t="str">
        <f>'Detailed Reasoning'!B$71</f>
        <v/>
      </c>
      <c r="C36" s="6" t="str">
        <f>'Detailed Reasoning'!C$71</f>
        <v/>
      </c>
      <c r="D36" s="6" t="str">
        <f>'Detailed Reasoning'!D$71</f>
        <v/>
      </c>
      <c r="E36" s="6" t="str">
        <f>'Detailed Reasoning'!E$71</f>
        <v/>
      </c>
      <c r="F36" s="8" t="str">
        <f>'Detailed Reasoning'!F$71</f>
        <v/>
      </c>
      <c r="G36" s="8" t="str">
        <f>'Detailed Reasoning'!G$71</f>
        <v/>
      </c>
    </row>
    <row r="37" ht="15.75" customHeight="1">
      <c r="A37" s="16" t="s">
        <v>497</v>
      </c>
      <c r="B37" s="15" t="str">
        <f>'1조'!B$71</f>
        <v/>
      </c>
      <c r="C37" s="15" t="s">
        <v>500</v>
      </c>
      <c r="D37" s="15" t="str">
        <f>'1조'!D$71</f>
        <v/>
      </c>
      <c r="E37" s="15" t="s">
        <v>501</v>
      </c>
      <c r="F37" s="15" t="str">
        <f>'1조'!F$71</f>
        <v/>
      </c>
      <c r="G37" s="15" t="s">
        <v>503</v>
      </c>
    </row>
    <row r="38" ht="15.75" customHeight="1">
      <c r="A38" s="16" t="s">
        <v>504</v>
      </c>
      <c r="B38" s="15" t="str">
        <f>'2조'!B$71</f>
        <v/>
      </c>
      <c r="C38" s="15" t="str">
        <f>'2조'!C$71</f>
        <v>2조 - Layered - Energy Efficiency</v>
      </c>
      <c r="D38" s="15" t="str">
        <f>'2조'!D$71</f>
        <v/>
      </c>
      <c r="E38" s="15" t="str">
        <f>'2조'!E$71</f>
        <v>2조 - Virtual Machine - Energy Efficiency</v>
      </c>
      <c r="F38" s="15" t="str">
        <f>'2조'!F$71</f>
        <v/>
      </c>
      <c r="G38" s="15" t="str">
        <f>'2조'!G$71</f>
        <v>2조 - Microkernel - Energy Efficiency</v>
      </c>
    </row>
    <row r="39" ht="15.75" customHeight="1">
      <c r="A39" s="16" t="s">
        <v>507</v>
      </c>
      <c r="B39" s="15" t="str">
        <f>'3조'!B$71</f>
        <v/>
      </c>
      <c r="C39" s="15" t="str">
        <f>'3조'!C$71</f>
        <v>3조 - Layered - Energy Efficiency</v>
      </c>
      <c r="D39" s="15" t="str">
        <f>'3조'!D$71</f>
        <v/>
      </c>
      <c r="E39" s="15" t="str">
        <f>'3조'!E$71</f>
        <v>3조 - Virtual Machine - Energy Efficiency</v>
      </c>
      <c r="F39" s="15" t="str">
        <f>'3조'!F$71</f>
        <v/>
      </c>
      <c r="G39" s="15" t="str">
        <f>'3조'!G$71</f>
        <v>3조 - Microkernel - Energy Efficiency</v>
      </c>
    </row>
    <row r="40" ht="15.75" customHeight="1">
      <c r="A40" s="16" t="s">
        <v>509</v>
      </c>
      <c r="B40" s="15" t="str">
        <f>'4조'!B$71</f>
        <v/>
      </c>
      <c r="C40" s="15" t="str">
        <f>'4조'!C$71</f>
        <v>4조 - Layered - Energy Efficiency</v>
      </c>
      <c r="D40" s="15" t="str">
        <f>'4조'!D$71</f>
        <v/>
      </c>
      <c r="E40" s="15" t="str">
        <f>'4조'!E$71</f>
        <v>4조 - Virtual Machine - Energy Efficiency</v>
      </c>
      <c r="F40" s="15" t="str">
        <f>'4조'!F$71</f>
        <v/>
      </c>
      <c r="G40" s="15" t="str">
        <f>'4조'!G$71</f>
        <v>4조 - Microkernel - Energy Efficiency</v>
      </c>
    </row>
    <row r="41" ht="15.75" customHeight="1">
      <c r="A41" s="16" t="s">
        <v>511</v>
      </c>
      <c r="B41" s="15" t="str">
        <f>'5조'!B$71</f>
        <v/>
      </c>
      <c r="C41" s="15" t="str">
        <f>'5조'!C$71</f>
        <v>5조 - Layered - Energy Efficiency</v>
      </c>
      <c r="D41" s="15" t="str">
        <f>'5조'!D$71</f>
        <v/>
      </c>
      <c r="E41" s="15" t="str">
        <f>'5조'!E$71</f>
        <v>5조 - Virtual Machine - Energy Efficiency</v>
      </c>
      <c r="F41" s="15" t="str">
        <f>'5조'!F$71</f>
        <v/>
      </c>
      <c r="G41" s="15" t="str">
        <f>'5조'!G$71</f>
        <v>5조 - Microkernel - Energy Efficiency</v>
      </c>
    </row>
    <row r="42" ht="15.75" customHeight="1">
      <c r="A42" s="16" t="s">
        <v>513</v>
      </c>
      <c r="B42" s="15" t="str">
        <f>'6조'!B$71</f>
        <v>-</v>
      </c>
      <c r="C42" s="15" t="str">
        <f>'6조'!C$71</f>
        <v>Layer 수가 많을수록 요청이 여러 Layer를 순차적으로 통과하면서 반복적인 호출, 데이터 변환 및 중간 처리에 추가 자원이 소모된다.</v>
      </c>
      <c r="D42" s="15" t="str">
        <f>'6조'!D$71</f>
        <v/>
      </c>
      <c r="E42" s="15" t="str">
        <f>'6조'!E$71</f>
        <v>6조 - Virtual Machine - Energy Efficiency</v>
      </c>
      <c r="F42" s="15" t="str">
        <f>'6조'!F$71</f>
        <v/>
      </c>
      <c r="G42" s="15" t="str">
        <f>'6조'!G$71</f>
        <v>6조 - Microkernel - Energy Efficiency</v>
      </c>
    </row>
    <row r="43" ht="15.75" customHeight="1">
      <c r="A43" s="16" t="s">
        <v>515</v>
      </c>
      <c r="B43" s="15" t="str">
        <f>'7조'!B$71</f>
        <v/>
      </c>
      <c r="C43" s="15" t="str">
        <f>'7조'!C$71</f>
        <v>7조 - Layered - Energy Efficiency</v>
      </c>
      <c r="D43" s="15" t="str">
        <f>'7조'!D$71</f>
        <v/>
      </c>
      <c r="E43" s="15" t="str">
        <f>'7조'!E$71</f>
        <v>7조 - Virtual Machine - Energy Efficiency</v>
      </c>
      <c r="F43" s="15" t="str">
        <f>'7조'!F$71</f>
        <v/>
      </c>
      <c r="G43" s="15" t="str">
        <f>'7조'!G$71</f>
        <v>7조 - Microkernel - Energy Efficiency</v>
      </c>
    </row>
    <row r="44" ht="15.75" customHeight="1">
      <c r="A44" s="16" t="s">
        <v>516</v>
      </c>
      <c r="B44" s="15" t="str">
        <f>'8조'!B$71</f>
        <v/>
      </c>
      <c r="C44" s="15" t="str">
        <f>'8조'!C$71</f>
        <v>8조 - Layered - Energy Efficiency</v>
      </c>
      <c r="D44" s="15" t="str">
        <f>'8조'!D$71</f>
        <v/>
      </c>
      <c r="E44" s="15" t="str">
        <f>'8조'!E$71</f>
        <v>8조 - Virtual Machine - Energy Efficiency</v>
      </c>
      <c r="F44" s="15" t="str">
        <f>'8조'!F$71</f>
        <v/>
      </c>
      <c r="G44" s="15" t="str">
        <f>'8조'!G$71</f>
        <v>8조 - Microkernel - Energy Efficiency</v>
      </c>
    </row>
    <row r="45" ht="15.75" customHeight="1">
      <c r="A45" s="16" t="s">
        <v>522</v>
      </c>
      <c r="B45" s="15" t="str">
        <f>'9조'!B$71</f>
        <v/>
      </c>
      <c r="C45" s="15" t="str">
        <f>'9조'!C$71</f>
        <v>9조 - Layered - Energy Efficiency</v>
      </c>
      <c r="D45" s="15" t="str">
        <f>'9조'!D$71</f>
        <v/>
      </c>
      <c r="E45" s="15" t="str">
        <f>'9조'!E$71</f>
        <v>9조 - Virtual Machine - Energy Efficiency</v>
      </c>
      <c r="F45" s="15" t="str">
        <f>'9조'!F$71</f>
        <v/>
      </c>
      <c r="G45" s="15" t="str">
        <f>'9조'!G$71</f>
        <v>9조 - Microkernel - Energy Efficiency</v>
      </c>
    </row>
    <row r="46" ht="15.75" customHeight="1">
      <c r="A46" s="16"/>
      <c r="B46" s="16"/>
      <c r="C46" s="16"/>
      <c r="D46" s="16"/>
      <c r="E46" s="16"/>
      <c r="F46" s="16"/>
      <c r="G46" s="16"/>
    </row>
    <row r="47" ht="15.75" customHeight="1">
      <c r="A47" s="6" t="s">
        <v>144</v>
      </c>
      <c r="B47" s="6" t="str">
        <f>'Detailed Reasoning'!B$72</f>
        <v/>
      </c>
      <c r="C47" s="6" t="str">
        <f>'Detailed Reasoning'!C$72</f>
        <v/>
      </c>
      <c r="D47" s="6" t="str">
        <f>'Detailed Reasoning'!D$72</f>
        <v/>
      </c>
      <c r="E47" s="6" t="str">
        <f>'Detailed Reasoning'!E$72</f>
        <v/>
      </c>
      <c r="F47" s="8" t="str">
        <f>'Detailed Reasoning'!F$72</f>
        <v/>
      </c>
      <c r="G47" s="6" t="str">
        <f>'Detailed Reasoning'!G$72</f>
        <v/>
      </c>
    </row>
    <row r="48" ht="15.75" customHeight="1">
      <c r="A48" s="14" t="s">
        <v>526</v>
      </c>
      <c r="B48" s="15" t="str">
        <f>'1조'!B$72</f>
        <v/>
      </c>
      <c r="C48" s="15" t="s">
        <v>527</v>
      </c>
      <c r="D48" s="15" t="str">
        <f>'1조'!D$72</f>
        <v/>
      </c>
      <c r="E48" s="15" t="s">
        <v>529</v>
      </c>
      <c r="F48" s="15" t="str">
        <f>'1조'!F$72</f>
        <v/>
      </c>
      <c r="G48" s="15" t="s">
        <v>530</v>
      </c>
    </row>
    <row r="49" ht="15.75" customHeight="1">
      <c r="A49" s="14" t="s">
        <v>531</v>
      </c>
      <c r="B49" s="15" t="str">
        <f>'2조'!B$72</f>
        <v/>
      </c>
      <c r="C49" s="15" t="str">
        <f>'2조'!C$72</f>
        <v>2조 - Layered - Modifiability</v>
      </c>
      <c r="D49" s="15" t="str">
        <f>'2조'!D$72</f>
        <v/>
      </c>
      <c r="E49" s="15" t="str">
        <f>'2조'!E$72</f>
        <v>2조 - Virtual Machine - Modifiability</v>
      </c>
      <c r="F49" s="15" t="str">
        <f>'2조'!F$72</f>
        <v/>
      </c>
      <c r="G49" s="15" t="str">
        <f>'2조'!G$72</f>
        <v>2조 - Microkernel - Modifiability</v>
      </c>
    </row>
    <row r="50" ht="15.75" customHeight="1">
      <c r="A50" s="14" t="s">
        <v>533</v>
      </c>
      <c r="B50" s="15" t="str">
        <f>'3조'!B$72</f>
        <v/>
      </c>
      <c r="C50" s="15" t="str">
        <f>'3조'!C$72</f>
        <v>3조 - Layered - Modifiability</v>
      </c>
      <c r="D50" s="15" t="str">
        <f>'3조'!D$72</f>
        <v/>
      </c>
      <c r="E50" s="15" t="str">
        <f>'3조'!E$72</f>
        <v>3조 - Virtual Machine - Modifiability</v>
      </c>
      <c r="F50" s="15" t="str">
        <f>'3조'!F$72</f>
        <v/>
      </c>
      <c r="G50" s="15" t="str">
        <f>'3조'!G$72</f>
        <v>3조 - Microkernel - Modifiability</v>
      </c>
    </row>
    <row r="51" ht="15.75" customHeight="1">
      <c r="A51" s="14" t="s">
        <v>535</v>
      </c>
      <c r="B51" s="15" t="str">
        <f>'4조'!B$72</f>
        <v/>
      </c>
      <c r="C51" s="15" t="str">
        <f>'4조'!C$72</f>
        <v>4조 - Layered - Modifiability</v>
      </c>
      <c r="D51" s="15" t="str">
        <f>'4조'!D$72</f>
        <v/>
      </c>
      <c r="E51" s="15" t="str">
        <f>'4조'!E$72</f>
        <v>4조 - Virtual Machine - Modifiability</v>
      </c>
      <c r="F51" s="15" t="str">
        <f>'4조'!F$72</f>
        <v/>
      </c>
      <c r="G51" s="15" t="str">
        <f>'4조'!G$72</f>
        <v>4조 - Microkernel - Modifiability</v>
      </c>
    </row>
    <row r="52" ht="15.75" customHeight="1">
      <c r="A52" s="14" t="s">
        <v>540</v>
      </c>
      <c r="B52" s="15" t="str">
        <f>'5조'!B$72</f>
        <v/>
      </c>
      <c r="C52" s="15" t="str">
        <f>'5조'!C$72</f>
        <v>5조 - Layered - Modifiability</v>
      </c>
      <c r="D52" s="15" t="str">
        <f>'5조'!D$72</f>
        <v/>
      </c>
      <c r="E52" s="15" t="str">
        <f>'5조'!E$72</f>
        <v>5조 - Virtual Machine - Modifiability</v>
      </c>
      <c r="F52" s="15" t="str">
        <f>'5조'!F$72</f>
        <v/>
      </c>
      <c r="G52" s="15" t="str">
        <f>'5조'!G$72</f>
        <v>5조 - Microkernel - Modifiability</v>
      </c>
    </row>
    <row r="53" ht="15.75" customHeight="1">
      <c r="A53" s="14" t="s">
        <v>543</v>
      </c>
      <c r="B53" s="15" t="str">
        <f>'6조'!B$72</f>
        <v>+</v>
      </c>
      <c r="C53" s="15" t="str">
        <f>'6조'!C$72</f>
        <v>layer 내 한 모듈이 연결된 범위가 최대 한 layer 로, 영향범위 파악이 쉽고 수정 쉬움</v>
      </c>
      <c r="D53" s="15" t="str">
        <f>'6조'!D$72</f>
        <v/>
      </c>
      <c r="E53" s="15" t="str">
        <f>'6조'!E$72</f>
        <v>6조 - Virtual Machine - Modifiability</v>
      </c>
      <c r="F53" s="15" t="str">
        <f>'6조'!F$72</f>
        <v/>
      </c>
      <c r="G53" s="15" t="str">
        <f>'6조'!G$72</f>
        <v>6조 - Microkernel - Modifiability</v>
      </c>
    </row>
    <row r="54" ht="15.75" customHeight="1">
      <c r="A54" s="14" t="s">
        <v>545</v>
      </c>
      <c r="B54" s="15" t="str">
        <f>'7조'!B$72</f>
        <v/>
      </c>
      <c r="C54" s="15" t="str">
        <f>'7조'!C$72</f>
        <v>7조 - Layered - Modifiability</v>
      </c>
      <c r="D54" s="15" t="str">
        <f>'7조'!D$72</f>
        <v/>
      </c>
      <c r="E54" s="15" t="str">
        <f>'7조'!E$72</f>
        <v>7조 - Virtual Machine - Modifiability</v>
      </c>
      <c r="F54" s="15" t="str">
        <f>'7조'!F$72</f>
        <v/>
      </c>
      <c r="G54" s="15" t="str">
        <f>'7조'!G$72</f>
        <v>7조 - Microkernel - Modifiability</v>
      </c>
    </row>
    <row r="55" ht="15.75" customHeight="1">
      <c r="A55" s="14" t="s">
        <v>547</v>
      </c>
      <c r="B55" s="15" t="str">
        <f>'8조'!B$72</f>
        <v/>
      </c>
      <c r="C55" s="15" t="str">
        <f>'8조'!C$72</f>
        <v>8조 - Layered - Modifiability</v>
      </c>
      <c r="D55" s="15" t="str">
        <f>'8조'!D$72</f>
        <v/>
      </c>
      <c r="E55" s="15" t="str">
        <f>'8조'!E$72</f>
        <v>8조 - Virtual Machine - Modifiability</v>
      </c>
      <c r="F55" s="15" t="str">
        <f>'8조'!F$72</f>
        <v/>
      </c>
      <c r="G55" s="15" t="str">
        <f>'8조'!G$72</f>
        <v>8조 - Microkernel - Modifiability</v>
      </c>
    </row>
    <row r="56" ht="15.75" customHeight="1">
      <c r="A56" s="14" t="s">
        <v>550</v>
      </c>
      <c r="B56" s="15" t="str">
        <f>'9조'!B$72</f>
        <v/>
      </c>
      <c r="C56" s="15" t="str">
        <f>'9조'!C$72</f>
        <v>9조 - Layered - Modifiability</v>
      </c>
      <c r="D56" s="15" t="str">
        <f>'9조'!D$72</f>
        <v/>
      </c>
      <c r="E56" s="15" t="str">
        <f>'9조'!E$72</f>
        <v>9조 - Virtual Machine - Modifiability</v>
      </c>
      <c r="F56" s="15" t="str">
        <f>'9조'!F$72</f>
        <v/>
      </c>
      <c r="G56" s="15" t="str">
        <f>'9조'!G$72</f>
        <v>9조 - Microkernel - Modifiability</v>
      </c>
    </row>
    <row r="57" ht="15.75" customHeight="1">
      <c r="A57" s="16"/>
      <c r="B57" s="16"/>
      <c r="C57" s="16"/>
      <c r="D57" s="16"/>
      <c r="E57" s="16"/>
      <c r="F57" s="16"/>
      <c r="G57" s="16"/>
    </row>
    <row r="58" ht="15.75" customHeight="1">
      <c r="A58" s="6" t="s">
        <v>176</v>
      </c>
      <c r="B58" s="6" t="str">
        <f>'Detailed Reasoning'!B$73</f>
        <v/>
      </c>
      <c r="C58" s="6" t="str">
        <f>'Detailed Reasoning'!C$73</f>
        <v/>
      </c>
      <c r="D58" s="6" t="str">
        <f>'Detailed Reasoning'!D$73</f>
        <v/>
      </c>
      <c r="E58" s="6" t="str">
        <f>'Detailed Reasoning'!E$73</f>
        <v/>
      </c>
      <c r="F58" s="6" t="str">
        <f>'Detailed Reasoning'!F$73</f>
        <v/>
      </c>
      <c r="G58" s="6" t="str">
        <f>'Detailed Reasoning'!G$73</f>
        <v/>
      </c>
    </row>
    <row r="59" ht="15.75" customHeight="1">
      <c r="A59" s="14" t="s">
        <v>554</v>
      </c>
      <c r="B59" s="15" t="str">
        <f>'1조'!B$73</f>
        <v/>
      </c>
      <c r="C59" s="15" t="s">
        <v>557</v>
      </c>
      <c r="D59" s="15" t="str">
        <f>'1조'!D$73</f>
        <v/>
      </c>
      <c r="E59" s="15" t="s">
        <v>558</v>
      </c>
      <c r="F59" s="15" t="str">
        <f>'1조'!F$73</f>
        <v/>
      </c>
      <c r="G59" s="15" t="s">
        <v>559</v>
      </c>
    </row>
    <row r="60" ht="15.75" customHeight="1">
      <c r="A60" s="14" t="s">
        <v>561</v>
      </c>
      <c r="B60" s="15" t="str">
        <f>'2조'!B$73</f>
        <v/>
      </c>
      <c r="C60" s="15" t="str">
        <f>'2조'!C$73</f>
        <v>2조 - Layered - Performance</v>
      </c>
      <c r="D60" s="15" t="str">
        <f>'2조'!D$73</f>
        <v/>
      </c>
      <c r="E60" s="15" t="str">
        <f>'2조'!E$73</f>
        <v>2조 - Virtual Machine - Performance</v>
      </c>
      <c r="F60" s="15" t="str">
        <f>'2조'!F$73</f>
        <v/>
      </c>
      <c r="G60" s="15" t="str">
        <f>'2조'!G$73</f>
        <v>2조 - Microkernel - Performance</v>
      </c>
    </row>
    <row r="61" ht="15.75" customHeight="1">
      <c r="A61" s="14" t="s">
        <v>563</v>
      </c>
      <c r="B61" s="15" t="str">
        <f>'3조'!B$73</f>
        <v/>
      </c>
      <c r="C61" s="15" t="str">
        <f>'3조'!C$73</f>
        <v>3조 - Layered - Performance</v>
      </c>
      <c r="D61" s="15" t="str">
        <f>'3조'!D$73</f>
        <v/>
      </c>
      <c r="E61" s="15" t="str">
        <f>'3조'!E$73</f>
        <v>3조 - Virtual Machine - Performance</v>
      </c>
      <c r="F61" s="15" t="str">
        <f>'3조'!F$73</f>
        <v/>
      </c>
      <c r="G61" s="15" t="str">
        <f>'3조'!G$73</f>
        <v>3조 - Microkernel - Performance</v>
      </c>
    </row>
    <row r="62" ht="15.75" customHeight="1">
      <c r="A62" s="14" t="s">
        <v>566</v>
      </c>
      <c r="B62" s="15" t="str">
        <f>'4조'!B$73</f>
        <v/>
      </c>
      <c r="C62" s="15" t="str">
        <f>'4조'!C$73</f>
        <v>4조 - Layered - Performance</v>
      </c>
      <c r="D62" s="15" t="str">
        <f>'4조'!D$73</f>
        <v/>
      </c>
      <c r="E62" s="15" t="str">
        <f>'4조'!E$73</f>
        <v>4조 - Virtual Machine - Performance</v>
      </c>
      <c r="F62" s="15" t="str">
        <f>'4조'!F$73</f>
        <v/>
      </c>
      <c r="G62" s="15" t="str">
        <f>'4조'!G$73</f>
        <v>4조 - Microkernel - Performance</v>
      </c>
    </row>
    <row r="63" ht="15.75" customHeight="1">
      <c r="A63" s="14" t="s">
        <v>572</v>
      </c>
      <c r="B63" s="15" t="str">
        <f>'5조'!B$73</f>
        <v/>
      </c>
      <c r="C63" s="15" t="str">
        <f>'5조'!C$73</f>
        <v>5조 - Layered - Performance</v>
      </c>
      <c r="D63" s="15" t="str">
        <f>'5조'!D$73</f>
        <v/>
      </c>
      <c r="E63" s="15" t="str">
        <f>'5조'!E$73</f>
        <v>5조 - Virtual Machine - Performance</v>
      </c>
      <c r="F63" s="15" t="str">
        <f>'5조'!F$73</f>
        <v/>
      </c>
      <c r="G63" s="15" t="str">
        <f>'5조'!G$73</f>
        <v>5조 - Microkernel - Performance</v>
      </c>
    </row>
    <row r="64" ht="15.75" customHeight="1">
      <c r="A64" s="14" t="s">
        <v>573</v>
      </c>
      <c r="B64" s="15" t="str">
        <f>'6조'!B$73</f>
        <v>--</v>
      </c>
      <c r="C64" s="15" t="str">
        <f>'6조'!C$73</f>
        <v>layer 구성으로 인해 불필요한 indirect 파이프라인 사용 필수적이게 됨</v>
      </c>
      <c r="D64" s="15" t="str">
        <f>'6조'!D$73</f>
        <v/>
      </c>
      <c r="E64" s="15" t="str">
        <f>'6조'!E$73</f>
        <v>6조 - Virtual Machine - Performance</v>
      </c>
      <c r="F64" s="15" t="str">
        <f>'6조'!F$73</f>
        <v/>
      </c>
      <c r="G64" s="15" t="str">
        <f>'6조'!G$73</f>
        <v>6조 - Microkernel - Performance</v>
      </c>
    </row>
    <row r="65" ht="15.75" customHeight="1">
      <c r="A65" s="14" t="s">
        <v>579</v>
      </c>
      <c r="B65" s="15" t="str">
        <f>'7조'!B$73</f>
        <v/>
      </c>
      <c r="C65" s="15" t="str">
        <f>'7조'!C$73</f>
        <v>7조 - Layered - Performance</v>
      </c>
      <c r="D65" s="15" t="str">
        <f>'7조'!D$73</f>
        <v/>
      </c>
      <c r="E65" s="15" t="str">
        <f>'7조'!E$73</f>
        <v>7조 - Virtual Machine - Performance</v>
      </c>
      <c r="F65" s="15" t="str">
        <f>'7조'!F$73</f>
        <v/>
      </c>
      <c r="G65" s="15" t="str">
        <f>'7조'!G$73</f>
        <v>7조 - Microkernel - Performance</v>
      </c>
    </row>
    <row r="66" ht="15.75" customHeight="1">
      <c r="A66" s="14" t="s">
        <v>582</v>
      </c>
      <c r="B66" s="15" t="str">
        <f>'8조'!B$73</f>
        <v/>
      </c>
      <c r="C66" s="15" t="str">
        <f>'8조'!C$73</f>
        <v>8조 - Layered - Performance</v>
      </c>
      <c r="D66" s="15" t="str">
        <f>'8조'!D$73</f>
        <v/>
      </c>
      <c r="E66" s="15" t="str">
        <f>'8조'!E$73</f>
        <v>8조 - Virtual Machine - Performance</v>
      </c>
      <c r="F66" s="15" t="str">
        <f>'8조'!F$73</f>
        <v/>
      </c>
      <c r="G66" s="15" t="str">
        <f>'8조'!G$73</f>
        <v>8조 - Microkernel - Performance</v>
      </c>
    </row>
    <row r="67" ht="15.75" customHeight="1">
      <c r="A67" s="14" t="s">
        <v>584</v>
      </c>
      <c r="B67" s="15" t="str">
        <f>'9조'!B$73</f>
        <v/>
      </c>
      <c r="C67" s="15" t="str">
        <f>'9조'!C$73</f>
        <v>9조 - Layered - Performance</v>
      </c>
      <c r="D67" s="15" t="str">
        <f>'9조'!D$73</f>
        <v/>
      </c>
      <c r="E67" s="15" t="str">
        <f>'9조'!E$73</f>
        <v>9조 - Virtual Machine - Performance</v>
      </c>
      <c r="F67" s="15" t="str">
        <f>'9조'!F$73</f>
        <v/>
      </c>
      <c r="G67" s="15" t="str">
        <f>'9조'!G$73</f>
        <v>9조 - Microkernel - Performance</v>
      </c>
    </row>
    <row r="68" ht="15.75" customHeight="1">
      <c r="A68" s="16"/>
      <c r="B68" s="16"/>
      <c r="C68" s="16"/>
      <c r="D68" s="16"/>
      <c r="E68" s="16"/>
      <c r="F68" s="16"/>
      <c r="G68" s="16"/>
    </row>
    <row r="69" ht="15.75" customHeight="1">
      <c r="A69" s="6" t="s">
        <v>208</v>
      </c>
      <c r="B69" s="6" t="str">
        <f>'Detailed Reasoning'!B$74</f>
        <v/>
      </c>
      <c r="C69" s="6" t="str">
        <f>'Detailed Reasoning'!C$74</f>
        <v/>
      </c>
      <c r="D69" s="6" t="str">
        <f>'Detailed Reasoning'!D$74</f>
        <v/>
      </c>
      <c r="E69" s="6" t="str">
        <f>'Detailed Reasoning'!E$74</f>
        <v/>
      </c>
      <c r="F69" s="6" t="str">
        <f>'Detailed Reasoning'!F$74</f>
        <v/>
      </c>
      <c r="G69" s="6" t="str">
        <f>'Detailed Reasoning'!G$74</f>
        <v/>
      </c>
    </row>
    <row r="70" ht="15.75" customHeight="1">
      <c r="A70" s="14" t="s">
        <v>588</v>
      </c>
      <c r="B70" s="15" t="str">
        <f>'1조'!B$74</f>
        <v/>
      </c>
      <c r="C70" s="15" t="s">
        <v>589</v>
      </c>
      <c r="D70" s="15" t="str">
        <f>'1조'!D$74</f>
        <v/>
      </c>
      <c r="E70" s="15" t="s">
        <v>590</v>
      </c>
      <c r="F70" s="15" t="str">
        <f>'1조'!F$74</f>
        <v/>
      </c>
      <c r="G70" s="15" t="s">
        <v>591</v>
      </c>
    </row>
    <row r="71" ht="15.75" customHeight="1">
      <c r="A71" s="14" t="s">
        <v>592</v>
      </c>
      <c r="B71" s="15" t="str">
        <f>'2조'!B$74</f>
        <v/>
      </c>
      <c r="C71" s="15" t="str">
        <f>'2조'!C$74</f>
        <v>2조 - Layered - Safety</v>
      </c>
      <c r="D71" s="15" t="str">
        <f>'2조'!D$74</f>
        <v/>
      </c>
      <c r="E71" s="15" t="str">
        <f>'2조'!E$74</f>
        <v>2조 - Virtual Machine - Safety</v>
      </c>
      <c r="F71" s="15" t="str">
        <f>'2조'!F$74</f>
        <v/>
      </c>
      <c r="G71" s="15" t="str">
        <f>'2조'!G$74</f>
        <v>2조 - Microkernel - Safety</v>
      </c>
    </row>
    <row r="72" ht="15.75" customHeight="1">
      <c r="A72" s="14" t="s">
        <v>593</v>
      </c>
      <c r="B72" s="15" t="str">
        <f>'3조'!B$74</f>
        <v/>
      </c>
      <c r="C72" s="15" t="str">
        <f>'3조'!C$74</f>
        <v>3조 - Layered - Safety</v>
      </c>
      <c r="D72" s="15" t="str">
        <f>'3조'!D$74</f>
        <v/>
      </c>
      <c r="E72" s="15" t="str">
        <f>'3조'!E$74</f>
        <v>3조 - Virtual Machine - Safety</v>
      </c>
      <c r="F72" s="15" t="str">
        <f>'3조'!F$74</f>
        <v/>
      </c>
      <c r="G72" s="15" t="str">
        <f>'3조'!G$74</f>
        <v>3조 - Microkernel - Safety</v>
      </c>
    </row>
    <row r="73" ht="15.75" customHeight="1">
      <c r="A73" s="14" t="s">
        <v>594</v>
      </c>
      <c r="B73" s="15" t="str">
        <f>'4조'!B$74</f>
        <v/>
      </c>
      <c r="C73" s="15" t="str">
        <f>'4조'!C$74</f>
        <v>4조 - Layered - Safety</v>
      </c>
      <c r="D73" s="15" t="str">
        <f>'4조'!D$74</f>
        <v/>
      </c>
      <c r="E73" s="15" t="str">
        <f>'4조'!E$74</f>
        <v>4조 - Virtual Machine - Safety</v>
      </c>
      <c r="F73" s="15" t="str">
        <f>'4조'!F$74</f>
        <v/>
      </c>
      <c r="G73" s="15" t="str">
        <f>'4조'!G$74</f>
        <v>4조 - Microkernel - Safety</v>
      </c>
    </row>
    <row r="74" ht="15.75" customHeight="1">
      <c r="A74" s="14" t="s">
        <v>595</v>
      </c>
      <c r="B74" s="15" t="str">
        <f>'5조'!B$74</f>
        <v/>
      </c>
      <c r="C74" s="15" t="str">
        <f>'5조'!C$74</f>
        <v>5조 - Layered - Safety</v>
      </c>
      <c r="D74" s="15" t="str">
        <f>'5조'!D$74</f>
        <v/>
      </c>
      <c r="E74" s="15" t="str">
        <f>'5조'!E$74</f>
        <v>5조 - Virtual Machine - Safety</v>
      </c>
      <c r="F74" s="15" t="str">
        <f>'5조'!F$74</f>
        <v/>
      </c>
      <c r="G74" s="15" t="str">
        <f>'5조'!G$74</f>
        <v>5조 - Microkernel - Safety</v>
      </c>
    </row>
    <row r="75" ht="15.75" customHeight="1">
      <c r="A75" s="14" t="s">
        <v>596</v>
      </c>
      <c r="B75" s="15" t="str">
        <f>'6조'!B$74</f>
        <v>+</v>
      </c>
      <c r="C75" s="15" t="str">
        <f>'6조'!C$74</f>
        <v>layer 내 한 모듈이 죽더라도, 전체 layer 및 architecture 영향 적음 </v>
      </c>
      <c r="D75" s="15" t="str">
        <f>'6조'!D$74</f>
        <v/>
      </c>
      <c r="E75" s="15" t="str">
        <f>'6조'!E$74</f>
        <v>6조 - Virtual Machine - Safety</v>
      </c>
      <c r="F75" s="15" t="str">
        <f>'6조'!F$74</f>
        <v/>
      </c>
      <c r="G75" s="15" t="str">
        <f>'6조'!G$74</f>
        <v>6조 - Microkernel - Safety</v>
      </c>
    </row>
    <row r="76" ht="15.75" customHeight="1">
      <c r="A76" s="14" t="s">
        <v>597</v>
      </c>
      <c r="B76" s="15" t="str">
        <f>'7조'!B$74</f>
        <v/>
      </c>
      <c r="C76" s="15" t="str">
        <f>'7조'!C$74</f>
        <v>7조 - Layered - Safety</v>
      </c>
      <c r="D76" s="15" t="str">
        <f>'7조'!D$74</f>
        <v/>
      </c>
      <c r="E76" s="15" t="str">
        <f>'7조'!E$74</f>
        <v>7조 - Virtual Machine - Safety</v>
      </c>
      <c r="F76" s="15" t="str">
        <f>'7조'!F$74</f>
        <v/>
      </c>
      <c r="G76" s="15" t="str">
        <f>'7조'!G$74</f>
        <v>7조 - Microkernel - Safety</v>
      </c>
    </row>
    <row r="77" ht="15.75" customHeight="1">
      <c r="A77" s="14" t="s">
        <v>598</v>
      </c>
      <c r="B77" s="15" t="str">
        <f>'8조'!B$74</f>
        <v/>
      </c>
      <c r="C77" s="15" t="str">
        <f>'8조'!C$74</f>
        <v>8조 - Layered - Safety</v>
      </c>
      <c r="D77" s="15" t="str">
        <f>'8조'!D$74</f>
        <v/>
      </c>
      <c r="E77" s="15" t="str">
        <f>'8조'!E$74</f>
        <v>8조 - Virtual Machine - Safety</v>
      </c>
      <c r="F77" s="15" t="str">
        <f>'8조'!F$74</f>
        <v/>
      </c>
      <c r="G77" s="15" t="str">
        <f>'8조'!G$74</f>
        <v>8조 - Microkernel - Safety</v>
      </c>
    </row>
    <row r="78" ht="15.75" customHeight="1">
      <c r="A78" s="14" t="s">
        <v>602</v>
      </c>
      <c r="B78" s="15" t="str">
        <f>'9조'!B$74</f>
        <v/>
      </c>
      <c r="C78" s="15" t="str">
        <f>'9조'!C$74</f>
        <v>9조 - Layered - Safety</v>
      </c>
      <c r="D78" s="15" t="str">
        <f>'9조'!D$74</f>
        <v/>
      </c>
      <c r="E78" s="15" t="str">
        <f>'9조'!E$74</f>
        <v>9조 - Virtual Machine - Safety</v>
      </c>
      <c r="F78" s="15" t="str">
        <f>'9조'!F$74</f>
        <v/>
      </c>
      <c r="G78" s="15" t="str">
        <f>'9조'!G$74</f>
        <v>9조 - Microkernel - Safety</v>
      </c>
    </row>
    <row r="79" ht="15.75" customHeight="1">
      <c r="A79" s="16"/>
      <c r="B79" s="16"/>
      <c r="C79" s="16"/>
      <c r="D79" s="16"/>
      <c r="E79" s="16"/>
      <c r="F79" s="16"/>
      <c r="G79" s="16"/>
    </row>
    <row r="80" ht="15.75" customHeight="1">
      <c r="A80" s="6" t="s">
        <v>242</v>
      </c>
      <c r="B80" s="6" t="str">
        <f>'Detailed Reasoning'!B$75</f>
        <v/>
      </c>
      <c r="C80" s="6" t="str">
        <f>'Detailed Reasoning'!C$75</f>
        <v/>
      </c>
      <c r="D80" s="6" t="str">
        <f>'Detailed Reasoning'!D$75</f>
        <v/>
      </c>
      <c r="E80" s="6" t="str">
        <f>'Detailed Reasoning'!E$75</f>
        <v/>
      </c>
      <c r="F80" s="8" t="str">
        <f>'Detailed Reasoning'!F$75</f>
        <v/>
      </c>
      <c r="G80" s="8" t="str">
        <f>'Detailed Reasoning'!G$75</f>
        <v/>
      </c>
    </row>
    <row r="81" ht="15.75" customHeight="1">
      <c r="A81" s="14" t="s">
        <v>604</v>
      </c>
      <c r="B81" s="15" t="str">
        <f>'1조'!B$75</f>
        <v/>
      </c>
      <c r="C81" s="15" t="s">
        <v>605</v>
      </c>
      <c r="D81" s="15" t="str">
        <f>'1조'!D$75</f>
        <v/>
      </c>
      <c r="E81" s="15" t="s">
        <v>606</v>
      </c>
      <c r="F81" s="15" t="str">
        <f>'1조'!F$75</f>
        <v/>
      </c>
      <c r="G81" s="15" t="s">
        <v>607</v>
      </c>
    </row>
    <row r="82" ht="15.75" customHeight="1">
      <c r="A82" s="14" t="s">
        <v>608</v>
      </c>
      <c r="B82" s="15" t="str">
        <f>'2조'!B$75</f>
        <v/>
      </c>
      <c r="C82" s="15" t="str">
        <f>'2조'!C$75</f>
        <v>2조 - Layered - Security</v>
      </c>
      <c r="D82" s="15" t="str">
        <f>'2조'!D$75</f>
        <v/>
      </c>
      <c r="E82" s="15" t="str">
        <f>'2조'!E$75</f>
        <v>2조 - Virtual Machine - Security</v>
      </c>
      <c r="F82" s="15" t="str">
        <f>'2조'!F$75</f>
        <v/>
      </c>
      <c r="G82" s="15" t="str">
        <f>'2조'!G$75</f>
        <v>2조 - Microkernel - Security</v>
      </c>
    </row>
    <row r="83" ht="15.75" customHeight="1">
      <c r="A83" s="14" t="s">
        <v>609</v>
      </c>
      <c r="B83" s="15" t="str">
        <f>'3조'!B$75</f>
        <v/>
      </c>
      <c r="C83" s="15" t="str">
        <f>'3조'!C$75</f>
        <v>3조 - Layered - Security</v>
      </c>
      <c r="D83" s="15" t="str">
        <f>'3조'!D$75</f>
        <v/>
      </c>
      <c r="E83" s="15" t="str">
        <f>'3조'!E$75</f>
        <v>3조 - Virtual Machine - Security</v>
      </c>
      <c r="F83" s="15" t="str">
        <f>'3조'!F$75</f>
        <v/>
      </c>
      <c r="G83" s="15" t="str">
        <f>'3조'!G$75</f>
        <v>3조 - Microkernel - Security</v>
      </c>
    </row>
    <row r="84" ht="15.75" customHeight="1">
      <c r="A84" s="14" t="s">
        <v>611</v>
      </c>
      <c r="B84" s="15" t="str">
        <f>'4조'!B$75</f>
        <v/>
      </c>
      <c r="C84" s="15" t="str">
        <f>'4조'!C$75</f>
        <v>4조 - Layered - Security</v>
      </c>
      <c r="D84" s="15" t="str">
        <f>'4조'!D$75</f>
        <v/>
      </c>
      <c r="E84" s="15" t="str">
        <f>'4조'!E$75</f>
        <v>4조 - Virtual Machine - Security</v>
      </c>
      <c r="F84" s="15" t="str">
        <f>'4조'!F$75</f>
        <v/>
      </c>
      <c r="G84" s="15" t="str">
        <f>'4조'!G$75</f>
        <v>4조 - Microkernel - Security</v>
      </c>
    </row>
    <row r="85" ht="15.75" customHeight="1">
      <c r="A85" s="14" t="s">
        <v>612</v>
      </c>
      <c r="B85" s="15" t="str">
        <f>'5조'!B$75</f>
        <v/>
      </c>
      <c r="C85" s="15" t="str">
        <f>'5조'!C$75</f>
        <v>5조 - Layered - Security</v>
      </c>
      <c r="D85" s="15" t="str">
        <f>'5조'!D$75</f>
        <v/>
      </c>
      <c r="E85" s="15" t="str">
        <f>'5조'!E$75</f>
        <v>5조 - Virtual Machine - Security</v>
      </c>
      <c r="F85" s="15" t="str">
        <f>'5조'!F$75</f>
        <v/>
      </c>
      <c r="G85" s="15" t="str">
        <f>'5조'!G$75</f>
        <v>5조 - Microkernel - Security</v>
      </c>
    </row>
    <row r="86" ht="15.75" customHeight="1">
      <c r="A86" s="14" t="s">
        <v>613</v>
      </c>
      <c r="B86" s="15" t="str">
        <f>'6조'!B$75</f>
        <v>+</v>
      </c>
      <c r="C86" s="15" t="str">
        <f>'6조'!C$75</f>
        <v>layer 기준으로 security access control 용이</v>
      </c>
      <c r="D86" s="15" t="str">
        <f>'6조'!D$75</f>
        <v/>
      </c>
      <c r="E86" s="15" t="str">
        <f>'6조'!E$75</f>
        <v>6조 - Virtual Machine - Security</v>
      </c>
      <c r="F86" s="15" t="str">
        <f>'6조'!F$75</f>
        <v/>
      </c>
      <c r="G86" s="15" t="str">
        <f>'6조'!G$75</f>
        <v>6조 - Microkernel - Security</v>
      </c>
    </row>
    <row r="87" ht="15.75" customHeight="1">
      <c r="A87" s="14" t="s">
        <v>614</v>
      </c>
      <c r="B87" s="15" t="str">
        <f>'7조'!B$75</f>
        <v/>
      </c>
      <c r="C87" s="15" t="str">
        <f>'7조'!C$75</f>
        <v>7조 - Layered - Security</v>
      </c>
      <c r="D87" s="15" t="str">
        <f>'7조'!D$75</f>
        <v/>
      </c>
      <c r="E87" s="15" t="str">
        <f>'7조'!E$75</f>
        <v>7조 - Virtual Machine - Security</v>
      </c>
      <c r="F87" s="15" t="str">
        <f>'7조'!F$75</f>
        <v/>
      </c>
      <c r="G87" s="15" t="str">
        <f>'7조'!G$75</f>
        <v>7조 - Microkernel - Security</v>
      </c>
    </row>
    <row r="88" ht="15.75" customHeight="1">
      <c r="A88" s="14" t="s">
        <v>616</v>
      </c>
      <c r="B88" s="15" t="str">
        <f>'8조'!B$75</f>
        <v/>
      </c>
      <c r="C88" s="15" t="str">
        <f>'8조'!C$75</f>
        <v>8조 - Layered - Security</v>
      </c>
      <c r="D88" s="15" t="str">
        <f>'8조'!D$75</f>
        <v/>
      </c>
      <c r="E88" s="15" t="str">
        <f>'8조'!E$75</f>
        <v>8조 - Virtual Machine - Security</v>
      </c>
      <c r="F88" s="15" t="str">
        <f>'8조'!F$75</f>
        <v/>
      </c>
      <c r="G88" s="15" t="str">
        <f>'8조'!G$75</f>
        <v>8조 - Microkernel - Security</v>
      </c>
    </row>
    <row r="89" ht="15.75" customHeight="1">
      <c r="A89" s="14" t="s">
        <v>617</v>
      </c>
      <c r="B89" s="15" t="str">
        <f>'9조'!B$75</f>
        <v/>
      </c>
      <c r="C89" s="15" t="str">
        <f>'9조'!C$75</f>
        <v>9조 - Layered - Security</v>
      </c>
      <c r="D89" s="15" t="str">
        <f>'9조'!D$75</f>
        <v/>
      </c>
      <c r="E89" s="15" t="str">
        <f>'9조'!E$75</f>
        <v>9조 - Virtual Machine - Security</v>
      </c>
      <c r="F89" s="15" t="str">
        <f>'9조'!F$75</f>
        <v/>
      </c>
      <c r="G89" s="15" t="str">
        <f>'9조'!G$75</f>
        <v>9조 - Microkernel - Security</v>
      </c>
    </row>
    <row r="90" ht="15.75" customHeight="1">
      <c r="A90" s="16"/>
      <c r="B90" s="16"/>
      <c r="C90" s="16"/>
      <c r="D90" s="16"/>
      <c r="E90" s="16"/>
      <c r="F90" s="16"/>
      <c r="G90" s="16"/>
    </row>
    <row r="91" ht="15.75" customHeight="1">
      <c r="A91" s="6" t="s">
        <v>273</v>
      </c>
      <c r="B91" s="6" t="str">
        <f>'Detailed Reasoning'!B$76</f>
        <v/>
      </c>
      <c r="C91" s="6" t="str">
        <f>'Detailed Reasoning'!C$76</f>
        <v/>
      </c>
      <c r="D91" s="6" t="str">
        <f>'Detailed Reasoning'!D$76</f>
        <v/>
      </c>
      <c r="E91" s="6" t="str">
        <f>'Detailed Reasoning'!E$76</f>
        <v/>
      </c>
      <c r="F91" s="6" t="str">
        <f>'Detailed Reasoning'!F$76</f>
        <v/>
      </c>
      <c r="G91" s="8" t="str">
        <f>'Detailed Reasoning'!G$76</f>
        <v/>
      </c>
    </row>
    <row r="92" ht="15.75" customHeight="1">
      <c r="A92" s="14" t="s">
        <v>618</v>
      </c>
      <c r="B92" s="15" t="str">
        <f>'1조'!B$76</f>
        <v/>
      </c>
      <c r="C92" s="15" t="s">
        <v>619</v>
      </c>
      <c r="D92" s="15" t="str">
        <f>'1조'!D$76</f>
        <v/>
      </c>
      <c r="E92" s="15" t="s">
        <v>620</v>
      </c>
      <c r="F92" s="15" t="str">
        <f>'1조'!F$76</f>
        <v/>
      </c>
      <c r="G92" s="15" t="s">
        <v>621</v>
      </c>
    </row>
    <row r="93" ht="15.75" customHeight="1">
      <c r="A93" s="14" t="s">
        <v>622</v>
      </c>
      <c r="B93" s="15" t="str">
        <f>'2조'!B$76</f>
        <v/>
      </c>
      <c r="C93" s="15" t="str">
        <f>'2조'!C$76</f>
        <v>2조 - Layered - Testability</v>
      </c>
      <c r="D93" s="15" t="str">
        <f>'2조'!D$76</f>
        <v/>
      </c>
      <c r="E93" s="15" t="str">
        <f>'2조'!E$76</f>
        <v>2조 - Virtual Machine - Testability</v>
      </c>
      <c r="F93" s="15" t="str">
        <f>'2조'!F$76</f>
        <v/>
      </c>
      <c r="G93" s="15" t="str">
        <f>'2조'!G$76</f>
        <v>2조 - Microkernel - Testability</v>
      </c>
    </row>
    <row r="94" ht="15.75" customHeight="1">
      <c r="A94" s="14" t="s">
        <v>623</v>
      </c>
      <c r="B94" s="15" t="str">
        <f>'3조'!B$76</f>
        <v/>
      </c>
      <c r="C94" s="15" t="str">
        <f>'3조'!C$76</f>
        <v>3조 - Layered - Testability</v>
      </c>
      <c r="D94" s="15" t="str">
        <f>'3조'!D$76</f>
        <v/>
      </c>
      <c r="E94" s="15" t="str">
        <f>'3조'!E$76</f>
        <v>3조 - Virtual Machine - Testability</v>
      </c>
      <c r="F94" s="15" t="str">
        <f>'3조'!F$76</f>
        <v/>
      </c>
      <c r="G94" s="15" t="str">
        <f>'3조'!G$76</f>
        <v>3조 - Microkernel - Testability</v>
      </c>
    </row>
    <row r="95" ht="15.75" customHeight="1">
      <c r="A95" s="14" t="s">
        <v>624</v>
      </c>
      <c r="B95" s="15" t="str">
        <f>'4조'!B$76</f>
        <v/>
      </c>
      <c r="C95" s="15" t="str">
        <f>'4조'!C$76</f>
        <v>4조 - Layered - Testability</v>
      </c>
      <c r="D95" s="15" t="str">
        <f>'4조'!D$76</f>
        <v/>
      </c>
      <c r="E95" s="15" t="str">
        <f>'4조'!E$76</f>
        <v>4조 - Virtual Machine - Testability</v>
      </c>
      <c r="F95" s="15" t="str">
        <f>'4조'!F$76</f>
        <v/>
      </c>
      <c r="G95" s="15" t="str">
        <f>'4조'!G$76</f>
        <v>4조 - Microkernel - Testability</v>
      </c>
    </row>
    <row r="96" ht="15.75" customHeight="1">
      <c r="A96" s="14" t="s">
        <v>625</v>
      </c>
      <c r="B96" s="15" t="str">
        <f>'5조'!B$76</f>
        <v/>
      </c>
      <c r="C96" s="15" t="str">
        <f>'5조'!C$76</f>
        <v>5조 - Layered - Testability</v>
      </c>
      <c r="D96" s="15" t="str">
        <f>'5조'!D$76</f>
        <v/>
      </c>
      <c r="E96" s="15" t="str">
        <f>'5조'!E$76</f>
        <v>5조 - Virtual Machine - Testability</v>
      </c>
      <c r="F96" s="15" t="str">
        <f>'5조'!F$76</f>
        <v/>
      </c>
      <c r="G96" s="15" t="str">
        <f>'5조'!G$76</f>
        <v>5조 - Microkernel - Testability</v>
      </c>
    </row>
    <row r="97" ht="15.75" customHeight="1">
      <c r="A97" s="14" t="s">
        <v>626</v>
      </c>
      <c r="B97" s="15" t="str">
        <f>'6조'!B$76</f>
        <v>+</v>
      </c>
      <c r="C97" s="15" t="str">
        <f>'6조'!C$76</f>
        <v>layered 내 모듈화 구성 , 영향범위는 한 layer 내로 예측 난이도 쉬움</v>
      </c>
      <c r="D97" s="15" t="str">
        <f>'6조'!D$76</f>
        <v/>
      </c>
      <c r="E97" s="15" t="str">
        <f>'6조'!E$76</f>
        <v>6조 - Virtual Machine - Testability</v>
      </c>
      <c r="F97" s="15" t="str">
        <f>'6조'!F$76</f>
        <v/>
      </c>
      <c r="G97" s="15" t="str">
        <f>'6조'!G$76</f>
        <v>6조 - Microkernel - Testability</v>
      </c>
    </row>
    <row r="98" ht="15.75" customHeight="1">
      <c r="A98" s="14" t="s">
        <v>628</v>
      </c>
      <c r="B98" s="15" t="str">
        <f>'7조'!B$76</f>
        <v/>
      </c>
      <c r="C98" s="15" t="str">
        <f>'7조'!C$76</f>
        <v>7조 - Layered - Testability</v>
      </c>
      <c r="D98" s="15" t="str">
        <f>'7조'!D$76</f>
        <v/>
      </c>
      <c r="E98" s="15" t="str">
        <f>'7조'!E$76</f>
        <v>7조 - Virtual Machine - Testability</v>
      </c>
      <c r="F98" s="15" t="str">
        <f>'7조'!F$76</f>
        <v/>
      </c>
      <c r="G98" s="15" t="str">
        <f>'7조'!G$76</f>
        <v>7조 - Microkernel - Testability</v>
      </c>
    </row>
    <row r="99" ht="15.75" customHeight="1">
      <c r="A99" s="14" t="s">
        <v>629</v>
      </c>
      <c r="B99" s="15" t="str">
        <f>'8조'!B$76</f>
        <v/>
      </c>
      <c r="C99" s="15" t="str">
        <f>'8조'!C$76</f>
        <v>8조 - Layered - Testability</v>
      </c>
      <c r="D99" s="15" t="str">
        <f>'8조'!D$76</f>
        <v/>
      </c>
      <c r="E99" s="15" t="str">
        <f>'8조'!E$76</f>
        <v>8조 - Virtual Machine - Testability</v>
      </c>
      <c r="F99" s="15" t="str">
        <f>'8조'!F$76</f>
        <v/>
      </c>
      <c r="G99" s="15" t="str">
        <f>'8조'!G$76</f>
        <v>8조 - Microkernel - Testability</v>
      </c>
    </row>
    <row r="100" ht="15.75" customHeight="1">
      <c r="A100" s="14" t="s">
        <v>631</v>
      </c>
      <c r="B100" s="15" t="str">
        <f>'9조'!B$76</f>
        <v/>
      </c>
      <c r="C100" s="15" t="str">
        <f>'9조'!C$76</f>
        <v>9조 - Layered - Testability</v>
      </c>
      <c r="D100" s="15" t="str">
        <f>'9조'!D$76</f>
        <v/>
      </c>
      <c r="E100" s="15" t="str">
        <f>'9조'!E$76</f>
        <v>9조 - Virtual Machine - Testability</v>
      </c>
      <c r="F100" s="15" t="str">
        <f>'9조'!F$76</f>
        <v/>
      </c>
      <c r="G100" s="15" t="str">
        <f>'9조'!G$76</f>
        <v>9조 - Microkernel - Testability</v>
      </c>
    </row>
    <row r="101" ht="15.0" customHeight="1">
      <c r="A101" s="16"/>
      <c r="B101" s="16"/>
      <c r="C101" s="16"/>
      <c r="D101" s="16"/>
      <c r="E101" s="16"/>
      <c r="F101" s="16"/>
      <c r="G101" s="16"/>
    </row>
    <row r="102" ht="15.75" customHeight="1">
      <c r="A102" s="6" t="s">
        <v>305</v>
      </c>
      <c r="B102" s="6" t="str">
        <f>'Detailed Reasoning'!B$77</f>
        <v/>
      </c>
      <c r="C102" s="6" t="str">
        <f>'Detailed Reasoning'!C$77</f>
        <v/>
      </c>
      <c r="D102" s="6" t="str">
        <f>'Detailed Reasoning'!D$77</f>
        <v/>
      </c>
      <c r="E102" s="6" t="str">
        <f>'Detailed Reasoning'!E$77</f>
        <v/>
      </c>
      <c r="F102" s="6" t="str">
        <f>'Detailed Reasoning'!F$77</f>
        <v/>
      </c>
      <c r="G102" s="8" t="str">
        <f>'Detailed Reasoning'!G$77</f>
        <v/>
      </c>
    </row>
    <row r="103" ht="15.75" customHeight="1">
      <c r="A103" s="14" t="s">
        <v>632</v>
      </c>
      <c r="B103" s="15" t="str">
        <f>'1조'!B$77</f>
        <v/>
      </c>
      <c r="C103" s="15" t="s">
        <v>633</v>
      </c>
      <c r="D103" s="15" t="str">
        <f>'1조'!D$77</f>
        <v/>
      </c>
      <c r="E103" s="15" t="s">
        <v>634</v>
      </c>
      <c r="F103" s="15" t="str">
        <f>'1조'!F$77</f>
        <v/>
      </c>
      <c r="G103" s="15" t="s">
        <v>635</v>
      </c>
    </row>
    <row r="104" ht="15.75" customHeight="1">
      <c r="A104" s="14" t="s">
        <v>636</v>
      </c>
      <c r="B104" s="15" t="str">
        <f>'2조'!B$77</f>
        <v/>
      </c>
      <c r="C104" s="15" t="str">
        <f>'2조'!C$77</f>
        <v>2조 - Layered - Usability</v>
      </c>
      <c r="D104" s="15" t="str">
        <f>'2조'!D$77</f>
        <v/>
      </c>
      <c r="E104" s="15" t="str">
        <f>'2조'!E$77</f>
        <v>2조 - Virtual Machine - Usability</v>
      </c>
      <c r="F104" s="15" t="str">
        <f>'2조'!F$77</f>
        <v/>
      </c>
      <c r="G104" s="15" t="str">
        <f>'2조'!G$77</f>
        <v>2조 - Microkernel - Usability</v>
      </c>
    </row>
    <row r="105" ht="15.75" customHeight="1">
      <c r="A105" s="14" t="s">
        <v>637</v>
      </c>
      <c r="B105" s="15" t="str">
        <f>'3조'!B$77</f>
        <v/>
      </c>
      <c r="C105" s="15" t="str">
        <f>'3조'!C$77</f>
        <v>3조 - Layered - Usability</v>
      </c>
      <c r="D105" s="15" t="str">
        <f>'3조'!D$77</f>
        <v/>
      </c>
      <c r="E105" s="15" t="str">
        <f>'3조'!E$77</f>
        <v>3조 - Virtual Machine - Usability</v>
      </c>
      <c r="F105" s="15" t="str">
        <f>'3조'!F$77</f>
        <v/>
      </c>
      <c r="G105" s="15" t="str">
        <f>'3조'!G$77</f>
        <v>3조 - Microkernel - Usability</v>
      </c>
    </row>
    <row r="106" ht="15.75" customHeight="1">
      <c r="A106" s="14" t="s">
        <v>638</v>
      </c>
      <c r="B106" s="15" t="str">
        <f>'4조'!B$77</f>
        <v/>
      </c>
      <c r="C106" s="15" t="str">
        <f>'4조'!C$77</f>
        <v>4조 - Layered - Usability</v>
      </c>
      <c r="D106" s="15" t="str">
        <f>'4조'!D$77</f>
        <v/>
      </c>
      <c r="E106" s="15" t="str">
        <f>'4조'!E$77</f>
        <v>4조 - Virtual Machine - Usability</v>
      </c>
      <c r="F106" s="15" t="str">
        <f>'4조'!F$77</f>
        <v/>
      </c>
      <c r="G106" s="15" t="str">
        <f>'4조'!G$77</f>
        <v>4조 - Microkernel - Usability</v>
      </c>
    </row>
    <row r="107" ht="15.75" customHeight="1">
      <c r="A107" s="14" t="s">
        <v>639</v>
      </c>
      <c r="B107" s="15" t="str">
        <f>'5조'!B$77</f>
        <v/>
      </c>
      <c r="C107" s="15" t="str">
        <f>'5조'!C$77</f>
        <v>5조 - Layered - Usability</v>
      </c>
      <c r="D107" s="15" t="str">
        <f>'5조'!D$77</f>
        <v/>
      </c>
      <c r="E107" s="15" t="str">
        <f>'5조'!E$77</f>
        <v>5조 - Virtual Machine - Usability</v>
      </c>
      <c r="F107" s="15" t="str">
        <f>'5조'!F$77</f>
        <v/>
      </c>
      <c r="G107" s="15" t="str">
        <f>'5조'!G$77</f>
        <v>5조 - Microkernel - Usability</v>
      </c>
    </row>
    <row r="108" ht="15.75" customHeight="1">
      <c r="A108" s="14" t="s">
        <v>640</v>
      </c>
      <c r="B108" s="15" t="str">
        <f>'6조'!B$77</f>
        <v>+</v>
      </c>
      <c r="C108" s="15" t="str">
        <f>'6조'!C$77</f>
        <v>필요한 layer 에 대해서만 접근. UI 탭은 UX 친화 지향적일 것</v>
      </c>
      <c r="D108" s="15" t="str">
        <f>'6조'!D$77</f>
        <v/>
      </c>
      <c r="E108" s="15" t="str">
        <f>'6조'!E$77</f>
        <v>6조 - Virtual Machine - Usability</v>
      </c>
      <c r="F108" s="15" t="str">
        <f>'6조'!F$77</f>
        <v/>
      </c>
      <c r="G108" s="15" t="str">
        <f>'6조'!G$77</f>
        <v>6조 - Microkernel - Usability</v>
      </c>
    </row>
    <row r="109" ht="15.75" customHeight="1">
      <c r="A109" s="14" t="s">
        <v>641</v>
      </c>
      <c r="B109" s="15" t="str">
        <f>'7조'!B$77</f>
        <v/>
      </c>
      <c r="C109" s="15" t="str">
        <f>'7조'!C$77</f>
        <v>7조 - Layered - Usability</v>
      </c>
      <c r="D109" s="15" t="str">
        <f>'7조'!D$77</f>
        <v/>
      </c>
      <c r="E109" s="15" t="str">
        <f>'7조'!E$77</f>
        <v>7조 - Virtual Machine - Usability</v>
      </c>
      <c r="F109" s="15" t="str">
        <f>'7조'!F$77</f>
        <v/>
      </c>
      <c r="G109" s="15" t="str">
        <f>'7조'!G$77</f>
        <v>7조 - Microkernel - Usability</v>
      </c>
    </row>
    <row r="110" ht="15.75" customHeight="1">
      <c r="A110" s="14" t="s">
        <v>642</v>
      </c>
      <c r="B110" s="15" t="str">
        <f>'8조'!B$77</f>
        <v/>
      </c>
      <c r="C110" s="15" t="str">
        <f>'8조'!C$77</f>
        <v>8조 - Layered - Usability</v>
      </c>
      <c r="D110" s="15" t="str">
        <f>'8조'!D$77</f>
        <v/>
      </c>
      <c r="E110" s="15" t="str">
        <f>'8조'!E$77</f>
        <v>8조 - Virtual Machine - Usability</v>
      </c>
      <c r="F110" s="15" t="str">
        <f>'8조'!F$77</f>
        <v/>
      </c>
      <c r="G110" s="15" t="str">
        <f>'8조'!G$77</f>
        <v>8조 - Microkernel - Usability</v>
      </c>
    </row>
    <row r="111" ht="15.75" customHeight="1">
      <c r="A111" s="14" t="s">
        <v>643</v>
      </c>
      <c r="B111" s="15" t="str">
        <f>'9조'!B$77</f>
        <v/>
      </c>
      <c r="C111" s="15" t="str">
        <f>'9조'!C$77</f>
        <v>9조 - Layered - Usability</v>
      </c>
      <c r="D111" s="15" t="str">
        <f>'9조'!D$77</f>
        <v/>
      </c>
      <c r="E111" s="15" t="str">
        <f>'9조'!E$77</f>
        <v>9조 - Virtual Machine - Usability</v>
      </c>
      <c r="F111" s="15" t="str">
        <f>'9조'!F$77</f>
        <v/>
      </c>
      <c r="G111" s="15" t="str">
        <f>'9조'!G$77</f>
        <v>9조 - Microkernel - Usability</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B1:C1"/>
    <mergeCell ref="D1:E1"/>
    <mergeCell ref="F1:G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57"/>
    <col customWidth="1" min="2" max="2" width="7.71"/>
    <col customWidth="1" min="3" max="3" width="34.29"/>
    <col customWidth="1" min="4" max="4" width="7.71"/>
    <col customWidth="1" min="5" max="5" width="37.71"/>
    <col customWidth="1" min="6" max="6" width="14.43"/>
  </cols>
  <sheetData>
    <row r="1">
      <c r="A1" s="1" t="s">
        <v>386</v>
      </c>
      <c r="B1" s="2" t="s">
        <v>389</v>
      </c>
      <c r="C1" s="3"/>
      <c r="D1" s="2" t="s">
        <v>392</v>
      </c>
      <c r="E1" s="3"/>
    </row>
    <row r="2">
      <c r="A2" s="4"/>
      <c r="B2" s="5" t="s">
        <v>12</v>
      </c>
      <c r="C2" s="5" t="s">
        <v>13</v>
      </c>
      <c r="D2" s="5" t="s">
        <v>12</v>
      </c>
      <c r="E2" s="5" t="s">
        <v>13</v>
      </c>
    </row>
    <row r="3" ht="15.0" customHeight="1">
      <c r="A3" s="6" t="s">
        <v>14</v>
      </c>
      <c r="B3" s="6">
        <v>0.0</v>
      </c>
      <c r="C3" s="6">
        <v>0.0</v>
      </c>
      <c r="D3" s="6">
        <v>0.0</v>
      </c>
      <c r="E3" s="6">
        <v>0.0</v>
      </c>
    </row>
    <row r="4">
      <c r="A4" s="16" t="s">
        <v>396</v>
      </c>
      <c r="B4" s="16">
        <v>0.0</v>
      </c>
      <c r="C4" s="16" t="str">
        <f>'1조'!C81</f>
        <v>Tier별로 서버를 분리하고 여러 인스턴스를 운영하면 장애를 격리하고 이중화하기 좋다. 특히 Application Tier를 여러 대로 구성하면 일부 서버 장애에도 서비스 지속이 가능하다. 다만 특정 Tier가 단일 장애점(SPOF)이 되면 전체 서비스가 영향을 받을 수 있다.</v>
      </c>
      <c r="D4" s="16">
        <v>0.0</v>
      </c>
      <c r="E4" s="16" t="str">
        <f>'1조'!E81</f>
        <v>1조 - Client-Server - Availability</v>
      </c>
    </row>
    <row r="5">
      <c r="A5" s="16" t="s">
        <v>400</v>
      </c>
      <c r="B5" s="16">
        <v>0.0</v>
      </c>
      <c r="C5" s="16" t="str">
        <f>'2조'!C81</f>
        <v>2조 - Multi-tier - Availability</v>
      </c>
      <c r="D5" s="16">
        <v>0.0</v>
      </c>
      <c r="E5" s="16" t="str">
        <f>'2조'!E81</f>
        <v>서버 이중화로 개선 가능하나, 기본 구조는 서버가 단일 장애점이라서 문제 가능성 있음</v>
      </c>
    </row>
    <row r="6">
      <c r="A6" s="16" t="s">
        <v>404</v>
      </c>
      <c r="B6" s="16">
        <v>0.0</v>
      </c>
      <c r="C6" s="16" t="str">
        <f>'3조'!C81</f>
        <v>3조 - Multi-tier - Availability</v>
      </c>
      <c r="D6" s="16">
        <v>0.0</v>
      </c>
      <c r="E6" s="16" t="str">
        <f>'3조'!E81</f>
        <v>3조 - Client-Server - Availability</v>
      </c>
    </row>
    <row r="7">
      <c r="A7" s="16" t="s">
        <v>406</v>
      </c>
      <c r="B7" s="16">
        <v>0.0</v>
      </c>
      <c r="C7" s="16" t="str">
        <f>'4조'!C81</f>
        <v>4조 - Multi-tier - Availability</v>
      </c>
      <c r="D7" s="16">
        <v>0.0</v>
      </c>
      <c r="E7" s="16" t="str">
        <f>'4조'!E81</f>
        <v>4조 - Client-Server - Availability</v>
      </c>
    </row>
    <row r="8">
      <c r="A8" s="16" t="s">
        <v>410</v>
      </c>
      <c r="B8" s="16">
        <v>0.0</v>
      </c>
      <c r="C8" s="16" t="str">
        <f>'5조'!C81</f>
        <v>5조 - Multi-tier - Availability</v>
      </c>
      <c r="D8" s="16">
        <v>0.0</v>
      </c>
      <c r="E8" s="16" t="str">
        <f>'5조'!E81</f>
        <v>5조 - Client-Server - Availability</v>
      </c>
    </row>
    <row r="9">
      <c r="A9" s="16" t="s">
        <v>411</v>
      </c>
      <c r="B9" s="16">
        <v>0.0</v>
      </c>
      <c r="C9" s="16" t="str">
        <f>'6조'!C81</f>
        <v>Tier별로 서버를 분리하고 여러 인스턴스를 운영하면 장애를 격리하고 이중화하기 좋다. 특히 Application Tier를 여러 대로 구성하면 일부 서버 장애에도 서비스 지속이 가능하다. 다만 특정 Tier가 단일 장애점(SPOF)이 되면 전체 서비스가 영향을 받을 수 있다.</v>
      </c>
      <c r="D9" s="16">
        <v>0.0</v>
      </c>
      <c r="E9" s="16" t="str">
        <f>'6조'!E81</f>
        <v>서버 이중화로 개선 가능하나, 기본 구조는 서버가 단일 장애점이라서 문제 가능성 있음</v>
      </c>
    </row>
    <row r="10">
      <c r="A10" s="16" t="s">
        <v>415</v>
      </c>
      <c r="B10" s="16">
        <v>0.0</v>
      </c>
      <c r="C10" s="16" t="str">
        <f>'7조'!C81</f>
        <v>7조 - Multi-tier - Availability</v>
      </c>
      <c r="D10" s="16">
        <v>0.0</v>
      </c>
      <c r="E10" s="16" t="str">
        <f>'7조'!E81</f>
        <v>7조 - Client-Server - Availability</v>
      </c>
    </row>
    <row r="11">
      <c r="A11" s="16" t="s">
        <v>416</v>
      </c>
      <c r="B11" s="16">
        <v>0.0</v>
      </c>
      <c r="C11" s="16" t="str">
        <f>'8조'!C81</f>
        <v>8조 - Multi-tier - Availability</v>
      </c>
      <c r="D11" s="16">
        <v>0.0</v>
      </c>
      <c r="E11" s="16" t="str">
        <f>'8조'!E81</f>
        <v>8조 - Client-Server - Availability</v>
      </c>
    </row>
    <row r="12">
      <c r="A12" s="16" t="s">
        <v>419</v>
      </c>
      <c r="B12" s="16">
        <v>0.0</v>
      </c>
      <c r="C12" s="16" t="str">
        <f>'9조'!C81</f>
        <v>9조 - Multi-tier - Availability</v>
      </c>
      <c r="D12" s="16">
        <v>0.0</v>
      </c>
      <c r="E12" s="16" t="str">
        <f>'9조'!E81</f>
        <v>9조 - Client-Server - Availability</v>
      </c>
    </row>
    <row r="13">
      <c r="A13" s="16"/>
      <c r="B13" s="16"/>
      <c r="C13" s="16"/>
      <c r="D13" s="16"/>
      <c r="E13" s="16"/>
    </row>
    <row r="14" ht="15.0" customHeight="1">
      <c r="A14" s="6" t="s">
        <v>44</v>
      </c>
      <c r="B14" s="6">
        <v>0.0</v>
      </c>
      <c r="C14" s="6">
        <v>0.0</v>
      </c>
      <c r="D14" s="6">
        <v>0.0</v>
      </c>
      <c r="E14" s="6">
        <v>0.0</v>
      </c>
    </row>
    <row r="15">
      <c r="A15" s="16" t="s">
        <v>396</v>
      </c>
      <c r="B15" s="16">
        <v>0.0</v>
      </c>
      <c r="C15" s="16" t="str">
        <f>'1조'!C82</f>
        <v>각 Tier가 독립적으로 배포될 수 있어 변경 범위를 제한하기 쉽다. 예를 들어 Presentation Tier와 Data Tier를 별도로 배포할 수 있다. 반면 Tier 간 인터페이스나 버전 의존성이 있으면 동시 배포가 필요할 수 있다.</v>
      </c>
      <c r="D15" s="16">
        <v>0.0</v>
      </c>
      <c r="E15" s="16" t="str">
        <f>'1조'!E82</f>
        <v>1조 - Client-Server - Deployability</v>
      </c>
    </row>
    <row r="16">
      <c r="A16" s="16" t="s">
        <v>400</v>
      </c>
      <c r="B16" s="16">
        <v>0.0</v>
      </c>
      <c r="C16" s="16" t="str">
        <f>'2조'!C82</f>
        <v>2조 - Multi-tier - Deployability</v>
      </c>
      <c r="D16" s="16">
        <v>0.0</v>
      </c>
      <c r="E16" s="16" t="str">
        <f>'2조'!E82</f>
        <v>클라이언트와 서버가 독립 배포 가능함</v>
      </c>
    </row>
    <row r="17">
      <c r="A17" s="16" t="s">
        <v>404</v>
      </c>
      <c r="B17" s="16">
        <v>0.0</v>
      </c>
      <c r="C17" s="16" t="str">
        <f>'3조'!C82</f>
        <v>3조 - Multi-tier - Deployability</v>
      </c>
      <c r="D17" s="16">
        <v>0.0</v>
      </c>
      <c r="E17" s="16" t="str">
        <f>'3조'!E82</f>
        <v>3조 - Client-Server - Deployability</v>
      </c>
    </row>
    <row r="18">
      <c r="A18" s="16" t="s">
        <v>406</v>
      </c>
      <c r="B18" s="16">
        <v>0.0</v>
      </c>
      <c r="C18" s="16" t="str">
        <f>'4조'!C82</f>
        <v>4조 - Multi-tier - Deployability</v>
      </c>
      <c r="D18" s="16">
        <v>0.0</v>
      </c>
      <c r="E18" s="16" t="str">
        <f>'4조'!E82</f>
        <v>4조 - Client-Server - Deployability</v>
      </c>
    </row>
    <row r="19">
      <c r="A19" s="16" t="s">
        <v>410</v>
      </c>
      <c r="B19" s="16">
        <v>0.0</v>
      </c>
      <c r="C19" s="16" t="str">
        <f>'5조'!C82</f>
        <v>5조 - Multi-tier - Deployability</v>
      </c>
      <c r="D19" s="16">
        <v>0.0</v>
      </c>
      <c r="E19" s="16" t="str">
        <f>'5조'!E82</f>
        <v>5조 - Client-Server - Deployability</v>
      </c>
    </row>
    <row r="20">
      <c r="A20" s="16" t="s">
        <v>411</v>
      </c>
      <c r="B20" s="16">
        <v>0.0</v>
      </c>
      <c r="C20" s="16" t="str">
        <f>'6조'!C82</f>
        <v>각 Tier가 독립적으로 배포될 수 있어 변경 범위를 제한하기 쉽다. 예를 들어 Presentation Tier와 Data Tier를 별도로 배포할 수 있다. 반면 Tier 간 인터페이스나 버전 의존성이 있으면 동시 배포가 필요할 수 있다.</v>
      </c>
      <c r="D20" s="16">
        <v>0.0</v>
      </c>
      <c r="E20" s="16" t="str">
        <f>'6조'!E82</f>
        <v>클라이언트와 서버가 독립 배포 가능함</v>
      </c>
    </row>
    <row r="21" ht="15.75" customHeight="1">
      <c r="A21" s="16" t="s">
        <v>415</v>
      </c>
      <c r="B21" s="16">
        <v>0.0</v>
      </c>
      <c r="C21" s="16" t="str">
        <f>'7조'!C82</f>
        <v>7조 - Multi-tier - Deployability</v>
      </c>
      <c r="D21" s="16">
        <v>0.0</v>
      </c>
      <c r="E21" s="16" t="str">
        <f>'7조'!E82</f>
        <v>7조 - Client-Server - Deployability</v>
      </c>
    </row>
    <row r="22" ht="15.75" customHeight="1">
      <c r="A22" s="16" t="s">
        <v>416</v>
      </c>
      <c r="B22" s="16">
        <v>0.0</v>
      </c>
      <c r="C22" s="16" t="str">
        <f>'8조'!C82</f>
        <v>8조 - Multi-tier - Deployability</v>
      </c>
      <c r="D22" s="16">
        <v>0.0</v>
      </c>
      <c r="E22" s="16" t="str">
        <f>'8조'!E82</f>
        <v>8조 - Client-Server - Deployability</v>
      </c>
    </row>
    <row r="23" ht="15.75" customHeight="1">
      <c r="A23" s="16" t="s">
        <v>419</v>
      </c>
      <c r="B23" s="16">
        <v>0.0</v>
      </c>
      <c r="C23" s="16" t="str">
        <f>'9조'!C82</f>
        <v>9조 - Multi-tier - Deployability</v>
      </c>
      <c r="D23" s="16">
        <v>0.0</v>
      </c>
      <c r="E23" s="16" t="str">
        <f>'9조'!E82</f>
        <v>9조 - Client-Server - Deployability</v>
      </c>
    </row>
    <row r="24" ht="15.75" customHeight="1">
      <c r="A24" s="16"/>
      <c r="B24" s="16"/>
      <c r="C24" s="16"/>
      <c r="D24" s="16"/>
      <c r="E24" s="16"/>
    </row>
    <row r="25" ht="15.0" customHeight="1">
      <c r="A25" s="6" t="s">
        <v>80</v>
      </c>
      <c r="B25" s="6">
        <v>0.0</v>
      </c>
      <c r="C25" s="6">
        <v>0.0</v>
      </c>
      <c r="D25" s="6">
        <v>0.0</v>
      </c>
      <c r="E25" s="6">
        <v>0.0</v>
      </c>
    </row>
    <row r="26" ht="15.75" customHeight="1">
      <c r="A26" s="16" t="s">
        <v>396</v>
      </c>
      <c r="B26" s="16">
        <v>0.0</v>
      </c>
      <c r="C26" s="16" t="str">
        <f>'1조'!C83</f>
        <v>Tier 사이에 명확한 인터페이스/API를 두기 때문에 외부 시스템이나 다른 컴포넌트와 통합하기 좋다.</v>
      </c>
      <c r="D26" s="16">
        <v>0.0</v>
      </c>
      <c r="E26" s="16" t="str">
        <f>'1조'!E83</f>
        <v>1조 - Client-Server - Integrability</v>
      </c>
    </row>
    <row r="27" ht="15.75" customHeight="1">
      <c r="A27" s="16" t="s">
        <v>400</v>
      </c>
      <c r="B27" s="16">
        <v>0.0</v>
      </c>
      <c r="C27" s="16" t="str">
        <f>'2조'!C83</f>
        <v>2조 - Multi-tier - Integrability</v>
      </c>
      <c r="D27" s="16">
        <v>0.0</v>
      </c>
      <c r="E27" s="16" t="str">
        <f>'2조'!E83</f>
        <v>표준 프로토콜로 통신하므로 새 클라이언트와 서버 추가가 비교적 쉬움</v>
      </c>
    </row>
    <row r="28" ht="15.75" customHeight="1">
      <c r="A28" s="16" t="s">
        <v>404</v>
      </c>
      <c r="B28" s="16">
        <v>0.0</v>
      </c>
      <c r="C28" s="16" t="str">
        <f>'3조'!C83</f>
        <v>3조 - Multi-tier - Integrability</v>
      </c>
      <c r="D28" s="16">
        <v>0.0</v>
      </c>
      <c r="E28" s="16" t="str">
        <f>'3조'!E83</f>
        <v>3조 - Client-Server - Integrability</v>
      </c>
    </row>
    <row r="29" ht="15.75" customHeight="1">
      <c r="A29" s="16" t="s">
        <v>406</v>
      </c>
      <c r="B29" s="16">
        <v>0.0</v>
      </c>
      <c r="C29" s="16" t="str">
        <f>'4조'!C83</f>
        <v>4조 - Multi-tier - Integrability</v>
      </c>
      <c r="D29" s="16">
        <v>0.0</v>
      </c>
      <c r="E29" s="16" t="str">
        <f>'4조'!E83</f>
        <v>4조 - Client-Server - Integrability</v>
      </c>
    </row>
    <row r="30" ht="15.75" customHeight="1">
      <c r="A30" s="16" t="s">
        <v>410</v>
      </c>
      <c r="B30" s="16">
        <v>0.0</v>
      </c>
      <c r="C30" s="16" t="str">
        <f>'5조'!C83</f>
        <v>5조 - Multi-tier - Integrability</v>
      </c>
      <c r="D30" s="16">
        <v>0.0</v>
      </c>
      <c r="E30" s="16" t="str">
        <f>'5조'!E83</f>
        <v>5조 - Client-Server - Integrability</v>
      </c>
    </row>
    <row r="31" ht="15.75" customHeight="1">
      <c r="A31" s="16" t="s">
        <v>411</v>
      </c>
      <c r="B31" s="16">
        <v>0.0</v>
      </c>
      <c r="C31" s="16" t="str">
        <f>'6조'!C83</f>
        <v>Tier 사이에 명확한 인터페이스/API를 두기 때문에 외부 시스템이나 다른 컴포넌트와 통합하기 좋다.</v>
      </c>
      <c r="D31" s="16">
        <v>0.0</v>
      </c>
      <c r="E31" s="16" t="str">
        <f>'6조'!E83</f>
        <v>표준 프로토콜로 통신하므로 새 클라이언트와 서버 추가가 비교적 쉬움</v>
      </c>
    </row>
    <row r="32" ht="15.75" customHeight="1">
      <c r="A32" s="16" t="s">
        <v>415</v>
      </c>
      <c r="B32" s="16">
        <v>0.0</v>
      </c>
      <c r="C32" s="16" t="str">
        <f>'7조'!C83</f>
        <v>7조 - Multi-tier - Integrability</v>
      </c>
      <c r="D32" s="16">
        <v>0.0</v>
      </c>
      <c r="E32" s="16" t="str">
        <f>'7조'!E83</f>
        <v>7조 - Client-Server - Integrability</v>
      </c>
    </row>
    <row r="33" ht="15.75" customHeight="1">
      <c r="A33" s="16" t="s">
        <v>416</v>
      </c>
      <c r="B33" s="16">
        <v>0.0</v>
      </c>
      <c r="C33" s="16" t="str">
        <f>'8조'!C83</f>
        <v>8조 - Multi-tier - Integrability</v>
      </c>
      <c r="D33" s="16">
        <v>0.0</v>
      </c>
      <c r="E33" s="16" t="str">
        <f>'8조'!E83</f>
        <v>8조 - Client-Server - Integrability</v>
      </c>
    </row>
    <row r="34" ht="15.75" customHeight="1">
      <c r="A34" s="16" t="s">
        <v>419</v>
      </c>
      <c r="B34" s="16">
        <v>0.0</v>
      </c>
      <c r="C34" s="16" t="str">
        <f>'9조'!C83</f>
        <v>9조 - Multi-tier - Integrability</v>
      </c>
      <c r="D34" s="16">
        <v>0.0</v>
      </c>
      <c r="E34" s="16" t="str">
        <f>'9조'!E83</f>
        <v>9조 - Client-Server - Integrability</v>
      </c>
    </row>
    <row r="35" ht="15.75" customHeight="1">
      <c r="A35" s="16"/>
      <c r="B35" s="16"/>
      <c r="C35" s="16"/>
      <c r="D35" s="16"/>
      <c r="E35" s="16"/>
    </row>
    <row r="36" ht="15.75" customHeight="1">
      <c r="A36" s="6" t="s">
        <v>113</v>
      </c>
      <c r="B36" s="6">
        <v>0.0</v>
      </c>
      <c r="C36" s="6">
        <v>0.0</v>
      </c>
      <c r="D36" s="6">
        <v>0.0</v>
      </c>
      <c r="E36" s="6">
        <v>0.0</v>
      </c>
    </row>
    <row r="37" ht="15.75" customHeight="1">
      <c r="A37" s="16" t="s">
        <v>396</v>
      </c>
      <c r="B37" s="16">
        <v>0.0</v>
      </c>
      <c r="C37" s="16" t="str">
        <f>'1조'!C84</f>
        <v>물리적으로 분리된 노드 간 네트워크 통신이 빈번하게 발생하여, 단일 프로세스 기반 아키텍처에 비해 네트워크 장비 및 서버의 전력 소모량이 큼.</v>
      </c>
      <c r="D37" s="16">
        <v>0.0</v>
      </c>
      <c r="E37" s="16" t="str">
        <f>'1조'!E84</f>
        <v>1조 - Client-Server - Energy Efficiency</v>
      </c>
    </row>
    <row r="38" ht="15.75" customHeight="1">
      <c r="A38" s="16" t="s">
        <v>400</v>
      </c>
      <c r="B38" s="16">
        <v>0.0</v>
      </c>
      <c r="C38" s="16" t="str">
        <f>'2조'!C84</f>
        <v>2조 - Multi-tier - Energy Efficiency</v>
      </c>
      <c r="D38" s="16">
        <v>0.0</v>
      </c>
      <c r="E38" s="16" t="str">
        <f>'2조'!E84</f>
        <v>네트워크 통신 오버헤드가 발생하나, 클라이언트가 가벼우면 전체적으로 효율적임</v>
      </c>
    </row>
    <row r="39" ht="15.75" customHeight="1">
      <c r="A39" s="16" t="s">
        <v>404</v>
      </c>
      <c r="B39" s="16">
        <v>0.0</v>
      </c>
      <c r="C39" s="16" t="str">
        <f>'3조'!C84</f>
        <v>3조 - Multi-tier - Energy Efficiency</v>
      </c>
      <c r="D39" s="16">
        <v>0.0</v>
      </c>
      <c r="E39" s="16" t="str">
        <f>'3조'!E84</f>
        <v>3조 - Client-Server - Energy Efficiency</v>
      </c>
    </row>
    <row r="40" ht="15.75" customHeight="1">
      <c r="A40" s="16" t="s">
        <v>406</v>
      </c>
      <c r="B40" s="16">
        <v>0.0</v>
      </c>
      <c r="C40" s="16" t="str">
        <f>'4조'!C84</f>
        <v>4조 - Multi-tier - Energy Efficiency</v>
      </c>
      <c r="D40" s="16">
        <v>0.0</v>
      </c>
      <c r="E40" s="16" t="str">
        <f>'4조'!E84</f>
        <v>4조 - Client-Server - Energy Efficiency</v>
      </c>
    </row>
    <row r="41" ht="15.75" customHeight="1">
      <c r="A41" s="16" t="s">
        <v>410</v>
      </c>
      <c r="B41" s="16">
        <v>0.0</v>
      </c>
      <c r="C41" s="16" t="str">
        <f>'5조'!C84</f>
        <v>5조 - Multi-tier - Energy Efficiency</v>
      </c>
      <c r="D41" s="16">
        <v>0.0</v>
      </c>
      <c r="E41" s="16" t="str">
        <f>'5조'!E84</f>
        <v>5조 - Client-Server - Energy Efficiency</v>
      </c>
    </row>
    <row r="42" ht="15.75" customHeight="1">
      <c r="A42" s="16" t="s">
        <v>411</v>
      </c>
      <c r="B42" s="16">
        <v>0.0</v>
      </c>
      <c r="C42" s="16" t="str">
        <f>'6조'!C84</f>
        <v>물리적으로 분리된 노드 간 네트워크 통신이 빈번하게 발생하여, 단일 프로세스 기반 아키텍처에 비해 네트워크 장비 및 서버의 전력 소모량이 큼.</v>
      </c>
      <c r="D42" s="16">
        <v>0.0</v>
      </c>
      <c r="E42" s="16" t="str">
        <f>'6조'!E84</f>
        <v>네트워크 통신 오버헤드가 발생하나, 클라이언트가 가벼우면 전체적으로 효율적임</v>
      </c>
    </row>
    <row r="43" ht="15.75" customHeight="1">
      <c r="A43" s="16" t="s">
        <v>415</v>
      </c>
      <c r="B43" s="16">
        <v>0.0</v>
      </c>
      <c r="C43" s="16" t="str">
        <f>'7조'!C84</f>
        <v>7조 - Multi-tier - Energy Efficiency</v>
      </c>
      <c r="D43" s="16">
        <v>0.0</v>
      </c>
      <c r="E43" s="16" t="str">
        <f>'7조'!E84</f>
        <v>7조 - Client-Server - Energy Efficiency</v>
      </c>
    </row>
    <row r="44" ht="15.75" customHeight="1">
      <c r="A44" s="16" t="s">
        <v>416</v>
      </c>
      <c r="B44" s="16">
        <v>0.0</v>
      </c>
      <c r="C44" s="16" t="str">
        <f>'8조'!C84</f>
        <v>8조 - Multi-tier - Energy Efficiency</v>
      </c>
      <c r="D44" s="16">
        <v>0.0</v>
      </c>
      <c r="E44" s="16" t="str">
        <f>'8조'!E84</f>
        <v>8조 - Client-Server - Energy Efficiency</v>
      </c>
    </row>
    <row r="45" ht="15.75" customHeight="1">
      <c r="A45" s="16" t="s">
        <v>419</v>
      </c>
      <c r="B45" s="16">
        <v>0.0</v>
      </c>
      <c r="C45" s="16" t="str">
        <f>'9조'!C84</f>
        <v>9조 - Multi-tier - Energy Efficiency</v>
      </c>
      <c r="D45" s="16">
        <v>0.0</v>
      </c>
      <c r="E45" s="16" t="str">
        <f>'9조'!E84</f>
        <v>9조 - Client-Server - Energy Efficiency</v>
      </c>
    </row>
    <row r="46" ht="15.75" customHeight="1">
      <c r="A46" s="16"/>
      <c r="B46" s="16"/>
      <c r="C46" s="16"/>
      <c r="D46" s="16"/>
      <c r="E46" s="16"/>
    </row>
    <row r="47" ht="15.75" customHeight="1">
      <c r="A47" s="6" t="s">
        <v>144</v>
      </c>
      <c r="B47" s="6">
        <v>0.0</v>
      </c>
      <c r="C47" s="6">
        <v>0.0</v>
      </c>
      <c r="D47" s="6">
        <v>0.0</v>
      </c>
      <c r="E47" s="6">
        <v>0.0</v>
      </c>
    </row>
    <row r="48" ht="15.75" customHeight="1">
      <c r="A48" s="16" t="s">
        <v>396</v>
      </c>
      <c r="B48" s="16">
        <v>0.0</v>
      </c>
      <c r="C48" s="16" t="str">
        <f>'1조'!C85</f>
        <v>관심사를 Tier별로 분리하기 때문에 한 영역의 변경이 다른 영역에 미치는 영향을 줄일 수 있다. 다만 Tier 간 인터페이스/API 변경은 연쇄적인 수정이 필요할 수 있다.</v>
      </c>
      <c r="D48" s="16">
        <v>0.0</v>
      </c>
      <c r="E48" s="16" t="str">
        <f>'1조'!E85</f>
        <v>1조 - Client-Server - Modifiability</v>
      </c>
    </row>
    <row r="49" ht="15.75" customHeight="1">
      <c r="A49" s="16" t="s">
        <v>400</v>
      </c>
      <c r="B49" s="16">
        <v>0.0</v>
      </c>
      <c r="C49" s="16" t="str">
        <f>'2조'!C85</f>
        <v>2조 - Multi-tier - Modifiability</v>
      </c>
      <c r="D49" s="16">
        <v>0.0</v>
      </c>
      <c r="E49" s="16" t="str">
        <f>'2조'!E85</f>
        <v>클라이언트와 서버 경계가 명확해 서버 로직 변경이 클라이언트에 영향 적음</v>
      </c>
    </row>
    <row r="50" ht="15.75" customHeight="1">
      <c r="A50" s="16" t="s">
        <v>404</v>
      </c>
      <c r="B50" s="16">
        <v>0.0</v>
      </c>
      <c r="C50" s="16" t="str">
        <f>'3조'!C85</f>
        <v>3조 - Multi-tier - Modifiability</v>
      </c>
      <c r="D50" s="16">
        <v>0.0</v>
      </c>
      <c r="E50" s="16" t="str">
        <f>'3조'!E85</f>
        <v>3조 - Client-Server - Modifiability</v>
      </c>
    </row>
    <row r="51" ht="15.75" customHeight="1">
      <c r="A51" s="16" t="s">
        <v>406</v>
      </c>
      <c r="B51" s="16">
        <v>0.0</v>
      </c>
      <c r="C51" s="16" t="str">
        <f>'4조'!C85</f>
        <v>4조 - Multi-tier - Modifiability</v>
      </c>
      <c r="D51" s="16">
        <v>0.0</v>
      </c>
      <c r="E51" s="16" t="str">
        <f>'4조'!E85</f>
        <v>4조 - Client-Server - Modifiability</v>
      </c>
    </row>
    <row r="52" ht="15.75" customHeight="1">
      <c r="A52" s="16" t="s">
        <v>410</v>
      </c>
      <c r="B52" s="16">
        <v>0.0</v>
      </c>
      <c r="C52" s="16" t="str">
        <f>'5조'!C85</f>
        <v>5조 - Multi-tier - Modifiability</v>
      </c>
      <c r="D52" s="16">
        <v>0.0</v>
      </c>
      <c r="E52" s="16" t="str">
        <f>'5조'!E85</f>
        <v>5조 - Client-Server - Modifiability</v>
      </c>
    </row>
    <row r="53" ht="15.75" customHeight="1">
      <c r="A53" s="16" t="s">
        <v>411</v>
      </c>
      <c r="B53" s="16">
        <v>0.0</v>
      </c>
      <c r="C53" s="16" t="str">
        <f>'6조'!C85</f>
        <v>관심사를 Tier별로 분리하기 때문에 한 영역의 변경이 다른 영역에 미치는 영향을 줄일 수 있다. 다만 Tier 간 인터페이스/API 변경은 연쇄적인 수정이 필요할 수 있다.</v>
      </c>
      <c r="D53" s="16">
        <v>0.0</v>
      </c>
      <c r="E53" s="16" t="str">
        <f>'6조'!E85</f>
        <v>클라이언트와 서버 경계가 명확해 서버 로직 변경이 클라이언트에 영향 적음</v>
      </c>
    </row>
    <row r="54" ht="15.75" customHeight="1">
      <c r="A54" s="16" t="s">
        <v>415</v>
      </c>
      <c r="B54" s="16">
        <v>0.0</v>
      </c>
      <c r="C54" s="16" t="str">
        <f>'7조'!C85</f>
        <v>7조 - Multi-tier - Modifiability</v>
      </c>
      <c r="D54" s="16">
        <v>0.0</v>
      </c>
      <c r="E54" s="16" t="str">
        <f>'7조'!E85</f>
        <v>7조 - Client-Server - Modifiability</v>
      </c>
    </row>
    <row r="55" ht="15.75" customHeight="1">
      <c r="A55" s="16" t="s">
        <v>416</v>
      </c>
      <c r="B55" s="16">
        <v>0.0</v>
      </c>
      <c r="C55" s="16" t="str">
        <f>'8조'!C85</f>
        <v>8조 - Multi-tier - Modifiability</v>
      </c>
      <c r="D55" s="16">
        <v>0.0</v>
      </c>
      <c r="E55" s="16" t="str">
        <f>'8조'!E85</f>
        <v>8조 - Client-Server - Modifiability</v>
      </c>
    </row>
    <row r="56" ht="15.75" customHeight="1">
      <c r="A56" s="16" t="s">
        <v>419</v>
      </c>
      <c r="B56" s="16">
        <v>0.0</v>
      </c>
      <c r="C56" s="16" t="str">
        <f>'9조'!C85</f>
        <v>9조 - Multi-tier - Modifiability</v>
      </c>
      <c r="D56" s="16">
        <v>0.0</v>
      </c>
      <c r="E56" s="16" t="str">
        <f>'9조'!E85</f>
        <v>9조 - Client-Server - Modifiability</v>
      </c>
    </row>
    <row r="57" ht="15.75" customHeight="1">
      <c r="A57" s="16"/>
      <c r="B57" s="16"/>
      <c r="C57" s="16"/>
      <c r="D57" s="16"/>
      <c r="E57" s="16"/>
    </row>
    <row r="58" ht="15.75" customHeight="1">
      <c r="A58" s="6" t="s">
        <v>176</v>
      </c>
      <c r="B58" s="6">
        <v>0.0</v>
      </c>
      <c r="C58" s="6">
        <v>0.0</v>
      </c>
      <c r="D58" s="6">
        <v>0.0</v>
      </c>
      <c r="E58" s="6">
        <v>0.0</v>
      </c>
    </row>
    <row r="59" ht="15.75" customHeight="1">
      <c r="A59" s="16" t="s">
        <v>396</v>
      </c>
      <c r="B59" s="16">
        <v>0.0</v>
      </c>
      <c r="C59" s="16" t="str">
        <f>'1조'!C86</f>
        <v>Tier 간 네트워크 호출이 증가하고 데이터 serialization/deserialization 등의 비용이 발생하므로 단일 프로세스 구조보다 latency가 증가할 수 있다</v>
      </c>
      <c r="D59" s="16">
        <v>0.0</v>
      </c>
      <c r="E59" s="16" t="str">
        <f>'1조'!E86</f>
        <v>1조 - Client-Server - Performance</v>
      </c>
    </row>
    <row r="60" ht="15.75" customHeight="1">
      <c r="A60" s="16" t="s">
        <v>400</v>
      </c>
      <c r="B60" s="16">
        <v>0.0</v>
      </c>
      <c r="C60" s="16" t="str">
        <f>'2조'!C86</f>
        <v>2조 - Multi-tier - Performance</v>
      </c>
      <c r="D60" s="16">
        <v>0.0</v>
      </c>
      <c r="E60" s="16" t="str">
        <f>'2조'!E86</f>
        <v>서버의 중앙 처리 효율은 높지만 네트워크 지연 발생함</v>
      </c>
    </row>
    <row r="61" ht="15.75" customHeight="1">
      <c r="A61" s="16" t="s">
        <v>404</v>
      </c>
      <c r="B61" s="16">
        <v>0.0</v>
      </c>
      <c r="C61" s="16" t="str">
        <f>'3조'!C86</f>
        <v>3조 - Multi-tier - Performance</v>
      </c>
      <c r="D61" s="16">
        <v>0.0</v>
      </c>
      <c r="E61" s="16" t="str">
        <f>'3조'!E86</f>
        <v>3조 - Client-Server - Performance</v>
      </c>
    </row>
    <row r="62" ht="15.75" customHeight="1">
      <c r="A62" s="16" t="s">
        <v>406</v>
      </c>
      <c r="B62" s="16">
        <v>0.0</v>
      </c>
      <c r="C62" s="16" t="str">
        <f>'4조'!C86</f>
        <v>4조 - Multi-tier - Performance</v>
      </c>
      <c r="D62" s="16">
        <v>0.0</v>
      </c>
      <c r="E62" s="16" t="str">
        <f>'4조'!E86</f>
        <v>4조 - Client-Server - Performance</v>
      </c>
    </row>
    <row r="63" ht="15.75" customHeight="1">
      <c r="A63" s="16" t="s">
        <v>410</v>
      </c>
      <c r="B63" s="16">
        <v>0.0</v>
      </c>
      <c r="C63" s="16" t="str">
        <f>'5조'!C86</f>
        <v>5조 - Multi-tier - Performance</v>
      </c>
      <c r="D63" s="16">
        <v>0.0</v>
      </c>
      <c r="E63" s="16" t="str">
        <f>'5조'!E86</f>
        <v>5조 - Client-Server - Performance</v>
      </c>
    </row>
    <row r="64" ht="15.75" customHeight="1">
      <c r="A64" s="16" t="s">
        <v>411</v>
      </c>
      <c r="B64" s="16">
        <v>0.0</v>
      </c>
      <c r="C64" s="16" t="str">
        <f>'6조'!C86</f>
        <v>Tier 간 네트워크 호출이 증가하고 데이터 serialization/deserialization 등의 비용이 발생하므로 단일 프로세스 구조보다 latency가 증가할 수 있다</v>
      </c>
      <c r="D64" s="16">
        <v>0.0</v>
      </c>
      <c r="E64" s="16" t="str">
        <f>'6조'!E86</f>
        <v>서버의 중앙 처리 효율은 높지만 네트워크 지연 발생함</v>
      </c>
    </row>
    <row r="65" ht="15.75" customHeight="1">
      <c r="A65" s="16" t="s">
        <v>415</v>
      </c>
      <c r="B65" s="16">
        <v>0.0</v>
      </c>
      <c r="C65" s="16" t="str">
        <f>'7조'!C86</f>
        <v>7조 - Multi-tier - Performance</v>
      </c>
      <c r="D65" s="16">
        <v>0.0</v>
      </c>
      <c r="E65" s="16" t="str">
        <f>'7조'!E86</f>
        <v>7조 - Client-Server - Performance</v>
      </c>
    </row>
    <row r="66" ht="15.75" customHeight="1">
      <c r="A66" s="16" t="s">
        <v>416</v>
      </c>
      <c r="B66" s="16">
        <v>0.0</v>
      </c>
      <c r="C66" s="16" t="str">
        <f>'8조'!C86</f>
        <v>8조 - Multi-tier - Performance</v>
      </c>
      <c r="D66" s="16">
        <v>0.0</v>
      </c>
      <c r="E66" s="16" t="str">
        <f>'8조'!E86</f>
        <v>8조 - Client-Server - Performance</v>
      </c>
    </row>
    <row r="67" ht="15.75" customHeight="1">
      <c r="A67" s="16" t="s">
        <v>419</v>
      </c>
      <c r="B67" s="16">
        <v>0.0</v>
      </c>
      <c r="C67" s="16" t="str">
        <f>'9조'!C86</f>
        <v>9조 - Multi-tier - Performance</v>
      </c>
      <c r="D67" s="16">
        <v>0.0</v>
      </c>
      <c r="E67" s="16" t="str">
        <f>'9조'!E86</f>
        <v>9조 - Client-Server - Performance</v>
      </c>
    </row>
    <row r="68" ht="15.75" customHeight="1">
      <c r="A68" s="16"/>
      <c r="B68" s="16"/>
      <c r="C68" s="16"/>
      <c r="D68" s="16"/>
      <c r="E68" s="16"/>
    </row>
    <row r="69" ht="15.75" customHeight="1">
      <c r="A69" s="6" t="s">
        <v>208</v>
      </c>
      <c r="B69" s="6">
        <v>0.0</v>
      </c>
      <c r="C69" s="6">
        <v>0.0</v>
      </c>
      <c r="D69" s="6">
        <v>0.0</v>
      </c>
      <c r="E69" s="6">
        <v>0.0</v>
      </c>
    </row>
    <row r="70" ht="15.75" customHeight="1">
      <c r="A70" s="16" t="s">
        <v>396</v>
      </c>
      <c r="B70" s="16">
        <v>0.0</v>
      </c>
      <c r="C70" s="16" t="str">
        <f>'1조'!C87</f>
        <v>데이터 계층과 비즈니스 로직이 분리되어 있어 특정 계층의 장애나 오류가 전체 시스템의 치명적인 붕괴로 이어지는 것을 막는 격리(Fault Isolation) 능력이 우수함.</v>
      </c>
      <c r="D70" s="16">
        <v>0.0</v>
      </c>
      <c r="E70" s="16" t="str">
        <f>'1조'!E87</f>
        <v>1조 - Client-Server - Safety</v>
      </c>
    </row>
    <row r="71" ht="15.75" customHeight="1">
      <c r="A71" s="16" t="s">
        <v>400</v>
      </c>
      <c r="B71" s="16">
        <v>0.0</v>
      </c>
      <c r="C71" s="16" t="str">
        <f>'2조'!C87</f>
        <v>2조 - Multi-tier - Safety</v>
      </c>
      <c r="D71" s="16">
        <v>0.0</v>
      </c>
      <c r="E71" s="16" t="str">
        <f>'2조'!E87</f>
        <v>서버 측에서 중앙 집중적으로 검증과 통제 가능하지만 통신장애 발생함</v>
      </c>
    </row>
    <row r="72" ht="15.75" customHeight="1">
      <c r="A72" s="16" t="s">
        <v>404</v>
      </c>
      <c r="B72" s="16">
        <v>0.0</v>
      </c>
      <c r="C72" s="16" t="str">
        <f>'3조'!C87</f>
        <v>3조 - Multi-tier - Safety</v>
      </c>
      <c r="D72" s="16">
        <v>0.0</v>
      </c>
      <c r="E72" s="16" t="str">
        <f>'3조'!E87</f>
        <v>3조 - Client-Server - Safety</v>
      </c>
    </row>
    <row r="73" ht="15.75" customHeight="1">
      <c r="A73" s="16" t="s">
        <v>406</v>
      </c>
      <c r="B73" s="16">
        <v>0.0</v>
      </c>
      <c r="C73" s="16" t="str">
        <f>'4조'!C87</f>
        <v>4조 - Multi-tier - Safety</v>
      </c>
      <c r="D73" s="16">
        <v>0.0</v>
      </c>
      <c r="E73" s="16" t="str">
        <f>'4조'!E87</f>
        <v>4조 - Client-Server - Safety</v>
      </c>
    </row>
    <row r="74" ht="15.75" customHeight="1">
      <c r="A74" s="16" t="s">
        <v>410</v>
      </c>
      <c r="B74" s="16">
        <v>0.0</v>
      </c>
      <c r="C74" s="16" t="str">
        <f>'5조'!C87</f>
        <v>5조 - Multi-tier - Safety</v>
      </c>
      <c r="D74" s="16">
        <v>0.0</v>
      </c>
      <c r="E74" s="16" t="str">
        <f>'5조'!E87</f>
        <v>5조 - Client-Server - Safety</v>
      </c>
    </row>
    <row r="75" ht="15.75" customHeight="1">
      <c r="A75" s="16" t="s">
        <v>411</v>
      </c>
      <c r="B75" s="16">
        <v>0.0</v>
      </c>
      <c r="C75" s="16" t="str">
        <f>'6조'!C87</f>
        <v>데이터 계층과 비즈니스 로직이 분리되어 있어 특정 계층의 장애나 오류가 전체 시스템의 치명적인 붕괴로 이어지는 것을 막는 격리(Fault Isolation) 능력이 우수함.</v>
      </c>
      <c r="D75" s="16">
        <v>0.0</v>
      </c>
      <c r="E75" s="16" t="str">
        <f>'6조'!E87</f>
        <v>서버 측에서 중앙 집중적으로 검증과 통제 가능하지만 통신장애 발생함</v>
      </c>
    </row>
    <row r="76" ht="15.75" customHeight="1">
      <c r="A76" s="16" t="s">
        <v>415</v>
      </c>
      <c r="B76" s="16">
        <v>0.0</v>
      </c>
      <c r="C76" s="16" t="str">
        <f>'7조'!C87</f>
        <v>7조 - Multi-tier - Safety</v>
      </c>
      <c r="D76" s="16">
        <v>0.0</v>
      </c>
      <c r="E76" s="16" t="str">
        <f>'7조'!E87</f>
        <v>7조 - Client-Server - Safety</v>
      </c>
    </row>
    <row r="77" ht="15.75" customHeight="1">
      <c r="A77" s="16" t="s">
        <v>416</v>
      </c>
      <c r="B77" s="16">
        <v>0.0</v>
      </c>
      <c r="C77" s="16" t="str">
        <f>'8조'!C87</f>
        <v>8조 - Multi-tier - Safety</v>
      </c>
      <c r="D77" s="16">
        <v>0.0</v>
      </c>
      <c r="E77" s="16" t="str">
        <f>'8조'!E87</f>
        <v>8조 - Client-Server - Safety</v>
      </c>
    </row>
    <row r="78" ht="15.75" customHeight="1">
      <c r="A78" s="16" t="s">
        <v>419</v>
      </c>
      <c r="B78" s="16">
        <v>0.0</v>
      </c>
      <c r="C78" s="16" t="str">
        <f>'9조'!C87</f>
        <v>9조 - Multi-tier - Safety</v>
      </c>
      <c r="D78" s="16">
        <v>0.0</v>
      </c>
      <c r="E78" s="16" t="str">
        <f>'9조'!E87</f>
        <v>9조 - Client-Server - Safety</v>
      </c>
    </row>
    <row r="79" ht="15.75" customHeight="1">
      <c r="A79" s="16"/>
      <c r="B79" s="16"/>
      <c r="C79" s="16"/>
      <c r="D79" s="16"/>
      <c r="E79" s="16"/>
    </row>
    <row r="80" ht="15.75" customHeight="1">
      <c r="A80" s="6" t="s">
        <v>242</v>
      </c>
      <c r="B80" s="6">
        <v>0.0</v>
      </c>
      <c r="C80" s="6">
        <v>0.0</v>
      </c>
      <c r="D80" s="6">
        <v>0.0</v>
      </c>
      <c r="E80" s="6">
        <v>0.0</v>
      </c>
    </row>
    <row r="81" ht="15.75" customHeight="1">
      <c r="A81" s="16" t="s">
        <v>396</v>
      </c>
      <c r="B81" s="16">
        <v>0.0</v>
      </c>
      <c r="C81" s="16" t="str">
        <f>'1조'!C88</f>
        <v>계층화된 방어(Defense in Depth)가 가능함. 프레젠테이션 계층은 DMZ에 배치하고, 데이터 계층은 내부망에 격리하며, 계층 간 방화벽 및 접근 제어 정책을 강력하게 적용할 수 있음</v>
      </c>
      <c r="D81" s="16">
        <v>0.0</v>
      </c>
      <c r="E81" s="16" t="str">
        <f>'1조'!E88</f>
        <v>1조 - Client-Server - Security</v>
      </c>
    </row>
    <row r="82" ht="15.75" customHeight="1">
      <c r="A82" s="16" t="s">
        <v>400</v>
      </c>
      <c r="B82" s="16">
        <v>0.0</v>
      </c>
      <c r="C82" s="16" t="str">
        <f>'2조'!C88</f>
        <v>2조 - Multi-tier - Security</v>
      </c>
      <c r="D82" s="16">
        <v>0.0</v>
      </c>
      <c r="E82" s="16" t="str">
        <f>'2조'!E88</f>
        <v>서버가 중앙 집중식 인증과 접근 제어로 보안 관리 용이함</v>
      </c>
    </row>
    <row r="83" ht="15.75" customHeight="1">
      <c r="A83" s="16" t="s">
        <v>404</v>
      </c>
      <c r="B83" s="16">
        <v>0.0</v>
      </c>
      <c r="C83" s="16" t="str">
        <f>'3조'!C88</f>
        <v>3조 - Multi-tier - Security</v>
      </c>
      <c r="D83" s="16">
        <v>0.0</v>
      </c>
      <c r="E83" s="16" t="str">
        <f>'3조'!E88</f>
        <v>3조 - Client-Server - Security</v>
      </c>
    </row>
    <row r="84" ht="15.75" customHeight="1">
      <c r="A84" s="16" t="s">
        <v>406</v>
      </c>
      <c r="B84" s="16">
        <v>0.0</v>
      </c>
      <c r="C84" s="16" t="str">
        <f>'4조'!C88</f>
        <v>4조 - Multi-tier - Security</v>
      </c>
      <c r="D84" s="16">
        <v>0.0</v>
      </c>
      <c r="E84" s="16" t="str">
        <f>'4조'!E88</f>
        <v>4조 - Client-Server - Security</v>
      </c>
    </row>
    <row r="85" ht="15.75" customHeight="1">
      <c r="A85" s="16" t="s">
        <v>410</v>
      </c>
      <c r="B85" s="16">
        <v>0.0</v>
      </c>
      <c r="C85" s="16" t="str">
        <f>'5조'!C88</f>
        <v>5조 - Multi-tier - Security</v>
      </c>
      <c r="D85" s="16">
        <v>0.0</v>
      </c>
      <c r="E85" s="16" t="str">
        <f>'5조'!E88</f>
        <v>5조 - Client-Server - Security</v>
      </c>
    </row>
    <row r="86" ht="15.75" customHeight="1">
      <c r="A86" s="16" t="s">
        <v>411</v>
      </c>
      <c r="B86" s="16">
        <v>0.0</v>
      </c>
      <c r="C86" s="16" t="str">
        <f>'6조'!C88</f>
        <v>계층화된 방어(Defense in Depth)가 가능함. 프레젠테이션 계층은 DMZ에 배치하고, 데이터 계층은 내부망에 격리하며, 계층 간 방화벽 및 접근 제어 정책을 강력하게 적용할 수 있음</v>
      </c>
      <c r="D86" s="16">
        <v>0.0</v>
      </c>
      <c r="E86" s="16" t="str">
        <f>'6조'!E88</f>
        <v>서버가 중앙 집중식 인증과 접근 제어로 보안 관리 용이함</v>
      </c>
    </row>
    <row r="87" ht="15.75" customHeight="1">
      <c r="A87" s="16" t="s">
        <v>415</v>
      </c>
      <c r="B87" s="16">
        <v>0.0</v>
      </c>
      <c r="C87" s="16" t="str">
        <f>'7조'!C88</f>
        <v>7조 - Multi-tier - Security</v>
      </c>
      <c r="D87" s="16">
        <v>0.0</v>
      </c>
      <c r="E87" s="16" t="str">
        <f>'7조'!E88</f>
        <v>7조 - Client-Server - Security</v>
      </c>
    </row>
    <row r="88" ht="15.75" customHeight="1">
      <c r="A88" s="16" t="s">
        <v>416</v>
      </c>
      <c r="B88" s="16">
        <v>0.0</v>
      </c>
      <c r="C88" s="16" t="str">
        <f>'8조'!C88</f>
        <v>8조 - Multi-tier - Security</v>
      </c>
      <c r="D88" s="16">
        <v>0.0</v>
      </c>
      <c r="E88" s="16" t="str">
        <f>'8조'!E88</f>
        <v>8조 - Client-Server - Security</v>
      </c>
    </row>
    <row r="89" ht="15.75" customHeight="1">
      <c r="A89" s="16" t="s">
        <v>419</v>
      </c>
      <c r="B89" s="16">
        <v>0.0</v>
      </c>
      <c r="C89" s="16" t="str">
        <f>'9조'!C88</f>
        <v>9조 - Multi-tier - Security</v>
      </c>
      <c r="D89" s="16">
        <v>0.0</v>
      </c>
      <c r="E89" s="16" t="str">
        <f>'9조'!E88</f>
        <v>9조 - Client-Server - Security</v>
      </c>
    </row>
    <row r="90" ht="15.75" customHeight="1">
      <c r="A90" s="16"/>
      <c r="B90" s="16"/>
      <c r="C90" s="16"/>
      <c r="D90" s="16"/>
      <c r="E90" s="16"/>
    </row>
    <row r="91" ht="15.75" customHeight="1">
      <c r="A91" s="6" t="s">
        <v>273</v>
      </c>
      <c r="B91" s="6">
        <v>0.0</v>
      </c>
      <c r="C91" s="6">
        <v>0.0</v>
      </c>
      <c r="D91" s="6">
        <v>0.0</v>
      </c>
      <c r="E91" s="6">
        <v>0.0</v>
      </c>
    </row>
    <row r="92" ht="15.75" customHeight="1">
      <c r="A92" s="16" t="s">
        <v>396</v>
      </c>
      <c r="B92" s="16">
        <v>0.0</v>
      </c>
      <c r="C92" s="16" t="str">
        <f>'1조'!C89</f>
        <v>각 Tier의 책임이 비교적 명확하므로 Presentation, Business, Data 계층을 개별적으로 테스트하기 쉽다. Mock/Stub을 이용해 Tier 간 의존성을 대체할 수도 있다. 다만 실제 분산 환경에서의 통합 테스트는 복잡해진다.</v>
      </c>
      <c r="D92" s="16">
        <v>0.0</v>
      </c>
      <c r="E92" s="16" t="str">
        <f>'1조'!E89</f>
        <v>1조 - Client-Server - Testability</v>
      </c>
    </row>
    <row r="93" ht="15.75" customHeight="1">
      <c r="A93" s="16" t="s">
        <v>400</v>
      </c>
      <c r="B93" s="16">
        <v>0.0</v>
      </c>
      <c r="C93" s="16" t="str">
        <f>'2조'!C89</f>
        <v>2조 - Multi-tier - Testability</v>
      </c>
      <c r="D93" s="16">
        <v>0.0</v>
      </c>
      <c r="E93" s="16" t="str">
        <f>'2조'!E89</f>
        <v>클라이언트와 서버를 독립적으로 각각 격리 테스트 가능함</v>
      </c>
    </row>
    <row r="94" ht="15.75" customHeight="1">
      <c r="A94" s="16" t="s">
        <v>404</v>
      </c>
      <c r="B94" s="16">
        <v>0.0</v>
      </c>
      <c r="C94" s="16" t="str">
        <f>'3조'!C89</f>
        <v>3조 - Multi-tier - Testability</v>
      </c>
      <c r="D94" s="16">
        <v>0.0</v>
      </c>
      <c r="E94" s="16" t="str">
        <f>'3조'!E89</f>
        <v>3조 - Client-Server - Testability</v>
      </c>
    </row>
    <row r="95" ht="15.75" customHeight="1">
      <c r="A95" s="16" t="s">
        <v>406</v>
      </c>
      <c r="B95" s="16">
        <v>0.0</v>
      </c>
      <c r="C95" s="16" t="str">
        <f>'4조'!C89</f>
        <v>4조 - Multi-tier - Testability</v>
      </c>
      <c r="D95" s="16">
        <v>0.0</v>
      </c>
      <c r="E95" s="16" t="str">
        <f>'4조'!E89</f>
        <v>4조 - Client-Server - Testability</v>
      </c>
    </row>
    <row r="96" ht="15.75" customHeight="1">
      <c r="A96" s="16" t="s">
        <v>410</v>
      </c>
      <c r="B96" s="16">
        <v>0.0</v>
      </c>
      <c r="C96" s="16" t="str">
        <f>'5조'!C89</f>
        <v>5조 - Multi-tier - Testability</v>
      </c>
      <c r="D96" s="16">
        <v>0.0</v>
      </c>
      <c r="E96" s="16" t="str">
        <f>'5조'!E89</f>
        <v>5조 - Client-Server - Testability</v>
      </c>
    </row>
    <row r="97" ht="15.75" customHeight="1">
      <c r="A97" s="16" t="s">
        <v>411</v>
      </c>
      <c r="B97" s="16">
        <v>0.0</v>
      </c>
      <c r="C97" s="16" t="str">
        <f>'6조'!C89</f>
        <v>각 Tier의 책임이 비교적 명확하므로 Presentation, Business, Data 계층을 개별적으로 테스트하기 쉽다. Mock/Stub을 이용해 Tier 간 의존성을 대체할 수도 있다. 다만 실제 분산 환경에서의 통합 테스트는 복잡해진다.</v>
      </c>
      <c r="D97" s="16">
        <v>0.0</v>
      </c>
      <c r="E97" s="16" t="str">
        <f>'6조'!E89</f>
        <v>클라이언트와 서버를 독립적으로 각각 격리 테스트 가능함</v>
      </c>
    </row>
    <row r="98" ht="15.75" customHeight="1">
      <c r="A98" s="16" t="s">
        <v>415</v>
      </c>
      <c r="B98" s="16">
        <v>0.0</v>
      </c>
      <c r="C98" s="16" t="str">
        <f>'7조'!C89</f>
        <v>7조 - Multi-tier - Testability</v>
      </c>
      <c r="D98" s="16">
        <v>0.0</v>
      </c>
      <c r="E98" s="16" t="str">
        <f>'7조'!E89</f>
        <v>7조 - Client-Server - Testability</v>
      </c>
    </row>
    <row r="99" ht="15.75" customHeight="1">
      <c r="A99" s="16" t="s">
        <v>416</v>
      </c>
      <c r="B99" s="16">
        <v>0.0</v>
      </c>
      <c r="C99" s="16" t="str">
        <f>'8조'!C89</f>
        <v>8조 - Multi-tier - Testability</v>
      </c>
      <c r="D99" s="16">
        <v>0.0</v>
      </c>
      <c r="E99" s="16" t="str">
        <f>'8조'!E89</f>
        <v>8조 - Client-Server - Testability</v>
      </c>
    </row>
    <row r="100" ht="15.75" customHeight="1">
      <c r="A100" s="16" t="s">
        <v>419</v>
      </c>
      <c r="B100" s="16">
        <v>0.0</v>
      </c>
      <c r="C100" s="16" t="str">
        <f>'9조'!C89</f>
        <v>9조 - Multi-tier - Testability</v>
      </c>
      <c r="D100" s="16">
        <v>0.0</v>
      </c>
      <c r="E100" s="16" t="str">
        <f>'9조'!E89</f>
        <v>9조 - Client-Server - Testability</v>
      </c>
    </row>
    <row r="101" ht="15.0" customHeight="1">
      <c r="A101" s="16"/>
      <c r="B101" s="16"/>
      <c r="C101" s="16"/>
      <c r="D101" s="16"/>
      <c r="E101" s="16"/>
    </row>
    <row r="102" ht="15.75" customHeight="1">
      <c r="A102" s="6" t="s">
        <v>305</v>
      </c>
      <c r="B102" s="6">
        <v>0.0</v>
      </c>
      <c r="C102" s="6">
        <v>0.0</v>
      </c>
      <c r="D102" s="6">
        <v>0.0</v>
      </c>
      <c r="E102" s="6">
        <v>0.0</v>
      </c>
    </row>
    <row r="103" ht="15.75" customHeight="1">
      <c r="A103" s="16" t="s">
        <v>396</v>
      </c>
      <c r="B103" s="16">
        <v>0.0</v>
      </c>
      <c r="C103" s="16" t="str">
        <f>'1조'!C90</f>
        <v>Multi-tier 자체가 사용자 경험을 직접 향상시키는 Architecture Style은 아니다. 다만 Presentation Tier를 독립적으로 발전시키고 Backend와 분리할 수 있어 UI/UX 개선에는 유리하다. 반면 추가적인 네트워크 latency가 UX에 영향을 줄 수 있다</v>
      </c>
      <c r="D103" s="16">
        <v>0.0</v>
      </c>
      <c r="E103" s="16" t="str">
        <f>'1조'!E90</f>
        <v>1조 - Client-Server - Usability</v>
      </c>
    </row>
    <row r="104" ht="15.75" customHeight="1">
      <c r="A104" s="16" t="s">
        <v>400</v>
      </c>
      <c r="B104" s="16">
        <v>0.0</v>
      </c>
      <c r="C104" s="16" t="str">
        <f>'2조'!C90</f>
        <v>2조 - Multi-tier - Usability</v>
      </c>
      <c r="D104" s="16">
        <v>0.0</v>
      </c>
      <c r="E104" s="16" t="str">
        <f>'2조'!E90</f>
        <v>클라이언트가 사용자 인터페이스를 제공함</v>
      </c>
    </row>
    <row r="105" ht="15.75" customHeight="1">
      <c r="A105" s="16" t="s">
        <v>404</v>
      </c>
      <c r="B105" s="16">
        <v>0.0</v>
      </c>
      <c r="C105" s="16" t="str">
        <f>'3조'!C90</f>
        <v>3조 - Multi-tier - Usability</v>
      </c>
      <c r="D105" s="16">
        <v>0.0</v>
      </c>
      <c r="E105" s="16" t="str">
        <f>'3조'!E90</f>
        <v>3조 - Client-Server - Usability</v>
      </c>
    </row>
    <row r="106" ht="15.75" customHeight="1">
      <c r="A106" s="16" t="s">
        <v>406</v>
      </c>
      <c r="B106" s="16">
        <v>0.0</v>
      </c>
      <c r="C106" s="16" t="str">
        <f>'4조'!C90</f>
        <v>4조 - Multi-tier - Usability</v>
      </c>
      <c r="D106" s="16">
        <v>0.0</v>
      </c>
      <c r="E106" s="16" t="str">
        <f>'4조'!E90</f>
        <v>4조 - Client-Server - Usability</v>
      </c>
    </row>
    <row r="107" ht="15.75" customHeight="1">
      <c r="A107" s="16" t="s">
        <v>410</v>
      </c>
      <c r="B107" s="16">
        <v>0.0</v>
      </c>
      <c r="C107" s="16" t="str">
        <f>'5조'!C90</f>
        <v>5조 - Multi-tier - Usability</v>
      </c>
      <c r="D107" s="16">
        <v>0.0</v>
      </c>
      <c r="E107" s="16" t="str">
        <f>'5조'!E90</f>
        <v>5조 - Client-Server - Usability</v>
      </c>
    </row>
    <row r="108" ht="15.75" customHeight="1">
      <c r="A108" s="16" t="s">
        <v>411</v>
      </c>
      <c r="B108" s="16">
        <v>0.0</v>
      </c>
      <c r="C108" s="16" t="str">
        <f>'6조'!C90</f>
        <v>Multi-tier 자체가 사용자 경험을 직접 향상시키는 Architecture Style은 아니다. 다만 Presentation Tier를 독립적으로 발전시키고 Backend와 분리할 수 있어 UI/UX 개선에는 유리하다. 반면 추가적인 네트워크 latency가 UX에 영향을 줄 수 있다</v>
      </c>
      <c r="D108" s="16">
        <v>0.0</v>
      </c>
      <c r="E108" s="16" t="str">
        <f>'6조'!E90</f>
        <v>클라이언트가 사용자 인터페이스를 제공함</v>
      </c>
    </row>
    <row r="109" ht="15.75" customHeight="1">
      <c r="A109" s="16" t="s">
        <v>415</v>
      </c>
      <c r="B109" s="16">
        <v>0.0</v>
      </c>
      <c r="C109" s="16" t="str">
        <f>'7조'!C90</f>
        <v>7조 - Multi-tier - Usability</v>
      </c>
      <c r="D109" s="16">
        <v>0.0</v>
      </c>
      <c r="E109" s="16" t="str">
        <f>'7조'!E90</f>
        <v>7조 - Client-Server - Usability</v>
      </c>
    </row>
    <row r="110" ht="15.75" customHeight="1">
      <c r="A110" s="16" t="s">
        <v>416</v>
      </c>
      <c r="B110" s="16">
        <v>0.0</v>
      </c>
      <c r="C110" s="16" t="str">
        <f>'8조'!C90</f>
        <v>8조 - Multi-tier - Usability</v>
      </c>
      <c r="D110" s="16">
        <v>0.0</v>
      </c>
      <c r="E110" s="16" t="str">
        <f>'8조'!E90</f>
        <v>8조 - Client-Server - Usability</v>
      </c>
    </row>
    <row r="111" ht="15.75" customHeight="1">
      <c r="A111" s="16" t="s">
        <v>419</v>
      </c>
      <c r="B111" s="16">
        <v>0.0</v>
      </c>
      <c r="C111" s="16" t="str">
        <f>'9조'!C90</f>
        <v>9조 - Multi-tier - Usability</v>
      </c>
      <c r="D111" s="16">
        <v>0.0</v>
      </c>
      <c r="E111" s="16" t="str">
        <f>'9조'!E90</f>
        <v>9조 - Client-Server - Usability</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57"/>
    <col customWidth="1" min="2" max="2" width="7.71"/>
    <col customWidth="1" min="3" max="3" width="31.14"/>
    <col customWidth="1" min="4" max="4" width="7.71"/>
    <col customWidth="1" min="5" max="5" width="35.14"/>
    <col customWidth="1" min="6" max="6" width="14.43"/>
  </cols>
  <sheetData>
    <row r="1">
      <c r="A1" s="17" t="s">
        <v>386</v>
      </c>
      <c r="B1" s="18" t="s">
        <v>499</v>
      </c>
      <c r="C1" s="19"/>
      <c r="D1" s="18" t="s">
        <v>502</v>
      </c>
      <c r="E1" s="19"/>
    </row>
    <row r="2">
      <c r="A2" s="20"/>
      <c r="B2" s="21" t="s">
        <v>12</v>
      </c>
      <c r="C2" s="21" t="s">
        <v>13</v>
      </c>
      <c r="D2" s="21" t="s">
        <v>12</v>
      </c>
      <c r="E2" s="21" t="s">
        <v>13</v>
      </c>
    </row>
    <row r="3" ht="15.0" customHeight="1">
      <c r="A3" s="22" t="s">
        <v>14</v>
      </c>
      <c r="B3" s="22">
        <v>0.0</v>
      </c>
      <c r="C3" s="22">
        <v>0.0</v>
      </c>
      <c r="D3" s="22">
        <v>0.0</v>
      </c>
      <c r="E3" s="22">
        <v>0.0</v>
      </c>
    </row>
    <row r="4">
      <c r="A4" s="23" t="s">
        <v>396</v>
      </c>
      <c r="B4" s="23">
        <v>0.0</v>
      </c>
      <c r="C4" s="23" t="str">
        <f>'1조'!C94</f>
        <v>1조 - Broker - Availability</v>
      </c>
      <c r="D4" s="23">
        <v>0.0</v>
      </c>
      <c r="E4" s="23" t="str">
        <f>'1조'!E94</f>
        <v>1조 - Dispatcher - Availability</v>
      </c>
    </row>
    <row r="5">
      <c r="A5" s="23" t="s">
        <v>400</v>
      </c>
      <c r="B5" s="23">
        <v>0.0</v>
      </c>
      <c r="C5" s="23" t="str">
        <f>'2조'!C94</f>
        <v>2조 - Broker - Availability</v>
      </c>
      <c r="D5" s="23">
        <v>0.0</v>
      </c>
      <c r="E5" s="23" t="str">
        <f>'2조'!E94</f>
        <v>2조 - Dispatcher - Availability</v>
      </c>
    </row>
    <row r="6">
      <c r="A6" s="23" t="s">
        <v>404</v>
      </c>
      <c r="B6" s="23">
        <v>0.0</v>
      </c>
      <c r="C6" s="23" t="str">
        <f>'3조'!C94</f>
        <v>3조 - Broker - Availability</v>
      </c>
      <c r="D6" s="23">
        <v>0.0</v>
      </c>
      <c r="E6" s="23" t="str">
        <f>'3조'!E94</f>
        <v>3조 - Dispatcher - Availability</v>
      </c>
    </row>
    <row r="7">
      <c r="A7" s="23" t="s">
        <v>406</v>
      </c>
      <c r="B7" s="23">
        <v>0.0</v>
      </c>
      <c r="C7" s="23" t="str">
        <f>'4조'!C94</f>
        <v>4조 - Broker - Availability</v>
      </c>
      <c r="D7" s="23">
        <v>0.0</v>
      </c>
      <c r="E7" s="23" t="str">
        <f>'4조'!E94</f>
        <v>4조 - Dispatcher - Availability</v>
      </c>
    </row>
    <row r="8">
      <c r="A8" s="23" t="s">
        <v>410</v>
      </c>
      <c r="B8" s="23">
        <v>0.0</v>
      </c>
      <c r="C8" s="23" t="str">
        <f>'5조'!C94</f>
        <v>5조 - Broker - Availability</v>
      </c>
      <c r="D8" s="23">
        <v>0.0</v>
      </c>
      <c r="E8" s="23" t="str">
        <f>'5조'!E94</f>
        <v>5조 - Dispatcher - Availability</v>
      </c>
    </row>
    <row r="9">
      <c r="A9" s="23" t="s">
        <v>411</v>
      </c>
      <c r="B9" s="23">
        <v>0.0</v>
      </c>
      <c r="C9" s="23" t="str">
        <f>'6조'!C94</f>
        <v>broker의 장애가 모든 client-server간의 통신에 영향을 주기 때문에 전체 시스템이 먹통이 될 수 있다.
또한 특정 server에 장애가 생길 경우에도 전체 application이 영향을 받을 수 있다.</v>
      </c>
      <c r="D9" s="23">
        <v>0.0</v>
      </c>
      <c r="E9" s="23" t="str">
        <f>'6조'!E94</f>
        <v>기본적으로 동등한 대상에 대해서 이중화가 이루어지기 때문에 장애로부터 복구되기 용이하기 때문에 장애 복구 시간이 짧다.</v>
      </c>
    </row>
    <row r="10">
      <c r="A10" s="23" t="s">
        <v>415</v>
      </c>
      <c r="B10" s="23">
        <v>0.0</v>
      </c>
      <c r="C10" s="23" t="str">
        <f>'7조'!C94</f>
        <v>7조 - Broker - Availability</v>
      </c>
      <c r="D10" s="23">
        <v>0.0</v>
      </c>
      <c r="E10" s="23" t="str">
        <f>'7조'!E94</f>
        <v>7조 - Dispatcher - Availability</v>
      </c>
    </row>
    <row r="11">
      <c r="A11" s="23" t="s">
        <v>416</v>
      </c>
      <c r="B11" s="23">
        <v>0.0</v>
      </c>
      <c r="C11" s="23" t="str">
        <f>'8조'!C94</f>
        <v>8조 - Broker - Availability</v>
      </c>
      <c r="D11" s="23">
        <v>0.0</v>
      </c>
      <c r="E11" s="23" t="str">
        <f>'8조'!E94</f>
        <v>8조 - Dispatcher - Availability</v>
      </c>
    </row>
    <row r="12">
      <c r="A12" s="23" t="s">
        <v>419</v>
      </c>
      <c r="B12" s="23">
        <v>0.0</v>
      </c>
      <c r="C12" s="23" t="str">
        <f>'9조'!C94</f>
        <v>9조 - Broker - Availability</v>
      </c>
      <c r="D12" s="23">
        <v>0.0</v>
      </c>
      <c r="E12" s="23" t="str">
        <f>'9조'!E94</f>
        <v>9조 - Dispatcher - Availability</v>
      </c>
    </row>
    <row r="13">
      <c r="A13" s="23"/>
      <c r="B13" s="23"/>
      <c r="C13" s="23"/>
      <c r="D13" s="23"/>
      <c r="E13" s="23"/>
    </row>
    <row r="14" ht="15.0" customHeight="1">
      <c r="A14" s="22" t="s">
        <v>44</v>
      </c>
      <c r="B14" s="22">
        <v>0.0</v>
      </c>
      <c r="C14" s="22">
        <v>0.0</v>
      </c>
      <c r="D14" s="22">
        <v>0.0</v>
      </c>
      <c r="E14" s="22">
        <v>0.0</v>
      </c>
    </row>
    <row r="15">
      <c r="A15" s="23" t="s">
        <v>396</v>
      </c>
      <c r="B15" s="23">
        <v>0.0</v>
      </c>
      <c r="C15" s="23" t="str">
        <f>'1조'!C95</f>
        <v>1조 - Broker - Deployability</v>
      </c>
      <c r="D15" s="23">
        <v>0.0</v>
      </c>
      <c r="E15" s="23" t="str">
        <f>'1조'!E95</f>
        <v>1조 - Dispatcher - Deployability</v>
      </c>
    </row>
    <row r="16">
      <c r="A16" s="23" t="s">
        <v>400</v>
      </c>
      <c r="B16" s="23">
        <v>0.0</v>
      </c>
      <c r="C16" s="23" t="str">
        <f>'2조'!C95</f>
        <v>2조 - Broker - Deployability</v>
      </c>
      <c r="D16" s="23">
        <v>0.0</v>
      </c>
      <c r="E16" s="23" t="str">
        <f>'2조'!E95</f>
        <v>2조 - Dispatcher - Deployability</v>
      </c>
    </row>
    <row r="17">
      <c r="A17" s="23" t="s">
        <v>404</v>
      </c>
      <c r="B17" s="23">
        <v>0.0</v>
      </c>
      <c r="C17" s="23" t="str">
        <f>'3조'!C95</f>
        <v>3조 - Broker - Deployability</v>
      </c>
      <c r="D17" s="23">
        <v>0.0</v>
      </c>
      <c r="E17" s="23" t="str">
        <f>'3조'!E95</f>
        <v>3조 - Dispatcher - Deployability</v>
      </c>
    </row>
    <row r="18">
      <c r="A18" s="23" t="s">
        <v>406</v>
      </c>
      <c r="B18" s="23">
        <v>0.0</v>
      </c>
      <c r="C18" s="23" t="str">
        <f>'4조'!C95</f>
        <v>4조 - Broker - Deployability</v>
      </c>
      <c r="D18" s="23">
        <v>0.0</v>
      </c>
      <c r="E18" s="23" t="str">
        <f>'4조'!E95</f>
        <v>4조 - Dispatcher - Deployability</v>
      </c>
    </row>
    <row r="19">
      <c r="A19" s="23" t="s">
        <v>410</v>
      </c>
      <c r="B19" s="23">
        <v>0.0</v>
      </c>
      <c r="C19" s="23" t="str">
        <f>'5조'!C95</f>
        <v>5조 - Broker - Deployability</v>
      </c>
      <c r="D19" s="23">
        <v>0.0</v>
      </c>
      <c r="E19" s="23" t="str">
        <f>'5조'!E95</f>
        <v>5조 - Dispatcher - Deployability</v>
      </c>
    </row>
    <row r="20">
      <c r="A20" s="23" t="s">
        <v>411</v>
      </c>
      <c r="B20" s="23">
        <v>0.0</v>
      </c>
      <c r="C20" s="23" t="str">
        <f>'6조'!C95</f>
        <v>runtime 중 server의 추가/삭제가 용이하다.</v>
      </c>
      <c r="D20" s="23">
        <v>0.0</v>
      </c>
      <c r="E20" s="23" t="str">
        <f>'6조'!E95</f>
        <v>클라이언트가 연결되어 있지 않은 상황에서 다른 머신에 배포시키기가 수월.</v>
      </c>
    </row>
    <row r="21" ht="15.75" customHeight="1">
      <c r="A21" s="23" t="s">
        <v>415</v>
      </c>
      <c r="B21" s="23">
        <v>0.0</v>
      </c>
      <c r="C21" s="23" t="str">
        <f>'7조'!C95</f>
        <v>7조 - Broker - Deployability</v>
      </c>
      <c r="D21" s="23">
        <v>0.0</v>
      </c>
      <c r="E21" s="23" t="str">
        <f>'7조'!E95</f>
        <v>7조 - Dispatcher - Deployability</v>
      </c>
    </row>
    <row r="22" ht="15.75" customHeight="1">
      <c r="A22" s="23" t="s">
        <v>416</v>
      </c>
      <c r="B22" s="23">
        <v>0.0</v>
      </c>
      <c r="C22" s="23" t="str">
        <f>'8조'!C95</f>
        <v>8조 - Broker - Deployability</v>
      </c>
      <c r="D22" s="23">
        <v>0.0</v>
      </c>
      <c r="E22" s="23" t="str">
        <f>'8조'!E95</f>
        <v>8조 - Dispatcher - Deployability</v>
      </c>
    </row>
    <row r="23" ht="15.75" customHeight="1">
      <c r="A23" s="23" t="s">
        <v>419</v>
      </c>
      <c r="B23" s="23">
        <v>0.0</v>
      </c>
      <c r="C23" s="23" t="str">
        <f>'9조'!C95</f>
        <v>9조 - Broker - Deployability</v>
      </c>
      <c r="D23" s="23">
        <v>0.0</v>
      </c>
      <c r="E23" s="23" t="str">
        <f>'9조'!E95</f>
        <v>9조 - Dispatcher - Deployability</v>
      </c>
    </row>
    <row r="24" ht="15.75" customHeight="1">
      <c r="A24" s="23"/>
      <c r="B24" s="23"/>
      <c r="C24" s="23"/>
      <c r="D24" s="23"/>
      <c r="E24" s="23"/>
    </row>
    <row r="25" ht="15.0" customHeight="1">
      <c r="A25" s="22" t="s">
        <v>80</v>
      </c>
      <c r="B25" s="22">
        <v>0.0</v>
      </c>
      <c r="C25" s="22">
        <v>0.0</v>
      </c>
      <c r="D25" s="22">
        <v>0.0</v>
      </c>
      <c r="E25" s="22">
        <v>0.0</v>
      </c>
    </row>
    <row r="26" ht="15.75" customHeight="1">
      <c r="A26" s="23" t="s">
        <v>396</v>
      </c>
      <c r="B26" s="23">
        <v>0.0</v>
      </c>
      <c r="C26" s="23" t="str">
        <f>'1조'!C96</f>
        <v>1조 - Broker - Integrability</v>
      </c>
      <c r="D26" s="23">
        <v>0.0</v>
      </c>
      <c r="E26" s="23" t="str">
        <f>'1조'!E96</f>
        <v>1조 - Dispatcher - Integrability</v>
      </c>
    </row>
    <row r="27" ht="15.75" customHeight="1">
      <c r="A27" s="23" t="s">
        <v>400</v>
      </c>
      <c r="B27" s="23">
        <v>0.0</v>
      </c>
      <c r="C27" s="23" t="str">
        <f>'2조'!C96</f>
        <v>2조 - Broker - Integrability</v>
      </c>
      <c r="D27" s="23">
        <v>0.0</v>
      </c>
      <c r="E27" s="23" t="str">
        <f>'2조'!E96</f>
        <v>2조 - Dispatcher - Integrability</v>
      </c>
    </row>
    <row r="28" ht="15.75" customHeight="1">
      <c r="A28" s="23" t="s">
        <v>404</v>
      </c>
      <c r="B28" s="23">
        <v>0.0</v>
      </c>
      <c r="C28" s="23" t="str">
        <f>'3조'!C96</f>
        <v>3조 - Broker - Integrability</v>
      </c>
      <c r="D28" s="23">
        <v>0.0</v>
      </c>
      <c r="E28" s="23" t="str">
        <f>'3조'!E96</f>
        <v>3조 - Dispatcher - Integrability</v>
      </c>
    </row>
    <row r="29" ht="15.75" customHeight="1">
      <c r="A29" s="23" t="s">
        <v>406</v>
      </c>
      <c r="B29" s="23">
        <v>0.0</v>
      </c>
      <c r="C29" s="23" t="str">
        <f>'4조'!C96</f>
        <v>4조 - Broker - Integrability</v>
      </c>
      <c r="D29" s="23">
        <v>0.0</v>
      </c>
      <c r="E29" s="23" t="str">
        <f>'4조'!E96</f>
        <v>4조 - Dispatcher - Integrability</v>
      </c>
    </row>
    <row r="30" ht="15.75" customHeight="1">
      <c r="A30" s="23" t="s">
        <v>410</v>
      </c>
      <c r="B30" s="23">
        <v>0.0</v>
      </c>
      <c r="C30" s="23" t="str">
        <f>'5조'!C96</f>
        <v>5조 - Broker - Integrability</v>
      </c>
      <c r="D30" s="23">
        <v>0.0</v>
      </c>
      <c r="E30" s="23" t="str">
        <f>'5조'!E96</f>
        <v>5조 - Dispatcher - Integrability</v>
      </c>
    </row>
    <row r="31" ht="15.75" customHeight="1">
      <c r="A31" s="23" t="s">
        <v>411</v>
      </c>
      <c r="B31" s="23">
        <v>0.0</v>
      </c>
      <c r="C31" s="23" t="str">
        <f>'6조'!C96</f>
        <v>bridge를 통해 다른 format의 protocol을 사용하는 여러 broker를 연결할 수 있다.</v>
      </c>
      <c r="D31" s="23">
        <v>0.0</v>
      </c>
      <c r="E31" s="23" t="str">
        <f>'6조'!E96</f>
        <v>동일 인터페이스인 인스턴스를 추가하는 비용은 거의 없지만 호환되지 않는 인터페이스라면 통합되기 어려움 (이건 브로커의 역할)</v>
      </c>
    </row>
    <row r="32" ht="15.75" customHeight="1">
      <c r="A32" s="23" t="s">
        <v>415</v>
      </c>
      <c r="B32" s="23">
        <v>0.0</v>
      </c>
      <c r="C32" s="23" t="str">
        <f>'7조'!C96</f>
        <v>7조 - Broker - Integrability</v>
      </c>
      <c r="D32" s="23">
        <v>0.0</v>
      </c>
      <c r="E32" s="23" t="str">
        <f>'7조'!E96</f>
        <v>7조 - Dispatcher - Integrability</v>
      </c>
    </row>
    <row r="33" ht="15.75" customHeight="1">
      <c r="A33" s="23" t="s">
        <v>416</v>
      </c>
      <c r="B33" s="23">
        <v>0.0</v>
      </c>
      <c r="C33" s="23" t="str">
        <f>'8조'!C96</f>
        <v>8조 - Broker - Integrability</v>
      </c>
      <c r="D33" s="23">
        <v>0.0</v>
      </c>
      <c r="E33" s="23" t="str">
        <f>'8조'!E96</f>
        <v>8조 - Dispatcher - Integrability</v>
      </c>
    </row>
    <row r="34" ht="15.75" customHeight="1">
      <c r="A34" s="23" t="s">
        <v>419</v>
      </c>
      <c r="B34" s="23">
        <v>0.0</v>
      </c>
      <c r="C34" s="23" t="str">
        <f>'9조'!C96</f>
        <v>9조 - Broker - Integrability</v>
      </c>
      <c r="D34" s="23">
        <v>0.0</v>
      </c>
      <c r="E34" s="23" t="str">
        <f>'9조'!E96</f>
        <v>9조 - Dispatcher - Integrability</v>
      </c>
    </row>
    <row r="35" ht="15.75" customHeight="1">
      <c r="A35" s="23"/>
      <c r="B35" s="23"/>
      <c r="C35" s="23"/>
      <c r="D35" s="23"/>
      <c r="E35" s="23"/>
    </row>
    <row r="36" ht="15.75" customHeight="1">
      <c r="A36" s="22" t="s">
        <v>113</v>
      </c>
      <c r="B36" s="22">
        <v>0.0</v>
      </c>
      <c r="C36" s="22">
        <v>0.0</v>
      </c>
      <c r="D36" s="22">
        <v>0.0</v>
      </c>
      <c r="E36" s="22">
        <v>0.0</v>
      </c>
    </row>
    <row r="37" ht="15.75" customHeight="1">
      <c r="A37" s="23" t="s">
        <v>396</v>
      </c>
      <c r="B37" s="23">
        <v>0.0</v>
      </c>
      <c r="C37" s="23" t="str">
        <f>'1조'!C97</f>
        <v>1조 - Broker - Energy Efficiency</v>
      </c>
      <c r="D37" s="23">
        <v>0.0</v>
      </c>
      <c r="E37" s="23" t="str">
        <f>'1조'!E97</f>
        <v>1조 - Dispatcher - Energy Efficiency</v>
      </c>
    </row>
    <row r="38" ht="15.75" customHeight="1">
      <c r="A38" s="23" t="s">
        <v>400</v>
      </c>
      <c r="B38" s="23">
        <v>0.0</v>
      </c>
      <c r="C38" s="23" t="str">
        <f>'2조'!C97</f>
        <v>2조 - Broker - Energy Efficiency</v>
      </c>
      <c r="D38" s="23">
        <v>0.0</v>
      </c>
      <c r="E38" s="23" t="str">
        <f>'2조'!E97</f>
        <v>2조 - Dispatcher - Energy Efficiency</v>
      </c>
    </row>
    <row r="39" ht="15.75" customHeight="1">
      <c r="A39" s="23" t="s">
        <v>404</v>
      </c>
      <c r="B39" s="23">
        <v>0.0</v>
      </c>
      <c r="C39" s="23" t="str">
        <f>'3조'!C97</f>
        <v>3조 - Broker - Energy Efficiency</v>
      </c>
      <c r="D39" s="23">
        <v>0.0</v>
      </c>
      <c r="E39" s="23" t="str">
        <f>'3조'!E97</f>
        <v>3조 - Dispatcher - Energy Efficiency</v>
      </c>
    </row>
    <row r="40" ht="15.75" customHeight="1">
      <c r="A40" s="23" t="s">
        <v>406</v>
      </c>
      <c r="B40" s="23">
        <v>0.0</v>
      </c>
      <c r="C40" s="23" t="str">
        <f>'4조'!C97</f>
        <v>4조 - Broker - Energy Efficiency</v>
      </c>
      <c r="D40" s="23">
        <v>0.0</v>
      </c>
      <c r="E40" s="23" t="str">
        <f>'4조'!E97</f>
        <v>4조 - Dispatcher - Energy Efficiency</v>
      </c>
    </row>
    <row r="41" ht="15.75" customHeight="1">
      <c r="A41" s="23" t="s">
        <v>410</v>
      </c>
      <c r="B41" s="23">
        <v>0.0</v>
      </c>
      <c r="C41" s="23" t="str">
        <f>'5조'!C97</f>
        <v>5조 - Broker - Energy Efficiency</v>
      </c>
      <c r="D41" s="23">
        <v>0.0</v>
      </c>
      <c r="E41" s="23" t="str">
        <f>'5조'!E97</f>
        <v>5조 - Dispatcher - Energy Efficiency</v>
      </c>
    </row>
    <row r="42" ht="15.75" customHeight="1">
      <c r="A42" s="23" t="s">
        <v>411</v>
      </c>
      <c r="B42" s="23">
        <v>0.0</v>
      </c>
      <c r="C42" s="23" t="str">
        <f>'6조'!C97</f>
        <v>동시성을 띄고 broker와의 통신 overhead 때문에 에너지 소모가 높다. </v>
      </c>
      <c r="D42" s="23">
        <v>0.0</v>
      </c>
      <c r="E42" s="23" t="str">
        <f>'6조'!E97</f>
        <v>Dispatcher와 발생되는 통신비용이 오버헤드가 될 수 있지만 누구와 통신을 할지 식별이 된 이후에는 Dispatcher를 거치지 않음</v>
      </c>
    </row>
    <row r="43" ht="15.75" customHeight="1">
      <c r="A43" s="23" t="s">
        <v>415</v>
      </c>
      <c r="B43" s="23">
        <v>0.0</v>
      </c>
      <c r="C43" s="23" t="str">
        <f>'7조'!C97</f>
        <v>7조 - Broker - Energy Efficiency</v>
      </c>
      <c r="D43" s="23">
        <v>0.0</v>
      </c>
      <c r="E43" s="23" t="str">
        <f>'7조'!E97</f>
        <v>7조 - Dispatcher - Energy Efficiency</v>
      </c>
    </row>
    <row r="44" ht="15.75" customHeight="1">
      <c r="A44" s="23" t="s">
        <v>416</v>
      </c>
      <c r="B44" s="23">
        <v>0.0</v>
      </c>
      <c r="C44" s="23" t="str">
        <f>'8조'!C97</f>
        <v>8조 - Broker - Energy Efficiency</v>
      </c>
      <c r="D44" s="23">
        <v>0.0</v>
      </c>
      <c r="E44" s="23" t="str">
        <f>'8조'!E97</f>
        <v>8조 - Dispatcher - Energy Efficiency</v>
      </c>
    </row>
    <row r="45" ht="15.75" customHeight="1">
      <c r="A45" s="23" t="s">
        <v>419</v>
      </c>
      <c r="B45" s="23">
        <v>0.0</v>
      </c>
      <c r="C45" s="23" t="str">
        <f>'9조'!C97</f>
        <v>9조 - Broker - Energy Efficiency</v>
      </c>
      <c r="D45" s="23">
        <v>0.0</v>
      </c>
      <c r="E45" s="23" t="str">
        <f>'9조'!E97</f>
        <v>9조 - Dispatcher - Energy Efficiency</v>
      </c>
    </row>
    <row r="46" ht="15.75" customHeight="1">
      <c r="A46" s="23"/>
      <c r="B46" s="23"/>
      <c r="C46" s="23"/>
      <c r="D46" s="23"/>
      <c r="E46" s="23"/>
    </row>
    <row r="47" ht="15.75" customHeight="1">
      <c r="A47" s="22" t="s">
        <v>144</v>
      </c>
      <c r="B47" s="22">
        <v>0.0</v>
      </c>
      <c r="C47" s="22">
        <v>0.0</v>
      </c>
      <c r="D47" s="22">
        <v>0.0</v>
      </c>
      <c r="E47" s="22">
        <v>0.0</v>
      </c>
    </row>
    <row r="48" ht="15.75" customHeight="1">
      <c r="A48" s="23" t="s">
        <v>396</v>
      </c>
      <c r="B48" s="23">
        <v>0.0</v>
      </c>
      <c r="C48" s="23" t="str">
        <f>'1조'!C98</f>
        <v>1조 - Broker - Modifiability</v>
      </c>
      <c r="D48" s="23">
        <v>0.0</v>
      </c>
      <c r="E48" s="23" t="str">
        <f>'1조'!E98</f>
        <v>1조 - Dispatcher - Modifiability</v>
      </c>
    </row>
    <row r="49" ht="15.75" customHeight="1">
      <c r="A49" s="23" t="s">
        <v>400</v>
      </c>
      <c r="B49" s="23">
        <v>0.0</v>
      </c>
      <c r="C49" s="23" t="str">
        <f>'2조'!C98</f>
        <v>2조 - Broker - Modifiability</v>
      </c>
      <c r="D49" s="23">
        <v>0.0</v>
      </c>
      <c r="E49" s="23" t="str">
        <f>'2조'!E98</f>
        <v>2조 - Dispatcher - Modifiability</v>
      </c>
    </row>
    <row r="50" ht="15.75" customHeight="1">
      <c r="A50" s="23" t="s">
        <v>404</v>
      </c>
      <c r="B50" s="23">
        <v>0.0</v>
      </c>
      <c r="C50" s="23" t="str">
        <f>'3조'!C98</f>
        <v>3조 - Broker - Modifiability</v>
      </c>
      <c r="D50" s="23">
        <v>0.0</v>
      </c>
      <c r="E50" s="23" t="str">
        <f>'3조'!E98</f>
        <v>3조 - Dispatcher - Modifiability</v>
      </c>
    </row>
    <row r="51" ht="15.75" customHeight="1">
      <c r="A51" s="23" t="s">
        <v>406</v>
      </c>
      <c r="B51" s="23">
        <v>0.0</v>
      </c>
      <c r="C51" s="23" t="str">
        <f>'4조'!C98</f>
        <v>4조 - Broker - Modifiability</v>
      </c>
      <c r="D51" s="23">
        <v>0.0</v>
      </c>
      <c r="E51" s="23" t="str">
        <f>'4조'!E98</f>
        <v>4조 - Dispatcher - Modifiability</v>
      </c>
    </row>
    <row r="52" ht="15.75" customHeight="1">
      <c r="A52" s="23" t="s">
        <v>410</v>
      </c>
      <c r="B52" s="23">
        <v>0.0</v>
      </c>
      <c r="C52" s="23" t="str">
        <f>'5조'!C98</f>
        <v>5조 - Broker - Modifiability</v>
      </c>
      <c r="D52" s="23">
        <v>0.0</v>
      </c>
      <c r="E52" s="23" t="str">
        <f>'5조'!E98</f>
        <v>5조 - Dispatcher - Modifiability</v>
      </c>
    </row>
    <row r="53" ht="15.75" customHeight="1">
      <c r="A53" s="23" t="s">
        <v>411</v>
      </c>
      <c r="B53" s="23">
        <v>0.0</v>
      </c>
      <c r="C53" s="23" t="str">
        <f>'6조'!C98</f>
        <v>broker의 구현이 바뀌더라도 api의 변경이 없으면 server와 client에 영향을 
주지 않아 수정이 용이하다.</v>
      </c>
      <c r="D53" s="23">
        <v>0.0</v>
      </c>
      <c r="E53" s="23" t="str">
        <f>'6조'!E98</f>
        <v>클라이언트 코드는 서버가 얼마나 되는지 어디에 위치하는지 알 필요없이 오직 Dispatcher와 통신하면 되기 때문에 변경이 파급되지 않는다. 다만 인터페이스가 변경되면 모든 서버로 파급될 수 있음.</v>
      </c>
    </row>
    <row r="54" ht="15.75" customHeight="1">
      <c r="A54" s="23" t="s">
        <v>415</v>
      </c>
      <c r="B54" s="23">
        <v>0.0</v>
      </c>
      <c r="C54" s="23" t="str">
        <f>'7조'!C98</f>
        <v>7조 - Broker - Modifiability</v>
      </c>
      <c r="D54" s="23">
        <v>0.0</v>
      </c>
      <c r="E54" s="23" t="str">
        <f>'7조'!E98</f>
        <v>7조 - Dispatcher - Modifiability</v>
      </c>
    </row>
    <row r="55" ht="15.75" customHeight="1">
      <c r="A55" s="23" t="s">
        <v>416</v>
      </c>
      <c r="B55" s="23">
        <v>0.0</v>
      </c>
      <c r="C55" s="23" t="str">
        <f>'8조'!C98</f>
        <v>8조 - Broker - Modifiability</v>
      </c>
      <c r="D55" s="23">
        <v>0.0</v>
      </c>
      <c r="E55" s="23" t="str">
        <f>'8조'!E98</f>
        <v>8조 - Dispatcher - Modifiability</v>
      </c>
    </row>
    <row r="56" ht="15.75" customHeight="1">
      <c r="A56" s="23" t="s">
        <v>419</v>
      </c>
      <c r="B56" s="23">
        <v>0.0</v>
      </c>
      <c r="C56" s="23" t="str">
        <f>'9조'!C98</f>
        <v>9조 - Broker - Modifiability</v>
      </c>
      <c r="D56" s="23">
        <v>0.0</v>
      </c>
      <c r="E56" s="23" t="str">
        <f>'9조'!E98</f>
        <v>9조 - Dispatcher - Modifiability</v>
      </c>
    </row>
    <row r="57" ht="15.75" customHeight="1">
      <c r="A57" s="23"/>
      <c r="B57" s="23"/>
      <c r="C57" s="23"/>
      <c r="D57" s="23"/>
      <c r="E57" s="23"/>
    </row>
    <row r="58" ht="15.75" customHeight="1">
      <c r="A58" s="22" t="s">
        <v>176</v>
      </c>
      <c r="B58" s="22">
        <v>0.0</v>
      </c>
      <c r="C58" s="22">
        <v>0.0</v>
      </c>
      <c r="D58" s="22">
        <v>0.0</v>
      </c>
      <c r="E58" s="22">
        <v>0.0</v>
      </c>
    </row>
    <row r="59" ht="15.75" customHeight="1">
      <c r="A59" s="23" t="s">
        <v>396</v>
      </c>
      <c r="B59" s="23">
        <v>0.0</v>
      </c>
      <c r="C59" s="23" t="str">
        <f>'1조'!C99</f>
        <v>1조 - Broker - Performance</v>
      </c>
      <c r="D59" s="23">
        <v>0.0</v>
      </c>
      <c r="E59" s="23" t="str">
        <f>'1조'!E99</f>
        <v>1조 - Dispatcher - Performance</v>
      </c>
    </row>
    <row r="60" ht="15.75" customHeight="1">
      <c r="A60" s="23" t="s">
        <v>400</v>
      </c>
      <c r="B60" s="23">
        <v>0.0</v>
      </c>
      <c r="C60" s="23" t="str">
        <f>'2조'!C99</f>
        <v>2조 - Broker - Performance</v>
      </c>
      <c r="D60" s="23">
        <v>0.0</v>
      </c>
      <c r="E60" s="23" t="str">
        <f>'2조'!E99</f>
        <v>2조 - Dispatcher - Performance</v>
      </c>
    </row>
    <row r="61" ht="15.75" customHeight="1">
      <c r="A61" s="23" t="s">
        <v>404</v>
      </c>
      <c r="B61" s="23">
        <v>0.0</v>
      </c>
      <c r="C61" s="23" t="str">
        <f>'3조'!C99</f>
        <v>3조 - Broker - Performance</v>
      </c>
      <c r="D61" s="23">
        <v>0.0</v>
      </c>
      <c r="E61" s="23" t="str">
        <f>'3조'!E99</f>
        <v>3조 - Dispatcher - Performance</v>
      </c>
    </row>
    <row r="62" ht="15.75" customHeight="1">
      <c r="A62" s="23" t="s">
        <v>406</v>
      </c>
      <c r="B62" s="23">
        <v>0.0</v>
      </c>
      <c r="C62" s="23" t="str">
        <f>'4조'!C99</f>
        <v>4조 - Broker - Performance</v>
      </c>
      <c r="D62" s="23">
        <v>0.0</v>
      </c>
      <c r="E62" s="23" t="str">
        <f>'4조'!E99</f>
        <v>4조 - Dispatcher - Performance</v>
      </c>
    </row>
    <row r="63" ht="15.75" customHeight="1">
      <c r="A63" s="23" t="s">
        <v>410</v>
      </c>
      <c r="B63" s="23">
        <v>0.0</v>
      </c>
      <c r="C63" s="23" t="str">
        <f>'5조'!C99</f>
        <v>5조 - Broker - Performance</v>
      </c>
      <c r="D63" s="23">
        <v>0.0</v>
      </c>
      <c r="E63" s="23" t="str">
        <f>'5조'!E99</f>
        <v>5조 - Dispatcher - Performance</v>
      </c>
    </row>
    <row r="64" ht="15.75" customHeight="1">
      <c r="A64" s="23" t="s">
        <v>411</v>
      </c>
      <c r="B64" s="23">
        <v>0.0</v>
      </c>
      <c r="C64" s="23" t="str">
        <f>'6조'!C99</f>
        <v>client-server 간 통신이 broker를 거쳐야 하기 때문에 overhead가 발생한다.</v>
      </c>
      <c r="D64" s="23">
        <v>0.0</v>
      </c>
      <c r="E64" s="23" t="str">
        <f>'6조'!E99</f>
        <v>병렬 처리로 처리량과 수평 확장성은 좋아지지만 요청 초기마다 홉이 하나 추가된다는 점은 마이너스가 될 수 있음.</v>
      </c>
    </row>
    <row r="65" ht="15.75" customHeight="1">
      <c r="A65" s="23" t="s">
        <v>415</v>
      </c>
      <c r="B65" s="23">
        <v>0.0</v>
      </c>
      <c r="C65" s="23" t="str">
        <f>'7조'!C99</f>
        <v>7조 - Broker - Performance</v>
      </c>
      <c r="D65" s="23">
        <v>0.0</v>
      </c>
      <c r="E65" s="23" t="str">
        <f>'7조'!E99</f>
        <v>7조 - Dispatcher - Performance</v>
      </c>
    </row>
    <row r="66" ht="15.75" customHeight="1">
      <c r="A66" s="23" t="s">
        <v>416</v>
      </c>
      <c r="B66" s="23">
        <v>0.0</v>
      </c>
      <c r="C66" s="23" t="str">
        <f>'8조'!C99</f>
        <v>8조 - Broker - Performance</v>
      </c>
      <c r="D66" s="23">
        <v>0.0</v>
      </c>
      <c r="E66" s="23" t="str">
        <f>'8조'!E99</f>
        <v>8조 - Dispatcher - Performance</v>
      </c>
    </row>
    <row r="67" ht="15.75" customHeight="1">
      <c r="A67" s="23" t="s">
        <v>419</v>
      </c>
      <c r="B67" s="23">
        <v>0.0</v>
      </c>
      <c r="C67" s="23" t="str">
        <f>'9조'!C99</f>
        <v>9조 - Broker - Performance</v>
      </c>
      <c r="D67" s="23">
        <v>0.0</v>
      </c>
      <c r="E67" s="23" t="str">
        <f>'9조'!E99</f>
        <v>9조 - Dispatcher - Performance</v>
      </c>
    </row>
    <row r="68" ht="15.75" customHeight="1">
      <c r="A68" s="23"/>
      <c r="B68" s="23"/>
      <c r="C68" s="23"/>
      <c r="D68" s="23"/>
      <c r="E68" s="23"/>
    </row>
    <row r="69" ht="15.75" customHeight="1">
      <c r="A69" s="22" t="s">
        <v>208</v>
      </c>
      <c r="B69" s="22">
        <v>0.0</v>
      </c>
      <c r="C69" s="22">
        <v>0.0</v>
      </c>
      <c r="D69" s="22">
        <v>0.0</v>
      </c>
      <c r="E69" s="22">
        <v>0.0</v>
      </c>
    </row>
    <row r="70" ht="15.75" customHeight="1">
      <c r="A70" s="23" t="s">
        <v>396</v>
      </c>
      <c r="B70" s="23">
        <v>0.0</v>
      </c>
      <c r="C70" s="23" t="str">
        <f>'1조'!C100</f>
        <v>1조 - Broker - Safety</v>
      </c>
      <c r="D70" s="23">
        <v>0.0</v>
      </c>
      <c r="E70" s="23" t="str">
        <f>'1조'!E100</f>
        <v>1조 - Dispatcher - Safety</v>
      </c>
    </row>
    <row r="71" ht="15.75" customHeight="1">
      <c r="A71" s="23" t="s">
        <v>400</v>
      </c>
      <c r="B71" s="23">
        <v>0.0</v>
      </c>
      <c r="C71" s="23" t="str">
        <f>'2조'!C100</f>
        <v>2조 - Broker - Safety</v>
      </c>
      <c r="D71" s="23">
        <v>0.0</v>
      </c>
      <c r="E71" s="23" t="str">
        <f>'2조'!E100</f>
        <v>2조 - Dispatcher - Safety</v>
      </c>
    </row>
    <row r="72" ht="15.75" customHeight="1">
      <c r="A72" s="23" t="s">
        <v>404</v>
      </c>
      <c r="B72" s="23">
        <v>0.0</v>
      </c>
      <c r="C72" s="23" t="str">
        <f>'3조'!C100</f>
        <v>3조 - Broker - Safety</v>
      </c>
      <c r="D72" s="23">
        <v>0.0</v>
      </c>
      <c r="E72" s="23" t="str">
        <f>'3조'!E100</f>
        <v>3조 - Dispatcher - Safety</v>
      </c>
    </row>
    <row r="73" ht="15.75" customHeight="1">
      <c r="A73" s="23" t="s">
        <v>406</v>
      </c>
      <c r="B73" s="23">
        <v>0.0</v>
      </c>
      <c r="C73" s="23" t="str">
        <f>'4조'!C100</f>
        <v>4조 - Broker - Safety</v>
      </c>
      <c r="D73" s="23">
        <v>0.0</v>
      </c>
      <c r="E73" s="23" t="str">
        <f>'4조'!E100</f>
        <v>4조 - Dispatcher - Safety</v>
      </c>
    </row>
    <row r="74" ht="15.75" customHeight="1">
      <c r="A74" s="23" t="s">
        <v>410</v>
      </c>
      <c r="B74" s="23">
        <v>0.0</v>
      </c>
      <c r="C74" s="23" t="str">
        <f>'5조'!C100</f>
        <v>5조 - Broker - Safety</v>
      </c>
      <c r="D74" s="23">
        <v>0.0</v>
      </c>
      <c r="E74" s="23" t="str">
        <f>'5조'!E100</f>
        <v>5조 - Dispatcher - Safety</v>
      </c>
    </row>
    <row r="75" ht="15.75" customHeight="1">
      <c r="A75" s="23" t="s">
        <v>411</v>
      </c>
      <c r="B75" s="23">
        <v>0.0</v>
      </c>
      <c r="C75" s="23" t="str">
        <f>'6조'!C100</f>
        <v>broker 오류/장애 시 saftey와 관련된 기능에 문제가 발생할 수 있다.</v>
      </c>
      <c r="D75" s="23">
        <v>0.0</v>
      </c>
      <c r="E75" s="23" t="str">
        <f>'6조'!E100</f>
        <v>위협/상태를 감지하는 메커니즘이 없고 매 요청마다 처리 주체가 달라져서 재현성 등이 보장되지 않기 때문에 결함 재현과 안정성 논증이 어려움</v>
      </c>
    </row>
    <row r="76" ht="15.75" customHeight="1">
      <c r="A76" s="23" t="s">
        <v>415</v>
      </c>
      <c r="B76" s="23">
        <v>0.0</v>
      </c>
      <c r="C76" s="23" t="str">
        <f>'7조'!C100</f>
        <v>7조 - Broker - Safety</v>
      </c>
      <c r="D76" s="23">
        <v>0.0</v>
      </c>
      <c r="E76" s="23" t="str">
        <f>'7조'!E100</f>
        <v>7조 - Dispatcher - Safety</v>
      </c>
    </row>
    <row r="77" ht="15.75" customHeight="1">
      <c r="A77" s="23" t="s">
        <v>416</v>
      </c>
      <c r="B77" s="23">
        <v>0.0</v>
      </c>
      <c r="C77" s="23" t="str">
        <f>'8조'!C100</f>
        <v>8조 - Broker - Safety</v>
      </c>
      <c r="D77" s="23">
        <v>0.0</v>
      </c>
      <c r="E77" s="23" t="str">
        <f>'8조'!E100</f>
        <v>8조 - Dispatcher - Safety</v>
      </c>
    </row>
    <row r="78" ht="15.75" customHeight="1">
      <c r="A78" s="23" t="s">
        <v>419</v>
      </c>
      <c r="B78" s="23">
        <v>0.0</v>
      </c>
      <c r="C78" s="23" t="str">
        <f>'9조'!C100</f>
        <v>9조 - Broker - Safety</v>
      </c>
      <c r="D78" s="23">
        <v>0.0</v>
      </c>
      <c r="E78" s="23" t="str">
        <f>'9조'!E100</f>
        <v>9조 - Dispatcher - Safety</v>
      </c>
    </row>
    <row r="79" ht="15.75" customHeight="1">
      <c r="A79" s="23"/>
      <c r="B79" s="23"/>
      <c r="C79" s="23"/>
      <c r="D79" s="23"/>
      <c r="E79" s="23"/>
    </row>
    <row r="80" ht="15.75" customHeight="1">
      <c r="A80" s="22" t="s">
        <v>242</v>
      </c>
      <c r="B80" s="22">
        <v>0.0</v>
      </c>
      <c r="C80" s="22">
        <v>0.0</v>
      </c>
      <c r="D80" s="22">
        <v>0.0</v>
      </c>
      <c r="E80" s="22">
        <v>0.0</v>
      </c>
    </row>
    <row r="81" ht="15.75" customHeight="1">
      <c r="A81" s="23" t="s">
        <v>396</v>
      </c>
      <c r="B81" s="23">
        <v>0.0</v>
      </c>
      <c r="C81" s="23" t="str">
        <f>'1조'!C101</f>
        <v>1조 - Broker - Security</v>
      </c>
      <c r="D81" s="23">
        <v>0.0</v>
      </c>
      <c r="E81" s="23" t="str">
        <f>'1조'!E101</f>
        <v>1조 - Dispatcher - Security</v>
      </c>
    </row>
    <row r="82" ht="15.75" customHeight="1">
      <c r="A82" s="23" t="s">
        <v>400</v>
      </c>
      <c r="B82" s="23">
        <v>0.0</v>
      </c>
      <c r="C82" s="23" t="str">
        <f>'2조'!C101</f>
        <v>2조 - Broker - Security</v>
      </c>
      <c r="D82" s="23">
        <v>0.0</v>
      </c>
      <c r="E82" s="23" t="str">
        <f>'2조'!E101</f>
        <v>2조 - Dispatcher - Security</v>
      </c>
    </row>
    <row r="83" ht="15.75" customHeight="1">
      <c r="A83" s="23" t="s">
        <v>404</v>
      </c>
      <c r="B83" s="23">
        <v>0.0</v>
      </c>
      <c r="C83" s="23" t="str">
        <f>'3조'!C101</f>
        <v>3조 - Broker - Security</v>
      </c>
      <c r="D83" s="23">
        <v>0.0</v>
      </c>
      <c r="E83" s="23" t="str">
        <f>'3조'!E101</f>
        <v>3조 - Dispatcher - Security</v>
      </c>
    </row>
    <row r="84" ht="15.75" customHeight="1">
      <c r="A84" s="23" t="s">
        <v>406</v>
      </c>
      <c r="B84" s="23">
        <v>0.0</v>
      </c>
      <c r="C84" s="23" t="str">
        <f>'4조'!C101</f>
        <v>4조 - Broker - Security</v>
      </c>
      <c r="D84" s="23">
        <v>0.0</v>
      </c>
      <c r="E84" s="23" t="str">
        <f>'4조'!E101</f>
        <v>4조 - Dispatcher - Security</v>
      </c>
    </row>
    <row r="85" ht="15.75" customHeight="1">
      <c r="A85" s="23" t="s">
        <v>410</v>
      </c>
      <c r="B85" s="23">
        <v>0.0</v>
      </c>
      <c r="C85" s="23" t="str">
        <f>'5조'!C101</f>
        <v>5조 - Broker - Security</v>
      </c>
      <c r="D85" s="23">
        <v>0.0</v>
      </c>
      <c r="E85" s="23" t="str">
        <f>'5조'!E101</f>
        <v>5조 - Dispatcher - Security</v>
      </c>
    </row>
    <row r="86" ht="15.75" customHeight="1">
      <c r="A86" s="23" t="s">
        <v>411</v>
      </c>
      <c r="B86" s="23">
        <v>0.0</v>
      </c>
      <c r="C86" s="23" t="str">
        <f>'6조'!C101</f>
        <v>broker 에 모든 정보가 몰리기 때문에 명확한 attack point가 존재한다.</v>
      </c>
      <c r="D86" s="23">
        <v>0.0</v>
      </c>
      <c r="E86" s="23" t="str">
        <f>'6조'!E101</f>
        <v>dispatcher가 최우선 공격 표적이 될 수 있으며 공격당할 시 시스템 전체가 마비될 수 있음.</v>
      </c>
    </row>
    <row r="87" ht="15.75" customHeight="1">
      <c r="A87" s="23" t="s">
        <v>415</v>
      </c>
      <c r="B87" s="23">
        <v>0.0</v>
      </c>
      <c r="C87" s="23" t="str">
        <f>'7조'!C101</f>
        <v>7조 - Broker - Security</v>
      </c>
      <c r="D87" s="23">
        <v>0.0</v>
      </c>
      <c r="E87" s="23" t="str">
        <f>'7조'!E101</f>
        <v>7조 - Dispatcher - Security</v>
      </c>
    </row>
    <row r="88" ht="15.75" customHeight="1">
      <c r="A88" s="23" t="s">
        <v>416</v>
      </c>
      <c r="B88" s="23">
        <v>0.0</v>
      </c>
      <c r="C88" s="23" t="str">
        <f>'8조'!C101</f>
        <v>8조 - Broker - Security</v>
      </c>
      <c r="D88" s="23">
        <v>0.0</v>
      </c>
      <c r="E88" s="23" t="str">
        <f>'8조'!E101</f>
        <v>8조 - Dispatcher - Security</v>
      </c>
    </row>
    <row r="89" ht="15.75" customHeight="1">
      <c r="A89" s="23" t="s">
        <v>419</v>
      </c>
      <c r="B89" s="23">
        <v>0.0</v>
      </c>
      <c r="C89" s="23" t="str">
        <f>'9조'!C101</f>
        <v>9조 - Broker - Security</v>
      </c>
      <c r="D89" s="23">
        <v>0.0</v>
      </c>
      <c r="E89" s="23" t="str">
        <f>'9조'!E101</f>
        <v>9조 - Dispatcher - Security</v>
      </c>
    </row>
    <row r="90" ht="15.75" customHeight="1">
      <c r="A90" s="23"/>
      <c r="B90" s="23"/>
      <c r="C90" s="23"/>
      <c r="D90" s="23"/>
      <c r="E90" s="23"/>
    </row>
    <row r="91" ht="15.75" customHeight="1">
      <c r="A91" s="22" t="s">
        <v>273</v>
      </c>
      <c r="B91" s="22">
        <v>0.0</v>
      </c>
      <c r="C91" s="22">
        <v>0.0</v>
      </c>
      <c r="D91" s="22">
        <v>0.0</v>
      </c>
      <c r="E91" s="22">
        <v>0.0</v>
      </c>
    </row>
    <row r="92" ht="15.75" customHeight="1">
      <c r="A92" s="23" t="s">
        <v>396</v>
      </c>
      <c r="B92" s="23">
        <v>0.0</v>
      </c>
      <c r="C92" s="23" t="str">
        <f>'1조'!C102</f>
        <v>1조 - Broker - Testability</v>
      </c>
      <c r="D92" s="23">
        <v>0.0</v>
      </c>
      <c r="E92" s="23" t="str">
        <f>'1조'!E102</f>
        <v>1조 - Dispatcher - Testability</v>
      </c>
    </row>
    <row r="93" ht="15.75" customHeight="1">
      <c r="A93" s="23" t="s">
        <v>400</v>
      </c>
      <c r="B93" s="23">
        <v>0.0</v>
      </c>
      <c r="C93" s="23" t="str">
        <f>'2조'!C102</f>
        <v>2조 - Broker - Testability</v>
      </c>
      <c r="D93" s="23">
        <v>0.0</v>
      </c>
      <c r="E93" s="23" t="str">
        <f>'2조'!E102</f>
        <v>2조 - Dispatcher - Testability</v>
      </c>
    </row>
    <row r="94" ht="15.75" customHeight="1">
      <c r="A94" s="23" t="s">
        <v>404</v>
      </c>
      <c r="B94" s="23">
        <v>0.0</v>
      </c>
      <c r="C94" s="23" t="str">
        <f>'3조'!C102</f>
        <v>3조 - Broker - Testability</v>
      </c>
      <c r="D94" s="23">
        <v>0.0</v>
      </c>
      <c r="E94" s="23" t="str">
        <f>'3조'!E102</f>
        <v>3조 - Dispatcher - Testability</v>
      </c>
    </row>
    <row r="95" ht="15.75" customHeight="1">
      <c r="A95" s="23" t="s">
        <v>406</v>
      </c>
      <c r="B95" s="23">
        <v>0.0</v>
      </c>
      <c r="C95" s="23" t="str">
        <f>'4조'!C102</f>
        <v>4조 - Broker - Testability</v>
      </c>
      <c r="D95" s="23">
        <v>0.0</v>
      </c>
      <c r="E95" s="23" t="str">
        <f>'4조'!E102</f>
        <v>4조 - Dispatcher - Testability</v>
      </c>
    </row>
    <row r="96" ht="15.75" customHeight="1">
      <c r="A96" s="23" t="s">
        <v>410</v>
      </c>
      <c r="B96" s="23">
        <v>0.0</v>
      </c>
      <c r="C96" s="23" t="str">
        <f>'5조'!C102</f>
        <v>5조 - Broker - Testability</v>
      </c>
      <c r="D96" s="23">
        <v>0.0</v>
      </c>
      <c r="E96" s="23" t="str">
        <f>'5조'!E102</f>
        <v>5조 - Dispatcher - Testability</v>
      </c>
    </row>
    <row r="97" ht="15.75" customHeight="1">
      <c r="A97" s="23" t="s">
        <v>411</v>
      </c>
      <c r="B97" s="23">
        <v>0.0</v>
      </c>
      <c r="C97" s="23" t="str">
        <f>'6조'!C102</f>
        <v>동시성을 띄며 약한 결합이기 떄문에 통합 테스트가 힘들다.</v>
      </c>
      <c r="D97" s="23">
        <v>0.0</v>
      </c>
      <c r="E97" s="23" t="str">
        <f>'6조'!E102</f>
        <v>서버 각각은 stateless에 동등하므로 단위 테스트는 쉽지만 어느 인스턴스에서 처리할지 비결정적이라 통합 테스팅할 때 결함 재현이 어려움</v>
      </c>
    </row>
    <row r="98" ht="15.75" customHeight="1">
      <c r="A98" s="23" t="s">
        <v>415</v>
      </c>
      <c r="B98" s="23">
        <v>0.0</v>
      </c>
      <c r="C98" s="23" t="str">
        <f>'7조'!C102</f>
        <v>7조 - Broker - Testability</v>
      </c>
      <c r="D98" s="23">
        <v>0.0</v>
      </c>
      <c r="E98" s="23" t="str">
        <f>'7조'!E102</f>
        <v>7조 - Dispatcher - Testability</v>
      </c>
    </row>
    <row r="99" ht="15.75" customHeight="1">
      <c r="A99" s="23" t="s">
        <v>416</v>
      </c>
      <c r="B99" s="23">
        <v>0.0</v>
      </c>
      <c r="C99" s="23" t="str">
        <f>'8조'!C102</f>
        <v>8조 - Broker - Testability</v>
      </c>
      <c r="D99" s="23">
        <v>0.0</v>
      </c>
      <c r="E99" s="23" t="str">
        <f>'8조'!E102</f>
        <v>8조 - Dispatcher - Testability</v>
      </c>
    </row>
    <row r="100" ht="15.75" customHeight="1">
      <c r="A100" s="23" t="s">
        <v>419</v>
      </c>
      <c r="B100" s="23">
        <v>0.0</v>
      </c>
      <c r="C100" s="23" t="str">
        <f>'9조'!C102</f>
        <v>9조 - Broker - Testability</v>
      </c>
      <c r="D100" s="23">
        <v>0.0</v>
      </c>
      <c r="E100" s="23" t="str">
        <f>'9조'!E102</f>
        <v>9조 - Dispatcher - Testability</v>
      </c>
    </row>
    <row r="101" ht="15.0" customHeight="1">
      <c r="A101" s="23"/>
      <c r="B101" s="23"/>
      <c r="C101" s="23"/>
      <c r="D101" s="23"/>
      <c r="E101" s="23"/>
    </row>
    <row r="102" ht="15.75" customHeight="1">
      <c r="A102" s="22" t="s">
        <v>305</v>
      </c>
      <c r="B102" s="22">
        <v>0.0</v>
      </c>
      <c r="C102" s="22">
        <v>0.0</v>
      </c>
      <c r="D102" s="22">
        <v>0.0</v>
      </c>
      <c r="E102" s="22">
        <v>0.0</v>
      </c>
    </row>
    <row r="103" ht="15.75" customHeight="1">
      <c r="A103" s="23" t="s">
        <v>396</v>
      </c>
      <c r="B103" s="23">
        <v>0.0</v>
      </c>
      <c r="C103" s="23" t="str">
        <f>'1조'!C103</f>
        <v>1조 - Broker - Usability</v>
      </c>
      <c r="D103" s="23">
        <v>0.0</v>
      </c>
      <c r="E103" s="23" t="str">
        <f>'1조'!E103</f>
        <v>1조 - Dispatcher - Usability</v>
      </c>
    </row>
    <row r="104" ht="15.75" customHeight="1">
      <c r="A104" s="23" t="s">
        <v>400</v>
      </c>
      <c r="B104" s="23">
        <v>0.0</v>
      </c>
      <c r="C104" s="23" t="str">
        <f>'2조'!C103</f>
        <v>2조 - Broker - Usability</v>
      </c>
      <c r="D104" s="23">
        <v>0.0</v>
      </c>
      <c r="E104" s="23" t="str">
        <f>'2조'!E103</f>
        <v>2조 - Dispatcher - Usability</v>
      </c>
    </row>
    <row r="105" ht="15.75" customHeight="1">
      <c r="A105" s="23" t="s">
        <v>404</v>
      </c>
      <c r="B105" s="23">
        <v>0.0</v>
      </c>
      <c r="C105" s="23" t="str">
        <f>'3조'!C103</f>
        <v>3조 - Broker - Usability</v>
      </c>
      <c r="D105" s="23">
        <v>0.0</v>
      </c>
      <c r="E105" s="23" t="str">
        <f>'3조'!E103</f>
        <v>3조 - Dispatcher - Usability</v>
      </c>
    </row>
    <row r="106" ht="15.75" customHeight="1">
      <c r="A106" s="23" t="s">
        <v>406</v>
      </c>
      <c r="B106" s="23">
        <v>0.0</v>
      </c>
      <c r="C106" s="23" t="str">
        <f>'4조'!C103</f>
        <v>4조 - Broker - Usability</v>
      </c>
      <c r="D106" s="23">
        <v>0.0</v>
      </c>
      <c r="E106" s="23" t="str">
        <f>'4조'!E103</f>
        <v>4조 - Dispatcher - Usability</v>
      </c>
    </row>
    <row r="107" ht="15.75" customHeight="1">
      <c r="A107" s="23" t="s">
        <v>410</v>
      </c>
      <c r="B107" s="23">
        <v>0.0</v>
      </c>
      <c r="C107" s="23" t="str">
        <f>'5조'!C103</f>
        <v>5조 - Broker - Usability</v>
      </c>
      <c r="D107" s="23">
        <v>0.0</v>
      </c>
      <c r="E107" s="23" t="str">
        <f>'5조'!E103</f>
        <v>5조 - Dispatcher - Usability</v>
      </c>
    </row>
    <row r="108" ht="15.75" customHeight="1">
      <c r="A108" s="23" t="s">
        <v>411</v>
      </c>
      <c r="B108" s="23">
        <v>0.0</v>
      </c>
      <c r="C108" s="23" t="str">
        <f>'6조'!C103</f>
        <v>복잡한 distribute 구조를 UI에 드러내지 않기 때문에 사용성이 좋은 측면도 있지만 사용자가 broker를 공유하기 때문에 UX는 좋지 않을 수 있다.</v>
      </c>
      <c r="D108" s="23">
        <v>0.0</v>
      </c>
      <c r="E108" s="23" t="str">
        <f>'6조'!E103</f>
        <v>사용자에게 안정적인 응답을 제공해줄 수는 있으나 구조 자체가 사용성을 개선시키는 구조는 아님.</v>
      </c>
    </row>
    <row r="109" ht="15.75" customHeight="1">
      <c r="A109" s="23" t="s">
        <v>415</v>
      </c>
      <c r="B109" s="23">
        <v>0.0</v>
      </c>
      <c r="C109" s="23" t="str">
        <f>'7조'!C103</f>
        <v>7조 - Broker - Usability</v>
      </c>
      <c r="D109" s="23">
        <v>0.0</v>
      </c>
      <c r="E109" s="23" t="str">
        <f>'7조'!E103</f>
        <v>7조 - Dispatcher - Usability</v>
      </c>
    </row>
    <row r="110" ht="15.75" customHeight="1">
      <c r="A110" s="23" t="s">
        <v>416</v>
      </c>
      <c r="B110" s="23">
        <v>0.0</v>
      </c>
      <c r="C110" s="23" t="str">
        <f>'8조'!C103</f>
        <v>8조 - Broker - Usability</v>
      </c>
      <c r="D110" s="23">
        <v>0.0</v>
      </c>
      <c r="E110" s="23" t="str">
        <f>'8조'!E103</f>
        <v>8조 - Dispatcher - Usability</v>
      </c>
    </row>
    <row r="111" ht="15.75" customHeight="1">
      <c r="A111" s="23" t="s">
        <v>419</v>
      </c>
      <c r="B111" s="23">
        <v>0.0</v>
      </c>
      <c r="C111" s="23" t="str">
        <f>'9조'!C103</f>
        <v>9조 - Broker - Usability</v>
      </c>
      <c r="D111" s="23">
        <v>0.0</v>
      </c>
      <c r="E111" s="23" t="str">
        <f>'9조'!E103</f>
        <v>9조 - Dispatcher - Usability</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7.71"/>
    <col customWidth="1" min="3" max="3" width="28.71"/>
    <col customWidth="1" min="4" max="4" width="7.71"/>
    <col customWidth="1" min="5" max="5" width="37.43"/>
    <col customWidth="1" min="6" max="26" width="8.71"/>
  </cols>
  <sheetData>
    <row r="1">
      <c r="A1" s="17" t="s">
        <v>386</v>
      </c>
      <c r="B1" s="18" t="s">
        <v>568</v>
      </c>
      <c r="C1" s="19"/>
      <c r="D1" s="18" t="s">
        <v>569</v>
      </c>
      <c r="E1" s="19"/>
    </row>
    <row r="2">
      <c r="A2" s="20"/>
      <c r="B2" s="21" t="s">
        <v>12</v>
      </c>
      <c r="C2" s="21" t="s">
        <v>13</v>
      </c>
      <c r="D2" s="21" t="s">
        <v>12</v>
      </c>
      <c r="E2" s="21" t="s">
        <v>13</v>
      </c>
    </row>
    <row r="3">
      <c r="A3" s="22" t="s">
        <v>14</v>
      </c>
      <c r="B3" s="22">
        <v>0.0</v>
      </c>
      <c r="C3" s="22">
        <v>0.0</v>
      </c>
      <c r="D3" s="22">
        <v>0.0</v>
      </c>
      <c r="E3" s="22">
        <v>0.0</v>
      </c>
    </row>
    <row r="4">
      <c r="A4" s="23" t="s">
        <v>396</v>
      </c>
      <c r="B4" s="23">
        <v>0.0</v>
      </c>
      <c r="C4" s="23" t="str">
        <f>'1조'!C107</f>
        <v>1조 - SOA - Availability</v>
      </c>
      <c r="D4" s="23">
        <v>0.0</v>
      </c>
      <c r="E4" s="23" t="str">
        <f>'1조'!E107</f>
        <v>1조 - Mico-Service - Availability</v>
      </c>
    </row>
    <row r="5">
      <c r="A5" s="23" t="s">
        <v>400</v>
      </c>
      <c r="B5" s="23">
        <v>0.0</v>
      </c>
      <c r="C5" s="23" t="str">
        <f>'2조'!C107</f>
        <v>2조 - SOA - Availability</v>
      </c>
      <c r="D5" s="23">
        <v>0.0</v>
      </c>
      <c r="E5" s="23" t="str">
        <f>'2조'!E107</f>
        <v>2조 - Mico-Service - Availability</v>
      </c>
    </row>
    <row r="6">
      <c r="A6" s="23" t="s">
        <v>404</v>
      </c>
      <c r="B6" s="23">
        <v>0.0</v>
      </c>
      <c r="C6" s="23" t="str">
        <f>'3조'!C107</f>
        <v>3조 - SOA - Availability</v>
      </c>
      <c r="D6" s="23">
        <v>0.0</v>
      </c>
      <c r="E6" s="23" t="str">
        <f>'3조'!E107</f>
        <v>3조 - Mico-Service - Availability</v>
      </c>
    </row>
    <row r="7">
      <c r="A7" s="23" t="s">
        <v>406</v>
      </c>
      <c r="B7" s="23">
        <v>0.0</v>
      </c>
      <c r="C7" s="23" t="str">
        <f>'4조'!C107</f>
        <v>4조 - SOA - Availability</v>
      </c>
      <c r="D7" s="23">
        <v>0.0</v>
      </c>
      <c r="E7" s="23" t="str">
        <f>'4조'!E107</f>
        <v>4조 - Mico-Service - Availability</v>
      </c>
    </row>
    <row r="8">
      <c r="A8" s="23" t="s">
        <v>410</v>
      </c>
      <c r="B8" s="23">
        <v>0.0</v>
      </c>
      <c r="C8" s="23" t="str">
        <f>'5조'!C107</f>
        <v>intermediary가 연결을 해줄뿐이지 실 availability 가 service provider에 영향을 받는 경우가 많음</v>
      </c>
      <c r="D8" s="23">
        <v>0.0</v>
      </c>
      <c r="E8" s="23" t="str">
        <f>'5조'!E107</f>
        <v>5조 - Mico-Service - Availability</v>
      </c>
    </row>
    <row r="9">
      <c r="A9" s="23" t="s">
        <v>411</v>
      </c>
      <c r="B9" s="23">
        <v>0.0</v>
      </c>
      <c r="C9" s="23" t="str">
        <f>'6조'!C107</f>
        <v>intermediary가 연결을 해줄뿐이지 실 availability 가 service provider에 영향을 받는 경우가 많음</v>
      </c>
      <c r="D9" s="23">
        <v>0.0</v>
      </c>
      <c r="E9" s="23" t="str">
        <f>'6조'!E107</f>
        <v>각 서비스가 독립 프로세스로 격리되어 있어, 하나의 microservice가 죽어도 upstream 서비스가 장애를 올바르게 처리하도록 설계되어 있다면 전체는 계속 동작한다</v>
      </c>
    </row>
    <row r="10">
      <c r="A10" s="23" t="s">
        <v>415</v>
      </c>
      <c r="B10" s="23">
        <v>0.0</v>
      </c>
      <c r="C10" s="23" t="str">
        <f>'7조'!C107</f>
        <v>7조 - SOA - Availability</v>
      </c>
      <c r="D10" s="23">
        <v>0.0</v>
      </c>
      <c r="E10" s="23" t="str">
        <f>'7조'!E107</f>
        <v>7조 - Mico-Service - Availability</v>
      </c>
    </row>
    <row r="11">
      <c r="A11" s="23" t="s">
        <v>416</v>
      </c>
      <c r="B11" s="23">
        <v>0.0</v>
      </c>
      <c r="C11" s="23" t="str">
        <f>'8조'!C107</f>
        <v>8조 - SOA - Availability</v>
      </c>
      <c r="D11" s="23">
        <v>0.0</v>
      </c>
      <c r="E11" s="23" t="str">
        <f>'8조'!E107</f>
        <v>8조 - Mico-Service - Availability</v>
      </c>
    </row>
    <row r="12">
      <c r="A12" s="23" t="s">
        <v>419</v>
      </c>
      <c r="B12" s="23">
        <v>0.0</v>
      </c>
      <c r="C12" s="23" t="str">
        <f>'9조'!C107</f>
        <v>9조 - SOA - Availability</v>
      </c>
      <c r="D12" s="23">
        <v>0.0</v>
      </c>
      <c r="E12" s="23" t="str">
        <f>'9조'!E107</f>
        <v>9조 - Mico-Service - Availability</v>
      </c>
    </row>
    <row r="13">
      <c r="A13" s="23"/>
      <c r="B13" s="23"/>
      <c r="C13" s="23"/>
      <c r="D13" s="23"/>
      <c r="E13" s="23"/>
    </row>
    <row r="14">
      <c r="A14" s="22" t="s">
        <v>44</v>
      </c>
      <c r="B14" s="22">
        <v>0.0</v>
      </c>
      <c r="C14" s="22">
        <v>0.0</v>
      </c>
      <c r="D14" s="22">
        <v>0.0</v>
      </c>
      <c r="E14" s="22">
        <v>0.0</v>
      </c>
    </row>
    <row r="15">
      <c r="A15" s="23" t="s">
        <v>396</v>
      </c>
      <c r="B15" s="23">
        <v>0.0</v>
      </c>
      <c r="C15" s="23" t="str">
        <f>'1조'!C108</f>
        <v>1조 - SOA - Deployability</v>
      </c>
      <c r="D15" s="23">
        <v>0.0</v>
      </c>
      <c r="E15" s="23" t="str">
        <f>'1조'!E108</f>
        <v>1조 - Mico-Service - Deployability</v>
      </c>
    </row>
    <row r="16">
      <c r="A16" s="23" t="s">
        <v>400</v>
      </c>
      <c r="B16" s="23">
        <v>0.0</v>
      </c>
      <c r="C16" s="23" t="str">
        <f>'2조'!C108</f>
        <v>2조 - SOA - Deployability</v>
      </c>
      <c r="D16" s="23">
        <v>0.0</v>
      </c>
      <c r="E16" s="23" t="str">
        <f>'2조'!E108</f>
        <v>2조 - Mico-Service - Deployability</v>
      </c>
    </row>
    <row r="17">
      <c r="A17" s="23" t="s">
        <v>404</v>
      </c>
      <c r="B17" s="23">
        <v>0.0</v>
      </c>
      <c r="C17" s="23" t="str">
        <f>'3조'!C108</f>
        <v>3조 - SOA - Deployability</v>
      </c>
      <c r="D17" s="23">
        <v>0.0</v>
      </c>
      <c r="E17" s="23" t="str">
        <f>'3조'!E108</f>
        <v>3조 - Mico-Service - Deployability</v>
      </c>
    </row>
    <row r="18">
      <c r="A18" s="23" t="s">
        <v>406</v>
      </c>
      <c r="B18" s="23">
        <v>0.0</v>
      </c>
      <c r="C18" s="23" t="str">
        <f>'4조'!C108</f>
        <v>4조 - SOA - Deployability</v>
      </c>
      <c r="D18" s="23">
        <v>0.0</v>
      </c>
      <c r="E18" s="23" t="str">
        <f>'4조'!E108</f>
        <v>4조 - Mico-Service - Deployability</v>
      </c>
    </row>
    <row r="19">
      <c r="A19" s="23" t="s">
        <v>410</v>
      </c>
      <c r="B19" s="23">
        <v>0.0</v>
      </c>
      <c r="C19" s="23" t="str">
        <f>'5조'!C108</f>
        <v>중앙 intermediary에 의존하는 시스템은 이중화 보장이 되어있지 않은 이상 deployability 가 좋다고 볼 수 없음</v>
      </c>
      <c r="D19" s="23">
        <v>0.0</v>
      </c>
      <c r="E19" s="23" t="str">
        <f>'5조'!E108</f>
        <v>5조 - Mico-Service - Deployability</v>
      </c>
    </row>
    <row r="20">
      <c r="A20" s="23" t="s">
        <v>411</v>
      </c>
      <c r="B20" s="23">
        <v>0.0</v>
      </c>
      <c r="C20" s="23" t="str">
        <f>'6조'!C108</f>
        <v>중앙 intermediary에 의존하는 시스템은 이중화 보장이 되어있지 않은 이상 deployability 가 좋다고 볼 수 없음</v>
      </c>
      <c r="D20" s="23">
        <v>0.0</v>
      </c>
      <c r="E20" s="23" t="str">
        <f>'6조'!E108</f>
        <v>서비스별로 별도 독립 배포가 가능해, 전체 application을 재배포하지 않고 서비스 하나만 갱신·롤백할 수 있다</v>
      </c>
    </row>
    <row r="21" ht="15.75" customHeight="1">
      <c r="A21" s="23" t="s">
        <v>415</v>
      </c>
      <c r="B21" s="23">
        <v>0.0</v>
      </c>
      <c r="C21" s="23" t="str">
        <f>'7조'!C108</f>
        <v>7조 - SOA - Deployability</v>
      </c>
      <c r="D21" s="23">
        <v>0.0</v>
      </c>
      <c r="E21" s="23" t="str">
        <f>'7조'!E108</f>
        <v>7조 - Mico-Service - Deployability</v>
      </c>
    </row>
    <row r="22" ht="15.75" customHeight="1">
      <c r="A22" s="23" t="s">
        <v>416</v>
      </c>
      <c r="B22" s="23">
        <v>0.0</v>
      </c>
      <c r="C22" s="23" t="str">
        <f>'8조'!C108</f>
        <v>8조 - SOA - Deployability</v>
      </c>
      <c r="D22" s="23">
        <v>0.0</v>
      </c>
      <c r="E22" s="23" t="str">
        <f>'8조'!E108</f>
        <v>8조 - Mico-Service - Deployability</v>
      </c>
    </row>
    <row r="23" ht="15.75" customHeight="1">
      <c r="A23" s="23" t="s">
        <v>419</v>
      </c>
      <c r="B23" s="23">
        <v>0.0</v>
      </c>
      <c r="C23" s="23" t="str">
        <f>'9조'!C108</f>
        <v>9조 - SOA - Deployability</v>
      </c>
      <c r="D23" s="23">
        <v>0.0</v>
      </c>
      <c r="E23" s="23" t="str">
        <f>'9조'!E108</f>
        <v>9조 - Mico-Service - Deployability</v>
      </c>
    </row>
    <row r="24" ht="15.75" customHeight="1">
      <c r="A24" s="23"/>
      <c r="B24" s="23"/>
      <c r="C24" s="23"/>
      <c r="D24" s="23"/>
      <c r="E24" s="23"/>
    </row>
    <row r="25" ht="15.75" customHeight="1">
      <c r="A25" s="22" t="s">
        <v>80</v>
      </c>
      <c r="B25" s="22">
        <v>0.0</v>
      </c>
      <c r="C25" s="22">
        <v>0.0</v>
      </c>
      <c r="D25" s="22">
        <v>0.0</v>
      </c>
      <c r="E25" s="22">
        <v>0.0</v>
      </c>
    </row>
    <row r="26" ht="15.75" customHeight="1">
      <c r="A26" s="23" t="s">
        <v>396</v>
      </c>
      <c r="B26" s="23">
        <v>0.0</v>
      </c>
      <c r="C26" s="23" t="str">
        <f>'1조'!C109</f>
        <v>1조 - SOA - Integrability</v>
      </c>
      <c r="D26" s="23">
        <v>0.0</v>
      </c>
      <c r="E26" s="23" t="str">
        <f>'1조'!E109</f>
        <v>1조 - Mico-Service - Integrability</v>
      </c>
    </row>
    <row r="27" ht="15.75" customHeight="1">
      <c r="A27" s="23" t="s">
        <v>400</v>
      </c>
      <c r="B27" s="23">
        <v>0.0</v>
      </c>
      <c r="C27" s="23" t="str">
        <f>'2조'!C109</f>
        <v>2조 - SOA - Integrability</v>
      </c>
      <c r="D27" s="23">
        <v>0.0</v>
      </c>
      <c r="E27" s="23" t="str">
        <f>'2조'!E109</f>
        <v>2조 - Mico-Service - Integrability</v>
      </c>
    </row>
    <row r="28" ht="15.75" customHeight="1">
      <c r="A28" s="23" t="s">
        <v>404</v>
      </c>
      <c r="B28" s="23">
        <v>0.0</v>
      </c>
      <c r="C28" s="23" t="str">
        <f>'3조'!C109</f>
        <v>3조 - SOA - Integrability</v>
      </c>
      <c r="D28" s="23">
        <v>0.0</v>
      </c>
      <c r="E28" s="23" t="str">
        <f>'3조'!E109</f>
        <v>3조 - Mico-Service - Integrability</v>
      </c>
    </row>
    <row r="29" ht="15.75" customHeight="1">
      <c r="A29" s="23" t="s">
        <v>406</v>
      </c>
      <c r="B29" s="23">
        <v>0.0</v>
      </c>
      <c r="C29" s="23" t="str">
        <f>'4조'!C109</f>
        <v>4조 - SOA - Integrability</v>
      </c>
      <c r="D29" s="23">
        <v>0.0</v>
      </c>
      <c r="E29" s="23" t="str">
        <f>'4조'!E109</f>
        <v>4조 - Mico-Service - Integrability</v>
      </c>
    </row>
    <row r="30" ht="15.75" customHeight="1">
      <c r="A30" s="23" t="s">
        <v>410</v>
      </c>
      <c r="B30" s="23">
        <v>0.0</v>
      </c>
      <c r="C30" s="23" t="str">
        <f>'5조'!C109</f>
        <v>표준화된 통신이 보장되기 때문에 service provider, service customer 확장이 용이함. </v>
      </c>
      <c r="D30" s="23">
        <v>0.0</v>
      </c>
      <c r="E30" s="23" t="str">
        <f>'5조'!E109</f>
        <v>5조 - Mico-Service - Integrability</v>
      </c>
    </row>
    <row r="31" ht="15.75" customHeight="1">
      <c r="A31" s="23" t="s">
        <v>411</v>
      </c>
      <c r="B31" s="23">
        <v>0.0</v>
      </c>
      <c r="C31" s="23" t="str">
        <f>'6조'!C109</f>
        <v>표준화된 통신이 보장되기 때문에 service provider, service customer 확장이 용이함. </v>
      </c>
      <c r="D31" s="23">
        <v>0.0</v>
      </c>
      <c r="E31" s="23" t="str">
        <f>'6조'!E109</f>
        <v>서비스마다 기술 스택·언어·프레임워크를 자유롭게 선택할 수 있어, 서비스 일관성 유지와 버저닝 관리가 어려움</v>
      </c>
    </row>
    <row r="32" ht="15.75" customHeight="1">
      <c r="A32" s="23" t="s">
        <v>415</v>
      </c>
      <c r="B32" s="23">
        <v>0.0</v>
      </c>
      <c r="C32" s="23" t="str">
        <f>'7조'!C109</f>
        <v>7조 - SOA - Integrability</v>
      </c>
      <c r="D32" s="23">
        <v>0.0</v>
      </c>
      <c r="E32" s="23" t="str">
        <f>'7조'!E109</f>
        <v>7조 - Mico-Service - Integrability</v>
      </c>
    </row>
    <row r="33" ht="15.75" customHeight="1">
      <c r="A33" s="23" t="s">
        <v>416</v>
      </c>
      <c r="B33" s="23">
        <v>0.0</v>
      </c>
      <c r="C33" s="23" t="str">
        <f>'8조'!C109</f>
        <v>8조 - SOA - Integrability</v>
      </c>
      <c r="D33" s="23">
        <v>0.0</v>
      </c>
      <c r="E33" s="23" t="str">
        <f>'8조'!E109</f>
        <v>8조 - Mico-Service - Integrability</v>
      </c>
    </row>
    <row r="34" ht="15.75" customHeight="1">
      <c r="A34" s="23" t="s">
        <v>419</v>
      </c>
      <c r="B34" s="23">
        <v>0.0</v>
      </c>
      <c r="C34" s="23" t="str">
        <f>'9조'!C109</f>
        <v>9조 - SOA - Integrability</v>
      </c>
      <c r="D34" s="23">
        <v>0.0</v>
      </c>
      <c r="E34" s="23" t="str">
        <f>'9조'!E109</f>
        <v>9조 - Mico-Service - Integrability</v>
      </c>
    </row>
    <row r="35" ht="15.75" customHeight="1">
      <c r="A35" s="23"/>
      <c r="B35" s="23"/>
      <c r="C35" s="23"/>
      <c r="D35" s="23"/>
      <c r="E35" s="23"/>
    </row>
    <row r="36" ht="15.75" customHeight="1">
      <c r="A36" s="22" t="s">
        <v>113</v>
      </c>
      <c r="B36" s="22">
        <v>0.0</v>
      </c>
      <c r="C36" s="22">
        <v>0.0</v>
      </c>
      <c r="D36" s="22">
        <v>0.0</v>
      </c>
      <c r="E36" s="22">
        <v>0.0</v>
      </c>
    </row>
    <row r="37" ht="15.75" customHeight="1">
      <c r="A37" s="23" t="s">
        <v>396</v>
      </c>
      <c r="B37" s="23">
        <v>0.0</v>
      </c>
      <c r="C37" s="23" t="str">
        <f>'1조'!C110</f>
        <v>1조 - SOA - Energy Efficiency</v>
      </c>
      <c r="D37" s="23">
        <v>0.0</v>
      </c>
      <c r="E37" s="23" t="str">
        <f>'1조'!E110</f>
        <v>1조 - Mico-Service - Energy Efficiency</v>
      </c>
    </row>
    <row r="38" ht="15.75" customHeight="1">
      <c r="A38" s="23" t="s">
        <v>400</v>
      </c>
      <c r="B38" s="23">
        <v>0.0</v>
      </c>
      <c r="C38" s="23" t="str">
        <f>'2조'!C110</f>
        <v>2조 - SOA - Energy Efficiency</v>
      </c>
      <c r="D38" s="23">
        <v>0.0</v>
      </c>
      <c r="E38" s="23" t="str">
        <f>'2조'!E110</f>
        <v>2조 - Mico-Service - Energy Efficiency</v>
      </c>
    </row>
    <row r="39" ht="15.75" customHeight="1">
      <c r="A39" s="23" t="s">
        <v>404</v>
      </c>
      <c r="B39" s="23">
        <v>0.0</v>
      </c>
      <c r="C39" s="23" t="str">
        <f>'3조'!C110</f>
        <v>3조 - SOA - Energy Efficiency</v>
      </c>
      <c r="D39" s="23">
        <v>0.0</v>
      </c>
      <c r="E39" s="23" t="str">
        <f>'3조'!E110</f>
        <v>3조 - Mico-Service - Energy Efficiency</v>
      </c>
    </row>
    <row r="40" ht="15.75" customHeight="1">
      <c r="A40" s="23" t="s">
        <v>406</v>
      </c>
      <c r="B40" s="23">
        <v>0.0</v>
      </c>
      <c r="C40" s="23" t="str">
        <f>'4조'!C110</f>
        <v>4조 - SOA - Energy Efficiency</v>
      </c>
      <c r="D40" s="23">
        <v>0.0</v>
      </c>
      <c r="E40" s="23" t="str">
        <f>'4조'!E110</f>
        <v>4조 - Mico-Service - Energy Efficiency</v>
      </c>
    </row>
    <row r="41" ht="15.75" customHeight="1">
      <c r="A41" s="23" t="s">
        <v>410</v>
      </c>
      <c r="B41" s="23">
        <v>0.0</v>
      </c>
      <c r="C41" s="23" t="str">
        <f>'5조'!C110</f>
        <v>middleware의 존재로 성능 효율이 좋은 편이라고 볼 수 없음 </v>
      </c>
      <c r="D41" s="23">
        <v>0.0</v>
      </c>
      <c r="E41" s="23" t="str">
        <f>'5조'!E110</f>
        <v>5조 - Mico-Service - Energy Efficiency</v>
      </c>
    </row>
    <row r="42" ht="15.75" customHeight="1">
      <c r="A42" s="23" t="s">
        <v>411</v>
      </c>
      <c r="B42" s="23">
        <v>0.0</v>
      </c>
      <c r="C42" s="23" t="str">
        <f>'6조'!C110</f>
        <v>middleware의 존재로 성능 효율이 좋은 편이라고 볼 수 없음 </v>
      </c>
      <c r="D42" s="23">
        <v>0.0</v>
      </c>
      <c r="E42" s="23" t="str">
        <f>'6조'!E110</f>
        <v>서비스 수만큼 프로세스/컨테이너가 늘어나고 서비스 간 네트워크 통신이 잦아져, 인프라·통신 오버헤드가 커진다</v>
      </c>
    </row>
    <row r="43" ht="15.75" customHeight="1">
      <c r="A43" s="23" t="s">
        <v>415</v>
      </c>
      <c r="B43" s="23">
        <v>0.0</v>
      </c>
      <c r="C43" s="23" t="str">
        <f>'7조'!C110</f>
        <v>7조 - SOA - Energy Efficiency</v>
      </c>
      <c r="D43" s="23">
        <v>0.0</v>
      </c>
      <c r="E43" s="23" t="str">
        <f>'7조'!E110</f>
        <v>7조 - Mico-Service - Energy Efficiency</v>
      </c>
    </row>
    <row r="44" ht="15.75" customHeight="1">
      <c r="A44" s="23" t="s">
        <v>416</v>
      </c>
      <c r="B44" s="23">
        <v>0.0</v>
      </c>
      <c r="C44" s="23" t="str">
        <f>'8조'!C110</f>
        <v>8조 - SOA - Energy Efficiency</v>
      </c>
      <c r="D44" s="23">
        <v>0.0</v>
      </c>
      <c r="E44" s="23" t="str">
        <f>'8조'!E110</f>
        <v>8조 - Mico-Service - Energy Efficiency</v>
      </c>
    </row>
    <row r="45" ht="15.75" customHeight="1">
      <c r="A45" s="23" t="s">
        <v>419</v>
      </c>
      <c r="B45" s="23">
        <v>0.0</v>
      </c>
      <c r="C45" s="23" t="str">
        <f>'9조'!C110</f>
        <v>9조 - SOA - Energy Efficiency</v>
      </c>
      <c r="D45" s="23">
        <v>0.0</v>
      </c>
      <c r="E45" s="23" t="str">
        <f>'9조'!E110</f>
        <v>9조 - Mico-Service - Energy Efficiency</v>
      </c>
    </row>
    <row r="46" ht="15.75" customHeight="1">
      <c r="A46" s="23"/>
      <c r="B46" s="23"/>
      <c r="C46" s="23"/>
      <c r="D46" s="23"/>
      <c r="E46" s="23"/>
    </row>
    <row r="47" ht="15.75" customHeight="1">
      <c r="A47" s="22" t="s">
        <v>144</v>
      </c>
      <c r="B47" s="22">
        <v>0.0</v>
      </c>
      <c r="C47" s="22">
        <v>0.0</v>
      </c>
      <c r="D47" s="22">
        <v>0.0</v>
      </c>
      <c r="E47" s="22">
        <v>0.0</v>
      </c>
    </row>
    <row r="48" ht="15.75" customHeight="1">
      <c r="A48" s="23" t="s">
        <v>396</v>
      </c>
      <c r="B48" s="23">
        <v>0.0</v>
      </c>
      <c r="C48" s="23" t="str">
        <f>'1조'!C111</f>
        <v>1조 - SOA - Modifiability</v>
      </c>
      <c r="D48" s="23">
        <v>0.0</v>
      </c>
      <c r="E48" s="23" t="str">
        <f>'1조'!E111</f>
        <v>1조 - Mico-Service - Modifiability</v>
      </c>
    </row>
    <row r="49" ht="15.75" customHeight="1">
      <c r="A49" s="23" t="s">
        <v>400</v>
      </c>
      <c r="B49" s="23">
        <v>0.0</v>
      </c>
      <c r="C49" s="23" t="str">
        <f>'2조'!C111</f>
        <v>2조 - SOA - Modifiability</v>
      </c>
      <c r="D49" s="23">
        <v>0.0</v>
      </c>
      <c r="E49" s="23" t="str">
        <f>'2조'!E111</f>
        <v>2조 - Mico-Service - Modifiability</v>
      </c>
    </row>
    <row r="50" ht="15.75" customHeight="1">
      <c r="A50" s="23" t="s">
        <v>404</v>
      </c>
      <c r="B50" s="23">
        <v>0.0</v>
      </c>
      <c r="C50" s="23" t="str">
        <f>'3조'!C111</f>
        <v>3조 - SOA - Modifiability</v>
      </c>
      <c r="D50" s="23">
        <v>0.0</v>
      </c>
      <c r="E50" s="23" t="str">
        <f>'3조'!E111</f>
        <v>3조 - Mico-Service - Modifiability</v>
      </c>
    </row>
    <row r="51" ht="15.75" customHeight="1">
      <c r="A51" s="23" t="s">
        <v>406</v>
      </c>
      <c r="B51" s="23">
        <v>0.0</v>
      </c>
      <c r="C51" s="23" t="str">
        <f>'4조'!C111</f>
        <v>4조 - SOA - Modifiability</v>
      </c>
      <c r="D51" s="23">
        <v>0.0</v>
      </c>
      <c r="E51" s="23" t="str">
        <f>'4조'!E111</f>
        <v>4조 - Mico-Service - Modifiability</v>
      </c>
    </row>
    <row r="52" ht="15.75" customHeight="1">
      <c r="A52" s="23" t="s">
        <v>410</v>
      </c>
      <c r="B52" s="23">
        <v>0.0</v>
      </c>
      <c r="C52" s="23" t="str">
        <f>'5조'!C111</f>
        <v>표준화된 통신 보장으로 intermediary 수정 없이 service provider 및 customer 변경이 용이. 단 intermediary 변경은 아려움</v>
      </c>
      <c r="D52" s="23">
        <v>0.0</v>
      </c>
      <c r="E52" s="23" t="str">
        <f>'5조'!E111</f>
        <v>5조 - Mico-Service - Modifiability</v>
      </c>
    </row>
    <row r="53" ht="15.75" customHeight="1">
      <c r="A53" s="23" t="s">
        <v>411</v>
      </c>
      <c r="B53" s="23">
        <v>0.0</v>
      </c>
      <c r="C53" s="23" t="str">
        <f>'6조'!C111</f>
        <v>표준화된 통신 보장으로 intermediary 수정 없이 service provider 및 customer 변경이 용이. 단 intermediary 변경은 아려움</v>
      </c>
      <c r="D53" s="23">
        <v>0.0</v>
      </c>
      <c r="E53" s="23" t="str">
        <f>'6조'!E111</f>
        <v>코드와 data store를 서비스 간 공유하지 않아 의존성이 최소화되므로, 한 서비스의 기능 변경·추가가 다른 서비스에 영향을 주지 않는다</v>
      </c>
    </row>
    <row r="54" ht="15.75" customHeight="1">
      <c r="A54" s="23" t="s">
        <v>415</v>
      </c>
      <c r="B54" s="23">
        <v>0.0</v>
      </c>
      <c r="C54" s="23" t="str">
        <f>'7조'!C111</f>
        <v>7조 - SOA - Modifiability</v>
      </c>
      <c r="D54" s="23">
        <v>0.0</v>
      </c>
      <c r="E54" s="23" t="str">
        <f>'7조'!E111</f>
        <v>7조 - Mico-Service - Modifiability</v>
      </c>
    </row>
    <row r="55" ht="15.75" customHeight="1">
      <c r="A55" s="23" t="s">
        <v>416</v>
      </c>
      <c r="B55" s="23">
        <v>0.0</v>
      </c>
      <c r="C55" s="23" t="str">
        <f>'8조'!C111</f>
        <v>8조 - SOA - Modifiability</v>
      </c>
      <c r="D55" s="23">
        <v>0.0</v>
      </c>
      <c r="E55" s="23" t="str">
        <f>'8조'!E111</f>
        <v>8조 - Mico-Service - Modifiability</v>
      </c>
    </row>
    <row r="56" ht="15.75" customHeight="1">
      <c r="A56" s="23" t="s">
        <v>419</v>
      </c>
      <c r="B56" s="23">
        <v>0.0</v>
      </c>
      <c r="C56" s="23" t="str">
        <f>'9조'!C111</f>
        <v>9조 - SOA - Modifiability</v>
      </c>
      <c r="D56" s="23">
        <v>0.0</v>
      </c>
      <c r="E56" s="23" t="str">
        <f>'9조'!E111</f>
        <v>9조 - Mico-Service - Modifiability</v>
      </c>
    </row>
    <row r="57" ht="15.75" customHeight="1">
      <c r="A57" s="23"/>
      <c r="B57" s="23"/>
      <c r="C57" s="23"/>
      <c r="D57" s="23"/>
      <c r="E57" s="23"/>
    </row>
    <row r="58" ht="15.75" customHeight="1">
      <c r="A58" s="22" t="s">
        <v>176</v>
      </c>
      <c r="B58" s="22">
        <v>0.0</v>
      </c>
      <c r="C58" s="22">
        <v>0.0</v>
      </c>
      <c r="D58" s="22">
        <v>0.0</v>
      </c>
      <c r="E58" s="22">
        <v>0.0</v>
      </c>
    </row>
    <row r="59" ht="15.75" customHeight="1">
      <c r="A59" s="23" t="s">
        <v>396</v>
      </c>
      <c r="B59" s="23">
        <v>0.0</v>
      </c>
      <c r="C59" s="23" t="str">
        <f>'1조'!C112</f>
        <v>1조 - SOA - Performance</v>
      </c>
      <c r="D59" s="23">
        <v>0.0</v>
      </c>
      <c r="E59" s="23" t="str">
        <f>'1조'!E112</f>
        <v>1조 - Mico-Service - Performance</v>
      </c>
    </row>
    <row r="60" ht="15.75" customHeight="1">
      <c r="A60" s="23" t="s">
        <v>400</v>
      </c>
      <c r="B60" s="23">
        <v>0.0</v>
      </c>
      <c r="C60" s="23" t="str">
        <f>'2조'!C112</f>
        <v>2조 - SOA - Performance</v>
      </c>
      <c r="D60" s="23">
        <v>0.0</v>
      </c>
      <c r="E60" s="23" t="str">
        <f>'2조'!E112</f>
        <v>2조 - Mico-Service - Performance</v>
      </c>
    </row>
    <row r="61" ht="15.75" customHeight="1">
      <c r="A61" s="23" t="s">
        <v>404</v>
      </c>
      <c r="B61" s="23">
        <v>0.0</v>
      </c>
      <c r="C61" s="23" t="str">
        <f>'3조'!C112</f>
        <v>3조 - SOA - Performance</v>
      </c>
      <c r="D61" s="23">
        <v>0.0</v>
      </c>
      <c r="E61" s="23" t="str">
        <f>'3조'!E112</f>
        <v>3조 - Mico-Service - Performance</v>
      </c>
    </row>
    <row r="62" ht="15.75" customHeight="1">
      <c r="A62" s="23" t="s">
        <v>406</v>
      </c>
      <c r="B62" s="23">
        <v>0.0</v>
      </c>
      <c r="C62" s="23" t="str">
        <f>'4조'!C112</f>
        <v>4조 - SOA - Performance</v>
      </c>
      <c r="D62" s="23">
        <v>0.0</v>
      </c>
      <c r="E62" s="23" t="str">
        <f>'4조'!E112</f>
        <v>4조 - Mico-Service - Performance</v>
      </c>
    </row>
    <row r="63" ht="15.75" customHeight="1">
      <c r="A63" s="23" t="s">
        <v>410</v>
      </c>
      <c r="B63" s="23">
        <v>0.0</v>
      </c>
      <c r="C63" s="23" t="str">
        <f>'5조'!C112</f>
        <v>middleware의 존재로 시간효율 및 자원효율이 좋은 편이라고 볼 수 없음 </v>
      </c>
      <c r="D63" s="23">
        <v>0.0</v>
      </c>
      <c r="E63" s="23" t="str">
        <f>'5조'!E112</f>
        <v>5조 - Mico-Service - Performance</v>
      </c>
    </row>
    <row r="64" ht="15.75" customHeight="1">
      <c r="A64" s="23" t="s">
        <v>411</v>
      </c>
      <c r="B64" s="23">
        <v>0.0</v>
      </c>
      <c r="C64" s="23" t="str">
        <f>'6조'!C112</f>
        <v>middleware의 존재로 시간효율 및 자원효율이 좋은 편이라고 볼 수 없음 </v>
      </c>
      <c r="D64" s="23">
        <v>0.0</v>
      </c>
      <c r="E64" s="23" t="str">
        <f>'6조'!E112</f>
        <v>세분화된 서비스가 많아질수록 서비스 간 원격 통신이 늘고, 의존 체인이 길어지면 누적 latency가 커져 응답 성능이 저하되기 쉽다</v>
      </c>
    </row>
    <row r="65" ht="15.75" customHeight="1">
      <c r="A65" s="23" t="s">
        <v>415</v>
      </c>
      <c r="B65" s="23">
        <v>0.0</v>
      </c>
      <c r="C65" s="23" t="str">
        <f>'7조'!C112</f>
        <v>7조 - SOA - Performance</v>
      </c>
      <c r="D65" s="23">
        <v>0.0</v>
      </c>
      <c r="E65" s="23" t="str">
        <f>'7조'!E112</f>
        <v>7조 - Mico-Service - Performance</v>
      </c>
    </row>
    <row r="66" ht="15.75" customHeight="1">
      <c r="A66" s="23" t="s">
        <v>416</v>
      </c>
      <c r="B66" s="23">
        <v>0.0</v>
      </c>
      <c r="C66" s="23" t="str">
        <f>'8조'!C112</f>
        <v>8조 - SOA - Performance</v>
      </c>
      <c r="D66" s="23">
        <v>0.0</v>
      </c>
      <c r="E66" s="23" t="str">
        <f>'8조'!E112</f>
        <v>8조 - Mico-Service - Performance</v>
      </c>
    </row>
    <row r="67" ht="15.75" customHeight="1">
      <c r="A67" s="23" t="s">
        <v>419</v>
      </c>
      <c r="B67" s="23">
        <v>0.0</v>
      </c>
      <c r="C67" s="23" t="str">
        <f>'9조'!C112</f>
        <v>9조 - SOA - Performance</v>
      </c>
      <c r="D67" s="23">
        <v>0.0</v>
      </c>
      <c r="E67" s="23" t="str">
        <f>'9조'!E112</f>
        <v>9조 - Mico-Service - Performance</v>
      </c>
    </row>
    <row r="68" ht="15.75" customHeight="1">
      <c r="A68" s="23"/>
      <c r="B68" s="23"/>
      <c r="C68" s="23"/>
      <c r="D68" s="23"/>
      <c r="E68" s="23"/>
    </row>
    <row r="69" ht="15.75" customHeight="1">
      <c r="A69" s="22" t="s">
        <v>208</v>
      </c>
      <c r="B69" s="22">
        <v>0.0</v>
      </c>
      <c r="C69" s="22">
        <v>0.0</v>
      </c>
      <c r="D69" s="22">
        <v>0.0</v>
      </c>
      <c r="E69" s="22">
        <v>0.0</v>
      </c>
    </row>
    <row r="70" ht="15.75" customHeight="1">
      <c r="A70" s="23" t="s">
        <v>396</v>
      </c>
      <c r="B70" s="23">
        <v>0.0</v>
      </c>
      <c r="C70" s="23" t="str">
        <f>'1조'!C113</f>
        <v>1조 - SOA - Safety</v>
      </c>
      <c r="D70" s="23">
        <v>0.0</v>
      </c>
      <c r="E70" s="23" t="str">
        <f>'1조'!E113</f>
        <v>1조 - Mico-Service - Safety</v>
      </c>
    </row>
    <row r="71" ht="15.75" customHeight="1">
      <c r="A71" s="23" t="s">
        <v>400</v>
      </c>
      <c r="B71" s="23">
        <v>0.0</v>
      </c>
      <c r="C71" s="23" t="str">
        <f>'2조'!C113</f>
        <v>2조 - SOA - Safety</v>
      </c>
      <c r="D71" s="23">
        <v>0.0</v>
      </c>
      <c r="E71" s="23" t="str">
        <f>'2조'!E113</f>
        <v>2조 - Mico-Service - Safety</v>
      </c>
    </row>
    <row r="72" ht="15.75" customHeight="1">
      <c r="A72" s="23" t="s">
        <v>404</v>
      </c>
      <c r="B72" s="23">
        <v>0.0</v>
      </c>
      <c r="C72" s="23" t="str">
        <f>'3조'!C113</f>
        <v>3조 - SOA - Safety</v>
      </c>
      <c r="D72" s="23">
        <v>0.0</v>
      </c>
      <c r="E72" s="23" t="str">
        <f>'3조'!E113</f>
        <v>3조 - Mico-Service - Safety</v>
      </c>
    </row>
    <row r="73" ht="15.75" customHeight="1">
      <c r="A73" s="23" t="s">
        <v>406</v>
      </c>
      <c r="B73" s="23">
        <v>0.0</v>
      </c>
      <c r="C73" s="23" t="str">
        <f>'4조'!C113</f>
        <v>4조 - SOA - Safety</v>
      </c>
      <c r="D73" s="23">
        <v>0.0</v>
      </c>
      <c r="E73" s="23" t="str">
        <f>'4조'!E113</f>
        <v>4조 - Mico-Service - Safety</v>
      </c>
    </row>
    <row r="74" ht="15.75" customHeight="1">
      <c r="A74" s="23" t="s">
        <v>410</v>
      </c>
      <c r="B74" s="23">
        <v>0.0</v>
      </c>
      <c r="C74" s="23" t="str">
        <f>'5조'!C113</f>
        <v>표준화된 통신으로 output 이 명확한 편으로 fault dealing이 용이함</v>
      </c>
      <c r="D74" s="23">
        <v>0.0</v>
      </c>
      <c r="E74" s="23" t="str">
        <f>'5조'!E113</f>
        <v>5조 - Mico-Service - Safety</v>
      </c>
    </row>
    <row r="75" ht="15.75" customHeight="1">
      <c r="A75" s="23" t="s">
        <v>411</v>
      </c>
      <c r="B75" s="23">
        <v>0.0</v>
      </c>
      <c r="C75" s="23" t="str">
        <f>'6조'!C113</f>
        <v>표준화된 통신으로 output 이 명확한 편으로 fault dealing이 용이함</v>
      </c>
      <c r="D75" s="23">
        <v>0.0</v>
      </c>
      <c r="E75" s="23" t="str">
        <f>'6조'!E113</f>
        <v>장애 격리로 오류 확산을 줄일 수 있지만, 분산된 만큼 실패 지점이 늘어날 수도 있다.</v>
      </c>
    </row>
    <row r="76" ht="15.75" customHeight="1">
      <c r="A76" s="23" t="s">
        <v>415</v>
      </c>
      <c r="B76" s="23">
        <v>0.0</v>
      </c>
      <c r="C76" s="23" t="str">
        <f>'7조'!C113</f>
        <v>7조 - SOA - Safety</v>
      </c>
      <c r="D76" s="23">
        <v>0.0</v>
      </c>
      <c r="E76" s="23" t="str">
        <f>'7조'!E113</f>
        <v>7조 - Mico-Service - Safety</v>
      </c>
    </row>
    <row r="77" ht="15.75" customHeight="1">
      <c r="A77" s="23" t="s">
        <v>416</v>
      </c>
      <c r="B77" s="23">
        <v>0.0</v>
      </c>
      <c r="C77" s="23" t="str">
        <f>'8조'!C113</f>
        <v>8조 - SOA - Safety</v>
      </c>
      <c r="D77" s="23">
        <v>0.0</v>
      </c>
      <c r="E77" s="23" t="str">
        <f>'8조'!E113</f>
        <v>8조 - Mico-Service - Safety</v>
      </c>
    </row>
    <row r="78" ht="15.75" customHeight="1">
      <c r="A78" s="23" t="s">
        <v>419</v>
      </c>
      <c r="B78" s="23">
        <v>0.0</v>
      </c>
      <c r="C78" s="23" t="str">
        <f>'9조'!C113</f>
        <v>9조 - SOA - Safety</v>
      </c>
      <c r="D78" s="23">
        <v>0.0</v>
      </c>
      <c r="E78" s="23" t="str">
        <f>'9조'!E113</f>
        <v>9조 - Mico-Service - Safety</v>
      </c>
    </row>
    <row r="79" ht="15.75" customHeight="1">
      <c r="A79" s="23"/>
      <c r="B79" s="23"/>
      <c r="C79" s="23"/>
      <c r="D79" s="23"/>
      <c r="E79" s="23"/>
    </row>
    <row r="80" ht="15.75" customHeight="1">
      <c r="A80" s="22" t="s">
        <v>242</v>
      </c>
      <c r="B80" s="22">
        <v>0.0</v>
      </c>
      <c r="C80" s="22">
        <v>0.0</v>
      </c>
      <c r="D80" s="22">
        <v>0.0</v>
      </c>
      <c r="E80" s="22">
        <v>0.0</v>
      </c>
    </row>
    <row r="81" ht="15.75" customHeight="1">
      <c r="A81" s="23" t="s">
        <v>396</v>
      </c>
      <c r="B81" s="23">
        <v>0.0</v>
      </c>
      <c r="C81" s="23" t="str">
        <f>'1조'!C114</f>
        <v>1조 - SOA - Security</v>
      </c>
      <c r="D81" s="23">
        <v>0.0</v>
      </c>
      <c r="E81" s="23" t="str">
        <f>'1조'!E114</f>
        <v>1조 - Mico-Service - Security</v>
      </c>
    </row>
    <row r="82" ht="15.75" customHeight="1">
      <c r="A82" s="23" t="s">
        <v>400</v>
      </c>
      <c r="B82" s="23">
        <v>0.0</v>
      </c>
      <c r="C82" s="23" t="str">
        <f>'2조'!C114</f>
        <v>2조 - SOA - Security</v>
      </c>
      <c r="D82" s="23">
        <v>0.0</v>
      </c>
      <c r="E82" s="23" t="str">
        <f>'2조'!E114</f>
        <v>2조 - Mico-Service - Security</v>
      </c>
    </row>
    <row r="83" ht="15.75" customHeight="1">
      <c r="A83" s="23" t="s">
        <v>404</v>
      </c>
      <c r="B83" s="23">
        <v>0.0</v>
      </c>
      <c r="C83" s="23" t="str">
        <f>'3조'!C114</f>
        <v>3조 - SOA - Security</v>
      </c>
      <c r="D83" s="23">
        <v>0.0</v>
      </c>
      <c r="E83" s="23" t="str">
        <f>'3조'!E114</f>
        <v>3조 - Mico-Service - Security</v>
      </c>
    </row>
    <row r="84" ht="15.75" customHeight="1">
      <c r="A84" s="23" t="s">
        <v>406</v>
      </c>
      <c r="B84" s="23">
        <v>0.0</v>
      </c>
      <c r="C84" s="23" t="str">
        <f>'4조'!C114</f>
        <v>4조 - SOA - Security</v>
      </c>
      <c r="D84" s="23">
        <v>0.0</v>
      </c>
      <c r="E84" s="23" t="str">
        <f>'4조'!E114</f>
        <v>4조 - Mico-Service - Security</v>
      </c>
    </row>
    <row r="85" ht="15.75" customHeight="1">
      <c r="A85" s="23" t="s">
        <v>410</v>
      </c>
      <c r="B85" s="23">
        <v>0.0</v>
      </c>
      <c r="C85" s="23" t="str">
        <f>'5조'!C114</f>
        <v>표준화된 통신에서 기본적인 authentication 절차를 거침</v>
      </c>
      <c r="D85" s="23">
        <v>0.0</v>
      </c>
      <c r="E85" s="23" t="str">
        <f>'5조'!E114</f>
        <v>5조 - Mico-Service - Security</v>
      </c>
    </row>
    <row r="86" ht="15.75" customHeight="1">
      <c r="A86" s="23" t="s">
        <v>411</v>
      </c>
      <c r="B86" s="23">
        <v>0.0</v>
      </c>
      <c r="C86" s="23" t="str">
        <f>'6조'!C114</f>
        <v>표준화된 통신에서 기본적인 authentication 절차를 거침</v>
      </c>
      <c r="D86" s="23">
        <v>0.0</v>
      </c>
      <c r="E86" s="23" t="str">
        <f>'6조'!E114</f>
        <v>서비스별 인증·권한 분리가 가능하지만, 외부에 노출되는 API와 통신 경로 및 관리 대상이 증가하여 공격 표면이 넓어진다.</v>
      </c>
    </row>
    <row r="87" ht="15.75" customHeight="1">
      <c r="A87" s="23" t="s">
        <v>415</v>
      </c>
      <c r="B87" s="23">
        <v>0.0</v>
      </c>
      <c r="C87" s="23" t="str">
        <f>'7조'!C114</f>
        <v>7조 - SOA - Security</v>
      </c>
      <c r="D87" s="23">
        <v>0.0</v>
      </c>
      <c r="E87" s="23" t="str">
        <f>'7조'!E114</f>
        <v>7조 - Mico-Service - Security</v>
      </c>
    </row>
    <row r="88" ht="15.75" customHeight="1">
      <c r="A88" s="23" t="s">
        <v>416</v>
      </c>
      <c r="B88" s="23">
        <v>0.0</v>
      </c>
      <c r="C88" s="23" t="str">
        <f>'8조'!C114</f>
        <v>8조 - SOA - Security</v>
      </c>
      <c r="D88" s="23">
        <v>0.0</v>
      </c>
      <c r="E88" s="23" t="str">
        <f>'8조'!E114</f>
        <v>8조 - Mico-Service - Security</v>
      </c>
    </row>
    <row r="89" ht="15.75" customHeight="1">
      <c r="A89" s="23" t="s">
        <v>419</v>
      </c>
      <c r="B89" s="23">
        <v>0.0</v>
      </c>
      <c r="C89" s="23" t="str">
        <f>'9조'!C114</f>
        <v>9조 - SOA - Security</v>
      </c>
      <c r="D89" s="23">
        <v>0.0</v>
      </c>
      <c r="E89" s="23" t="str">
        <f>'9조'!E114</f>
        <v>9조 - Mico-Service - Security</v>
      </c>
    </row>
    <row r="90" ht="15.75" customHeight="1">
      <c r="A90" s="23"/>
      <c r="B90" s="23"/>
      <c r="C90" s="23"/>
      <c r="D90" s="23"/>
      <c r="E90" s="23"/>
    </row>
    <row r="91" ht="15.75" customHeight="1">
      <c r="A91" s="22" t="s">
        <v>273</v>
      </c>
      <c r="B91" s="22">
        <v>0.0</v>
      </c>
      <c r="C91" s="22">
        <v>0.0</v>
      </c>
      <c r="D91" s="22">
        <v>0.0</v>
      </c>
      <c r="E91" s="22">
        <v>0.0</v>
      </c>
    </row>
    <row r="92" ht="15.75" customHeight="1">
      <c r="A92" s="23" t="s">
        <v>396</v>
      </c>
      <c r="B92" s="23">
        <v>0.0</v>
      </c>
      <c r="C92" s="23" t="str">
        <f>'1조'!C115</f>
        <v>1조 - SOA - Testability</v>
      </c>
      <c r="D92" s="23">
        <v>0.0</v>
      </c>
      <c r="E92" s="23" t="str">
        <f>'1조'!E115</f>
        <v>1조 - Mico-Service - Testability</v>
      </c>
    </row>
    <row r="93" ht="15.75" customHeight="1">
      <c r="A93" s="23" t="s">
        <v>400</v>
      </c>
      <c r="B93" s="23">
        <v>0.0</v>
      </c>
      <c r="C93" s="23" t="str">
        <f>'2조'!C115</f>
        <v>2조 - SOA - Testability</v>
      </c>
      <c r="D93" s="23">
        <v>0.0</v>
      </c>
      <c r="E93" s="23" t="str">
        <f>'2조'!E115</f>
        <v>2조 - Mico-Service - Testability</v>
      </c>
    </row>
    <row r="94" ht="15.75" customHeight="1">
      <c r="A94" s="23" t="s">
        <v>404</v>
      </c>
      <c r="B94" s="23">
        <v>0.0</v>
      </c>
      <c r="C94" s="23" t="str">
        <f>'3조'!C115</f>
        <v>3조 - SOA - Testability</v>
      </c>
      <c r="D94" s="23">
        <v>0.0</v>
      </c>
      <c r="E94" s="23" t="str">
        <f>'3조'!E115</f>
        <v>3조 - Mico-Service - Testability</v>
      </c>
    </row>
    <row r="95" ht="15.75" customHeight="1">
      <c r="A95" s="23" t="s">
        <v>406</v>
      </c>
      <c r="B95" s="23">
        <v>0.0</v>
      </c>
      <c r="C95" s="23" t="str">
        <f>'4조'!C115</f>
        <v>4조 - SOA - Testability</v>
      </c>
      <c r="D95" s="23">
        <v>0.0</v>
      </c>
      <c r="E95" s="23" t="str">
        <f>'4조'!E115</f>
        <v>4조 - Mico-Service - Testability</v>
      </c>
    </row>
    <row r="96" ht="15.75" customHeight="1">
      <c r="A96" s="23" t="s">
        <v>410</v>
      </c>
      <c r="B96" s="23">
        <v>0.0</v>
      </c>
      <c r="C96" s="23" t="str">
        <f>'5조'!C115</f>
        <v>테스트 단위 명문화가 가능하고 (e.g. service provider-intermediary) 표준화된 통신으로 expected output이 명확함</v>
      </c>
      <c r="D96" s="23">
        <v>0.0</v>
      </c>
      <c r="E96" s="23" t="str">
        <f>'5조'!E115</f>
        <v>5조 - Mico-Service - Testability</v>
      </c>
    </row>
    <row r="97" ht="15.75" customHeight="1">
      <c r="A97" s="23" t="s">
        <v>411</v>
      </c>
      <c r="B97" s="23">
        <v>0.0</v>
      </c>
      <c r="C97" s="23" t="str">
        <f>'6조'!C115</f>
        <v>테스트 단위 명문화가 가능하고 (e.g. service provider-intermediary) 표준화된 통신으로 expected output이 명확함</v>
      </c>
      <c r="D97" s="23">
        <v>0.0</v>
      </c>
      <c r="E97" s="23" t="str">
        <f>'6조'!E115</f>
        <v>여러 서비스를 함께 검증하려면 네트워크, 데이터 저장소, 메시지 시스템 등의 실행 환경이 필요하며 비동기·분산 동작의 재현도 어렵다.</v>
      </c>
    </row>
    <row r="98" ht="15.75" customHeight="1">
      <c r="A98" s="23" t="s">
        <v>415</v>
      </c>
      <c r="B98" s="23">
        <v>0.0</v>
      </c>
      <c r="C98" s="23" t="str">
        <f>'7조'!C115</f>
        <v>7조 - SOA - Testability</v>
      </c>
      <c r="D98" s="23">
        <v>0.0</v>
      </c>
      <c r="E98" s="23" t="str">
        <f>'7조'!E115</f>
        <v>7조 - Mico-Service - Testability</v>
      </c>
    </row>
    <row r="99" ht="15.75" customHeight="1">
      <c r="A99" s="23" t="s">
        <v>416</v>
      </c>
      <c r="B99" s="23">
        <v>0.0</v>
      </c>
      <c r="C99" s="23" t="str">
        <f>'8조'!C115</f>
        <v>8조 - SOA - Testability</v>
      </c>
      <c r="D99" s="23">
        <v>0.0</v>
      </c>
      <c r="E99" s="23" t="str">
        <f>'8조'!E115</f>
        <v>8조 - Mico-Service - Testability</v>
      </c>
    </row>
    <row r="100" ht="15.75" customHeight="1">
      <c r="A100" s="23" t="s">
        <v>419</v>
      </c>
      <c r="B100" s="23">
        <v>0.0</v>
      </c>
      <c r="C100" s="23" t="str">
        <f>'9조'!C115</f>
        <v>9조 - SOA - Testability</v>
      </c>
      <c r="D100" s="23">
        <v>0.0</v>
      </c>
      <c r="E100" s="23" t="str">
        <f>'9조'!E115</f>
        <v>9조 - Mico-Service - Testability</v>
      </c>
    </row>
    <row r="101" ht="15.75" customHeight="1">
      <c r="A101" s="23"/>
      <c r="B101" s="23"/>
      <c r="C101" s="23"/>
      <c r="D101" s="23"/>
      <c r="E101" s="23"/>
    </row>
    <row r="102" ht="15.75" customHeight="1">
      <c r="A102" s="22" t="s">
        <v>305</v>
      </c>
      <c r="B102" s="22">
        <v>0.0</v>
      </c>
      <c r="C102" s="22">
        <v>0.0</v>
      </c>
      <c r="D102" s="22">
        <v>0.0</v>
      </c>
      <c r="E102" s="22">
        <v>0.0</v>
      </c>
    </row>
    <row r="103" ht="15.75" customHeight="1">
      <c r="A103" s="23" t="s">
        <v>396</v>
      </c>
      <c r="B103" s="23">
        <v>0.0</v>
      </c>
      <c r="C103" s="23" t="str">
        <f>'1조'!C116</f>
        <v>1조 - SOA - Usability</v>
      </c>
      <c r="D103" s="23">
        <v>0.0</v>
      </c>
      <c r="E103" s="23" t="str">
        <f>'1조'!E116</f>
        <v>1조 - Mico-Service - Usability</v>
      </c>
    </row>
    <row r="104" ht="15.75" customHeight="1">
      <c r="A104" s="23" t="s">
        <v>400</v>
      </c>
      <c r="B104" s="23">
        <v>0.0</v>
      </c>
      <c r="C104" s="23" t="str">
        <f>'2조'!C116</f>
        <v>2조 - SOA - Usability</v>
      </c>
      <c r="D104" s="23">
        <v>0.0</v>
      </c>
      <c r="E104" s="23" t="str">
        <f>'2조'!E116</f>
        <v>2조 - Mico-Service - Usability</v>
      </c>
    </row>
    <row r="105" ht="15.75" customHeight="1">
      <c r="A105" s="23" t="s">
        <v>404</v>
      </c>
      <c r="B105" s="23">
        <v>0.0</v>
      </c>
      <c r="C105" s="23" t="str">
        <f>'3조'!C116</f>
        <v>3조 - SOA - Usability</v>
      </c>
      <c r="D105" s="23">
        <v>0.0</v>
      </c>
      <c r="E105" s="23" t="str">
        <f>'3조'!E116</f>
        <v>3조 - Mico-Service - Usability</v>
      </c>
    </row>
    <row r="106" ht="15.75" customHeight="1">
      <c r="A106" s="23" t="s">
        <v>406</v>
      </c>
      <c r="B106" s="23">
        <v>0.0</v>
      </c>
      <c r="C106" s="23" t="str">
        <f>'4조'!C116</f>
        <v>4조 - SOA - Usability</v>
      </c>
      <c r="D106" s="23">
        <v>0.0</v>
      </c>
      <c r="E106" s="23" t="str">
        <f>'4조'!E116</f>
        <v>4조 - Mico-Service - Usability</v>
      </c>
    </row>
    <row r="107" ht="15.75" customHeight="1">
      <c r="A107" s="23" t="s">
        <v>410</v>
      </c>
      <c r="B107" s="23">
        <v>0.0</v>
      </c>
      <c r="C107" s="23" t="str">
        <f>'5조'!C116</f>
        <v>service customer 및 provider 반영이 유연하고 빠름</v>
      </c>
      <c r="D107" s="23">
        <v>0.0</v>
      </c>
      <c r="E107" s="23" t="str">
        <f>'5조'!E116</f>
        <v>5조 - Mico-Service - Usability</v>
      </c>
    </row>
    <row r="108" ht="15.75" customHeight="1">
      <c r="A108" s="23" t="s">
        <v>411</v>
      </c>
      <c r="B108" s="23">
        <v>0.0</v>
      </c>
      <c r="C108" s="23" t="str">
        <f>'6조'!C116</f>
        <v>service customer 및 provider 반영이 유연하고 빠름</v>
      </c>
      <c r="D108" s="23">
        <v>0.0</v>
      </c>
      <c r="E108" s="23" t="str">
        <f>'6조'!E116</f>
        <v>Micro-Service 구조 자체는 사용자 인터페이스와 직접적인 관계가 없다.</v>
      </c>
    </row>
    <row r="109" ht="15.75" customHeight="1">
      <c r="A109" s="23" t="s">
        <v>415</v>
      </c>
      <c r="B109" s="23">
        <v>0.0</v>
      </c>
      <c r="C109" s="23" t="str">
        <f>'7조'!C116</f>
        <v>7조 - SOA - Usability</v>
      </c>
      <c r="D109" s="23">
        <v>0.0</v>
      </c>
      <c r="E109" s="23" t="str">
        <f>'7조'!E116</f>
        <v>7조 - Mico-Service - Usability</v>
      </c>
    </row>
    <row r="110" ht="15.75" customHeight="1">
      <c r="A110" s="23" t="s">
        <v>416</v>
      </c>
      <c r="B110" s="23">
        <v>0.0</v>
      </c>
      <c r="C110" s="23" t="str">
        <f>'8조'!C116</f>
        <v>8조 - SOA - Usability</v>
      </c>
      <c r="D110" s="23">
        <v>0.0</v>
      </c>
      <c r="E110" s="23" t="str">
        <f>'8조'!E116</f>
        <v>8조 - Mico-Service - Usability</v>
      </c>
    </row>
    <row r="111" ht="15.75" customHeight="1">
      <c r="A111" s="23" t="s">
        <v>419</v>
      </c>
      <c r="B111" s="23">
        <v>0.0</v>
      </c>
      <c r="C111" s="23" t="str">
        <f>'9조'!C116</f>
        <v>9조 - SOA - Usability</v>
      </c>
      <c r="D111" s="23">
        <v>0.0</v>
      </c>
      <c r="E111" s="23" t="str">
        <f>'9조'!E116</f>
        <v>9조 - Mico-Service - Usability</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57"/>
    <col customWidth="1" min="2" max="2" width="7.71"/>
    <col customWidth="1" min="3" max="3" width="41.14"/>
    <col customWidth="1" min="4" max="4" width="7.71"/>
    <col customWidth="1" min="5" max="5" width="37.14"/>
    <col customWidth="1" min="6" max="6" width="7.71"/>
    <col customWidth="1" min="7" max="7" width="36.14"/>
  </cols>
  <sheetData>
    <row r="1">
      <c r="A1" s="17" t="s">
        <v>599</v>
      </c>
      <c r="B1" s="18" t="s">
        <v>600</v>
      </c>
      <c r="C1" s="19"/>
      <c r="D1" s="18" t="s">
        <v>601</v>
      </c>
      <c r="E1" s="19"/>
      <c r="F1" s="18" t="s">
        <v>603</v>
      </c>
      <c r="G1" s="19"/>
    </row>
    <row r="2">
      <c r="A2" s="20"/>
      <c r="B2" s="21" t="s">
        <v>12</v>
      </c>
      <c r="C2" s="21" t="s">
        <v>13</v>
      </c>
      <c r="D2" s="21" t="s">
        <v>12</v>
      </c>
      <c r="E2" s="21" t="s">
        <v>13</v>
      </c>
      <c r="F2" s="21" t="s">
        <v>12</v>
      </c>
      <c r="G2" s="21" t="s">
        <v>13</v>
      </c>
    </row>
    <row r="3" ht="15.0" customHeight="1">
      <c r="A3" s="22" t="s">
        <v>14</v>
      </c>
      <c r="B3" s="22">
        <v>0.0</v>
      </c>
      <c r="C3" s="22">
        <v>0.0</v>
      </c>
      <c r="D3" s="22">
        <v>0.0</v>
      </c>
      <c r="E3" s="22">
        <v>0.0</v>
      </c>
      <c r="F3" s="22">
        <v>0.0</v>
      </c>
      <c r="G3" s="22">
        <v>0.0</v>
      </c>
    </row>
    <row r="4">
      <c r="A4" s="23" t="s">
        <v>396</v>
      </c>
      <c r="B4" s="23">
        <v>0.0</v>
      </c>
      <c r="C4" s="23" t="str">
        <f>'1조'!C120</f>
        <v>1조 - Container-based - Availability</v>
      </c>
      <c r="D4" s="23">
        <v>0.0</v>
      </c>
      <c r="E4" s="23" t="str">
        <f>'1조'!E120</f>
        <v>1조 - Cloud-based - Availability</v>
      </c>
      <c r="F4" s="23">
        <v>0.0</v>
      </c>
      <c r="G4" s="23" t="str">
        <f>'6조'!G120</f>
        <v>중앙 서버에 모든 처리를 의존하지 않고 여러 Edge에서 서비스를 제공할 수 있어 장애 격리에 유리하다. 하지만 특정 Edge 장비가 고장나면 해당 지역 사용자가 영향을 받을 수 있다.</v>
      </c>
    </row>
    <row r="5">
      <c r="A5" s="23" t="s">
        <v>400</v>
      </c>
      <c r="B5" s="23">
        <v>0.0</v>
      </c>
      <c r="C5" s="23" t="str">
        <f>'2조'!C120</f>
        <v>2조 - Container-based - Availability</v>
      </c>
      <c r="D5" s="23">
        <v>0.0</v>
      </c>
      <c r="E5" s="23" t="str">
        <f>'2조'!E120</f>
        <v>2조 - Cloud-based - Availability</v>
      </c>
      <c r="F5" s="23">
        <v>0.0</v>
      </c>
      <c r="G5" s="23" t="str">
        <f>'2조'!G120</f>
        <v>중앙 서버와 네트워크 연결이 끊겨도 엣지 노드가 로컬에서 자체 동작 가능함</v>
      </c>
    </row>
    <row r="6">
      <c r="A6" s="23" t="s">
        <v>404</v>
      </c>
      <c r="B6" s="23">
        <v>0.0</v>
      </c>
      <c r="C6" s="23" t="str">
        <f>'3조'!C120</f>
        <v>3조 - Container-based - Availability</v>
      </c>
      <c r="D6" s="23">
        <v>0.0</v>
      </c>
      <c r="E6" s="23" t="str">
        <f>'3조'!E120</f>
        <v>3조 - Cloud-based - Availability</v>
      </c>
      <c r="F6" s="23">
        <v>0.0</v>
      </c>
      <c r="G6" s="23" t="str">
        <f>'3조'!G120</f>
        <v>3조 - Edge-based - Availability</v>
      </c>
    </row>
    <row r="7">
      <c r="A7" s="23" t="s">
        <v>406</v>
      </c>
      <c r="B7" s="23">
        <v>0.0</v>
      </c>
      <c r="C7" s="23" t="str">
        <f>'4조'!C120</f>
        <v>4조 - Container-based - Availability</v>
      </c>
      <c r="D7" s="23">
        <v>0.0</v>
      </c>
      <c r="E7" s="23" t="str">
        <f>'4조'!E120</f>
        <v>4조 - Cloud-based - Availability</v>
      </c>
      <c r="F7" s="23">
        <v>0.0</v>
      </c>
      <c r="G7" s="23" t="str">
        <f>'4조'!G120</f>
        <v>4조 - Edge-based - Availability</v>
      </c>
    </row>
    <row r="8">
      <c r="A8" s="23" t="s">
        <v>410</v>
      </c>
      <c r="B8" s="23">
        <v>0.0</v>
      </c>
      <c r="C8" s="23" t="str">
        <f>'5조'!C120</f>
        <v>5조 - Container-based - Availability</v>
      </c>
      <c r="D8" s="23">
        <v>0.0</v>
      </c>
      <c r="E8" s="23" t="str">
        <f>'5조'!E120</f>
        <v>5조 - Cloud-based - Availability</v>
      </c>
      <c r="F8" s="23">
        <v>0.0</v>
      </c>
      <c r="G8" s="23" t="str">
        <f>'5조'!G120</f>
        <v>5조 - Edge-based - Availability</v>
      </c>
    </row>
    <row r="9">
      <c r="A9" s="23" t="s">
        <v>411</v>
      </c>
      <c r="B9" s="23">
        <v>0.0</v>
      </c>
      <c r="C9" s="23" t="str">
        <f>'6조'!C120</f>
        <v>6조 - Container-based x - Availability</v>
      </c>
      <c r="D9" s="23">
        <v>0.0</v>
      </c>
      <c r="E9" s="23" t="str">
        <f>'6조'!E120</f>
        <v>6조 - Cloud-based x - Availability</v>
      </c>
      <c r="F9" s="23">
        <v>0.0</v>
      </c>
      <c r="G9" s="23" t="str">
        <f>'6조'!G120</f>
        <v>중앙 서버에 모든 처리를 의존하지 않고 여러 Edge에서 서비스를 제공할 수 있어 장애 격리에 유리하다. 하지만 특정 Edge 장비가 고장나면 해당 지역 사용자가 영향을 받을 수 있다.</v>
      </c>
    </row>
    <row r="10">
      <c r="A10" s="23" t="s">
        <v>415</v>
      </c>
      <c r="B10" s="23">
        <v>0.0</v>
      </c>
      <c r="C10" s="23" t="str">
        <f>'7조'!C120</f>
        <v>7조 - Container-based - Availability</v>
      </c>
      <c r="D10" s="23">
        <v>0.0</v>
      </c>
      <c r="E10" s="23" t="str">
        <f>'7조'!E120</f>
        <v>7조 - Cloud-based - Availability</v>
      </c>
      <c r="F10" s="23">
        <v>0.0</v>
      </c>
      <c r="G10" s="23" t="str">
        <f>'7조'!G120</f>
        <v>7조 - Edge-based - Availability</v>
      </c>
    </row>
    <row r="11">
      <c r="A11" s="23" t="s">
        <v>416</v>
      </c>
      <c r="B11" s="23">
        <v>0.0</v>
      </c>
      <c r="C11" s="23" t="str">
        <f>'8조'!C120</f>
        <v>8조 - Container-based - Availability</v>
      </c>
      <c r="D11" s="23">
        <v>0.0</v>
      </c>
      <c r="E11" s="23" t="str">
        <f>'8조'!E120</f>
        <v>8조 - Cloud-based - Availability</v>
      </c>
      <c r="F11" s="23">
        <v>0.0</v>
      </c>
      <c r="G11" s="23" t="str">
        <f>'8조'!G120</f>
        <v>8조 - Edge-based - Availability</v>
      </c>
    </row>
    <row r="12">
      <c r="A12" s="23" t="s">
        <v>419</v>
      </c>
      <c r="B12" s="23">
        <v>0.0</v>
      </c>
      <c r="C12" s="23" t="str">
        <f>'9조'!C120</f>
        <v>9조 - Container-based - Availability</v>
      </c>
      <c r="D12" s="23">
        <v>0.0</v>
      </c>
      <c r="E12" s="23" t="str">
        <f>'9조'!E120</f>
        <v>9조 - Cloud-based - Availability</v>
      </c>
      <c r="F12" s="23">
        <v>0.0</v>
      </c>
      <c r="G12" s="23" t="str">
        <f>'9조'!G120</f>
        <v>9조 - Edge-based - Availability</v>
      </c>
    </row>
    <row r="13">
      <c r="A13" s="23"/>
      <c r="B13" s="23"/>
      <c r="C13" s="23"/>
      <c r="D13" s="23"/>
      <c r="E13" s="23"/>
      <c r="F13" s="23"/>
      <c r="G13" s="23"/>
    </row>
    <row r="14" ht="15.0" customHeight="1">
      <c r="A14" s="22" t="s">
        <v>44</v>
      </c>
      <c r="B14" s="22">
        <v>0.0</v>
      </c>
      <c r="C14" s="22">
        <v>0.0</v>
      </c>
      <c r="D14" s="22">
        <v>0.0</v>
      </c>
      <c r="E14" s="22">
        <v>0.0</v>
      </c>
      <c r="F14" s="22">
        <v>0.0</v>
      </c>
      <c r="G14" s="22">
        <v>0.0</v>
      </c>
    </row>
    <row r="15">
      <c r="A15" s="23" t="s">
        <v>396</v>
      </c>
      <c r="B15" s="23">
        <v>0.0</v>
      </c>
      <c r="C15" s="23" t="str">
        <f>'1조'!C121</f>
        <v>1조 - Container-based - Deployability</v>
      </c>
      <c r="D15" s="23">
        <v>0.0</v>
      </c>
      <c r="E15" s="23" t="str">
        <f>'1조'!E121</f>
        <v>1조 - Cloud-based - Deployability</v>
      </c>
      <c r="F15" s="23">
        <v>0.0</v>
      </c>
      <c r="G15" s="23" t="str">
        <f>'1조'!G121</f>
        <v>지리적으로 분산된 수많은 엣지 기기 및 노드에 소프트웨어 업데이트(OTA 등)를 일괄 적용하고 버전 정합성을 유지하기가 매우 복잡함.</v>
      </c>
    </row>
    <row r="16">
      <c r="A16" s="23" t="s">
        <v>400</v>
      </c>
      <c r="B16" s="23">
        <v>0.0</v>
      </c>
      <c r="C16" s="23" t="str">
        <f>'2조'!C121</f>
        <v>2조 - Container-based - Deployability</v>
      </c>
      <c r="D16" s="23">
        <v>0.0</v>
      </c>
      <c r="E16" s="23" t="str">
        <f>'2조'!E121</f>
        <v>2조 - Cloud-based - Deployability</v>
      </c>
      <c r="F16" s="23">
        <v>0.0</v>
      </c>
      <c r="G16" s="23" t="str">
        <f>'2조'!G121</f>
        <v>수많은 분산 엣지 디바이스에 업데이트를 배포하고 관리하는 것이 매우 복잡함</v>
      </c>
    </row>
    <row r="17">
      <c r="A17" s="23" t="s">
        <v>404</v>
      </c>
      <c r="B17" s="23">
        <v>0.0</v>
      </c>
      <c r="C17" s="23" t="str">
        <f>'3조'!C121</f>
        <v>3조 - Container-based - Deployability</v>
      </c>
      <c r="D17" s="23">
        <v>0.0</v>
      </c>
      <c r="E17" s="23" t="str">
        <f>'3조'!E121</f>
        <v>3조 - Cloud-based - Deployability</v>
      </c>
      <c r="F17" s="23">
        <v>0.0</v>
      </c>
      <c r="G17" s="23" t="str">
        <f>'3조'!G121</f>
        <v>3조 - Edge-based - Deployability</v>
      </c>
    </row>
    <row r="18">
      <c r="A18" s="23" t="s">
        <v>406</v>
      </c>
      <c r="B18" s="23">
        <v>0.0</v>
      </c>
      <c r="C18" s="23" t="str">
        <f>'4조'!C121</f>
        <v>4조 - Container-based - Deployability</v>
      </c>
      <c r="D18" s="23">
        <v>0.0</v>
      </c>
      <c r="E18" s="23" t="str">
        <f>'4조'!E121</f>
        <v>4조 - Cloud-based - Deployability</v>
      </c>
      <c r="F18" s="23">
        <v>0.0</v>
      </c>
      <c r="G18" s="23" t="str">
        <f>'4조'!G121</f>
        <v>4조 - Edge-based - Deployability</v>
      </c>
    </row>
    <row r="19">
      <c r="A19" s="23" t="s">
        <v>410</v>
      </c>
      <c r="B19" s="23">
        <v>0.0</v>
      </c>
      <c r="C19" s="23" t="str">
        <f>'5조'!C121</f>
        <v>5조 - Container-based - Deployability</v>
      </c>
      <c r="D19" s="23">
        <v>0.0</v>
      </c>
      <c r="E19" s="23" t="str">
        <f>'5조'!E121</f>
        <v>5조 - Cloud-based - Deployability</v>
      </c>
      <c r="F19" s="23">
        <v>0.0</v>
      </c>
      <c r="G19" s="23" t="str">
        <f>'5조'!G121</f>
        <v>5조 - Edge-based - Deployability</v>
      </c>
    </row>
    <row r="20">
      <c r="A20" s="23" t="s">
        <v>411</v>
      </c>
      <c r="B20" s="23">
        <v>0.0</v>
      </c>
      <c r="C20" s="23" t="str">
        <f>'6조'!C121</f>
        <v>6조 - Container-based x - Deployability</v>
      </c>
      <c r="D20" s="23">
        <v>0.0</v>
      </c>
      <c r="E20" s="23" t="str">
        <f>'6조'!E121</f>
        <v>6조 - Cloud-based x - Deployability</v>
      </c>
      <c r="F20" s="23">
        <v>0.0</v>
      </c>
      <c r="G20" s="23" t="str">
        <f>'6조'!G121</f>
        <v>수많은 분산 엣지 디바이스에 업데이트를 배포하고 관리하는 것이 매우 복잡함</v>
      </c>
    </row>
    <row r="21" ht="15.75" customHeight="1">
      <c r="A21" s="23" t="s">
        <v>415</v>
      </c>
      <c r="B21" s="23">
        <v>0.0</v>
      </c>
      <c r="C21" s="23" t="str">
        <f>'7조'!C121</f>
        <v>7조 - Container-based - Deployability</v>
      </c>
      <c r="D21" s="23">
        <v>0.0</v>
      </c>
      <c r="E21" s="23" t="str">
        <f>'7조'!E121</f>
        <v>7조 - Cloud-based - Deployability</v>
      </c>
      <c r="F21" s="23">
        <v>0.0</v>
      </c>
      <c r="G21" s="23" t="str">
        <f>'7조'!G121</f>
        <v>7조 - Edge-based - Deployability</v>
      </c>
    </row>
    <row r="22" ht="15.75" customHeight="1">
      <c r="A22" s="23" t="s">
        <v>416</v>
      </c>
      <c r="B22" s="23">
        <v>0.0</v>
      </c>
      <c r="C22" s="23" t="str">
        <f>'8조'!C121</f>
        <v>8조 - Container-based - Deployability</v>
      </c>
      <c r="D22" s="23">
        <v>0.0</v>
      </c>
      <c r="E22" s="23" t="str">
        <f>'8조'!E121</f>
        <v>8조 - Cloud-based - Deployability</v>
      </c>
      <c r="F22" s="23">
        <v>0.0</v>
      </c>
      <c r="G22" s="23" t="str">
        <f>'8조'!G121</f>
        <v>8조 - Edge-based - Deployability</v>
      </c>
    </row>
    <row r="23" ht="15.75" customHeight="1">
      <c r="A23" s="23" t="s">
        <v>419</v>
      </c>
      <c r="B23" s="23">
        <v>0.0</v>
      </c>
      <c r="C23" s="23" t="str">
        <f>'9조'!C121</f>
        <v>9조 - Container-based - Deployability</v>
      </c>
      <c r="D23" s="23">
        <v>0.0</v>
      </c>
      <c r="E23" s="23" t="str">
        <f>'9조'!E121</f>
        <v>9조 - Cloud-based - Deployability</v>
      </c>
      <c r="F23" s="23">
        <v>0.0</v>
      </c>
      <c r="G23" s="23" t="str">
        <f>'9조'!G121</f>
        <v>9조 - Edge-based - Deployability</v>
      </c>
    </row>
    <row r="24" ht="15.75" customHeight="1">
      <c r="A24" s="23"/>
      <c r="B24" s="23"/>
      <c r="C24" s="23"/>
      <c r="D24" s="23"/>
      <c r="E24" s="23"/>
      <c r="F24" s="23"/>
      <c r="G24" s="23"/>
    </row>
    <row r="25" ht="15.0" customHeight="1">
      <c r="A25" s="22" t="s">
        <v>80</v>
      </c>
      <c r="B25" s="22">
        <v>0.0</v>
      </c>
      <c r="C25" s="22">
        <v>0.0</v>
      </c>
      <c r="D25" s="22">
        <v>0.0</v>
      </c>
      <c r="E25" s="22">
        <v>0.0</v>
      </c>
      <c r="F25" s="22">
        <v>0.0</v>
      </c>
      <c r="G25" s="22">
        <v>0.0</v>
      </c>
    </row>
    <row r="26" ht="15.75" customHeight="1">
      <c r="A26" s="23" t="s">
        <v>396</v>
      </c>
      <c r="B26" s="23">
        <v>0.0</v>
      </c>
      <c r="C26" s="23" t="str">
        <f>'1조'!C122</f>
        <v>1조 - Container-based - Integrability</v>
      </c>
      <c r="D26" s="23">
        <v>0.0</v>
      </c>
      <c r="E26" s="23" t="str">
        <f>'1조'!E122</f>
        <v>1조 - Cloud-based - Integrability</v>
      </c>
      <c r="F26" s="23">
        <v>0.0</v>
      </c>
      <c r="G26" s="23" t="str">
        <f>'1조'!G122</f>
        <v>Edge와 중앙 시스템, 다른 Edge 간 통합이 필요하다. 서로 다른 환경/네트워크에서 동작하기 때문에 중앙 집중형보다 integration 관리가 복잡할 수 있다.</v>
      </c>
    </row>
    <row r="27" ht="15.75" customHeight="1">
      <c r="A27" s="23" t="s">
        <v>400</v>
      </c>
      <c r="B27" s="23">
        <v>0.0</v>
      </c>
      <c r="C27" s="23" t="str">
        <f>'2조'!C122</f>
        <v>2조 - Container-based - Integrability</v>
      </c>
      <c r="D27" s="23">
        <v>0.0</v>
      </c>
      <c r="E27" s="23" t="str">
        <f>'2조'!E122</f>
        <v>2조 - Cloud-based - Integrability</v>
      </c>
      <c r="F27" s="23">
        <v>0.0</v>
      </c>
      <c r="G27" s="23" t="str">
        <f>'2조'!G122</f>
        <v>디바이스 종류와 프로토콜이 이기종이라면 표준화 없이는 통합이 어려움</v>
      </c>
    </row>
    <row r="28" ht="15.75" customHeight="1">
      <c r="A28" s="23" t="s">
        <v>404</v>
      </c>
      <c r="B28" s="23">
        <v>0.0</v>
      </c>
      <c r="C28" s="23" t="str">
        <f>'3조'!C122</f>
        <v>3조 - Container-based - Integrability</v>
      </c>
      <c r="D28" s="23">
        <v>0.0</v>
      </c>
      <c r="E28" s="23" t="str">
        <f>'3조'!E122</f>
        <v>3조 - Cloud-based - Integrability</v>
      </c>
      <c r="F28" s="23">
        <v>0.0</v>
      </c>
      <c r="G28" s="23" t="str">
        <f>'3조'!G122</f>
        <v>3조 - Edge-based - Integrability</v>
      </c>
    </row>
    <row r="29" ht="15.75" customHeight="1">
      <c r="A29" s="23" t="s">
        <v>406</v>
      </c>
      <c r="B29" s="23">
        <v>0.0</v>
      </c>
      <c r="C29" s="23" t="str">
        <f>'4조'!C122</f>
        <v>4조 - Container-based - Integrability</v>
      </c>
      <c r="D29" s="23">
        <v>0.0</v>
      </c>
      <c r="E29" s="23" t="str">
        <f>'4조'!E122</f>
        <v>4조 - Cloud-based - Integrability</v>
      </c>
      <c r="F29" s="23">
        <v>0.0</v>
      </c>
      <c r="G29" s="23" t="str">
        <f>'4조'!G122</f>
        <v>4조 - Edge-based - Integrability</v>
      </c>
    </row>
    <row r="30" ht="15.75" customHeight="1">
      <c r="A30" s="23" t="s">
        <v>410</v>
      </c>
      <c r="B30" s="23">
        <v>0.0</v>
      </c>
      <c r="C30" s="23" t="str">
        <f>'5조'!C122</f>
        <v>5조 - Container-based - Integrability</v>
      </c>
      <c r="D30" s="23">
        <v>0.0</v>
      </c>
      <c r="E30" s="23" t="str">
        <f>'5조'!E122</f>
        <v>5조 - Cloud-based - Integrability</v>
      </c>
      <c r="F30" s="23">
        <v>0.0</v>
      </c>
      <c r="G30" s="23" t="str">
        <f>'5조'!G122</f>
        <v>5조 - Edge-based - Integrability</v>
      </c>
    </row>
    <row r="31" ht="15.75" customHeight="1">
      <c r="A31" s="23" t="s">
        <v>411</v>
      </c>
      <c r="B31" s="23">
        <v>0.0</v>
      </c>
      <c r="C31" s="23" t="str">
        <f>'6조'!C122</f>
        <v>6조 - Container-based x - Integrability</v>
      </c>
      <c r="D31" s="23">
        <v>0.0</v>
      </c>
      <c r="E31" s="23" t="str">
        <f>'6조'!E122</f>
        <v>6조 - Cloud-based x - Integrability</v>
      </c>
      <c r="F31" s="23">
        <v>0.0</v>
      </c>
      <c r="G31" s="23" t="str">
        <f>'6조'!G122</f>
        <v>interface가 표준화 되어 있다는 전제 하에 edge node를 추가하기 용이하기 때문에 다른 시스템과의 통합이 용이하다.</v>
      </c>
    </row>
    <row r="32" ht="15.75" customHeight="1">
      <c r="A32" s="23" t="s">
        <v>415</v>
      </c>
      <c r="B32" s="23">
        <v>0.0</v>
      </c>
      <c r="C32" s="23" t="str">
        <f>'7조'!C122</f>
        <v>7조 - Container-based - Integrability</v>
      </c>
      <c r="D32" s="23">
        <v>0.0</v>
      </c>
      <c r="E32" s="23" t="str">
        <f>'7조'!E122</f>
        <v>7조 - Cloud-based - Integrability</v>
      </c>
      <c r="F32" s="23">
        <v>0.0</v>
      </c>
      <c r="G32" s="23" t="str">
        <f>'7조'!G122</f>
        <v>7조 - Edge-based - Integrability</v>
      </c>
    </row>
    <row r="33" ht="15.75" customHeight="1">
      <c r="A33" s="23" t="s">
        <v>416</v>
      </c>
      <c r="B33" s="23">
        <v>0.0</v>
      </c>
      <c r="C33" s="23" t="str">
        <f>'8조'!C122</f>
        <v>8조 - Container-based - Integrability</v>
      </c>
      <c r="D33" s="23">
        <v>0.0</v>
      </c>
      <c r="E33" s="23" t="str">
        <f>'8조'!E122</f>
        <v>8조 - Cloud-based - Integrability</v>
      </c>
      <c r="F33" s="23">
        <v>0.0</v>
      </c>
      <c r="G33" s="23" t="str">
        <f>'8조'!G122</f>
        <v>8조 - Edge-based - Integrability</v>
      </c>
    </row>
    <row r="34" ht="15.75" customHeight="1">
      <c r="A34" s="23" t="s">
        <v>419</v>
      </c>
      <c r="B34" s="23">
        <v>0.0</v>
      </c>
      <c r="C34" s="23" t="str">
        <f>'9조'!C122</f>
        <v>9조 - Container-based - Integrability</v>
      </c>
      <c r="D34" s="23">
        <v>0.0</v>
      </c>
      <c r="E34" s="23" t="str">
        <f>'9조'!E122</f>
        <v>9조 - Cloud-based - Integrability</v>
      </c>
      <c r="F34" s="23">
        <v>0.0</v>
      </c>
      <c r="G34" s="23" t="str">
        <f>'9조'!G122</f>
        <v>9조 - Edge-based - Integrability</v>
      </c>
    </row>
    <row r="35" ht="15.75" customHeight="1">
      <c r="A35" s="23"/>
      <c r="B35" s="23"/>
      <c r="C35" s="23"/>
      <c r="D35" s="23"/>
      <c r="E35" s="23"/>
      <c r="F35" s="23"/>
      <c r="G35" s="23"/>
    </row>
    <row r="36" ht="15.75" customHeight="1">
      <c r="A36" s="22" t="s">
        <v>113</v>
      </c>
      <c r="B36" s="22">
        <v>0.0</v>
      </c>
      <c r="C36" s="22">
        <v>0.0</v>
      </c>
      <c r="D36" s="22">
        <v>0.0</v>
      </c>
      <c r="E36" s="22">
        <v>0.0</v>
      </c>
      <c r="F36" s="22">
        <v>0.0</v>
      </c>
      <c r="G36" s="22">
        <v>0.0</v>
      </c>
    </row>
    <row r="37" ht="15.75" customHeight="1">
      <c r="A37" s="23" t="s">
        <v>396</v>
      </c>
      <c r="B37" s="23">
        <v>0.0</v>
      </c>
      <c r="C37" s="23" t="str">
        <f>'1조'!C123</f>
        <v>1조 - Container-based - Energy Efficiency</v>
      </c>
      <c r="D37" s="23">
        <v>0.0</v>
      </c>
      <c r="E37" s="23" t="str">
        <f>'1조'!E123</f>
        <v>1조 - Cloud-based - Energy Efficiency</v>
      </c>
      <c r="F37" s="23">
        <v>0.0</v>
      </c>
      <c r="G37" s="23" t="str">
        <f>'1조'!G123</f>
        <v>대용량의 원시 데이터를 원격 데이터센터까지 전송할 필요 없이 로컬에서 필터링 및 처리하므로 장거리 네트워크 통신에 소모되는 에너지를 크게 절감함.</v>
      </c>
    </row>
    <row r="38" ht="15.75" customHeight="1">
      <c r="A38" s="23" t="s">
        <v>400</v>
      </c>
      <c r="B38" s="23">
        <v>0.0</v>
      </c>
      <c r="C38" s="23" t="str">
        <f>'2조'!C123</f>
        <v>2조 - Container-based - Energy Efficiency</v>
      </c>
      <c r="D38" s="23">
        <v>0.0</v>
      </c>
      <c r="E38" s="23" t="str">
        <f>'2조'!E123</f>
        <v>2조 - Cloud-based - Energy Efficiency</v>
      </c>
      <c r="F38" s="23">
        <v>0.0</v>
      </c>
      <c r="G38" s="23" t="str">
        <f>'2조'!G123</f>
        <v>데이터 전송량은 줄지만, Edge 장치의 연산과 전력 사용이 발생함</v>
      </c>
    </row>
    <row r="39" ht="15.75" customHeight="1">
      <c r="A39" s="23" t="s">
        <v>404</v>
      </c>
      <c r="B39" s="23">
        <v>0.0</v>
      </c>
      <c r="C39" s="23" t="str">
        <f>'3조'!C123</f>
        <v>3조 - Container-based - Energy Efficiency</v>
      </c>
      <c r="D39" s="23">
        <v>0.0</v>
      </c>
      <c r="E39" s="23" t="str">
        <f>'3조'!E123</f>
        <v>3조 - Cloud-based - Energy Efficiency</v>
      </c>
      <c r="F39" s="23">
        <v>0.0</v>
      </c>
      <c r="G39" s="23" t="str">
        <f>'3조'!G123</f>
        <v>3조 - Edge-based - Energy Efficiency</v>
      </c>
    </row>
    <row r="40" ht="15.75" customHeight="1">
      <c r="A40" s="23" t="s">
        <v>406</v>
      </c>
      <c r="B40" s="23">
        <v>0.0</v>
      </c>
      <c r="C40" s="23" t="str">
        <f>'4조'!C123</f>
        <v>4조 - Container-based - Energy Efficiency</v>
      </c>
      <c r="D40" s="23">
        <v>0.0</v>
      </c>
      <c r="E40" s="23" t="str">
        <f>'4조'!E123</f>
        <v>4조 - Cloud-based - Energy Efficiency</v>
      </c>
      <c r="F40" s="23">
        <v>0.0</v>
      </c>
      <c r="G40" s="23" t="str">
        <f>'4조'!G123</f>
        <v>4조 - Edge-based - Energy Efficiency</v>
      </c>
    </row>
    <row r="41" ht="15.75" customHeight="1">
      <c r="A41" s="23" t="s">
        <v>410</v>
      </c>
      <c r="B41" s="23">
        <v>0.0</v>
      </c>
      <c r="C41" s="23" t="str">
        <f>'5조'!C123</f>
        <v>5조 - Container-based - Energy Efficiency</v>
      </c>
      <c r="D41" s="23">
        <v>0.0</v>
      </c>
      <c r="E41" s="23" t="str">
        <f>'5조'!E123</f>
        <v>5조 - Cloud-based - Energy Efficiency</v>
      </c>
      <c r="F41" s="23">
        <v>0.0</v>
      </c>
      <c r="G41" s="23" t="str">
        <f>'5조'!G123</f>
        <v>5조 - Edge-based - Energy Efficiency</v>
      </c>
    </row>
    <row r="42" ht="15.75" customHeight="1">
      <c r="A42" s="23" t="s">
        <v>411</v>
      </c>
      <c r="B42" s="23">
        <v>0.0</v>
      </c>
      <c r="C42" s="23" t="str">
        <f>'6조'!C123</f>
        <v>6조 - Container-based x - Energy Efficiency</v>
      </c>
      <c r="D42" s="23">
        <v>0.0</v>
      </c>
      <c r="E42" s="23" t="str">
        <f>'6조'!E123</f>
        <v>6조 - Cloud-based x - Energy Efficiency</v>
      </c>
      <c r="F42" s="23">
        <v>0.0</v>
      </c>
      <c r="G42" s="23" t="str">
        <f>'6조'!G123</f>
        <v>클라우드와 엣지에서 수행되어야 할 요청 종류별 분산을 통해 연산의 효율성이 증대</v>
      </c>
    </row>
    <row r="43" ht="15.75" customHeight="1">
      <c r="A43" s="23" t="s">
        <v>415</v>
      </c>
      <c r="B43" s="23">
        <v>0.0</v>
      </c>
      <c r="C43" s="23" t="str">
        <f>'7조'!C123</f>
        <v>7조 - Container-based - Energy Efficiency</v>
      </c>
      <c r="D43" s="23">
        <v>0.0</v>
      </c>
      <c r="E43" s="23" t="str">
        <f>'7조'!E123</f>
        <v>7조 - Cloud-based - Energy Efficiency</v>
      </c>
      <c r="F43" s="23">
        <v>0.0</v>
      </c>
      <c r="G43" s="23" t="str">
        <f>'7조'!G123</f>
        <v>7조 - Edge-based - Energy Efficiency</v>
      </c>
    </row>
    <row r="44" ht="15.75" customHeight="1">
      <c r="A44" s="23" t="s">
        <v>416</v>
      </c>
      <c r="B44" s="23">
        <v>0.0</v>
      </c>
      <c r="C44" s="23" t="str">
        <f>'8조'!C123</f>
        <v>8조 - Container-based - Energy Efficiency</v>
      </c>
      <c r="D44" s="23">
        <v>0.0</v>
      </c>
      <c r="E44" s="23" t="str">
        <f>'8조'!E123</f>
        <v>8조 - Cloud-based - Energy Efficiency</v>
      </c>
      <c r="F44" s="23">
        <v>0.0</v>
      </c>
      <c r="G44" s="23" t="str">
        <f>'8조'!G123</f>
        <v>8조 - Edge-based - Energy Efficiency</v>
      </c>
    </row>
    <row r="45" ht="15.75" customHeight="1">
      <c r="A45" s="23" t="s">
        <v>419</v>
      </c>
      <c r="B45" s="23">
        <v>0.0</v>
      </c>
      <c r="C45" s="23" t="str">
        <f>'9조'!C123</f>
        <v>9조 - Container-based - Energy Efficiency</v>
      </c>
      <c r="D45" s="23">
        <v>0.0</v>
      </c>
      <c r="E45" s="23" t="str">
        <f>'9조'!E123</f>
        <v>9조 - Cloud-based - Energy Efficiency</v>
      </c>
      <c r="F45" s="23">
        <v>0.0</v>
      </c>
      <c r="G45" s="23" t="str">
        <f>'9조'!G123</f>
        <v>9조 - Edge-based - Energy Efficiency</v>
      </c>
    </row>
    <row r="46" ht="15.75" customHeight="1">
      <c r="A46" s="23"/>
      <c r="B46" s="23"/>
      <c r="C46" s="23"/>
      <c r="D46" s="23"/>
      <c r="E46" s="23"/>
      <c r="F46" s="23"/>
      <c r="G46" s="23"/>
    </row>
    <row r="47" ht="15.75" customHeight="1">
      <c r="A47" s="22" t="s">
        <v>144</v>
      </c>
      <c r="B47" s="22">
        <v>0.0</v>
      </c>
      <c r="C47" s="22">
        <v>0.0</v>
      </c>
      <c r="D47" s="22">
        <v>0.0</v>
      </c>
      <c r="E47" s="22">
        <v>0.0</v>
      </c>
      <c r="F47" s="22">
        <v>0.0</v>
      </c>
      <c r="G47" s="22">
        <v>0.0</v>
      </c>
    </row>
    <row r="48" ht="15.75" customHeight="1">
      <c r="A48" s="23" t="s">
        <v>396</v>
      </c>
      <c r="B48" s="23">
        <v>0.0</v>
      </c>
      <c r="C48" s="23" t="str">
        <f>'1조'!C124</f>
        <v>1조 - Container-based - Modifiability</v>
      </c>
      <c r="D48" s="23">
        <v>0.0</v>
      </c>
      <c r="E48" s="23" t="str">
        <f>'1조'!E124</f>
        <v>1조 - Cloud-based - Modifiability</v>
      </c>
      <c r="F48" s="23">
        <v>0.0</v>
      </c>
      <c r="G48" s="23" t="str">
        <f>'1조'!G124</f>
        <v>Edge마다 다른 환경이나 버전이 존재할 수 있어서 변경 사항을 전체 Edge에 적용하기 어렵다. 중앙 시스템 하나를 수정하는 것보다 관리가 복잡해질 수 있다.</v>
      </c>
    </row>
    <row r="49" ht="15.75" customHeight="1">
      <c r="A49" s="23" t="s">
        <v>400</v>
      </c>
      <c r="B49" s="23">
        <v>0.0</v>
      </c>
      <c r="C49" s="23" t="str">
        <f>'2조'!C124</f>
        <v>2조 - Container-based - Modifiability</v>
      </c>
      <c r="D49" s="23">
        <v>0.0</v>
      </c>
      <c r="E49" s="23" t="str">
        <f>'2조'!E124</f>
        <v>2조 - Cloud-based - Modifiability</v>
      </c>
      <c r="F49" s="23">
        <v>0.0</v>
      </c>
      <c r="G49" s="23" t="str">
        <f>'2조'!G124</f>
        <v>로직 변경 시 분산된 모든 엣지 노드에 일관되게 반영해야 함</v>
      </c>
    </row>
    <row r="50" ht="15.75" customHeight="1">
      <c r="A50" s="23" t="s">
        <v>404</v>
      </c>
      <c r="B50" s="23">
        <v>0.0</v>
      </c>
      <c r="C50" s="23" t="str">
        <f>'3조'!C124</f>
        <v>3조 - Container-based - Modifiability</v>
      </c>
      <c r="D50" s="23">
        <v>0.0</v>
      </c>
      <c r="E50" s="23" t="str">
        <f>'3조'!E124</f>
        <v>3조 - Cloud-based - Modifiability</v>
      </c>
      <c r="F50" s="23">
        <v>0.0</v>
      </c>
      <c r="G50" s="23" t="str">
        <f>'3조'!G124</f>
        <v>3조 - Edge-based - Modifiability</v>
      </c>
    </row>
    <row r="51" ht="15.75" customHeight="1">
      <c r="A51" s="23" t="s">
        <v>406</v>
      </c>
      <c r="B51" s="23">
        <v>0.0</v>
      </c>
      <c r="C51" s="23" t="str">
        <f>'4조'!C124</f>
        <v>4조 - Container-based - Modifiability</v>
      </c>
      <c r="D51" s="23">
        <v>0.0</v>
      </c>
      <c r="E51" s="23" t="str">
        <f>'4조'!E124</f>
        <v>4조 - Cloud-based - Modifiability</v>
      </c>
      <c r="F51" s="23">
        <v>0.0</v>
      </c>
      <c r="G51" s="23" t="str">
        <f>'4조'!G124</f>
        <v>4조 - Edge-based - Modifiability</v>
      </c>
    </row>
    <row r="52" ht="15.75" customHeight="1">
      <c r="A52" s="23" t="s">
        <v>410</v>
      </c>
      <c r="B52" s="23">
        <v>0.0</v>
      </c>
      <c r="C52" s="23" t="str">
        <f>'5조'!C124</f>
        <v>5조 - Container-based - Modifiability</v>
      </c>
      <c r="D52" s="23">
        <v>0.0</v>
      </c>
      <c r="E52" s="23" t="str">
        <f>'5조'!E124</f>
        <v>5조 - Cloud-based - Modifiability</v>
      </c>
      <c r="F52" s="23">
        <v>0.0</v>
      </c>
      <c r="G52" s="23" t="str">
        <f>'5조'!G124</f>
        <v>5조 - Edge-based - Modifiability</v>
      </c>
    </row>
    <row r="53" ht="15.75" customHeight="1">
      <c r="A53" s="23" t="s">
        <v>411</v>
      </c>
      <c r="B53" s="23">
        <v>0.0</v>
      </c>
      <c r="C53" s="23" t="str">
        <f>'6조'!C124</f>
        <v>6조 - Container-based x - Modifiability</v>
      </c>
      <c r="D53" s="23">
        <v>0.0</v>
      </c>
      <c r="E53" s="23" t="str">
        <f>'6조'!E124</f>
        <v>6조 - Cloud-based x - Modifiability</v>
      </c>
      <c r="F53" s="23">
        <v>0.0</v>
      </c>
      <c r="G53" s="23" t="str">
        <f>'6조'!G124</f>
        <v>중앙 site 는 여러 결합으로 수정 어렵지만, 로컬 site는 변경 용이</v>
      </c>
    </row>
    <row r="54" ht="15.75" customHeight="1">
      <c r="A54" s="23" t="s">
        <v>415</v>
      </c>
      <c r="B54" s="23">
        <v>0.0</v>
      </c>
      <c r="C54" s="23" t="str">
        <f>'7조'!C124</f>
        <v>7조 - Container-based - Modifiability</v>
      </c>
      <c r="D54" s="23">
        <v>0.0</v>
      </c>
      <c r="E54" s="23" t="str">
        <f>'7조'!E124</f>
        <v>7조 - Cloud-based - Modifiability</v>
      </c>
      <c r="F54" s="23">
        <v>0.0</v>
      </c>
      <c r="G54" s="23" t="str">
        <f>'7조'!G124</f>
        <v>7조 - Edge-based - Modifiability</v>
      </c>
    </row>
    <row r="55" ht="15.75" customHeight="1">
      <c r="A55" s="23" t="s">
        <v>416</v>
      </c>
      <c r="B55" s="23">
        <v>0.0</v>
      </c>
      <c r="C55" s="23" t="str">
        <f>'8조'!C124</f>
        <v>8조 - Container-based - Modifiability</v>
      </c>
      <c r="D55" s="23">
        <v>0.0</v>
      </c>
      <c r="E55" s="23" t="str">
        <f>'8조'!E124</f>
        <v>8조 - Cloud-based - Modifiability</v>
      </c>
      <c r="F55" s="23">
        <v>0.0</v>
      </c>
      <c r="G55" s="23" t="str">
        <f>'8조'!G124</f>
        <v>8조 - Edge-based - Modifiability</v>
      </c>
    </row>
    <row r="56" ht="15.75" customHeight="1">
      <c r="A56" s="23" t="s">
        <v>419</v>
      </c>
      <c r="B56" s="23">
        <v>0.0</v>
      </c>
      <c r="C56" s="23" t="str">
        <f>'9조'!C124</f>
        <v>9조 - Container-based - Modifiability</v>
      </c>
      <c r="D56" s="23">
        <v>0.0</v>
      </c>
      <c r="E56" s="23" t="str">
        <f>'9조'!E124</f>
        <v>9조 - Cloud-based - Modifiability</v>
      </c>
      <c r="F56" s="23">
        <v>0.0</v>
      </c>
      <c r="G56" s="23" t="str">
        <f>'9조'!G124</f>
        <v>9조 - Edge-based - Modifiability</v>
      </c>
    </row>
    <row r="57" ht="15.75" customHeight="1">
      <c r="A57" s="23"/>
      <c r="B57" s="23"/>
      <c r="C57" s="23"/>
      <c r="D57" s="23"/>
      <c r="E57" s="23"/>
      <c r="F57" s="23"/>
      <c r="G57" s="23"/>
    </row>
    <row r="58" ht="15.75" customHeight="1">
      <c r="A58" s="22" t="s">
        <v>176</v>
      </c>
      <c r="B58" s="22">
        <v>0.0</v>
      </c>
      <c r="C58" s="22">
        <v>0.0</v>
      </c>
      <c r="D58" s="22">
        <v>0.0</v>
      </c>
      <c r="E58" s="22">
        <v>0.0</v>
      </c>
      <c r="F58" s="22">
        <v>0.0</v>
      </c>
      <c r="G58" s="22">
        <v>0.0</v>
      </c>
    </row>
    <row r="59" ht="15.75" customHeight="1">
      <c r="A59" s="23" t="s">
        <v>396</v>
      </c>
      <c r="B59" s="23">
        <v>0.0</v>
      </c>
      <c r="C59" s="23" t="str">
        <f>'1조'!C125</f>
        <v>1조 - Container-based - Performance</v>
      </c>
      <c r="D59" s="23">
        <v>0.0</v>
      </c>
      <c r="E59" s="23" t="str">
        <f>'1조'!E125</f>
        <v>1조 - Cloud-based - Performance</v>
      </c>
      <c r="F59" s="23">
        <v>0.0</v>
      </c>
      <c r="G59" s="23" t="str">
        <f>'1조'!G125</f>
        <v>사용자나 데이터 생성 지점과 물리적으로 인접한 곳에서 연산이 수행되므로 네트워크 지연(Latency)이 극도로 낮고 실시간 처리에 최적화됨.</v>
      </c>
    </row>
    <row r="60" ht="15.75" customHeight="1">
      <c r="A60" s="23" t="s">
        <v>400</v>
      </c>
      <c r="B60" s="23">
        <v>0.0</v>
      </c>
      <c r="C60" s="23" t="str">
        <f>'2조'!C125</f>
        <v>2조 - Container-based - Performance</v>
      </c>
      <c r="D60" s="23">
        <v>0.0</v>
      </c>
      <c r="E60" s="23" t="str">
        <f>'2조'!E125</f>
        <v>2조 - Cloud-based - Performance</v>
      </c>
      <c r="F60" s="23">
        <v>0.0</v>
      </c>
      <c r="G60" s="23" t="str">
        <f>'2조'!G125</f>
        <v>데이터 발생 지점 근처에서 즉시 처리하여 클라우드 왕복 없이 초저지연을 실현함</v>
      </c>
    </row>
    <row r="61" ht="15.75" customHeight="1">
      <c r="A61" s="23" t="s">
        <v>404</v>
      </c>
      <c r="B61" s="23">
        <v>0.0</v>
      </c>
      <c r="C61" s="23" t="str">
        <f>'3조'!C125</f>
        <v>3조 - Container-based - Performance</v>
      </c>
      <c r="D61" s="23">
        <v>0.0</v>
      </c>
      <c r="E61" s="23" t="str">
        <f>'3조'!E125</f>
        <v>3조 - Cloud-based - Performance</v>
      </c>
      <c r="F61" s="23">
        <v>0.0</v>
      </c>
      <c r="G61" s="23" t="str">
        <f>'3조'!G125</f>
        <v>3조 - Edge-based - Performance</v>
      </c>
    </row>
    <row r="62" ht="15.75" customHeight="1">
      <c r="A62" s="23" t="s">
        <v>406</v>
      </c>
      <c r="B62" s="23">
        <v>0.0</v>
      </c>
      <c r="C62" s="23" t="str">
        <f>'4조'!C125</f>
        <v>4조 - Container-based - Performance</v>
      </c>
      <c r="D62" s="23">
        <v>0.0</v>
      </c>
      <c r="E62" s="23" t="str">
        <f>'4조'!E125</f>
        <v>4조 - Cloud-based - Performance</v>
      </c>
      <c r="F62" s="23">
        <v>0.0</v>
      </c>
      <c r="G62" s="23" t="str">
        <f>'4조'!G125</f>
        <v>4조 - Edge-based - Performance</v>
      </c>
    </row>
    <row r="63" ht="15.75" customHeight="1">
      <c r="A63" s="23" t="s">
        <v>410</v>
      </c>
      <c r="B63" s="23">
        <v>0.0</v>
      </c>
      <c r="C63" s="23" t="str">
        <f>'5조'!C125</f>
        <v>5조 - Container-based - Performance</v>
      </c>
      <c r="D63" s="23">
        <v>0.0</v>
      </c>
      <c r="E63" s="23" t="str">
        <f>'5조'!E125</f>
        <v>5조 - Cloud-based - Performance</v>
      </c>
      <c r="F63" s="23">
        <v>0.0</v>
      </c>
      <c r="G63" s="23" t="str">
        <f>'5조'!G125</f>
        <v>5조 - Edge-based - Performance</v>
      </c>
    </row>
    <row r="64" ht="15.75" customHeight="1">
      <c r="A64" s="23" t="s">
        <v>411</v>
      </c>
      <c r="B64" s="23">
        <v>0.0</v>
      </c>
      <c r="C64" s="23" t="str">
        <f>'6조'!C125</f>
        <v>6조 - Container-based x - Performance</v>
      </c>
      <c r="D64" s="23">
        <v>0.0</v>
      </c>
      <c r="E64" s="23" t="str">
        <f>'6조'!E125</f>
        <v>6조 - Cloud-based x - Performance</v>
      </c>
      <c r="F64" s="23">
        <v>0.0</v>
      </c>
      <c r="G64" s="23" t="str">
        <f>'6조'!G125</f>
        <v>데이터가 발생하거나 사용되는 위치와 가까운 Edge 장치에서 처리하므로 중앙 서버까지의 왕복 통신을 줄여 응답 지연과 네트워크 트래픽을 크게 감소시킨다.</v>
      </c>
    </row>
    <row r="65" ht="15.75" customHeight="1">
      <c r="A65" s="23" t="s">
        <v>415</v>
      </c>
      <c r="B65" s="23">
        <v>0.0</v>
      </c>
      <c r="C65" s="23" t="str">
        <f>'7조'!C125</f>
        <v>7조 - Container-based - Performance</v>
      </c>
      <c r="D65" s="23">
        <v>0.0</v>
      </c>
      <c r="E65" s="23" t="str">
        <f>'7조'!E125</f>
        <v>7조 - Cloud-based - Performance</v>
      </c>
      <c r="F65" s="23">
        <v>0.0</v>
      </c>
      <c r="G65" s="23" t="str">
        <f>'7조'!G125</f>
        <v>7조 - Edge-based - Performance</v>
      </c>
    </row>
    <row r="66" ht="15.75" customHeight="1">
      <c r="A66" s="23" t="s">
        <v>416</v>
      </c>
      <c r="B66" s="23">
        <v>0.0</v>
      </c>
      <c r="C66" s="23" t="str">
        <f>'8조'!C125</f>
        <v>8조 - Container-based - Performance</v>
      </c>
      <c r="D66" s="23">
        <v>0.0</v>
      </c>
      <c r="E66" s="23" t="str">
        <f>'8조'!E125</f>
        <v>8조 - Cloud-based - Performance</v>
      </c>
      <c r="F66" s="23">
        <v>0.0</v>
      </c>
      <c r="G66" s="23" t="str">
        <f>'8조'!G125</f>
        <v>8조 - Edge-based - Performance</v>
      </c>
    </row>
    <row r="67" ht="15.75" customHeight="1">
      <c r="A67" s="23" t="s">
        <v>419</v>
      </c>
      <c r="B67" s="23">
        <v>0.0</v>
      </c>
      <c r="C67" s="23" t="str">
        <f>'9조'!C125</f>
        <v>9조 - Container-based - Performance</v>
      </c>
      <c r="D67" s="23">
        <v>0.0</v>
      </c>
      <c r="E67" s="23" t="str">
        <f>'9조'!E125</f>
        <v>9조 - Cloud-based - Performance</v>
      </c>
      <c r="F67" s="23">
        <v>0.0</v>
      </c>
      <c r="G67" s="23" t="str">
        <f>'9조'!G125</f>
        <v>9조 - Edge-based - Performance</v>
      </c>
    </row>
    <row r="68" ht="15.75" customHeight="1">
      <c r="A68" s="23"/>
      <c r="B68" s="23"/>
      <c r="C68" s="23"/>
      <c r="D68" s="23"/>
      <c r="E68" s="23"/>
      <c r="F68" s="23"/>
      <c r="G68" s="23"/>
    </row>
    <row r="69" ht="15.75" customHeight="1">
      <c r="A69" s="22" t="s">
        <v>208</v>
      </c>
      <c r="B69" s="22">
        <v>0.0</v>
      </c>
      <c r="C69" s="22">
        <v>0.0</v>
      </c>
      <c r="D69" s="22">
        <v>0.0</v>
      </c>
      <c r="E69" s="22">
        <v>0.0</v>
      </c>
      <c r="F69" s="22">
        <v>0.0</v>
      </c>
      <c r="G69" s="22">
        <v>0.0</v>
      </c>
    </row>
    <row r="70" ht="15.75" customHeight="1">
      <c r="A70" s="23" t="s">
        <v>396</v>
      </c>
      <c r="B70" s="23">
        <v>0.0</v>
      </c>
      <c r="C70" s="23" t="str">
        <f>'1조'!C126</f>
        <v>1조 - Container-based - Safety</v>
      </c>
      <c r="D70" s="23">
        <v>0.0</v>
      </c>
      <c r="E70" s="23" t="str">
        <f>'1조'!E126</f>
        <v>1조 - Cloud-based - Safety</v>
      </c>
      <c r="F70" s="23">
        <v>0.0</v>
      </c>
      <c r="G70" s="23" t="str">
        <f>'6조'!G126</f>
        <v>네트워크 연결이 일시적으로 끊겨도 Edge에서 로컬 처리를 계속할 수 있어 안전성/연속성에 유리할 수 있다. 다만 분산된 Edge 장비를 안전하게 관리해야 한다.</v>
      </c>
    </row>
    <row r="71" ht="15.75" customHeight="1">
      <c r="A71" s="23" t="s">
        <v>400</v>
      </c>
      <c r="B71" s="23">
        <v>0.0</v>
      </c>
      <c r="C71" s="23" t="str">
        <f>'2조'!C126</f>
        <v>2조 - Container-based - Safety</v>
      </c>
      <c r="D71" s="23">
        <v>0.0</v>
      </c>
      <c r="E71" s="23" t="str">
        <f>'2조'!E126</f>
        <v>2조 - Cloud-based - Safety</v>
      </c>
      <c r="F71" s="23">
        <v>0.0</v>
      </c>
      <c r="G71" s="23" t="str">
        <f>'2조'!G126</f>
        <v>네트워크 단절 상황에서도 로컬에서 즉시 안전 대응 가능함</v>
      </c>
    </row>
    <row r="72" ht="15.75" customHeight="1">
      <c r="A72" s="23" t="s">
        <v>404</v>
      </c>
      <c r="B72" s="23">
        <v>0.0</v>
      </c>
      <c r="C72" s="23" t="str">
        <f>'3조'!C126</f>
        <v>3조 - Container-based - Safety</v>
      </c>
      <c r="D72" s="23">
        <v>0.0</v>
      </c>
      <c r="E72" s="23" t="str">
        <f>'3조'!E126</f>
        <v>3조 - Cloud-based - Safety</v>
      </c>
      <c r="F72" s="23">
        <v>0.0</v>
      </c>
      <c r="G72" s="23" t="str">
        <f>'3조'!G126</f>
        <v>3조 - Edge-based - Safety</v>
      </c>
    </row>
    <row r="73" ht="15.75" customHeight="1">
      <c r="A73" s="23" t="s">
        <v>406</v>
      </c>
      <c r="B73" s="23">
        <v>0.0</v>
      </c>
      <c r="C73" s="23" t="str">
        <f>'4조'!C126</f>
        <v>4조 - Container-based - Safety</v>
      </c>
      <c r="D73" s="23">
        <v>0.0</v>
      </c>
      <c r="E73" s="23" t="str">
        <f>'4조'!E126</f>
        <v>4조 - Cloud-based - Safety</v>
      </c>
      <c r="F73" s="23">
        <v>0.0</v>
      </c>
      <c r="G73" s="23" t="str">
        <f>'4조'!G126</f>
        <v>4조 - Edge-based - Safety</v>
      </c>
    </row>
    <row r="74" ht="15.75" customHeight="1">
      <c r="A74" s="23" t="s">
        <v>410</v>
      </c>
      <c r="B74" s="23">
        <v>0.0</v>
      </c>
      <c r="C74" s="23" t="str">
        <f>'5조'!C126</f>
        <v>5조 - Container-based - Safety</v>
      </c>
      <c r="D74" s="23">
        <v>0.0</v>
      </c>
      <c r="E74" s="23" t="str">
        <f>'5조'!E126</f>
        <v>5조 - Cloud-based - Safety</v>
      </c>
      <c r="F74" s="23">
        <v>0.0</v>
      </c>
      <c r="G74" s="23" t="str">
        <f>'5조'!G126</f>
        <v>5조 - Edge-based - Safety</v>
      </c>
    </row>
    <row r="75" ht="15.75" customHeight="1">
      <c r="A75" s="23" t="s">
        <v>411</v>
      </c>
      <c r="B75" s="23">
        <v>0.0</v>
      </c>
      <c r="C75" s="23" t="str">
        <f>'6조'!C126</f>
        <v>6조 - Container-based x - Safety</v>
      </c>
      <c r="D75" s="23">
        <v>0.0</v>
      </c>
      <c r="E75" s="23" t="str">
        <f>'6조'!E126</f>
        <v>6조 - Cloud-based x - Safety</v>
      </c>
      <c r="F75" s="23">
        <v>0.0</v>
      </c>
      <c r="G75" s="23" t="str">
        <f>'6조'!G126</f>
        <v>네트워크 연결이 일시적으로 끊겨도 Edge에서 로컬 처리를 계속할 수 있어 안전성/연속성에 유리할 수 있다. 다만 분산된 Edge 장비를 안전하게 관리해야 한다.</v>
      </c>
    </row>
    <row r="76" ht="15.75" customHeight="1">
      <c r="A76" s="23" t="s">
        <v>415</v>
      </c>
      <c r="B76" s="23">
        <v>0.0</v>
      </c>
      <c r="C76" s="23" t="str">
        <f>'7조'!C126</f>
        <v>7조 - Container-based - Safety</v>
      </c>
      <c r="D76" s="23">
        <v>0.0</v>
      </c>
      <c r="E76" s="23" t="str">
        <f>'7조'!E126</f>
        <v>7조 - Cloud-based - Safety</v>
      </c>
      <c r="F76" s="23">
        <v>0.0</v>
      </c>
      <c r="G76" s="23" t="str">
        <f>'7조'!G126</f>
        <v>7조 - Edge-based - Safety</v>
      </c>
    </row>
    <row r="77" ht="15.75" customHeight="1">
      <c r="A77" s="23" t="s">
        <v>416</v>
      </c>
      <c r="B77" s="23">
        <v>0.0</v>
      </c>
      <c r="C77" s="23" t="str">
        <f>'8조'!C126</f>
        <v>8조 - Container-based - Safety</v>
      </c>
      <c r="D77" s="23">
        <v>0.0</v>
      </c>
      <c r="E77" s="23" t="str">
        <f>'8조'!E126</f>
        <v>8조 - Cloud-based - Safety</v>
      </c>
      <c r="F77" s="23">
        <v>0.0</v>
      </c>
      <c r="G77" s="23" t="str">
        <f>'8조'!G126</f>
        <v>8조 - Edge-based - Safety</v>
      </c>
    </row>
    <row r="78" ht="15.75" customHeight="1">
      <c r="A78" s="23" t="s">
        <v>419</v>
      </c>
      <c r="B78" s="23">
        <v>0.0</v>
      </c>
      <c r="C78" s="23" t="str">
        <f>'9조'!C126</f>
        <v>9조 - Container-based - Safety</v>
      </c>
      <c r="D78" s="23">
        <v>0.0</v>
      </c>
      <c r="E78" s="23" t="str">
        <f>'9조'!E126</f>
        <v>9조 - Cloud-based - Safety</v>
      </c>
      <c r="F78" s="23">
        <v>0.0</v>
      </c>
      <c r="G78" s="23" t="str">
        <f>'9조'!G126</f>
        <v>9조 - Edge-based - Safety</v>
      </c>
    </row>
    <row r="79" ht="15.75" customHeight="1">
      <c r="A79" s="23"/>
      <c r="B79" s="23"/>
      <c r="C79" s="23"/>
      <c r="D79" s="23"/>
      <c r="E79" s="23"/>
      <c r="F79" s="23"/>
      <c r="G79" s="23"/>
    </row>
    <row r="80" ht="15.75" customHeight="1">
      <c r="A80" s="22" t="s">
        <v>242</v>
      </c>
      <c r="B80" s="22">
        <v>0.0</v>
      </c>
      <c r="C80" s="22">
        <v>0.0</v>
      </c>
      <c r="D80" s="22">
        <v>0.0</v>
      </c>
      <c r="E80" s="22">
        <v>0.0</v>
      </c>
      <c r="F80" s="22">
        <v>0.0</v>
      </c>
      <c r="G80" s="22">
        <v>0.0</v>
      </c>
    </row>
    <row r="81" ht="15.75" customHeight="1">
      <c r="A81" s="23" t="s">
        <v>396</v>
      </c>
      <c r="B81" s="23">
        <v>0.0</v>
      </c>
      <c r="C81" s="23" t="str">
        <f>'1조'!C127</f>
        <v>1조 - Container-based - Security</v>
      </c>
      <c r="D81" s="23">
        <v>0.0</v>
      </c>
      <c r="E81" s="23" t="str">
        <f>'1조'!E127</f>
        <v>1조 - Cloud-based - Security</v>
      </c>
      <c r="F81" s="23">
        <v>0.0</v>
      </c>
      <c r="G81" s="23" t="str">
        <f>'1조'!G127</f>
        <v>데이터를 중앙으로 보내지 않고 Edge에서 처리할 수 있다는 점은 데이터 보호에 유리하다. 하지만 물리적으로 분산된 수많은 Edge 장비를 보호해야 하므로 공격 표면(attack surface)이 증가한다.</v>
      </c>
    </row>
    <row r="82" ht="15.75" customHeight="1">
      <c r="A82" s="23" t="s">
        <v>400</v>
      </c>
      <c r="B82" s="23">
        <v>0.0</v>
      </c>
      <c r="C82" s="23" t="str">
        <f>'2조'!C127</f>
        <v>2조 - Container-based - Security</v>
      </c>
      <c r="D82" s="23">
        <v>0.0</v>
      </c>
      <c r="E82" s="23" t="str">
        <f>'2조'!E127</f>
        <v>2조 - Cloud-based - Security</v>
      </c>
      <c r="F82" s="23">
        <v>0.0</v>
      </c>
      <c r="G82" s="23" t="str">
        <f>'2조'!G127</f>
        <v>물리적으로 노출된 다수의 디바이스가 공격 대상이 됨</v>
      </c>
    </row>
    <row r="83" ht="15.75" customHeight="1">
      <c r="A83" s="23" t="s">
        <v>404</v>
      </c>
      <c r="B83" s="23">
        <v>0.0</v>
      </c>
      <c r="C83" s="23" t="str">
        <f>'3조'!C127</f>
        <v>3조 - Container-based - Security</v>
      </c>
      <c r="D83" s="23">
        <v>0.0</v>
      </c>
      <c r="E83" s="23" t="str">
        <f>'3조'!E127</f>
        <v>3조 - Cloud-based - Security</v>
      </c>
      <c r="F83" s="23">
        <v>0.0</v>
      </c>
      <c r="G83" s="23" t="str">
        <f>'3조'!G127</f>
        <v>3조 - Edge-based - Security</v>
      </c>
    </row>
    <row r="84" ht="15.75" customHeight="1">
      <c r="A84" s="23" t="s">
        <v>406</v>
      </c>
      <c r="B84" s="23">
        <v>0.0</v>
      </c>
      <c r="C84" s="23" t="str">
        <f>'4조'!C127</f>
        <v>4조 - Container-based - Security</v>
      </c>
      <c r="D84" s="23">
        <v>0.0</v>
      </c>
      <c r="E84" s="23" t="str">
        <f>'4조'!E127</f>
        <v>4조 - Cloud-based - Security</v>
      </c>
      <c r="F84" s="23">
        <v>0.0</v>
      </c>
      <c r="G84" s="23" t="str">
        <f>'4조'!G127</f>
        <v>4조 - Edge-based - Security</v>
      </c>
    </row>
    <row r="85" ht="15.75" customHeight="1">
      <c r="A85" s="23" t="s">
        <v>410</v>
      </c>
      <c r="B85" s="23">
        <v>0.0</v>
      </c>
      <c r="C85" s="23" t="str">
        <f>'5조'!C127</f>
        <v>5조 - Container-based - Security</v>
      </c>
      <c r="D85" s="23">
        <v>0.0</v>
      </c>
      <c r="E85" s="23" t="str">
        <f>'5조'!E127</f>
        <v>5조 - Cloud-based - Security</v>
      </c>
      <c r="F85" s="23">
        <v>0.0</v>
      </c>
      <c r="G85" s="23" t="str">
        <f>'5조'!G127</f>
        <v>5조 - Edge-based - Security</v>
      </c>
    </row>
    <row r="86" ht="15.75" customHeight="1">
      <c r="A86" s="23" t="s">
        <v>411</v>
      </c>
      <c r="B86" s="23">
        <v>0.0</v>
      </c>
      <c r="C86" s="23" t="str">
        <f>'6조'!C127</f>
        <v>6조 - Container-based x - Security</v>
      </c>
      <c r="D86" s="23">
        <v>0.0</v>
      </c>
      <c r="E86" s="23" t="str">
        <f>'6조'!E127</f>
        <v>6조 - Cloud-based x - Security</v>
      </c>
      <c r="F86" s="23">
        <v>0.0</v>
      </c>
      <c r="G86" s="23" t="str">
        <f>'6조'!G127</f>
        <v>물리적으로 노출된 다수의 디바이스가 공격 대상이 됨</v>
      </c>
    </row>
    <row r="87" ht="15.75" customHeight="1">
      <c r="A87" s="23" t="s">
        <v>415</v>
      </c>
      <c r="B87" s="23">
        <v>0.0</v>
      </c>
      <c r="C87" s="23" t="str">
        <f>'7조'!C127</f>
        <v>7조 - Container-based - Security</v>
      </c>
      <c r="D87" s="23">
        <v>0.0</v>
      </c>
      <c r="E87" s="23" t="str">
        <f>'7조'!E127</f>
        <v>7조 - Cloud-based - Security</v>
      </c>
      <c r="F87" s="23">
        <v>0.0</v>
      </c>
      <c r="G87" s="23" t="str">
        <f>'7조'!G127</f>
        <v>7조 - Edge-based - Security</v>
      </c>
    </row>
    <row r="88" ht="15.75" customHeight="1">
      <c r="A88" s="23" t="s">
        <v>416</v>
      </c>
      <c r="B88" s="23">
        <v>0.0</v>
      </c>
      <c r="C88" s="23" t="str">
        <f>'8조'!C127</f>
        <v>8조 - Container-based - Security</v>
      </c>
      <c r="D88" s="23">
        <v>0.0</v>
      </c>
      <c r="E88" s="23" t="str">
        <f>'8조'!E127</f>
        <v>8조 - Cloud-based - Security</v>
      </c>
      <c r="F88" s="23">
        <v>0.0</v>
      </c>
      <c r="G88" s="23" t="str">
        <f>'8조'!G127</f>
        <v>8조 - Edge-based - Security</v>
      </c>
    </row>
    <row r="89" ht="15.75" customHeight="1">
      <c r="A89" s="23" t="s">
        <v>419</v>
      </c>
      <c r="B89" s="23">
        <v>0.0</v>
      </c>
      <c r="C89" s="23" t="str">
        <f>'9조'!C127</f>
        <v>9조 - Container-based - Security</v>
      </c>
      <c r="D89" s="23">
        <v>0.0</v>
      </c>
      <c r="E89" s="23" t="str">
        <f>'9조'!E127</f>
        <v>9조 - Cloud-based - Security</v>
      </c>
      <c r="F89" s="23">
        <v>0.0</v>
      </c>
      <c r="G89" s="23" t="str">
        <f>'9조'!G127</f>
        <v>9조 - Edge-based - Security</v>
      </c>
    </row>
    <row r="90" ht="15.75" customHeight="1">
      <c r="A90" s="23"/>
      <c r="B90" s="23"/>
      <c r="C90" s="23"/>
      <c r="D90" s="23"/>
      <c r="E90" s="23"/>
      <c r="F90" s="23"/>
      <c r="G90" s="23"/>
    </row>
    <row r="91" ht="15.75" customHeight="1">
      <c r="A91" s="22" t="s">
        <v>273</v>
      </c>
      <c r="B91" s="22">
        <v>0.0</v>
      </c>
      <c r="C91" s="22">
        <v>0.0</v>
      </c>
      <c r="D91" s="22">
        <v>0.0</v>
      </c>
      <c r="E91" s="22">
        <v>0.0</v>
      </c>
      <c r="F91" s="22">
        <v>0.0</v>
      </c>
      <c r="G91" s="22">
        <v>0.0</v>
      </c>
    </row>
    <row r="92" ht="15.75" customHeight="1">
      <c r="A92" s="23" t="s">
        <v>396</v>
      </c>
      <c r="B92" s="23">
        <v>0.0</v>
      </c>
      <c r="C92" s="23" t="str">
        <f>'1조'!C128</f>
        <v>1조 - Container-based - Testability</v>
      </c>
      <c r="D92" s="23">
        <v>0.0</v>
      </c>
      <c r="E92" s="23" t="str">
        <f>'1조'!E128</f>
        <v>1조 - Cloud-based - Testability</v>
      </c>
      <c r="F92" s="23">
        <v>0.0</v>
      </c>
      <c r="G92" s="23" t="str">
        <f>'1조'!G128</f>
        <v>Edge마다 하드웨어, 네트워크, OS 등의 환경이 다를 수 있어서 테스트해야 할 환경의 종류가 많아진다. 실제 Edge 환경에서의 integration test도 복잡하다.</v>
      </c>
    </row>
    <row r="93" ht="15.75" customHeight="1">
      <c r="A93" s="23" t="s">
        <v>400</v>
      </c>
      <c r="B93" s="23">
        <v>0.0</v>
      </c>
      <c r="C93" s="23" t="str">
        <f>'2조'!C128</f>
        <v>2조 - Container-based - Testability</v>
      </c>
      <c r="D93" s="23">
        <v>0.0</v>
      </c>
      <c r="E93" s="23" t="str">
        <f>'2조'!E128</f>
        <v>2조 - Cloud-based - Testability</v>
      </c>
      <c r="F93" s="23">
        <v>0.0</v>
      </c>
      <c r="G93" s="23" t="str">
        <f>'2조'!G128</f>
        <v>이기종과 분산 환경 특성상 동일 조건 재현과 전수 테스트가 어려움</v>
      </c>
    </row>
    <row r="94" ht="15.75" customHeight="1">
      <c r="A94" s="23" t="s">
        <v>404</v>
      </c>
      <c r="B94" s="23">
        <v>0.0</v>
      </c>
      <c r="C94" s="23" t="str">
        <f>'3조'!C128</f>
        <v>3조 - Container-based - Testability</v>
      </c>
      <c r="D94" s="23">
        <v>0.0</v>
      </c>
      <c r="E94" s="23" t="str">
        <f>'3조'!E128</f>
        <v>3조 - Cloud-based - Testability</v>
      </c>
      <c r="F94" s="23">
        <v>0.0</v>
      </c>
      <c r="G94" s="23" t="str">
        <f>'3조'!G128</f>
        <v>3조 - Edge-based - Testability</v>
      </c>
    </row>
    <row r="95" ht="15.75" customHeight="1">
      <c r="A95" s="23" t="s">
        <v>406</v>
      </c>
      <c r="B95" s="23">
        <v>0.0</v>
      </c>
      <c r="C95" s="23" t="str">
        <f>'4조'!C128</f>
        <v>4조 - Container-based - Testability</v>
      </c>
      <c r="D95" s="23">
        <v>0.0</v>
      </c>
      <c r="E95" s="23" t="str">
        <f>'4조'!E128</f>
        <v>4조 - Cloud-based - Testability</v>
      </c>
      <c r="F95" s="23">
        <v>0.0</v>
      </c>
      <c r="G95" s="23" t="str">
        <f>'4조'!G128</f>
        <v>4조 - Edge-based - Testability</v>
      </c>
    </row>
    <row r="96" ht="15.75" customHeight="1">
      <c r="A96" s="23" t="s">
        <v>410</v>
      </c>
      <c r="B96" s="23">
        <v>0.0</v>
      </c>
      <c r="C96" s="23" t="str">
        <f>'5조'!C128</f>
        <v>5조 - Container-based - Testability</v>
      </c>
      <c r="D96" s="23">
        <v>0.0</v>
      </c>
      <c r="E96" s="23" t="str">
        <f>'5조'!E128</f>
        <v>5조 - Cloud-based - Testability</v>
      </c>
      <c r="F96" s="23">
        <v>0.0</v>
      </c>
      <c r="G96" s="23" t="str">
        <f>'5조'!G128</f>
        <v>5조 - Edge-based - Testability</v>
      </c>
    </row>
    <row r="97" ht="15.75" customHeight="1">
      <c r="A97" s="23" t="s">
        <v>411</v>
      </c>
      <c r="B97" s="23">
        <v>0.0</v>
      </c>
      <c r="C97" s="23" t="str">
        <f>'6조'!C128</f>
        <v>6조 - Container-based x - Testability</v>
      </c>
      <c r="D97" s="23">
        <v>0.0</v>
      </c>
      <c r="E97" s="23" t="str">
        <f>'6조'!E128</f>
        <v>6조 - Cloud-based x - Testability</v>
      </c>
      <c r="F97" s="23">
        <v>0.0</v>
      </c>
      <c r="G97" s="23" t="str">
        <f>'6조'!G128</f>
        <v>여러 edge device/node와 network 환경이 맞물려있기 떄문에 통합 테스트가 어렵다.</v>
      </c>
    </row>
    <row r="98" ht="15.75" customHeight="1">
      <c r="A98" s="23" t="s">
        <v>415</v>
      </c>
      <c r="B98" s="23">
        <v>0.0</v>
      </c>
      <c r="C98" s="23" t="str">
        <f>'7조'!C128</f>
        <v>7조 - Container-based - Testability</v>
      </c>
      <c r="D98" s="23">
        <v>0.0</v>
      </c>
      <c r="E98" s="23" t="str">
        <f>'7조'!E128</f>
        <v>7조 - Cloud-based - Testability</v>
      </c>
      <c r="F98" s="23">
        <v>0.0</v>
      </c>
      <c r="G98" s="23" t="str">
        <f>'7조'!G128</f>
        <v>7조 - Edge-based - Testability</v>
      </c>
    </row>
    <row r="99" ht="15.75" customHeight="1">
      <c r="A99" s="23" t="s">
        <v>416</v>
      </c>
      <c r="B99" s="23">
        <v>0.0</v>
      </c>
      <c r="C99" s="23" t="str">
        <f>'8조'!C128</f>
        <v>8조 - Container-based - Testability</v>
      </c>
      <c r="D99" s="23">
        <v>0.0</v>
      </c>
      <c r="E99" s="23" t="str">
        <f>'8조'!E128</f>
        <v>8조 - Cloud-based - Testability</v>
      </c>
      <c r="F99" s="23">
        <v>0.0</v>
      </c>
      <c r="G99" s="23" t="str">
        <f>'8조'!G128</f>
        <v>8조 - Edge-based - Testability</v>
      </c>
    </row>
    <row r="100" ht="15.75" customHeight="1">
      <c r="A100" s="23" t="s">
        <v>419</v>
      </c>
      <c r="B100" s="23">
        <v>0.0</v>
      </c>
      <c r="C100" s="23" t="str">
        <f>'9조'!C128</f>
        <v>9조 - Container-based - Testability</v>
      </c>
      <c r="D100" s="23">
        <v>0.0</v>
      </c>
      <c r="E100" s="23" t="str">
        <f>'9조'!E128</f>
        <v>9조 - Cloud-based - Testability</v>
      </c>
      <c r="F100" s="23">
        <v>0.0</v>
      </c>
      <c r="G100" s="23" t="str">
        <f>'9조'!G128</f>
        <v>9조 - Edge-based - Testability</v>
      </c>
    </row>
    <row r="101" ht="15.0" customHeight="1">
      <c r="A101" s="23"/>
      <c r="B101" s="23"/>
      <c r="C101" s="23"/>
      <c r="D101" s="23"/>
      <c r="E101" s="23"/>
      <c r="F101" s="23"/>
      <c r="G101" s="23"/>
    </row>
    <row r="102" ht="15.75" customHeight="1">
      <c r="A102" s="22" t="s">
        <v>305</v>
      </c>
      <c r="B102" s="22">
        <v>0.0</v>
      </c>
      <c r="C102" s="22">
        <v>0.0</v>
      </c>
      <c r="D102" s="22">
        <v>0.0</v>
      </c>
      <c r="E102" s="22">
        <v>0.0</v>
      </c>
      <c r="F102" s="22">
        <v>0.0</v>
      </c>
      <c r="G102" s="22">
        <v>0.0</v>
      </c>
    </row>
    <row r="103" ht="15.75" customHeight="1">
      <c r="A103" s="23" t="s">
        <v>396</v>
      </c>
      <c r="B103" s="23">
        <v>0.0</v>
      </c>
      <c r="C103" s="23" t="str">
        <f>'1조'!C129</f>
        <v> </v>
      </c>
      <c r="D103" s="23">
        <v>0.0</v>
      </c>
      <c r="E103" s="23" t="str">
        <f>'1조'!E129</f>
        <v>1조 - Cloud-based - Usability</v>
      </c>
      <c r="F103" s="23">
        <v>0.0</v>
      </c>
      <c r="G103" s="23" t="str">
        <f>'1조'!G129</f>
        <v>낮은 latency와 빠른 응답성을 통해 사용자 경험을 개선할 수 있다.</v>
      </c>
    </row>
    <row r="104" ht="15.75" customHeight="1">
      <c r="A104" s="23" t="s">
        <v>400</v>
      </c>
      <c r="B104" s="23">
        <v>0.0</v>
      </c>
      <c r="C104" s="23" t="str">
        <f>'2조'!C129</f>
        <v>2조 - Container-based - Usability</v>
      </c>
      <c r="D104" s="23">
        <v>0.0</v>
      </c>
      <c r="E104" s="23" t="str">
        <f>'2조'!E129</f>
        <v>2조 - Cloud-based - Usability</v>
      </c>
      <c r="F104" s="23">
        <v>0.0</v>
      </c>
      <c r="G104" s="23" t="str">
        <f>'2조'!G129</f>
        <v>대부분 임베디드와 백그라운드 동작이라 사용자 대면 UI 개념이 약함</v>
      </c>
    </row>
    <row r="105" ht="15.75" customHeight="1">
      <c r="A105" s="23" t="s">
        <v>404</v>
      </c>
      <c r="B105" s="23">
        <v>0.0</v>
      </c>
      <c r="C105" s="23" t="str">
        <f>'3조'!C129</f>
        <v>3조 - Container-based - Usability</v>
      </c>
      <c r="D105" s="23">
        <v>0.0</v>
      </c>
      <c r="E105" s="23" t="str">
        <f>'3조'!E129</f>
        <v>3조 - Cloud-based - Usability</v>
      </c>
      <c r="F105" s="23">
        <v>0.0</v>
      </c>
      <c r="G105" s="23" t="str">
        <f>'3조'!G129</f>
        <v>3조 - Edge-based - Usability</v>
      </c>
    </row>
    <row r="106" ht="15.75" customHeight="1">
      <c r="A106" s="23" t="s">
        <v>406</v>
      </c>
      <c r="B106" s="23">
        <v>0.0</v>
      </c>
      <c r="C106" s="23" t="str">
        <f>'4조'!C129</f>
        <v>4조 - Container-based - Usability</v>
      </c>
      <c r="D106" s="23">
        <v>0.0</v>
      </c>
      <c r="E106" s="23" t="str">
        <f>'4조'!E129</f>
        <v>4조 - Cloud-based - Usability</v>
      </c>
      <c r="F106" s="23">
        <v>0.0</v>
      </c>
      <c r="G106" s="23" t="str">
        <f>'4조'!G129</f>
        <v>4조 - Edge-based - Usability</v>
      </c>
    </row>
    <row r="107" ht="15.75" customHeight="1">
      <c r="A107" s="23" t="s">
        <v>410</v>
      </c>
      <c r="B107" s="23">
        <v>0.0</v>
      </c>
      <c r="C107" s="23" t="str">
        <f>'5조'!C129</f>
        <v>5조 - Container-based - Usability</v>
      </c>
      <c r="D107" s="23">
        <v>0.0</v>
      </c>
      <c r="E107" s="23" t="str">
        <f>'5조'!E129</f>
        <v>5조 - Cloud-based - Usability</v>
      </c>
      <c r="F107" s="23">
        <v>0.0</v>
      </c>
      <c r="G107" s="23" t="str">
        <f>'5조'!G129</f>
        <v>5조 - Edge-based - Usability</v>
      </c>
    </row>
    <row r="108" ht="15.75" customHeight="1">
      <c r="A108" s="23" t="s">
        <v>411</v>
      </c>
      <c r="B108" s="23">
        <v>0.0</v>
      </c>
      <c r="C108" s="23" t="str">
        <f>'6조'!C129</f>
        <v>6조 - Container-based x - Usability</v>
      </c>
      <c r="D108" s="23">
        <v>0.0</v>
      </c>
      <c r="E108" s="23" t="str">
        <f>'6조'!E129</f>
        <v>6조 - Cloud-based x - Usability</v>
      </c>
      <c r="F108" s="23">
        <v>0.0</v>
      </c>
      <c r="G108" s="23" t="str">
        <f>'6조'!G129</f>
        <v>실시간 응답성이 필요한 연산들은 실제 서버까지 갈 필요없이 엣지에서 이루어지고 응답이 돌아오기 때문에 응답시간 단축으로 인한 사용자 경험 증대 기대</v>
      </c>
    </row>
    <row r="109" ht="15.75" customHeight="1">
      <c r="A109" s="23" t="s">
        <v>415</v>
      </c>
      <c r="B109" s="23">
        <v>0.0</v>
      </c>
      <c r="C109" s="23" t="str">
        <f>'7조'!C129</f>
        <v>7조 - Container-based - Usability</v>
      </c>
      <c r="D109" s="23">
        <v>0.0</v>
      </c>
      <c r="E109" s="23" t="str">
        <f>'7조'!E129</f>
        <v>7조 - Cloud-based - Usability</v>
      </c>
      <c r="F109" s="23">
        <v>0.0</v>
      </c>
      <c r="G109" s="23" t="str">
        <f>'7조'!G129</f>
        <v>7조 - Edge-based - Usability</v>
      </c>
    </row>
    <row r="110" ht="15.75" customHeight="1">
      <c r="A110" s="23" t="s">
        <v>416</v>
      </c>
      <c r="B110" s="23">
        <v>0.0</v>
      </c>
      <c r="C110" s="23" t="str">
        <f>'8조'!C129</f>
        <v>8조 - Container-based - Usability</v>
      </c>
      <c r="D110" s="23">
        <v>0.0</v>
      </c>
      <c r="E110" s="23" t="str">
        <f>'8조'!E129</f>
        <v>8조 - Cloud-based - Usability</v>
      </c>
      <c r="F110" s="23">
        <v>0.0</v>
      </c>
      <c r="G110" s="23" t="str">
        <f>'8조'!G129</f>
        <v>8조 - Edge-based - Usability</v>
      </c>
    </row>
    <row r="111" ht="15.75" customHeight="1">
      <c r="A111" s="23" t="s">
        <v>419</v>
      </c>
      <c r="B111" s="23">
        <v>0.0</v>
      </c>
      <c r="C111" s="23" t="str">
        <f>'9조'!C129</f>
        <v>9조 - Container-based - Usability</v>
      </c>
      <c r="D111" s="23">
        <v>0.0</v>
      </c>
      <c r="E111" s="23" t="str">
        <f>'9조'!E129</f>
        <v>9조 - Cloud-based - Usability</v>
      </c>
      <c r="F111" s="23">
        <v>0.0</v>
      </c>
      <c r="G111" s="23" t="str">
        <f>'9조'!G129</f>
        <v>9조 - Edge-based - Usability</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B1:C1"/>
    <mergeCell ref="D1:E1"/>
    <mergeCell ref="F1:G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9.57"/>
    <col customWidth="1" min="2" max="2" width="14.71"/>
    <col customWidth="1" min="3" max="3" width="73.86"/>
    <col customWidth="1" min="4" max="4" width="9.86"/>
    <col customWidth="1" min="5" max="5" width="64.43"/>
    <col customWidth="1" min="6" max="6" width="11.43"/>
    <col customWidth="1" min="7" max="7" width="61.57"/>
    <col customWidth="1" min="8" max="8" width="8.86"/>
    <col customWidth="1" min="9" max="9" width="64.14"/>
  </cols>
  <sheetData>
    <row r="1">
      <c r="A1" s="24" t="s">
        <v>610</v>
      </c>
      <c r="B1" s="25" t="s">
        <v>2</v>
      </c>
      <c r="C1" s="19"/>
      <c r="D1" s="25" t="s">
        <v>6</v>
      </c>
      <c r="E1" s="19"/>
      <c r="F1" s="25" t="s">
        <v>10</v>
      </c>
      <c r="G1" s="19"/>
    </row>
    <row r="2">
      <c r="A2" s="20"/>
      <c r="B2" s="26" t="s">
        <v>12</v>
      </c>
      <c r="C2" s="26" t="s">
        <v>13</v>
      </c>
      <c r="D2" s="26" t="s">
        <v>12</v>
      </c>
      <c r="E2" s="26" t="s">
        <v>13</v>
      </c>
      <c r="F2" s="26" t="s">
        <v>12</v>
      </c>
      <c r="G2" s="26" t="s">
        <v>13</v>
      </c>
    </row>
    <row r="3" ht="16.5" customHeight="1">
      <c r="A3" s="27" t="s">
        <v>14</v>
      </c>
      <c r="B3" s="28"/>
      <c r="C3" s="29"/>
      <c r="D3" s="28"/>
      <c r="E3" s="27"/>
      <c r="F3" s="30"/>
      <c r="G3" s="31"/>
    </row>
    <row r="4" ht="16.5" customHeight="1">
      <c r="A4" s="27" t="s">
        <v>44</v>
      </c>
      <c r="B4" s="28"/>
      <c r="C4" s="29"/>
      <c r="D4" s="28"/>
      <c r="E4" s="27"/>
      <c r="F4" s="30"/>
      <c r="G4" s="31"/>
    </row>
    <row r="5" ht="16.5" customHeight="1">
      <c r="A5" s="27" t="s">
        <v>80</v>
      </c>
      <c r="B5" s="28"/>
      <c r="C5" s="29"/>
      <c r="D5" s="28"/>
      <c r="E5" s="32"/>
      <c r="F5" s="30"/>
      <c r="G5" s="33"/>
    </row>
    <row r="6" ht="16.5" customHeight="1">
      <c r="A6" s="27" t="s">
        <v>113</v>
      </c>
      <c r="B6" s="28"/>
      <c r="C6" s="29"/>
      <c r="D6" s="28"/>
      <c r="E6" s="29"/>
      <c r="F6" s="30"/>
      <c r="G6" s="31"/>
    </row>
    <row r="7" ht="16.5" customHeight="1">
      <c r="A7" s="27" t="s">
        <v>144</v>
      </c>
      <c r="B7" s="28"/>
      <c r="C7" s="29"/>
      <c r="D7" s="28"/>
      <c r="E7" s="27"/>
      <c r="F7" s="28"/>
      <c r="G7" s="31"/>
    </row>
    <row r="8" ht="16.5" customHeight="1">
      <c r="A8" s="27" t="s">
        <v>176</v>
      </c>
      <c r="B8" s="28"/>
      <c r="C8" s="27"/>
      <c r="D8" s="28"/>
      <c r="E8" s="27"/>
      <c r="F8" s="30"/>
      <c r="G8" s="29"/>
    </row>
    <row r="9" ht="16.5" customHeight="1">
      <c r="A9" s="27" t="s">
        <v>208</v>
      </c>
      <c r="B9" s="28"/>
      <c r="C9" s="29"/>
      <c r="D9" s="28"/>
      <c r="E9" s="29"/>
      <c r="F9" s="30"/>
      <c r="G9" s="31"/>
    </row>
    <row r="10" ht="16.5" customHeight="1">
      <c r="A10" s="27" t="s">
        <v>242</v>
      </c>
      <c r="B10" s="28"/>
      <c r="C10" s="29"/>
      <c r="D10" s="28"/>
      <c r="E10" s="29"/>
      <c r="F10" s="28"/>
      <c r="G10" s="29"/>
    </row>
    <row r="11" ht="16.5" customHeight="1">
      <c r="A11" s="27" t="s">
        <v>273</v>
      </c>
      <c r="B11" s="28"/>
      <c r="C11" s="29"/>
      <c r="D11" s="28"/>
      <c r="E11" s="27"/>
      <c r="F11" s="28"/>
      <c r="G11" s="29"/>
    </row>
    <row r="12" ht="16.5" customHeight="1">
      <c r="A12" s="27" t="s">
        <v>305</v>
      </c>
      <c r="B12" s="28"/>
      <c r="C12" s="29"/>
      <c r="D12" s="28"/>
      <c r="E12" s="29"/>
      <c r="F12" s="28"/>
      <c r="G12" s="29"/>
    </row>
    <row r="13">
      <c r="A13" s="34"/>
      <c r="B13" s="34"/>
      <c r="C13" s="34"/>
      <c r="D13" s="34"/>
      <c r="E13" s="34"/>
      <c r="F13" s="34"/>
      <c r="G13" s="34"/>
    </row>
    <row r="14" ht="36.0" customHeight="1">
      <c r="A14" s="35" t="s">
        <v>0</v>
      </c>
      <c r="B14" s="25" t="s">
        <v>615</v>
      </c>
      <c r="C14" s="19"/>
      <c r="D14" s="25" t="s">
        <v>8</v>
      </c>
      <c r="E14" s="19"/>
      <c r="F14" s="34"/>
      <c r="G14" s="34"/>
    </row>
    <row r="15">
      <c r="A15" s="36"/>
      <c r="B15" s="37" t="s">
        <v>12</v>
      </c>
      <c r="C15" s="37" t="s">
        <v>13</v>
      </c>
      <c r="D15" s="37" t="s">
        <v>12</v>
      </c>
      <c r="E15" s="37" t="s">
        <v>13</v>
      </c>
      <c r="F15" s="34"/>
      <c r="G15" s="34"/>
    </row>
    <row r="16" ht="16.5" customHeight="1">
      <c r="A16" s="27" t="s">
        <v>14</v>
      </c>
      <c r="B16" s="28"/>
      <c r="C16" s="29"/>
      <c r="D16" s="28"/>
      <c r="E16" s="29"/>
      <c r="F16" s="34"/>
      <c r="G16" s="34"/>
    </row>
    <row r="17" ht="16.5" customHeight="1">
      <c r="A17" s="27" t="s">
        <v>44</v>
      </c>
      <c r="B17" s="28"/>
      <c r="C17" s="29"/>
      <c r="D17" s="28"/>
      <c r="E17" s="29"/>
      <c r="F17" s="34"/>
      <c r="G17" s="34"/>
    </row>
    <row r="18" ht="16.5" customHeight="1">
      <c r="A18" s="27" t="s">
        <v>80</v>
      </c>
      <c r="B18" s="28"/>
      <c r="C18" s="29"/>
      <c r="D18" s="28"/>
      <c r="E18" s="27"/>
      <c r="F18" s="34"/>
      <c r="G18" s="34"/>
    </row>
    <row r="19" ht="16.5" customHeight="1">
      <c r="A19" s="27" t="s">
        <v>113</v>
      </c>
      <c r="B19" s="28"/>
      <c r="C19" s="29"/>
      <c r="D19" s="28"/>
      <c r="E19" s="29"/>
      <c r="F19" s="34"/>
      <c r="G19" s="34"/>
    </row>
    <row r="20" ht="16.5" customHeight="1">
      <c r="A20" s="27" t="s">
        <v>144</v>
      </c>
      <c r="B20" s="28"/>
      <c r="C20" s="38"/>
      <c r="D20" s="28"/>
      <c r="E20" s="38"/>
      <c r="F20" s="34"/>
      <c r="G20" s="34"/>
    </row>
    <row r="21" ht="16.5" customHeight="1">
      <c r="A21" s="27" t="s">
        <v>176</v>
      </c>
      <c r="B21" s="28"/>
      <c r="C21" s="27"/>
      <c r="D21" s="28"/>
      <c r="E21" s="27"/>
      <c r="F21" s="34"/>
      <c r="G21" s="34"/>
    </row>
    <row r="22" ht="16.5" customHeight="1">
      <c r="A22" s="27" t="s">
        <v>208</v>
      </c>
      <c r="B22" s="28"/>
      <c r="C22" s="29"/>
      <c r="D22" s="28"/>
      <c r="E22" s="27"/>
      <c r="F22" s="34"/>
      <c r="G22" s="34"/>
    </row>
    <row r="23" ht="16.5" customHeight="1">
      <c r="A23" s="27" t="s">
        <v>242</v>
      </c>
      <c r="B23" s="28"/>
      <c r="C23" s="29"/>
      <c r="D23" s="28"/>
      <c r="E23" s="29"/>
      <c r="F23" s="34"/>
      <c r="G23" s="34"/>
    </row>
    <row r="24" ht="16.5" customHeight="1">
      <c r="A24" s="27" t="s">
        <v>273</v>
      </c>
      <c r="B24" s="28"/>
      <c r="C24" s="29"/>
      <c r="D24" s="28"/>
      <c r="E24" s="29"/>
      <c r="F24" s="34"/>
      <c r="G24" s="34"/>
    </row>
    <row r="25" ht="16.5" customHeight="1">
      <c r="A25" s="27" t="s">
        <v>305</v>
      </c>
      <c r="B25" s="28"/>
      <c r="C25" s="29"/>
      <c r="D25" s="28"/>
      <c r="E25" s="29"/>
      <c r="F25" s="34"/>
      <c r="G25" s="34"/>
    </row>
    <row r="26" ht="15.75" customHeight="1">
      <c r="A26" s="34"/>
      <c r="B26" s="34"/>
      <c r="C26" s="34"/>
      <c r="D26" s="34"/>
      <c r="E26" s="34"/>
      <c r="F26" s="34"/>
      <c r="G26" s="34"/>
    </row>
    <row r="27" ht="15.75" customHeight="1">
      <c r="A27" s="35" t="s">
        <v>3</v>
      </c>
      <c r="B27" s="25" t="s">
        <v>7</v>
      </c>
      <c r="C27" s="19"/>
      <c r="D27" s="25" t="s">
        <v>11</v>
      </c>
      <c r="E27" s="19"/>
      <c r="F27" s="34"/>
      <c r="G27" s="34"/>
    </row>
    <row r="28" ht="15.75" customHeight="1">
      <c r="A28" s="39"/>
      <c r="B28" s="26" t="s">
        <v>12</v>
      </c>
      <c r="C28" s="26" t="s">
        <v>13</v>
      </c>
      <c r="D28" s="26" t="s">
        <v>12</v>
      </c>
      <c r="E28" s="26" t="s">
        <v>13</v>
      </c>
      <c r="F28" s="34"/>
      <c r="G28" s="34"/>
    </row>
    <row r="29" ht="16.5" customHeight="1">
      <c r="A29" s="27" t="s">
        <v>14</v>
      </c>
      <c r="B29" s="26"/>
      <c r="C29" s="27"/>
      <c r="D29" s="28"/>
      <c r="E29" s="27"/>
      <c r="F29" s="34"/>
      <c r="G29" s="34"/>
    </row>
    <row r="30" ht="16.5" customHeight="1">
      <c r="A30" s="27" t="s">
        <v>44</v>
      </c>
      <c r="B30" s="26"/>
      <c r="C30" s="27"/>
      <c r="D30" s="28"/>
      <c r="E30" s="27"/>
      <c r="F30" s="34"/>
      <c r="G30" s="34"/>
    </row>
    <row r="31" ht="16.5" customHeight="1">
      <c r="A31" s="27" t="s">
        <v>80</v>
      </c>
      <c r="B31" s="26"/>
      <c r="C31" s="29"/>
      <c r="D31" s="28"/>
      <c r="E31" s="29"/>
      <c r="F31" s="34"/>
      <c r="G31" s="34"/>
    </row>
    <row r="32" ht="16.5" customHeight="1">
      <c r="A32" s="27" t="s">
        <v>113</v>
      </c>
      <c r="B32" s="26"/>
      <c r="C32" s="29"/>
      <c r="D32" s="28"/>
      <c r="E32" s="29"/>
      <c r="F32" s="34"/>
      <c r="G32" s="34"/>
    </row>
    <row r="33" ht="16.5" customHeight="1">
      <c r="A33" s="27" t="s">
        <v>144</v>
      </c>
      <c r="B33" s="28"/>
      <c r="C33" s="27"/>
      <c r="D33" s="28"/>
      <c r="E33" s="27"/>
      <c r="F33" s="34"/>
      <c r="G33" s="34"/>
    </row>
    <row r="34" ht="16.5" customHeight="1">
      <c r="A34" s="27" t="s">
        <v>176</v>
      </c>
      <c r="B34" s="26"/>
      <c r="C34" s="27"/>
      <c r="D34" s="28"/>
      <c r="E34" s="27"/>
      <c r="F34" s="34"/>
      <c r="G34" s="34"/>
    </row>
    <row r="35" ht="16.5" customHeight="1">
      <c r="A35" s="27" t="s">
        <v>208</v>
      </c>
      <c r="B35" s="26"/>
      <c r="C35" s="29"/>
      <c r="D35" s="26"/>
      <c r="E35" s="29"/>
      <c r="F35" s="34"/>
      <c r="G35" s="34"/>
    </row>
    <row r="36" ht="16.5" customHeight="1">
      <c r="A36" s="27" t="s">
        <v>242</v>
      </c>
      <c r="B36" s="26"/>
      <c r="C36" s="27"/>
      <c r="D36" s="28"/>
      <c r="E36" s="27"/>
      <c r="F36" s="34"/>
      <c r="G36" s="34"/>
    </row>
    <row r="37" ht="15.75" customHeight="1">
      <c r="A37" s="27" t="s">
        <v>273</v>
      </c>
      <c r="B37" s="26"/>
      <c r="C37" s="27"/>
      <c r="D37" s="26"/>
      <c r="E37" s="27"/>
      <c r="F37" s="34"/>
      <c r="G37" s="34"/>
    </row>
    <row r="38" ht="16.5" customHeight="1">
      <c r="A38" s="27" t="s">
        <v>305</v>
      </c>
      <c r="B38" s="28"/>
      <c r="C38" s="27"/>
      <c r="D38" s="26"/>
      <c r="E38" s="27"/>
      <c r="F38" s="34"/>
      <c r="G38" s="34"/>
    </row>
    <row r="39" ht="15.75" customHeight="1">
      <c r="A39" s="34"/>
      <c r="B39" s="34"/>
      <c r="C39" s="34"/>
      <c r="D39" s="34"/>
      <c r="E39" s="34"/>
      <c r="F39" s="34"/>
      <c r="G39" s="34"/>
    </row>
    <row r="40" ht="15.75" customHeight="1">
      <c r="A40" s="35" t="s">
        <v>1</v>
      </c>
      <c r="B40" s="25" t="s">
        <v>4</v>
      </c>
      <c r="C40" s="19"/>
      <c r="D40" s="25" t="s">
        <v>9</v>
      </c>
      <c r="E40" s="19"/>
      <c r="F40" s="34"/>
      <c r="G40" s="34"/>
    </row>
    <row r="41" ht="16.5" customHeight="1">
      <c r="A41" s="39"/>
      <c r="B41" s="26" t="s">
        <v>12</v>
      </c>
      <c r="C41" s="26" t="s">
        <v>13</v>
      </c>
      <c r="D41" s="26" t="s">
        <v>12</v>
      </c>
      <c r="E41" s="26" t="s">
        <v>13</v>
      </c>
      <c r="F41" s="34"/>
      <c r="G41" s="34"/>
      <c r="H41" s="40"/>
    </row>
    <row r="42" ht="16.5" customHeight="1">
      <c r="A42" s="27" t="s">
        <v>14</v>
      </c>
      <c r="B42" s="28"/>
      <c r="C42" s="29"/>
      <c r="D42" s="28"/>
      <c r="E42" s="29"/>
      <c r="F42" s="34"/>
      <c r="G42" s="34"/>
    </row>
    <row r="43" ht="16.5" customHeight="1">
      <c r="A43" s="27" t="s">
        <v>44</v>
      </c>
      <c r="B43" s="28"/>
      <c r="C43" s="29"/>
      <c r="D43" s="28"/>
      <c r="E43" s="27"/>
      <c r="F43" s="34"/>
      <c r="G43" s="34"/>
      <c r="H43" s="34"/>
    </row>
    <row r="44" ht="16.5" customHeight="1">
      <c r="A44" s="27" t="s">
        <v>80</v>
      </c>
      <c r="B44" s="28"/>
      <c r="C44" s="29"/>
      <c r="D44" s="28"/>
      <c r="E44" s="27"/>
      <c r="F44" s="34"/>
      <c r="G44" s="34"/>
      <c r="H44" s="34"/>
    </row>
    <row r="45" ht="16.5" customHeight="1">
      <c r="A45" s="27" t="s">
        <v>113</v>
      </c>
      <c r="B45" s="28"/>
      <c r="C45" s="29"/>
      <c r="D45" s="28"/>
      <c r="E45" s="29"/>
      <c r="F45" s="34"/>
      <c r="G45" s="34"/>
      <c r="H45" s="34"/>
    </row>
    <row r="46" ht="16.5" customHeight="1">
      <c r="A46" s="27" t="s">
        <v>144</v>
      </c>
      <c r="B46" s="28"/>
      <c r="C46" s="38"/>
      <c r="D46" s="28"/>
      <c r="E46" s="29"/>
      <c r="F46" s="34"/>
      <c r="G46" s="34"/>
      <c r="H46" s="34"/>
    </row>
    <row r="47" ht="16.5" customHeight="1">
      <c r="A47" s="27" t="s">
        <v>176</v>
      </c>
      <c r="B47" s="28"/>
      <c r="C47" s="29"/>
      <c r="D47" s="28"/>
      <c r="E47" s="38"/>
      <c r="F47" s="34"/>
      <c r="G47" s="34"/>
      <c r="H47" s="34"/>
    </row>
    <row r="48" ht="16.5" customHeight="1">
      <c r="A48" s="27" t="s">
        <v>208</v>
      </c>
      <c r="B48" s="28"/>
      <c r="C48" s="29"/>
      <c r="D48" s="28"/>
      <c r="E48" s="29"/>
      <c r="F48" s="34"/>
      <c r="G48" s="34"/>
      <c r="H48" s="34"/>
    </row>
    <row r="49" ht="16.5" customHeight="1">
      <c r="A49" s="27" t="s">
        <v>242</v>
      </c>
      <c r="B49" s="28"/>
      <c r="C49" s="29"/>
      <c r="D49" s="28"/>
      <c r="E49" s="29"/>
      <c r="F49" s="34"/>
      <c r="G49" s="34"/>
      <c r="H49" s="34"/>
    </row>
    <row r="50" ht="16.5" customHeight="1">
      <c r="A50" s="27" t="s">
        <v>273</v>
      </c>
      <c r="B50" s="28"/>
      <c r="C50" s="29"/>
      <c r="D50" s="28"/>
      <c r="E50" s="29"/>
      <c r="F50" s="34"/>
      <c r="G50" s="34"/>
      <c r="H50" s="41"/>
      <c r="I50" s="41"/>
    </row>
    <row r="51" ht="16.5" customHeight="1">
      <c r="A51" s="27" t="s">
        <v>305</v>
      </c>
      <c r="B51" s="28"/>
      <c r="C51" s="29"/>
      <c r="D51" s="28"/>
      <c r="E51" s="29"/>
      <c r="F51" s="34"/>
      <c r="G51" s="42"/>
      <c r="H51" s="40"/>
    </row>
    <row r="52" ht="15.75" customHeight="1">
      <c r="A52" s="34"/>
      <c r="B52" s="34"/>
      <c r="C52" s="34"/>
      <c r="D52" s="34"/>
      <c r="E52" s="34"/>
      <c r="F52" s="34"/>
      <c r="G52" s="34"/>
    </row>
    <row r="53" ht="15.75" customHeight="1">
      <c r="A53" s="35" t="s">
        <v>361</v>
      </c>
      <c r="B53" s="25" t="s">
        <v>362</v>
      </c>
      <c r="C53" s="19"/>
      <c r="D53" s="25" t="s">
        <v>363</v>
      </c>
      <c r="E53" s="19"/>
      <c r="F53" s="34"/>
      <c r="G53" s="34"/>
      <c r="H53" s="34"/>
    </row>
    <row r="54" ht="15.75" customHeight="1">
      <c r="A54" s="39"/>
      <c r="B54" s="26" t="s">
        <v>12</v>
      </c>
      <c r="C54" s="26" t="s">
        <v>13</v>
      </c>
      <c r="D54" s="26" t="s">
        <v>12</v>
      </c>
      <c r="E54" s="26" t="s">
        <v>13</v>
      </c>
      <c r="F54" s="34"/>
      <c r="G54" s="42"/>
      <c r="H54" s="34"/>
    </row>
    <row r="55" ht="16.5" customHeight="1">
      <c r="A55" s="27" t="s">
        <v>14</v>
      </c>
      <c r="B55" s="26"/>
      <c r="C55" s="27"/>
      <c r="D55" s="28"/>
      <c r="E55" s="27"/>
      <c r="F55" s="34"/>
      <c r="G55" s="42"/>
      <c r="H55" s="34"/>
    </row>
    <row r="56" ht="15.75" customHeight="1">
      <c r="A56" s="27" t="s">
        <v>44</v>
      </c>
      <c r="B56" s="26"/>
      <c r="C56" s="32"/>
      <c r="D56" s="26"/>
      <c r="E56" s="27"/>
      <c r="F56" s="34"/>
      <c r="G56" s="42"/>
      <c r="H56" s="34"/>
    </row>
    <row r="57" ht="16.5" customHeight="1">
      <c r="A57" s="27" t="s">
        <v>80</v>
      </c>
      <c r="B57" s="26"/>
      <c r="C57" s="29"/>
      <c r="D57" s="26"/>
      <c r="E57" s="27"/>
      <c r="F57" s="34"/>
      <c r="G57" s="42"/>
      <c r="H57" s="34"/>
    </row>
    <row r="58" ht="16.5" customHeight="1">
      <c r="A58" s="27" t="s">
        <v>113</v>
      </c>
      <c r="B58" s="28"/>
      <c r="C58" s="29"/>
      <c r="D58" s="26"/>
      <c r="E58" s="29"/>
      <c r="F58" s="34"/>
      <c r="G58" s="42"/>
      <c r="H58" s="34"/>
    </row>
    <row r="59" ht="16.5" customHeight="1">
      <c r="A59" s="27" t="s">
        <v>144</v>
      </c>
      <c r="B59" s="26"/>
      <c r="C59" s="27"/>
      <c r="D59" s="28"/>
      <c r="E59" s="27"/>
      <c r="F59" s="34"/>
      <c r="G59" s="42"/>
      <c r="H59" s="34"/>
    </row>
    <row r="60" ht="16.5" customHeight="1">
      <c r="A60" s="27" t="s">
        <v>176</v>
      </c>
      <c r="B60" s="26"/>
      <c r="C60" s="27"/>
      <c r="D60" s="28"/>
      <c r="E60" s="27"/>
      <c r="F60" s="34"/>
      <c r="G60" s="42"/>
      <c r="H60" s="41"/>
      <c r="I60" s="41"/>
    </row>
    <row r="61" ht="16.5" customHeight="1">
      <c r="A61" s="27" t="s">
        <v>208</v>
      </c>
      <c r="B61" s="26"/>
      <c r="C61" s="29"/>
      <c r="D61" s="26"/>
      <c r="E61" s="27"/>
      <c r="F61" s="34"/>
      <c r="G61" s="42"/>
      <c r="H61" s="40"/>
    </row>
    <row r="62" ht="15.75" customHeight="1">
      <c r="A62" s="27" t="s">
        <v>242</v>
      </c>
      <c r="B62" s="26"/>
      <c r="C62" s="27"/>
      <c r="D62" s="26"/>
      <c r="E62" s="27"/>
      <c r="F62" s="34"/>
      <c r="G62" s="42"/>
    </row>
    <row r="63" ht="16.5" customHeight="1">
      <c r="A63" s="27" t="s">
        <v>273</v>
      </c>
      <c r="B63" s="28"/>
      <c r="C63" s="27"/>
      <c r="D63" s="26"/>
      <c r="E63" s="27"/>
      <c r="F63" s="34"/>
      <c r="G63" s="34"/>
      <c r="H63" s="34"/>
    </row>
    <row r="64" ht="15.75" customHeight="1">
      <c r="A64" s="27" t="s">
        <v>305</v>
      </c>
      <c r="B64" s="26"/>
      <c r="C64" s="27"/>
      <c r="D64" s="26"/>
      <c r="E64" s="27"/>
      <c r="F64" s="34"/>
      <c r="G64" s="34"/>
      <c r="H64" s="34"/>
    </row>
    <row r="65" ht="15.75" customHeight="1">
      <c r="A65" s="34"/>
      <c r="B65" s="34"/>
      <c r="C65" s="34"/>
      <c r="D65" s="34"/>
      <c r="E65" s="34"/>
      <c r="F65" s="34"/>
      <c r="G65" s="42"/>
      <c r="H65" s="34"/>
    </row>
    <row r="66" ht="15.75" customHeight="1">
      <c r="A66" s="35" t="s">
        <v>361</v>
      </c>
      <c r="B66" s="25" t="s">
        <v>377</v>
      </c>
      <c r="C66" s="19"/>
      <c r="D66" s="25" t="s">
        <v>378</v>
      </c>
      <c r="E66" s="19"/>
      <c r="F66" s="43" t="s">
        <v>379</v>
      </c>
      <c r="G66" s="19"/>
      <c r="H66" s="34"/>
    </row>
    <row r="67" ht="15.75" customHeight="1">
      <c r="A67" s="39"/>
      <c r="B67" s="26" t="s">
        <v>12</v>
      </c>
      <c r="C67" s="26" t="s">
        <v>13</v>
      </c>
      <c r="D67" s="26" t="s">
        <v>12</v>
      </c>
      <c r="E67" s="26" t="s">
        <v>13</v>
      </c>
      <c r="F67" s="44" t="s">
        <v>12</v>
      </c>
      <c r="G67" s="44" t="s">
        <v>13</v>
      </c>
      <c r="H67" s="34"/>
    </row>
    <row r="68" ht="15.75" customHeight="1">
      <c r="A68" s="27" t="s">
        <v>14</v>
      </c>
      <c r="B68" s="26"/>
      <c r="C68" s="27"/>
      <c r="D68" s="26"/>
      <c r="E68" s="27"/>
      <c r="F68" s="44"/>
      <c r="G68" s="33"/>
      <c r="H68" s="34"/>
    </row>
    <row r="69" ht="16.5" customHeight="1">
      <c r="A69" s="27" t="s">
        <v>44</v>
      </c>
      <c r="B69" s="26"/>
      <c r="C69" s="27"/>
      <c r="D69" s="28"/>
      <c r="E69" s="32"/>
      <c r="F69" s="44"/>
      <c r="G69" s="33"/>
      <c r="H69" s="34"/>
    </row>
    <row r="70" ht="16.5" customHeight="1">
      <c r="A70" s="27" t="s">
        <v>80</v>
      </c>
      <c r="B70" s="28"/>
      <c r="C70" s="29"/>
      <c r="D70" s="28"/>
      <c r="E70" s="27"/>
      <c r="F70" s="44"/>
      <c r="G70" s="33"/>
    </row>
    <row r="71" ht="16.5" customHeight="1">
      <c r="A71" s="27" t="s">
        <v>113</v>
      </c>
      <c r="B71" s="26"/>
      <c r="C71" s="29"/>
      <c r="D71" s="26"/>
      <c r="E71" s="29"/>
      <c r="F71" s="44"/>
      <c r="G71" s="31"/>
    </row>
    <row r="72" ht="16.5" customHeight="1">
      <c r="A72" s="27" t="s">
        <v>144</v>
      </c>
      <c r="B72" s="28"/>
      <c r="C72" s="27"/>
      <c r="D72" s="28"/>
      <c r="E72" s="27"/>
      <c r="F72" s="44"/>
      <c r="G72" s="27"/>
    </row>
    <row r="73" ht="15.75" customHeight="1">
      <c r="A73" s="27" t="s">
        <v>176</v>
      </c>
      <c r="B73" s="26"/>
      <c r="C73" s="27"/>
      <c r="D73" s="26"/>
      <c r="E73" s="27"/>
      <c r="F73" s="26"/>
      <c r="G73" s="27"/>
    </row>
    <row r="74" ht="16.5" customHeight="1">
      <c r="A74" s="27" t="s">
        <v>208</v>
      </c>
      <c r="B74" s="28"/>
      <c r="C74" s="29"/>
      <c r="D74" s="26"/>
      <c r="E74" s="29"/>
      <c r="F74" s="26"/>
      <c r="G74" s="29"/>
    </row>
    <row r="75" ht="16.5" customHeight="1">
      <c r="A75" s="27" t="s">
        <v>242</v>
      </c>
      <c r="B75" s="28"/>
      <c r="C75" s="27"/>
      <c r="D75" s="28"/>
      <c r="E75" s="27"/>
      <c r="F75" s="44"/>
      <c r="G75" s="31"/>
    </row>
    <row r="76" ht="16.5" customHeight="1">
      <c r="A76" s="27" t="s">
        <v>273</v>
      </c>
      <c r="B76" s="28"/>
      <c r="C76" s="27"/>
      <c r="D76" s="28"/>
      <c r="E76" s="27"/>
      <c r="F76" s="28"/>
      <c r="G76" s="31"/>
    </row>
    <row r="77" ht="16.5" customHeight="1">
      <c r="A77" s="27" t="s">
        <v>305</v>
      </c>
      <c r="B77" s="28"/>
      <c r="C77" s="27"/>
      <c r="D77" s="28"/>
      <c r="E77" s="27"/>
      <c r="F77" s="28"/>
      <c r="G77" s="33"/>
    </row>
    <row r="78" ht="15.75" customHeight="1">
      <c r="A78" s="34"/>
      <c r="B78" s="34"/>
      <c r="C78" s="34"/>
      <c r="D78" s="34"/>
      <c r="E78" s="34"/>
      <c r="F78" s="42"/>
      <c r="G78" s="42"/>
    </row>
    <row r="79" ht="15.75" customHeight="1">
      <c r="A79" s="24" t="s">
        <v>386</v>
      </c>
      <c r="B79" s="25" t="s">
        <v>627</v>
      </c>
      <c r="C79" s="19"/>
      <c r="D79" s="25" t="s">
        <v>392</v>
      </c>
      <c r="E79" s="19"/>
      <c r="F79" s="43" t="s">
        <v>499</v>
      </c>
      <c r="G79" s="19"/>
    </row>
    <row r="80" ht="15.75" customHeight="1">
      <c r="A80" s="20"/>
      <c r="B80" s="26" t="s">
        <v>12</v>
      </c>
      <c r="C80" s="26" t="s">
        <v>13</v>
      </c>
      <c r="D80" s="26" t="s">
        <v>12</v>
      </c>
      <c r="E80" s="26" t="s">
        <v>13</v>
      </c>
      <c r="F80" s="44" t="s">
        <v>12</v>
      </c>
      <c r="G80" s="44" t="s">
        <v>13</v>
      </c>
    </row>
    <row r="81" ht="15.75" customHeight="1">
      <c r="A81" s="27" t="s">
        <v>14</v>
      </c>
      <c r="B81" s="26"/>
      <c r="C81" s="27"/>
      <c r="D81" s="26"/>
      <c r="E81" s="27"/>
      <c r="F81" s="44"/>
      <c r="G81" s="33"/>
    </row>
    <row r="82" ht="16.5" customHeight="1">
      <c r="A82" s="27" t="s">
        <v>44</v>
      </c>
      <c r="B82" s="26"/>
      <c r="C82" s="29"/>
      <c r="D82" s="26"/>
      <c r="E82" s="32"/>
      <c r="F82" s="28"/>
      <c r="G82" s="27"/>
    </row>
    <row r="83" ht="16.5" customHeight="1">
      <c r="A83" s="27" t="s">
        <v>80</v>
      </c>
      <c r="B83" s="28"/>
      <c r="C83" s="27"/>
      <c r="D83" s="28"/>
      <c r="E83" s="29"/>
      <c r="F83" s="44"/>
      <c r="G83" s="27"/>
    </row>
    <row r="84" ht="16.5" customHeight="1">
      <c r="A84" s="27" t="s">
        <v>113</v>
      </c>
      <c r="B84" s="26"/>
      <c r="C84" s="29"/>
      <c r="D84" s="26"/>
      <c r="E84" s="29"/>
      <c r="F84" s="26"/>
      <c r="G84" s="29"/>
    </row>
    <row r="85" ht="16.5" customHeight="1">
      <c r="A85" s="27" t="s">
        <v>144</v>
      </c>
      <c r="B85" s="28"/>
      <c r="C85" s="27"/>
      <c r="D85" s="28"/>
      <c r="E85" s="27"/>
      <c r="F85" s="44"/>
      <c r="G85" s="27"/>
    </row>
    <row r="86" ht="16.5" customHeight="1">
      <c r="A86" s="27" t="s">
        <v>176</v>
      </c>
      <c r="B86" s="26"/>
      <c r="C86" s="27"/>
      <c r="D86" s="28"/>
      <c r="E86" s="27"/>
      <c r="F86" s="26"/>
      <c r="G86" s="27"/>
    </row>
    <row r="87" ht="16.5" customHeight="1">
      <c r="A87" s="27" t="s">
        <v>208</v>
      </c>
      <c r="B87" s="26"/>
      <c r="C87" s="29"/>
      <c r="D87" s="26"/>
      <c r="E87" s="29"/>
      <c r="F87" s="26"/>
      <c r="G87" s="29"/>
    </row>
    <row r="88" ht="16.5" customHeight="1">
      <c r="A88" s="27" t="s">
        <v>242</v>
      </c>
      <c r="B88" s="28"/>
      <c r="C88" s="27"/>
      <c r="D88" s="26"/>
      <c r="E88" s="27"/>
      <c r="F88" s="26"/>
      <c r="G88" s="27"/>
    </row>
    <row r="89" ht="15.75" customHeight="1">
      <c r="A89" s="27" t="s">
        <v>273</v>
      </c>
      <c r="B89" s="26"/>
      <c r="C89" s="27"/>
      <c r="D89" s="26"/>
      <c r="E89" s="27"/>
      <c r="F89" s="26"/>
      <c r="G89" s="27"/>
    </row>
    <row r="90" ht="16.5" customHeight="1">
      <c r="A90" s="27" t="s">
        <v>305</v>
      </c>
      <c r="B90" s="28"/>
      <c r="C90" s="27"/>
      <c r="D90" s="28"/>
      <c r="E90" s="27"/>
      <c r="F90" s="26"/>
      <c r="G90" s="27"/>
    </row>
    <row r="91" ht="15.75" customHeight="1">
      <c r="A91" s="34"/>
      <c r="B91" s="34"/>
      <c r="C91" s="34"/>
      <c r="D91" s="34"/>
      <c r="E91" s="34"/>
      <c r="F91" s="34"/>
      <c r="G91" s="34"/>
    </row>
    <row r="92" ht="15.75" customHeight="1">
      <c r="A92" s="24" t="s">
        <v>386</v>
      </c>
      <c r="B92" s="25" t="s">
        <v>502</v>
      </c>
      <c r="C92" s="19"/>
      <c r="D92" s="25" t="s">
        <v>630</v>
      </c>
      <c r="E92" s="19"/>
      <c r="F92" s="45"/>
    </row>
    <row r="93" ht="15.75" customHeight="1">
      <c r="A93" s="20"/>
      <c r="B93" s="26" t="s">
        <v>12</v>
      </c>
      <c r="C93" s="26" t="s">
        <v>13</v>
      </c>
      <c r="D93" s="26" t="s">
        <v>12</v>
      </c>
      <c r="E93" s="26" t="s">
        <v>13</v>
      </c>
      <c r="F93" s="34"/>
      <c r="G93" s="34"/>
    </row>
    <row r="94" ht="16.5" customHeight="1">
      <c r="A94" s="27" t="s">
        <v>14</v>
      </c>
      <c r="B94" s="26"/>
      <c r="C94" s="27"/>
      <c r="D94" s="28"/>
      <c r="E94" s="27"/>
      <c r="F94" s="34"/>
      <c r="G94" s="34"/>
    </row>
    <row r="95" ht="16.5" customHeight="1">
      <c r="A95" s="27" t="s">
        <v>44</v>
      </c>
      <c r="B95" s="28"/>
      <c r="C95" s="27"/>
      <c r="D95" s="44"/>
      <c r="E95" s="27"/>
      <c r="F95" s="34"/>
      <c r="G95" s="34"/>
    </row>
    <row r="96" ht="16.5" customHeight="1">
      <c r="A96" s="27" t="s">
        <v>80</v>
      </c>
      <c r="B96" s="28"/>
      <c r="C96" s="27"/>
      <c r="D96" s="44"/>
      <c r="E96" s="29"/>
      <c r="F96" s="34"/>
      <c r="G96" s="34"/>
    </row>
    <row r="97" ht="16.5" customHeight="1">
      <c r="A97" s="27" t="s">
        <v>113</v>
      </c>
      <c r="B97" s="26"/>
      <c r="C97" s="29"/>
      <c r="D97" s="26"/>
      <c r="E97" s="29"/>
      <c r="F97" s="34"/>
      <c r="G97" s="34"/>
    </row>
    <row r="98" ht="16.5" customHeight="1">
      <c r="A98" s="27" t="s">
        <v>144</v>
      </c>
      <c r="B98" s="26"/>
      <c r="C98" s="27"/>
      <c r="D98" s="28"/>
      <c r="E98" s="27"/>
      <c r="F98" s="34"/>
      <c r="G98" s="34"/>
    </row>
    <row r="99" ht="15.75" customHeight="1">
      <c r="A99" s="27" t="s">
        <v>176</v>
      </c>
      <c r="B99" s="26"/>
      <c r="C99" s="27"/>
      <c r="D99" s="26"/>
      <c r="E99" s="27"/>
      <c r="F99" s="34"/>
      <c r="G99" s="34"/>
    </row>
    <row r="100" ht="16.5" customHeight="1">
      <c r="A100" s="27" t="s">
        <v>208</v>
      </c>
      <c r="B100" s="26"/>
      <c r="C100" s="29"/>
      <c r="D100" s="26"/>
      <c r="E100" s="27"/>
      <c r="F100" s="34"/>
      <c r="G100" s="34"/>
    </row>
    <row r="101" ht="16.5" customHeight="1">
      <c r="A101" s="27" t="s">
        <v>242</v>
      </c>
      <c r="B101" s="26"/>
      <c r="C101" s="27"/>
      <c r="D101" s="28"/>
      <c r="E101" s="27"/>
      <c r="F101" s="34"/>
      <c r="G101" s="34"/>
    </row>
    <row r="102" ht="15.75" customHeight="1">
      <c r="A102" s="27" t="s">
        <v>273</v>
      </c>
      <c r="B102" s="26"/>
      <c r="C102" s="27"/>
      <c r="D102" s="26"/>
      <c r="E102" s="27"/>
      <c r="F102" s="34"/>
      <c r="G102" s="34"/>
    </row>
    <row r="103" ht="16.5" customHeight="1">
      <c r="A103" s="27" t="s">
        <v>305</v>
      </c>
      <c r="B103" s="26"/>
      <c r="C103" s="27"/>
      <c r="D103" s="28"/>
      <c r="E103" s="27"/>
      <c r="F103" s="34"/>
      <c r="G103" s="34"/>
    </row>
    <row r="104" ht="15.75" customHeight="1">
      <c r="A104" s="34"/>
      <c r="B104" s="34"/>
      <c r="C104" s="34"/>
      <c r="D104" s="34"/>
      <c r="E104" s="34"/>
      <c r="F104" s="34"/>
      <c r="G104" s="34"/>
    </row>
    <row r="105" ht="15.75" customHeight="1">
      <c r="A105" s="24" t="s">
        <v>599</v>
      </c>
      <c r="B105" s="25" t="s">
        <v>600</v>
      </c>
      <c r="C105" s="19"/>
      <c r="D105" s="25" t="s">
        <v>601</v>
      </c>
      <c r="E105" s="19"/>
      <c r="F105" s="25" t="s">
        <v>603</v>
      </c>
      <c r="G105" s="19"/>
    </row>
    <row r="106" ht="15.75" customHeight="1">
      <c r="A106" s="20"/>
      <c r="B106" s="26" t="s">
        <v>12</v>
      </c>
      <c r="C106" s="26" t="s">
        <v>13</v>
      </c>
      <c r="D106" s="26" t="s">
        <v>12</v>
      </c>
      <c r="E106" s="26" t="s">
        <v>13</v>
      </c>
      <c r="F106" s="26" t="s">
        <v>12</v>
      </c>
      <c r="G106" s="26" t="s">
        <v>13</v>
      </c>
    </row>
    <row r="107" ht="16.5" customHeight="1">
      <c r="A107" s="27" t="s">
        <v>14</v>
      </c>
      <c r="B107" s="28"/>
      <c r="C107" s="29"/>
      <c r="D107" s="44"/>
      <c r="E107" s="29"/>
      <c r="F107" s="28"/>
      <c r="G107" s="27"/>
    </row>
    <row r="108" ht="15.75" customHeight="1">
      <c r="A108" s="27" t="s">
        <v>44</v>
      </c>
      <c r="B108" s="44"/>
      <c r="C108" s="27"/>
      <c r="D108" s="44"/>
      <c r="E108" s="27"/>
      <c r="F108" s="26"/>
      <c r="G108" s="27"/>
    </row>
    <row r="109" ht="15.75" customHeight="1">
      <c r="A109" s="27" t="s">
        <v>80</v>
      </c>
      <c r="B109" s="44"/>
      <c r="C109" s="27"/>
      <c r="D109" s="44"/>
      <c r="E109" s="27"/>
      <c r="F109" s="26"/>
      <c r="G109" s="27"/>
    </row>
    <row r="110" ht="16.5" customHeight="1">
      <c r="A110" s="27" t="s">
        <v>113</v>
      </c>
      <c r="B110" s="28"/>
      <c r="C110" s="27"/>
      <c r="D110" s="26"/>
      <c r="E110" s="29"/>
      <c r="F110" s="26"/>
      <c r="G110" s="29"/>
    </row>
    <row r="111" ht="16.5" customHeight="1">
      <c r="A111" s="27" t="s">
        <v>144</v>
      </c>
      <c r="B111" s="44"/>
      <c r="C111" s="29"/>
      <c r="D111" s="28"/>
      <c r="E111" s="29"/>
      <c r="F111" s="26"/>
      <c r="G111" s="29"/>
    </row>
    <row r="112" ht="16.5" customHeight="1">
      <c r="A112" s="27" t="s">
        <v>176</v>
      </c>
      <c r="B112" s="26"/>
      <c r="C112" s="27"/>
      <c r="D112" s="28"/>
      <c r="E112" s="29"/>
      <c r="F112" s="28"/>
      <c r="G112" s="29"/>
    </row>
    <row r="113" ht="16.5" customHeight="1">
      <c r="A113" s="27" t="s">
        <v>208</v>
      </c>
      <c r="B113" s="28"/>
      <c r="C113" s="29"/>
      <c r="D113" s="26"/>
      <c r="E113" s="29"/>
      <c r="F113" s="26"/>
      <c r="G113" s="27"/>
    </row>
    <row r="114" ht="16.5" customHeight="1">
      <c r="A114" s="27" t="s">
        <v>242</v>
      </c>
      <c r="B114" s="26"/>
      <c r="C114" s="29"/>
      <c r="D114" s="28"/>
      <c r="E114" s="27"/>
      <c r="F114" s="26"/>
      <c r="G114" s="29"/>
    </row>
    <row r="115" ht="16.5" customHeight="1">
      <c r="A115" s="27" t="s">
        <v>273</v>
      </c>
      <c r="B115" s="28"/>
      <c r="C115" s="29"/>
      <c r="D115" s="28"/>
      <c r="E115" s="27"/>
      <c r="F115" s="26"/>
      <c r="G115" s="27"/>
    </row>
    <row r="116" ht="16.5" customHeight="1">
      <c r="A116" s="27" t="s">
        <v>305</v>
      </c>
      <c r="B116" s="26"/>
      <c r="C116" s="29"/>
      <c r="D116" s="28"/>
      <c r="E116" s="27"/>
      <c r="F116" s="28"/>
      <c r="G116" s="27"/>
    </row>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A1:A2"/>
    <mergeCell ref="B1:C1"/>
    <mergeCell ref="D1:E1"/>
    <mergeCell ref="F1:G1"/>
    <mergeCell ref="B14:C14"/>
    <mergeCell ref="D14:E14"/>
    <mergeCell ref="D27:E27"/>
    <mergeCell ref="B27:C27"/>
    <mergeCell ref="B40:C40"/>
    <mergeCell ref="D40:E40"/>
    <mergeCell ref="H41:I41"/>
    <mergeCell ref="H51:I51"/>
    <mergeCell ref="D53:E53"/>
    <mergeCell ref="H61:I61"/>
    <mergeCell ref="B53:C53"/>
    <mergeCell ref="B66:C66"/>
    <mergeCell ref="D66:E66"/>
    <mergeCell ref="F66:G66"/>
    <mergeCell ref="B79:C79"/>
    <mergeCell ref="D79:E79"/>
    <mergeCell ref="F79:G79"/>
    <mergeCell ref="D105:E105"/>
    <mergeCell ref="F105:G105"/>
    <mergeCell ref="A79:A80"/>
    <mergeCell ref="A92:A93"/>
    <mergeCell ref="B92:C92"/>
    <mergeCell ref="D92:E92"/>
    <mergeCell ref="F92:G92"/>
    <mergeCell ref="A105:A106"/>
    <mergeCell ref="B105:C105"/>
  </mergeCells>
  <dataValidations>
    <dataValidation type="list" allowBlank="1" showErrorMessage="1" sqref="H43:H50 H53:H60 H63:H69">
      <formula1>"++,+,N,-,--"</formula1>
    </dataValidation>
    <dataValidation type="list" allowBlank="1" showErrorMessage="1" sqref="F3:F6 F8:F9 F66:F72 F75 F78:F81 F83 F85 D95:D96 B108:B109 D107:D109 B111">
      <formula1>"'++,'+,'0,'-,'--"</formula1>
    </dataValidation>
  </dataValidation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0.57"/>
    <col customWidth="1" min="4" max="4" width="9.86"/>
    <col customWidth="1" min="5" max="5" width="64.43"/>
    <col customWidth="1" min="6" max="6" width="11.43"/>
    <col customWidth="1" min="7" max="7" width="61.57"/>
    <col customWidth="1" min="8" max="8" width="8.86"/>
    <col customWidth="1" min="9" max="9" width="64.14"/>
  </cols>
  <sheetData>
    <row r="1" ht="16.5" customHeight="1">
      <c r="A1" s="24" t="s">
        <v>610</v>
      </c>
      <c r="B1" s="46" t="s">
        <v>2</v>
      </c>
      <c r="C1" s="19"/>
      <c r="D1" s="46" t="s">
        <v>6</v>
      </c>
      <c r="E1" s="19"/>
      <c r="F1" s="46" t="s">
        <v>10</v>
      </c>
      <c r="G1" s="19"/>
    </row>
    <row r="2" ht="16.5" customHeight="1">
      <c r="A2" s="20"/>
      <c r="B2" s="26" t="s">
        <v>12</v>
      </c>
      <c r="C2" s="26" t="s">
        <v>13</v>
      </c>
      <c r="D2" s="26" t="s">
        <v>12</v>
      </c>
      <c r="E2" s="26" t="s">
        <v>13</v>
      </c>
      <c r="F2" s="26" t="s">
        <v>12</v>
      </c>
      <c r="G2" s="26" t="s">
        <v>13</v>
      </c>
    </row>
    <row r="3" ht="16.5" customHeight="1">
      <c r="A3" s="27" t="s">
        <v>14</v>
      </c>
      <c r="B3" s="47" t="s">
        <v>644</v>
      </c>
      <c r="C3" s="48" t="s">
        <v>645</v>
      </c>
      <c r="D3" s="49" t="s">
        <v>646</v>
      </c>
      <c r="E3" s="50" t="s">
        <v>647</v>
      </c>
      <c r="F3" s="51" t="s">
        <v>648</v>
      </c>
      <c r="G3" s="53" t="s">
        <v>650</v>
      </c>
    </row>
    <row r="4" ht="16.5" customHeight="1">
      <c r="A4" s="27" t="s">
        <v>44</v>
      </c>
      <c r="B4" s="47" t="s">
        <v>646</v>
      </c>
      <c r="C4" s="48" t="s">
        <v>652</v>
      </c>
      <c r="D4" s="55" t="s">
        <v>648</v>
      </c>
      <c r="E4" s="56" t="s">
        <v>656</v>
      </c>
      <c r="F4" s="57" t="s">
        <v>657</v>
      </c>
      <c r="G4" s="58" t="s">
        <v>658</v>
      </c>
    </row>
    <row r="5" ht="16.5" customHeight="1">
      <c r="A5" s="27" t="s">
        <v>80</v>
      </c>
      <c r="B5" s="47" t="s">
        <v>646</v>
      </c>
      <c r="C5" s="48" t="s">
        <v>659</v>
      </c>
      <c r="D5" s="55" t="s">
        <v>648</v>
      </c>
      <c r="E5" s="56" t="s">
        <v>660</v>
      </c>
      <c r="F5" s="59" t="s">
        <v>653</v>
      </c>
      <c r="G5" s="60" t="s">
        <v>661</v>
      </c>
    </row>
    <row r="6" ht="16.5" customHeight="1">
      <c r="A6" s="27" t="s">
        <v>113</v>
      </c>
      <c r="B6" s="47" t="s">
        <v>653</v>
      </c>
      <c r="C6" s="48" t="s">
        <v>662</v>
      </c>
      <c r="D6" s="62" t="s">
        <v>653</v>
      </c>
      <c r="E6" s="63" t="s">
        <v>664</v>
      </c>
      <c r="F6" s="64" t="s">
        <v>648</v>
      </c>
      <c r="G6" s="66" t="s">
        <v>666</v>
      </c>
    </row>
    <row r="7" ht="16.5" customHeight="1">
      <c r="A7" s="27" t="s">
        <v>144</v>
      </c>
      <c r="B7" s="47" t="s">
        <v>646</v>
      </c>
      <c r="C7" s="48" t="s">
        <v>669</v>
      </c>
      <c r="D7" s="55" t="s">
        <v>646</v>
      </c>
      <c r="E7" s="56" t="s">
        <v>670</v>
      </c>
      <c r="F7" s="59" t="s">
        <v>653</v>
      </c>
      <c r="G7" s="67" t="s">
        <v>672</v>
      </c>
    </row>
    <row r="8" ht="16.5" customHeight="1">
      <c r="A8" s="27" t="s">
        <v>176</v>
      </c>
      <c r="B8" s="47" t="s">
        <v>644</v>
      </c>
      <c r="C8" s="48" t="s">
        <v>674</v>
      </c>
      <c r="D8" s="55" t="s">
        <v>646</v>
      </c>
      <c r="E8" s="63" t="s">
        <v>676</v>
      </c>
      <c r="F8" s="64" t="s">
        <v>648</v>
      </c>
      <c r="G8" s="66" t="s">
        <v>678</v>
      </c>
    </row>
    <row r="9" ht="16.5" customHeight="1">
      <c r="A9" s="27" t="s">
        <v>208</v>
      </c>
      <c r="B9" s="47" t="s">
        <v>648</v>
      </c>
      <c r="C9" s="48" t="s">
        <v>680</v>
      </c>
      <c r="D9" s="62" t="s">
        <v>653</v>
      </c>
      <c r="E9" s="63" t="s">
        <v>682</v>
      </c>
      <c r="F9" s="64" t="s">
        <v>648</v>
      </c>
      <c r="G9" s="68" t="s">
        <v>683</v>
      </c>
    </row>
    <row r="10" ht="16.5" customHeight="1">
      <c r="A10" s="27" t="s">
        <v>242</v>
      </c>
      <c r="B10" s="47" t="s">
        <v>657</v>
      </c>
      <c r="C10" s="48" t="s">
        <v>686</v>
      </c>
      <c r="D10" s="62" t="s">
        <v>653</v>
      </c>
      <c r="E10" s="69" t="s">
        <v>688</v>
      </c>
      <c r="F10" s="59" t="s">
        <v>657</v>
      </c>
      <c r="G10" s="58" t="s">
        <v>690</v>
      </c>
    </row>
    <row r="11" ht="16.5" customHeight="1">
      <c r="A11" s="27" t="s">
        <v>273</v>
      </c>
      <c r="B11" s="47" t="s">
        <v>648</v>
      </c>
      <c r="C11" s="48" t="s">
        <v>691</v>
      </c>
      <c r="D11" s="55" t="s">
        <v>646</v>
      </c>
      <c r="E11" s="58" t="s">
        <v>693</v>
      </c>
      <c r="F11" s="59" t="s">
        <v>644</v>
      </c>
      <c r="G11" s="70" t="s">
        <v>695</v>
      </c>
    </row>
    <row r="12" ht="16.5" customHeight="1">
      <c r="A12" s="27" t="s">
        <v>305</v>
      </c>
      <c r="B12" s="47" t="s">
        <v>653</v>
      </c>
      <c r="C12" s="71" t="s">
        <v>697</v>
      </c>
      <c r="D12" s="55" t="s">
        <v>648</v>
      </c>
      <c r="E12" s="70" t="s">
        <v>698</v>
      </c>
      <c r="F12" s="72" t="s">
        <v>648</v>
      </c>
      <c r="G12" s="58" t="s">
        <v>699</v>
      </c>
    </row>
    <row r="13" ht="16.5" customHeight="1">
      <c r="A13" s="34"/>
      <c r="B13" s="42"/>
      <c r="C13" s="42"/>
      <c r="D13" s="42"/>
      <c r="E13" s="42"/>
      <c r="F13" s="42"/>
      <c r="G13" s="34"/>
    </row>
    <row r="14" ht="16.5" customHeight="1">
      <c r="A14" s="35" t="s">
        <v>0</v>
      </c>
      <c r="B14" s="73" t="s">
        <v>615</v>
      </c>
      <c r="C14" s="19"/>
      <c r="D14" s="73" t="s">
        <v>8</v>
      </c>
      <c r="E14" s="19"/>
      <c r="F14" s="34"/>
      <c r="G14" s="34"/>
    </row>
    <row r="15" ht="16.5" customHeight="1">
      <c r="A15" s="36"/>
      <c r="B15" s="37" t="s">
        <v>12</v>
      </c>
      <c r="C15" s="74" t="s">
        <v>13</v>
      </c>
      <c r="D15" s="37" t="s">
        <v>12</v>
      </c>
      <c r="E15" s="74" t="s">
        <v>13</v>
      </c>
      <c r="F15" s="34"/>
      <c r="G15" s="34"/>
    </row>
    <row r="16" ht="16.5" customHeight="1">
      <c r="A16" s="27" t="s">
        <v>14</v>
      </c>
      <c r="B16" s="54"/>
      <c r="C16" s="61" t="str">
        <f t="shared" ref="C16:C25" si="1">"1조" &amp; " - " &amp; B$14 &amp; " - " &amp; $A16</f>
        <v>1조 - Shared Respository - Availability</v>
      </c>
      <c r="D16" s="54"/>
      <c r="E16" s="61" t="str">
        <f t="shared" ref="E16:E25" si="2">"1조" &amp; " - " &amp; D$14 &amp; " - " &amp; $A16</f>
        <v>1조 - Blackboard - Availability</v>
      </c>
      <c r="F16" s="34"/>
      <c r="G16" s="34"/>
    </row>
    <row r="17" ht="16.5" customHeight="1">
      <c r="A17" s="27" t="s">
        <v>44</v>
      </c>
      <c r="B17" s="54"/>
      <c r="C17" s="61" t="str">
        <f t="shared" si="1"/>
        <v>1조 - Shared Respository - Deployability</v>
      </c>
      <c r="D17" s="54"/>
      <c r="E17" s="61" t="str">
        <f t="shared" si="2"/>
        <v>1조 - Blackboard - Deployability</v>
      </c>
      <c r="F17" s="34"/>
      <c r="G17" s="34"/>
    </row>
    <row r="18" ht="16.5" customHeight="1">
      <c r="A18" s="27" t="s">
        <v>80</v>
      </c>
      <c r="B18" s="54"/>
      <c r="C18" s="61" t="str">
        <f t="shared" si="1"/>
        <v>1조 - Shared Respository - Integrability</v>
      </c>
      <c r="D18" s="54"/>
      <c r="E18" s="61" t="str">
        <f t="shared" si="2"/>
        <v>1조 - Blackboard - Integrability</v>
      </c>
      <c r="F18" s="34"/>
      <c r="G18" s="34"/>
    </row>
    <row r="19" ht="16.5" customHeight="1">
      <c r="A19" s="27" t="s">
        <v>113</v>
      </c>
      <c r="B19" s="54"/>
      <c r="C19" s="61" t="str">
        <f t="shared" si="1"/>
        <v>1조 - Shared Respository - Energy Efficiency</v>
      </c>
      <c r="D19" s="54"/>
      <c r="E19" s="61" t="str">
        <f t="shared" si="2"/>
        <v>1조 - Blackboard - Energy Efficiency</v>
      </c>
      <c r="F19" s="34"/>
      <c r="G19" s="34"/>
    </row>
    <row r="20" ht="16.5" customHeight="1">
      <c r="A20" s="27" t="s">
        <v>144</v>
      </c>
      <c r="B20" s="54"/>
      <c r="C20" s="61" t="str">
        <f t="shared" si="1"/>
        <v>1조 - Shared Respository - Modifiability</v>
      </c>
      <c r="D20" s="54"/>
      <c r="E20" s="61" t="str">
        <f t="shared" si="2"/>
        <v>1조 - Blackboard - Modifiability</v>
      </c>
      <c r="F20" s="34"/>
      <c r="G20" s="34"/>
    </row>
    <row r="21" ht="16.5" customHeight="1">
      <c r="A21" s="27" t="s">
        <v>176</v>
      </c>
      <c r="B21" s="54"/>
      <c r="C21" s="61" t="str">
        <f t="shared" si="1"/>
        <v>1조 - Shared Respository - Performance</v>
      </c>
      <c r="D21" s="54"/>
      <c r="E21" s="61" t="str">
        <f t="shared" si="2"/>
        <v>1조 - Blackboard - Performance</v>
      </c>
      <c r="F21" s="34"/>
      <c r="G21" s="34"/>
    </row>
    <row r="22" ht="16.5" customHeight="1">
      <c r="A22" s="27" t="s">
        <v>208</v>
      </c>
      <c r="B22" s="54"/>
      <c r="C22" s="61" t="str">
        <f t="shared" si="1"/>
        <v>1조 - Shared Respository - Safety</v>
      </c>
      <c r="D22" s="54"/>
      <c r="E22" s="61" t="str">
        <f t="shared" si="2"/>
        <v>1조 - Blackboard - Safety</v>
      </c>
      <c r="F22" s="34"/>
      <c r="G22" s="34"/>
    </row>
    <row r="23" ht="16.5" customHeight="1">
      <c r="A23" s="27" t="s">
        <v>242</v>
      </c>
      <c r="B23" s="54"/>
      <c r="C23" s="61" t="str">
        <f t="shared" si="1"/>
        <v>1조 - Shared Respository - Security</v>
      </c>
      <c r="D23" s="54"/>
      <c r="E23" s="61" t="str">
        <f t="shared" si="2"/>
        <v>1조 - Blackboard - Security</v>
      </c>
      <c r="F23" s="34"/>
      <c r="G23" s="34"/>
    </row>
    <row r="24" ht="16.5" customHeight="1">
      <c r="A24" s="27" t="s">
        <v>273</v>
      </c>
      <c r="B24" s="54"/>
      <c r="C24" s="61" t="str">
        <f t="shared" si="1"/>
        <v>1조 - Shared Respository - Testability</v>
      </c>
      <c r="D24" s="54"/>
      <c r="E24" s="61" t="str">
        <f t="shared" si="2"/>
        <v>1조 - Blackboard - Testability</v>
      </c>
      <c r="F24" s="34"/>
      <c r="G24" s="34"/>
    </row>
    <row r="25" ht="16.5" customHeight="1">
      <c r="A25" s="27" t="s">
        <v>305</v>
      </c>
      <c r="B25" s="54"/>
      <c r="C25" s="61" t="str">
        <f t="shared" si="1"/>
        <v>1조 - Shared Respository - Usability</v>
      </c>
      <c r="D25" s="54"/>
      <c r="E25" s="61" t="str">
        <f t="shared" si="2"/>
        <v>1조 - Blackboard - Usability</v>
      </c>
      <c r="F25" s="34"/>
      <c r="G25" s="34"/>
    </row>
    <row r="26" ht="16.5" customHeight="1">
      <c r="A26" s="34"/>
      <c r="B26" s="42"/>
      <c r="C26" s="42"/>
      <c r="D26" s="42"/>
      <c r="E26" s="42"/>
      <c r="F26" s="34"/>
      <c r="G26" s="34"/>
    </row>
    <row r="27" ht="16.5" customHeight="1">
      <c r="A27" s="35" t="s">
        <v>3</v>
      </c>
      <c r="B27" s="73" t="s">
        <v>7</v>
      </c>
      <c r="C27" s="19"/>
      <c r="D27" s="73" t="s">
        <v>11</v>
      </c>
      <c r="E27" s="19"/>
      <c r="F27" s="34"/>
      <c r="G27" s="34"/>
    </row>
    <row r="28" ht="16.5" customHeight="1">
      <c r="A28" s="39"/>
      <c r="B28" s="26" t="s">
        <v>12</v>
      </c>
      <c r="C28" s="44" t="s">
        <v>13</v>
      </c>
      <c r="D28" s="26" t="s">
        <v>12</v>
      </c>
      <c r="E28" s="44" t="s">
        <v>13</v>
      </c>
      <c r="F28" s="34"/>
      <c r="G28" s="34"/>
    </row>
    <row r="29" ht="16.5" customHeight="1">
      <c r="A29" s="27" t="s">
        <v>14</v>
      </c>
      <c r="B29" s="54"/>
      <c r="C29" s="61" t="str">
        <f t="shared" ref="C29:C38" si="3">"1조" &amp; " - " &amp; B$27 &amp; " - " &amp; $A29</f>
        <v>1조 - Non-Buffered Event Based - Availability</v>
      </c>
      <c r="D29" s="54"/>
      <c r="E29" s="61" t="str">
        <f t="shared" ref="E29:E38" si="4">"1조" &amp; " - " &amp; D$27 &amp; " - " &amp; $A29</f>
        <v>1조 - Buffered Message Based - Availability</v>
      </c>
      <c r="F29" s="34"/>
      <c r="G29" s="34"/>
    </row>
    <row r="30" ht="16.5" customHeight="1">
      <c r="A30" s="27" t="s">
        <v>44</v>
      </c>
      <c r="B30" s="54"/>
      <c r="C30" s="61" t="str">
        <f t="shared" si="3"/>
        <v>1조 - Non-Buffered Event Based - Deployability</v>
      </c>
      <c r="D30" s="54"/>
      <c r="E30" s="61" t="str">
        <f t="shared" si="4"/>
        <v>1조 - Buffered Message Based - Deployability</v>
      </c>
      <c r="F30" s="34"/>
      <c r="G30" s="34"/>
    </row>
    <row r="31" ht="16.5" customHeight="1">
      <c r="A31" s="27" t="s">
        <v>80</v>
      </c>
      <c r="B31" s="54"/>
      <c r="C31" s="61" t="str">
        <f t="shared" si="3"/>
        <v>1조 - Non-Buffered Event Based - Integrability</v>
      </c>
      <c r="D31" s="54"/>
      <c r="E31" s="61" t="str">
        <f t="shared" si="4"/>
        <v>1조 - Buffered Message Based - Integrability</v>
      </c>
      <c r="F31" s="34"/>
      <c r="G31" s="34"/>
    </row>
    <row r="32" ht="16.5" customHeight="1">
      <c r="A32" s="27" t="s">
        <v>113</v>
      </c>
      <c r="B32" s="54"/>
      <c r="C32" s="61" t="str">
        <f t="shared" si="3"/>
        <v>1조 - Non-Buffered Event Based - Energy Efficiency</v>
      </c>
      <c r="D32" s="54"/>
      <c r="E32" s="61" t="str">
        <f t="shared" si="4"/>
        <v>1조 - Buffered Message Based - Energy Efficiency</v>
      </c>
      <c r="F32" s="34"/>
      <c r="G32" s="34"/>
    </row>
    <row r="33" ht="16.5" customHeight="1">
      <c r="A33" s="27" t="s">
        <v>144</v>
      </c>
      <c r="B33" s="54"/>
      <c r="C33" s="61" t="str">
        <f t="shared" si="3"/>
        <v>1조 - Non-Buffered Event Based - Modifiability</v>
      </c>
      <c r="D33" s="54"/>
      <c r="E33" s="61" t="str">
        <f t="shared" si="4"/>
        <v>1조 - Buffered Message Based - Modifiability</v>
      </c>
      <c r="F33" s="34"/>
      <c r="G33" s="34"/>
    </row>
    <row r="34" ht="16.5" customHeight="1">
      <c r="A34" s="27" t="s">
        <v>176</v>
      </c>
      <c r="B34" s="54"/>
      <c r="C34" s="61" t="str">
        <f t="shared" si="3"/>
        <v>1조 - Non-Buffered Event Based - Performance</v>
      </c>
      <c r="D34" s="54"/>
      <c r="E34" s="61" t="str">
        <f t="shared" si="4"/>
        <v>1조 - Buffered Message Based - Performance</v>
      </c>
      <c r="F34" s="34"/>
      <c r="G34" s="34"/>
    </row>
    <row r="35" ht="16.5" customHeight="1">
      <c r="A35" s="27" t="s">
        <v>208</v>
      </c>
      <c r="B35" s="54"/>
      <c r="C35" s="61" t="str">
        <f t="shared" si="3"/>
        <v>1조 - Non-Buffered Event Based - Safety</v>
      </c>
      <c r="D35" s="54"/>
      <c r="E35" s="61" t="str">
        <f t="shared" si="4"/>
        <v>1조 - Buffered Message Based - Safety</v>
      </c>
      <c r="F35" s="34"/>
      <c r="G35" s="34"/>
    </row>
    <row r="36" ht="16.5" customHeight="1">
      <c r="A36" s="27" t="s">
        <v>242</v>
      </c>
      <c r="B36" s="54"/>
      <c r="C36" s="61" t="str">
        <f t="shared" si="3"/>
        <v>1조 - Non-Buffered Event Based - Security</v>
      </c>
      <c r="D36" s="54"/>
      <c r="E36" s="61" t="str">
        <f t="shared" si="4"/>
        <v>1조 - Buffered Message Based - Security</v>
      </c>
      <c r="F36" s="34"/>
      <c r="G36" s="34"/>
    </row>
    <row r="37" ht="16.5" customHeight="1">
      <c r="A37" s="27" t="s">
        <v>273</v>
      </c>
      <c r="B37" s="54"/>
      <c r="C37" s="61" t="str">
        <f t="shared" si="3"/>
        <v>1조 - Non-Buffered Event Based - Testability</v>
      </c>
      <c r="D37" s="54"/>
      <c r="E37" s="61" t="str">
        <f t="shared" si="4"/>
        <v>1조 - Buffered Message Based - Testability</v>
      </c>
      <c r="F37" s="34"/>
      <c r="G37" s="34"/>
    </row>
    <row r="38" ht="16.5" customHeight="1">
      <c r="A38" s="27" t="s">
        <v>305</v>
      </c>
      <c r="B38" s="54"/>
      <c r="C38" s="61" t="str">
        <f t="shared" si="3"/>
        <v>1조 - Non-Buffered Event Based - Usability</v>
      </c>
      <c r="D38" s="54"/>
      <c r="E38" s="61" t="str">
        <f t="shared" si="4"/>
        <v>1조 - Buffered Message Based - Usability</v>
      </c>
      <c r="F38" s="34"/>
      <c r="G38" s="34"/>
    </row>
    <row r="39" ht="16.5" customHeight="1">
      <c r="A39" s="34"/>
      <c r="B39" s="42"/>
      <c r="C39" s="42"/>
      <c r="D39" s="42"/>
      <c r="E39" s="42"/>
      <c r="F39" s="34"/>
      <c r="G39" s="34"/>
    </row>
    <row r="40" ht="16.5" customHeight="1">
      <c r="A40" s="35" t="s">
        <v>1</v>
      </c>
      <c r="B40" s="46" t="s">
        <v>4</v>
      </c>
      <c r="C40" s="19"/>
      <c r="D40" s="46" t="s">
        <v>9</v>
      </c>
      <c r="E40" s="19"/>
      <c r="F40" s="34"/>
      <c r="G40" s="34"/>
      <c r="H40" s="34"/>
    </row>
    <row r="41" ht="16.5" customHeight="1">
      <c r="A41" s="39"/>
      <c r="B41" s="26" t="s">
        <v>12</v>
      </c>
      <c r="C41" s="26" t="s">
        <v>13</v>
      </c>
      <c r="D41" s="26" t="s">
        <v>12</v>
      </c>
      <c r="E41" s="26" t="s">
        <v>13</v>
      </c>
      <c r="F41" s="34"/>
      <c r="G41" s="34"/>
      <c r="H41" s="34"/>
      <c r="I41" s="40"/>
    </row>
    <row r="42" ht="16.5" customHeight="1">
      <c r="A42" s="27" t="s">
        <v>14</v>
      </c>
      <c r="B42" s="54"/>
      <c r="C42" s="61" t="str">
        <f t="shared" ref="C42:C51" si="5">"1조" &amp; " - " &amp; B$40 &amp; " - " &amp; $A42</f>
        <v>1조 - MVC - Availability</v>
      </c>
      <c r="D42" s="54"/>
      <c r="E42" s="61" t="str">
        <f t="shared" ref="E42:E51" si="6">"1조" &amp; " - " &amp; D$40 &amp; " - " &amp; $A42</f>
        <v>1조 - PAC - Availability</v>
      </c>
      <c r="F42" s="34"/>
      <c r="G42" s="34"/>
      <c r="H42" s="34"/>
    </row>
    <row r="43" ht="16.5" customHeight="1">
      <c r="A43" s="27" t="s">
        <v>44</v>
      </c>
      <c r="B43" s="54"/>
      <c r="C43" s="61" t="str">
        <f t="shared" si="5"/>
        <v>1조 - MVC - Deployability</v>
      </c>
      <c r="D43" s="54"/>
      <c r="E43" s="61" t="str">
        <f t="shared" si="6"/>
        <v>1조 - PAC - Deployability</v>
      </c>
      <c r="F43" s="34"/>
      <c r="G43" s="34"/>
      <c r="H43" s="34"/>
    </row>
    <row r="44" ht="16.5" customHeight="1">
      <c r="A44" s="27" t="s">
        <v>80</v>
      </c>
      <c r="B44" s="54"/>
      <c r="C44" s="61" t="str">
        <f t="shared" si="5"/>
        <v>1조 - MVC - Integrability</v>
      </c>
      <c r="D44" s="54"/>
      <c r="E44" s="61" t="str">
        <f t="shared" si="6"/>
        <v>1조 - PAC - Integrability</v>
      </c>
      <c r="F44" s="34"/>
      <c r="G44" s="34"/>
      <c r="H44" s="34"/>
    </row>
    <row r="45" ht="16.5" customHeight="1">
      <c r="A45" s="27" t="s">
        <v>113</v>
      </c>
      <c r="B45" s="54"/>
      <c r="C45" s="61" t="str">
        <f t="shared" si="5"/>
        <v>1조 - MVC - Energy Efficiency</v>
      </c>
      <c r="D45" s="54"/>
      <c r="E45" s="61" t="str">
        <f t="shared" si="6"/>
        <v>1조 - PAC - Energy Efficiency</v>
      </c>
      <c r="F45" s="34"/>
      <c r="G45" s="34"/>
      <c r="H45" s="34"/>
    </row>
    <row r="46" ht="16.5" customHeight="1">
      <c r="A46" s="27" t="s">
        <v>144</v>
      </c>
      <c r="B46" s="54"/>
      <c r="C46" s="61" t="str">
        <f t="shared" si="5"/>
        <v>1조 - MVC - Modifiability</v>
      </c>
      <c r="D46" s="54"/>
      <c r="E46" s="61" t="str">
        <f t="shared" si="6"/>
        <v>1조 - PAC - Modifiability</v>
      </c>
      <c r="F46" s="34"/>
      <c r="G46" s="34"/>
      <c r="H46" s="34"/>
    </row>
    <row r="47" ht="16.5" customHeight="1">
      <c r="A47" s="27" t="s">
        <v>176</v>
      </c>
      <c r="B47" s="54"/>
      <c r="C47" s="61" t="str">
        <f t="shared" si="5"/>
        <v>1조 - MVC - Performance</v>
      </c>
      <c r="D47" s="54"/>
      <c r="E47" s="61" t="str">
        <f t="shared" si="6"/>
        <v>1조 - PAC - Performance</v>
      </c>
      <c r="F47" s="34"/>
      <c r="G47" s="34"/>
      <c r="H47" s="34"/>
    </row>
    <row r="48" ht="16.5" customHeight="1">
      <c r="A48" s="27" t="s">
        <v>208</v>
      </c>
      <c r="B48" s="54"/>
      <c r="C48" s="61" t="str">
        <f t="shared" si="5"/>
        <v>1조 - MVC - Safety</v>
      </c>
      <c r="D48" s="54"/>
      <c r="E48" s="61" t="str">
        <f t="shared" si="6"/>
        <v>1조 - PAC - Safety</v>
      </c>
      <c r="F48" s="34"/>
      <c r="G48" s="34"/>
      <c r="H48" s="34"/>
    </row>
    <row r="49" ht="16.5" customHeight="1">
      <c r="A49" s="27" t="s">
        <v>242</v>
      </c>
      <c r="B49" s="54"/>
      <c r="C49" s="61" t="str">
        <f t="shared" si="5"/>
        <v>1조 - MVC - Security</v>
      </c>
      <c r="D49" s="54"/>
      <c r="E49" s="61" t="str">
        <f t="shared" si="6"/>
        <v>1조 - PAC - Security</v>
      </c>
      <c r="F49" s="34"/>
      <c r="G49" s="34"/>
      <c r="H49" s="34"/>
    </row>
    <row r="50" ht="16.5" customHeight="1">
      <c r="A50" s="27" t="s">
        <v>273</v>
      </c>
      <c r="B50" s="54"/>
      <c r="C50" s="61" t="str">
        <f t="shared" si="5"/>
        <v>1조 - MVC - Testability</v>
      </c>
      <c r="D50" s="54"/>
      <c r="E50" s="61" t="str">
        <f t="shared" si="6"/>
        <v>1조 - PAC - Testability</v>
      </c>
      <c r="F50" s="34"/>
      <c r="G50" s="42"/>
      <c r="H50" s="34"/>
      <c r="I50" s="41"/>
    </row>
    <row r="51" ht="16.5" customHeight="1">
      <c r="A51" s="27" t="s">
        <v>305</v>
      </c>
      <c r="B51" s="54"/>
      <c r="C51" s="61" t="str">
        <f t="shared" si="5"/>
        <v>1조 - MVC - Usability</v>
      </c>
      <c r="D51" s="54"/>
      <c r="E51" s="61" t="str">
        <f t="shared" si="6"/>
        <v>1조 - PAC - Usability</v>
      </c>
      <c r="F51" s="34"/>
      <c r="G51" s="42"/>
      <c r="H51" s="34"/>
      <c r="I51" s="40"/>
    </row>
    <row r="52" ht="16.5" customHeight="1">
      <c r="A52" s="34"/>
      <c r="B52" s="42"/>
      <c r="C52" s="34"/>
      <c r="D52" s="42"/>
      <c r="E52" s="34"/>
      <c r="F52" s="34"/>
      <c r="G52" s="34"/>
    </row>
    <row r="53" ht="16.5" customHeight="1">
      <c r="A53" s="35" t="s">
        <v>361</v>
      </c>
      <c r="B53" s="73" t="s">
        <v>362</v>
      </c>
      <c r="C53" s="19"/>
      <c r="D53" s="73" t="s">
        <v>363</v>
      </c>
      <c r="E53" s="19"/>
      <c r="F53" s="34"/>
      <c r="G53" s="42"/>
      <c r="H53" s="34"/>
    </row>
    <row r="54" ht="16.5" customHeight="1">
      <c r="A54" s="39"/>
      <c r="B54" s="26" t="s">
        <v>12</v>
      </c>
      <c r="C54" s="44" t="s">
        <v>13</v>
      </c>
      <c r="D54" s="26" t="s">
        <v>12</v>
      </c>
      <c r="E54" s="44" t="s">
        <v>13</v>
      </c>
      <c r="F54" s="34"/>
      <c r="G54" s="42"/>
      <c r="H54" s="34"/>
    </row>
    <row r="55" ht="16.5" customHeight="1">
      <c r="A55" s="27" t="s">
        <v>14</v>
      </c>
      <c r="B55" s="54"/>
      <c r="C55" s="61" t="str">
        <f t="shared" ref="C55:C64" si="7">"1조" &amp; " - " &amp; B$53 &amp; " - " &amp; $A55</f>
        <v>1조 - Main-subroutine - Availability</v>
      </c>
      <c r="D55" s="54"/>
      <c r="E55" s="61" t="str">
        <f t="shared" ref="E55:E64" si="8">"1조" &amp; " - " &amp; D$53 &amp; " - " &amp; $A55</f>
        <v>1조 - Master-Slave - Availability</v>
      </c>
      <c r="F55" s="34"/>
      <c r="G55" s="42"/>
      <c r="H55" s="34"/>
    </row>
    <row r="56" ht="16.5" customHeight="1">
      <c r="A56" s="27" t="s">
        <v>44</v>
      </c>
      <c r="B56" s="54"/>
      <c r="C56" s="65" t="str">
        <f t="shared" si="7"/>
        <v>1조 - Main-subroutine - Deployability</v>
      </c>
      <c r="D56" s="54"/>
      <c r="E56" s="61" t="str">
        <f t="shared" si="8"/>
        <v>1조 - Master-Slave - Deployability</v>
      </c>
      <c r="F56" s="34"/>
      <c r="G56" s="42"/>
      <c r="H56" s="34"/>
    </row>
    <row r="57" ht="16.5" customHeight="1">
      <c r="A57" s="27" t="s">
        <v>80</v>
      </c>
      <c r="B57" s="54"/>
      <c r="C57" s="61" t="str">
        <f t="shared" si="7"/>
        <v>1조 - Main-subroutine - Integrability</v>
      </c>
      <c r="D57" s="54"/>
      <c r="E57" s="61" t="str">
        <f t="shared" si="8"/>
        <v>1조 - Master-Slave - Integrability</v>
      </c>
      <c r="F57" s="34"/>
      <c r="G57" s="42"/>
      <c r="H57" s="34"/>
    </row>
    <row r="58" ht="16.5" customHeight="1">
      <c r="A58" s="27" t="s">
        <v>113</v>
      </c>
      <c r="B58" s="54"/>
      <c r="C58" s="61" t="str">
        <f t="shared" si="7"/>
        <v>1조 - Main-subroutine - Energy Efficiency</v>
      </c>
      <c r="D58" s="54"/>
      <c r="E58" s="61" t="str">
        <f t="shared" si="8"/>
        <v>1조 - Master-Slave - Energy Efficiency</v>
      </c>
      <c r="F58" s="34"/>
      <c r="G58" s="42"/>
      <c r="H58" s="34"/>
    </row>
    <row r="59" ht="16.5" customHeight="1">
      <c r="A59" s="27" t="s">
        <v>144</v>
      </c>
      <c r="B59" s="54"/>
      <c r="C59" s="61" t="str">
        <f t="shared" si="7"/>
        <v>1조 - Main-subroutine - Modifiability</v>
      </c>
      <c r="D59" s="54"/>
      <c r="E59" s="61" t="str">
        <f t="shared" si="8"/>
        <v>1조 - Master-Slave - Modifiability</v>
      </c>
      <c r="F59" s="34"/>
      <c r="G59" s="42"/>
      <c r="H59" s="34"/>
    </row>
    <row r="60" ht="16.5" customHeight="1">
      <c r="A60" s="27" t="s">
        <v>176</v>
      </c>
      <c r="B60" s="54"/>
      <c r="C60" s="61" t="str">
        <f t="shared" si="7"/>
        <v>1조 - Main-subroutine - Performance</v>
      </c>
      <c r="D60" s="54"/>
      <c r="E60" s="61" t="str">
        <f t="shared" si="8"/>
        <v>1조 - Master-Slave - Performance</v>
      </c>
      <c r="F60" s="34"/>
      <c r="G60" s="42"/>
      <c r="H60" s="34"/>
      <c r="I60" s="41"/>
    </row>
    <row r="61" ht="16.5" customHeight="1">
      <c r="A61" s="27" t="s">
        <v>208</v>
      </c>
      <c r="B61" s="54"/>
      <c r="C61" s="61" t="str">
        <f t="shared" si="7"/>
        <v>1조 - Main-subroutine - Safety</v>
      </c>
      <c r="D61" s="54"/>
      <c r="E61" s="61" t="str">
        <f t="shared" si="8"/>
        <v>1조 - Master-Slave - Safety</v>
      </c>
      <c r="F61" s="34"/>
      <c r="G61" s="42"/>
      <c r="H61" s="34"/>
      <c r="I61" s="40"/>
    </row>
    <row r="62" ht="16.5" customHeight="1">
      <c r="A62" s="27" t="s">
        <v>242</v>
      </c>
      <c r="B62" s="54"/>
      <c r="C62" s="61" t="str">
        <f t="shared" si="7"/>
        <v>1조 - Main-subroutine - Security</v>
      </c>
      <c r="D62" s="54"/>
      <c r="E62" s="61" t="str">
        <f t="shared" si="8"/>
        <v>1조 - Master-Slave - Security</v>
      </c>
      <c r="F62" s="34"/>
      <c r="G62" s="42"/>
      <c r="H62" s="34"/>
    </row>
    <row r="63" ht="16.5" customHeight="1">
      <c r="A63" s="27" t="s">
        <v>273</v>
      </c>
      <c r="B63" s="54"/>
      <c r="C63" s="61" t="str">
        <f t="shared" si="7"/>
        <v>1조 - Main-subroutine - Testability</v>
      </c>
      <c r="D63" s="54"/>
      <c r="E63" s="61" t="str">
        <f t="shared" si="8"/>
        <v>1조 - Master-Slave - Testability</v>
      </c>
      <c r="F63" s="34"/>
      <c r="G63" s="42"/>
      <c r="H63" s="34"/>
    </row>
    <row r="64" ht="16.5" customHeight="1">
      <c r="A64" s="27" t="s">
        <v>305</v>
      </c>
      <c r="B64" s="54"/>
      <c r="C64" s="61" t="str">
        <f t="shared" si="7"/>
        <v>1조 - Main-subroutine - Usability</v>
      </c>
      <c r="D64" s="54"/>
      <c r="E64" s="61" t="str">
        <f t="shared" si="8"/>
        <v>1조 - Master-Slave - Usability</v>
      </c>
      <c r="F64" s="34"/>
      <c r="G64" s="42"/>
      <c r="H64" s="34"/>
    </row>
    <row r="65" ht="16.5" customHeight="1">
      <c r="A65" s="34"/>
      <c r="B65" s="42"/>
      <c r="C65" s="42"/>
      <c r="D65" s="42"/>
      <c r="E65" s="42"/>
      <c r="F65" s="34"/>
      <c r="G65" s="42"/>
      <c r="H65" s="34"/>
    </row>
    <row r="66" ht="16.5" customHeight="1">
      <c r="A66" s="35" t="s">
        <v>361</v>
      </c>
      <c r="B66" s="73" t="s">
        <v>377</v>
      </c>
      <c r="C66" s="19"/>
      <c r="D66" s="73" t="s">
        <v>378</v>
      </c>
      <c r="E66" s="19"/>
      <c r="F66" s="73" t="s">
        <v>379</v>
      </c>
      <c r="G66" s="19"/>
      <c r="H66" s="34"/>
    </row>
    <row r="67" ht="16.5" customHeight="1">
      <c r="A67" s="39"/>
      <c r="B67" s="26" t="s">
        <v>12</v>
      </c>
      <c r="C67" s="44" t="s">
        <v>13</v>
      </c>
      <c r="D67" s="26" t="s">
        <v>12</v>
      </c>
      <c r="E67" s="44" t="s">
        <v>13</v>
      </c>
      <c r="F67" s="26" t="s">
        <v>12</v>
      </c>
      <c r="G67" s="44" t="s">
        <v>13</v>
      </c>
      <c r="H67" s="34"/>
    </row>
    <row r="68" ht="16.5" customHeight="1">
      <c r="A68" s="27" t="s">
        <v>14</v>
      </c>
      <c r="B68" s="54"/>
      <c r="C68" s="61" t="str">
        <f t="shared" ref="C68:C77" si="9">"1조" &amp; " - " &amp; B$66 &amp; " - " &amp; $A68</f>
        <v>1조 - Layered - Availability</v>
      </c>
      <c r="D68" s="54"/>
      <c r="E68" s="61" t="str">
        <f t="shared" ref="E68:E77" si="10">"1조" &amp; " - " &amp; D$66 &amp; " - " &amp; $A68</f>
        <v>1조 - Virtual Machine - Availability</v>
      </c>
      <c r="F68" s="54"/>
      <c r="G68" s="61" t="str">
        <f t="shared" ref="G68:G77" si="11">"1조" &amp; " - " &amp; F$66 &amp; " - " &amp; $A68</f>
        <v>1조 - Microkernel - Availability</v>
      </c>
      <c r="H68" s="34"/>
    </row>
    <row r="69" ht="16.5" customHeight="1">
      <c r="A69" s="27" t="s">
        <v>44</v>
      </c>
      <c r="B69" s="54"/>
      <c r="C69" s="61" t="str">
        <f t="shared" si="9"/>
        <v>1조 - Layered - Deployability</v>
      </c>
      <c r="D69" s="54"/>
      <c r="E69" s="65" t="str">
        <f t="shared" si="10"/>
        <v>1조 - Virtual Machine - Deployability</v>
      </c>
      <c r="F69" s="54"/>
      <c r="G69" s="61" t="str">
        <f t="shared" si="11"/>
        <v>1조 - Microkernel - Deployability</v>
      </c>
      <c r="H69" s="34"/>
    </row>
    <row r="70" ht="16.5" customHeight="1">
      <c r="A70" s="27" t="s">
        <v>80</v>
      </c>
      <c r="B70" s="54"/>
      <c r="C70" s="61" t="str">
        <f t="shared" si="9"/>
        <v>1조 - Layered - Integrability</v>
      </c>
      <c r="D70" s="54"/>
      <c r="E70" s="61" t="str">
        <f t="shared" si="10"/>
        <v>1조 - Virtual Machine - Integrability</v>
      </c>
      <c r="F70" s="54"/>
      <c r="G70" s="61" t="str">
        <f t="shared" si="11"/>
        <v>1조 - Microkernel - Integrability</v>
      </c>
      <c r="H70" s="34"/>
    </row>
    <row r="71" ht="16.5" customHeight="1">
      <c r="A71" s="27" t="s">
        <v>113</v>
      </c>
      <c r="B71" s="54"/>
      <c r="C71" s="61" t="str">
        <f t="shared" si="9"/>
        <v>1조 - Layered - Energy Efficiency</v>
      </c>
      <c r="D71" s="54"/>
      <c r="E71" s="61" t="str">
        <f t="shared" si="10"/>
        <v>1조 - Virtual Machine - Energy Efficiency</v>
      </c>
      <c r="F71" s="54"/>
      <c r="G71" s="61" t="str">
        <f t="shared" si="11"/>
        <v>1조 - Microkernel - Energy Efficiency</v>
      </c>
      <c r="H71" s="34"/>
    </row>
    <row r="72" ht="16.5" customHeight="1">
      <c r="A72" s="27" t="s">
        <v>144</v>
      </c>
      <c r="B72" s="54"/>
      <c r="C72" s="61" t="str">
        <f t="shared" si="9"/>
        <v>1조 - Layered - Modifiability</v>
      </c>
      <c r="D72" s="54"/>
      <c r="E72" s="61" t="str">
        <f t="shared" si="10"/>
        <v>1조 - Virtual Machine - Modifiability</v>
      </c>
      <c r="F72" s="54"/>
      <c r="G72" s="61" t="str">
        <f t="shared" si="11"/>
        <v>1조 - Microkernel - Modifiability</v>
      </c>
      <c r="H72" s="34"/>
    </row>
    <row r="73" ht="16.5" customHeight="1">
      <c r="A73" s="27" t="s">
        <v>176</v>
      </c>
      <c r="B73" s="54"/>
      <c r="C73" s="61" t="str">
        <f t="shared" si="9"/>
        <v>1조 - Layered - Performance</v>
      </c>
      <c r="D73" s="54"/>
      <c r="E73" s="61" t="str">
        <f t="shared" si="10"/>
        <v>1조 - Virtual Machine - Performance</v>
      </c>
      <c r="F73" s="54"/>
      <c r="G73" s="61" t="str">
        <f t="shared" si="11"/>
        <v>1조 - Microkernel - Performance</v>
      </c>
      <c r="H73" s="34"/>
    </row>
    <row r="74" ht="16.5" customHeight="1">
      <c r="A74" s="27" t="s">
        <v>208</v>
      </c>
      <c r="B74" s="54"/>
      <c r="C74" s="61" t="str">
        <f t="shared" si="9"/>
        <v>1조 - Layered - Safety</v>
      </c>
      <c r="D74" s="54"/>
      <c r="E74" s="61" t="str">
        <f t="shared" si="10"/>
        <v>1조 - Virtual Machine - Safety</v>
      </c>
      <c r="F74" s="54"/>
      <c r="G74" s="61" t="str">
        <f t="shared" si="11"/>
        <v>1조 - Microkernel - Safety</v>
      </c>
    </row>
    <row r="75" ht="16.5" customHeight="1">
      <c r="A75" s="27" t="s">
        <v>242</v>
      </c>
      <c r="B75" s="54"/>
      <c r="C75" s="61" t="str">
        <f t="shared" si="9"/>
        <v>1조 - Layered - Security</v>
      </c>
      <c r="D75" s="54"/>
      <c r="E75" s="61" t="str">
        <f t="shared" si="10"/>
        <v>1조 - Virtual Machine - Security</v>
      </c>
      <c r="F75" s="54"/>
      <c r="G75" s="61" t="str">
        <f t="shared" si="11"/>
        <v>1조 - Microkernel - Security</v>
      </c>
    </row>
    <row r="76" ht="16.5" customHeight="1">
      <c r="A76" s="27" t="s">
        <v>273</v>
      </c>
      <c r="B76" s="54"/>
      <c r="C76" s="61" t="str">
        <f t="shared" si="9"/>
        <v>1조 - Layered - Testability</v>
      </c>
      <c r="D76" s="54"/>
      <c r="E76" s="61" t="str">
        <f t="shared" si="10"/>
        <v>1조 - Virtual Machine - Testability</v>
      </c>
      <c r="F76" s="54"/>
      <c r="G76" s="61" t="str">
        <f t="shared" si="11"/>
        <v>1조 - Microkernel - Testability</v>
      </c>
    </row>
    <row r="77" ht="16.5" customHeight="1">
      <c r="A77" s="27" t="s">
        <v>305</v>
      </c>
      <c r="B77" s="54"/>
      <c r="C77" s="61" t="str">
        <f t="shared" si="9"/>
        <v>1조 - Layered - Usability</v>
      </c>
      <c r="D77" s="54"/>
      <c r="E77" s="61" t="str">
        <f t="shared" si="10"/>
        <v>1조 - Virtual Machine - Usability</v>
      </c>
      <c r="F77" s="54"/>
      <c r="G77" s="61" t="str">
        <f t="shared" si="11"/>
        <v>1조 - Microkernel - Usability</v>
      </c>
    </row>
    <row r="78" ht="16.5" customHeight="1">
      <c r="A78" s="34"/>
      <c r="B78" s="42"/>
      <c r="C78" s="42"/>
      <c r="D78" s="42"/>
      <c r="E78" s="42"/>
      <c r="F78" s="42"/>
      <c r="G78" s="42"/>
    </row>
    <row r="79" ht="16.5" customHeight="1">
      <c r="A79" s="24" t="s">
        <v>386</v>
      </c>
      <c r="B79" s="73" t="s">
        <v>627</v>
      </c>
      <c r="C79" s="19"/>
      <c r="D79" s="73" t="s">
        <v>392</v>
      </c>
      <c r="E79" s="19"/>
    </row>
    <row r="80" ht="16.5" customHeight="1">
      <c r="A80" s="20"/>
      <c r="B80" s="26" t="s">
        <v>12</v>
      </c>
      <c r="C80" s="26" t="s">
        <v>13</v>
      </c>
      <c r="D80" s="26" t="s">
        <v>12</v>
      </c>
      <c r="E80" s="26" t="s">
        <v>13</v>
      </c>
    </row>
    <row r="81" ht="16.5" customHeight="1">
      <c r="A81" s="27" t="s">
        <v>14</v>
      </c>
      <c r="B81" s="47" t="s">
        <v>646</v>
      </c>
      <c r="C81" s="76" t="s">
        <v>730</v>
      </c>
      <c r="D81" s="54"/>
      <c r="E81" s="61" t="str">
        <f t="shared" ref="E81:E90" si="12">"1조" &amp; " - " &amp; D$79 &amp; " - " &amp; $A81</f>
        <v>1조 - Client-Server - Availability</v>
      </c>
    </row>
    <row r="82" ht="16.5" customHeight="1">
      <c r="A82" s="27" t="s">
        <v>44</v>
      </c>
      <c r="B82" s="47" t="s">
        <v>646</v>
      </c>
      <c r="C82" s="77" t="s">
        <v>731</v>
      </c>
      <c r="D82" s="54"/>
      <c r="E82" s="61" t="str">
        <f t="shared" si="12"/>
        <v>1조 - Client-Server - Deployability</v>
      </c>
    </row>
    <row r="83" ht="16.5" customHeight="1">
      <c r="A83" s="27" t="s">
        <v>80</v>
      </c>
      <c r="B83" s="47" t="s">
        <v>648</v>
      </c>
      <c r="C83" s="77" t="s">
        <v>732</v>
      </c>
      <c r="D83" s="54"/>
      <c r="E83" s="61" t="str">
        <f t="shared" si="12"/>
        <v>1조 - Client-Server - Integrability</v>
      </c>
    </row>
    <row r="84" ht="16.5" customHeight="1">
      <c r="A84" s="27" t="s">
        <v>113</v>
      </c>
      <c r="B84" s="47" t="s">
        <v>657</v>
      </c>
      <c r="C84" s="78" t="s">
        <v>733</v>
      </c>
      <c r="D84" s="54"/>
      <c r="E84" s="61" t="str">
        <f t="shared" si="12"/>
        <v>1조 - Client-Server - Energy Efficiency</v>
      </c>
    </row>
    <row r="85" ht="16.5" customHeight="1">
      <c r="A85" s="27" t="s">
        <v>144</v>
      </c>
      <c r="B85" s="47" t="s">
        <v>646</v>
      </c>
      <c r="C85" s="79" t="s">
        <v>734</v>
      </c>
      <c r="D85" s="54"/>
      <c r="E85" s="61" t="str">
        <f t="shared" si="12"/>
        <v>1조 - Client-Server - Modifiability</v>
      </c>
    </row>
    <row r="86" ht="16.5" customHeight="1">
      <c r="A86" s="27" t="s">
        <v>176</v>
      </c>
      <c r="B86" s="47" t="s">
        <v>657</v>
      </c>
      <c r="C86" s="79" t="s">
        <v>735</v>
      </c>
      <c r="D86" s="54"/>
      <c r="E86" s="61" t="str">
        <f t="shared" si="12"/>
        <v>1조 - Client-Server - Performance</v>
      </c>
    </row>
    <row r="87" ht="16.5" customHeight="1">
      <c r="A87" s="27" t="s">
        <v>208</v>
      </c>
      <c r="B87" s="47" t="s">
        <v>646</v>
      </c>
      <c r="C87" s="78" t="s">
        <v>736</v>
      </c>
      <c r="D87" s="54"/>
      <c r="E87" s="61" t="str">
        <f t="shared" si="12"/>
        <v>1조 - Client-Server - Safety</v>
      </c>
    </row>
    <row r="88" ht="16.5" customHeight="1">
      <c r="A88" s="27" t="s">
        <v>242</v>
      </c>
      <c r="B88" s="47" t="s">
        <v>648</v>
      </c>
      <c r="C88" s="78" t="s">
        <v>737</v>
      </c>
      <c r="D88" s="54"/>
      <c r="E88" s="61" t="str">
        <f t="shared" si="12"/>
        <v>1조 - Client-Server - Security</v>
      </c>
    </row>
    <row r="89" ht="16.5" customHeight="1">
      <c r="A89" s="27" t="s">
        <v>273</v>
      </c>
      <c r="B89" s="47" t="s">
        <v>646</v>
      </c>
      <c r="C89" s="77" t="s">
        <v>738</v>
      </c>
      <c r="D89" s="54"/>
      <c r="E89" s="61" t="str">
        <f t="shared" si="12"/>
        <v>1조 - Client-Server - Testability</v>
      </c>
    </row>
    <row r="90" ht="16.5" customHeight="1">
      <c r="A90" s="27" t="s">
        <v>305</v>
      </c>
      <c r="B90" s="47" t="s">
        <v>653</v>
      </c>
      <c r="C90" s="79" t="s">
        <v>740</v>
      </c>
      <c r="D90" s="54"/>
      <c r="E90" s="61" t="str">
        <f t="shared" si="12"/>
        <v>1조 - Client-Server - Usability</v>
      </c>
    </row>
    <row r="91" ht="16.5" customHeight="1">
      <c r="A91" s="34"/>
      <c r="B91" s="42"/>
      <c r="C91" s="34"/>
      <c r="D91" s="42"/>
      <c r="E91" s="34"/>
      <c r="F91" s="42"/>
      <c r="G91" s="34"/>
    </row>
    <row r="92" ht="16.5" customHeight="1">
      <c r="A92" s="24" t="s">
        <v>386</v>
      </c>
      <c r="B92" s="73" t="s">
        <v>499</v>
      </c>
      <c r="C92" s="19"/>
      <c r="D92" s="46" t="s">
        <v>502</v>
      </c>
      <c r="E92" s="19"/>
    </row>
    <row r="93" ht="16.5" customHeight="1">
      <c r="A93" s="20"/>
      <c r="B93" s="26" t="s">
        <v>12</v>
      </c>
      <c r="C93" s="26" t="s">
        <v>13</v>
      </c>
      <c r="D93" s="26" t="s">
        <v>12</v>
      </c>
      <c r="E93" s="26" t="s">
        <v>13</v>
      </c>
    </row>
    <row r="94" ht="16.5" customHeight="1">
      <c r="A94" s="27" t="s">
        <v>14</v>
      </c>
      <c r="B94" s="54"/>
      <c r="C94" s="61" t="str">
        <f t="shared" ref="C94:C103" si="13">"1조" &amp; " - " &amp; B$92 &amp; " - " &amp; $A94</f>
        <v>1조 - Broker - Availability</v>
      </c>
      <c r="D94" s="54"/>
      <c r="E94" s="61" t="str">
        <f t="shared" ref="E94:E103" si="14">"1조" &amp; " - " &amp; D$92 &amp; " - " &amp; $A94</f>
        <v>1조 - Dispatcher - Availability</v>
      </c>
    </row>
    <row r="95" ht="16.5" customHeight="1">
      <c r="A95" s="27" t="s">
        <v>44</v>
      </c>
      <c r="B95" s="54"/>
      <c r="C95" s="61" t="str">
        <f t="shared" si="13"/>
        <v>1조 - Broker - Deployability</v>
      </c>
      <c r="D95" s="54"/>
      <c r="E95" s="61" t="str">
        <f t="shared" si="14"/>
        <v>1조 - Dispatcher - Deployability</v>
      </c>
    </row>
    <row r="96" ht="16.5" customHeight="1">
      <c r="A96" s="27" t="s">
        <v>80</v>
      </c>
      <c r="B96" s="54"/>
      <c r="C96" s="61" t="str">
        <f t="shared" si="13"/>
        <v>1조 - Broker - Integrability</v>
      </c>
      <c r="D96" s="54"/>
      <c r="E96" s="61" t="str">
        <f t="shared" si="14"/>
        <v>1조 - Dispatcher - Integrability</v>
      </c>
    </row>
    <row r="97" ht="16.5" customHeight="1">
      <c r="A97" s="27" t="s">
        <v>113</v>
      </c>
      <c r="B97" s="54"/>
      <c r="C97" s="61" t="str">
        <f t="shared" si="13"/>
        <v>1조 - Broker - Energy Efficiency</v>
      </c>
      <c r="D97" s="54"/>
      <c r="E97" s="61" t="str">
        <f t="shared" si="14"/>
        <v>1조 - Dispatcher - Energy Efficiency</v>
      </c>
    </row>
    <row r="98" ht="16.5" customHeight="1">
      <c r="A98" s="27" t="s">
        <v>144</v>
      </c>
      <c r="B98" s="54"/>
      <c r="C98" s="61" t="str">
        <f t="shared" si="13"/>
        <v>1조 - Broker - Modifiability</v>
      </c>
      <c r="D98" s="54"/>
      <c r="E98" s="61" t="str">
        <f t="shared" si="14"/>
        <v>1조 - Dispatcher - Modifiability</v>
      </c>
    </row>
    <row r="99" ht="16.5" customHeight="1">
      <c r="A99" s="27" t="s">
        <v>176</v>
      </c>
      <c r="B99" s="54"/>
      <c r="C99" s="61" t="str">
        <f t="shared" si="13"/>
        <v>1조 - Broker - Performance</v>
      </c>
      <c r="D99" s="54"/>
      <c r="E99" s="61" t="str">
        <f t="shared" si="14"/>
        <v>1조 - Dispatcher - Performance</v>
      </c>
    </row>
    <row r="100" ht="16.5" customHeight="1">
      <c r="A100" s="27" t="s">
        <v>208</v>
      </c>
      <c r="B100" s="54"/>
      <c r="C100" s="61" t="str">
        <f t="shared" si="13"/>
        <v>1조 - Broker - Safety</v>
      </c>
      <c r="D100" s="54"/>
      <c r="E100" s="61" t="str">
        <f t="shared" si="14"/>
        <v>1조 - Dispatcher - Safety</v>
      </c>
    </row>
    <row r="101" ht="16.5" customHeight="1">
      <c r="A101" s="27" t="s">
        <v>242</v>
      </c>
      <c r="B101" s="54"/>
      <c r="C101" s="61" t="str">
        <f t="shared" si="13"/>
        <v>1조 - Broker - Security</v>
      </c>
      <c r="D101" s="54"/>
      <c r="E101" s="61" t="str">
        <f t="shared" si="14"/>
        <v>1조 - Dispatcher - Security</v>
      </c>
    </row>
    <row r="102" ht="16.5" customHeight="1">
      <c r="A102" s="27" t="s">
        <v>273</v>
      </c>
      <c r="B102" s="54"/>
      <c r="C102" s="61" t="str">
        <f t="shared" si="13"/>
        <v>1조 - Broker - Testability</v>
      </c>
      <c r="D102" s="54"/>
      <c r="E102" s="61" t="str">
        <f t="shared" si="14"/>
        <v>1조 - Dispatcher - Testability</v>
      </c>
    </row>
    <row r="103" ht="16.5" customHeight="1">
      <c r="A103" s="27" t="s">
        <v>305</v>
      </c>
      <c r="B103" s="54"/>
      <c r="C103" s="61" t="str">
        <f t="shared" si="13"/>
        <v>1조 - Broker - Usability</v>
      </c>
      <c r="D103" s="54"/>
      <c r="E103" s="61" t="str">
        <f t="shared" si="14"/>
        <v>1조 - Dispatcher - Usability</v>
      </c>
    </row>
    <row r="104" ht="16.5" customHeight="1">
      <c r="A104" s="34"/>
      <c r="B104" s="42"/>
      <c r="C104" s="34"/>
      <c r="D104" s="42"/>
      <c r="E104" s="34"/>
      <c r="F104" s="34"/>
      <c r="G104" s="34"/>
    </row>
    <row r="105" ht="16.5" customHeight="1">
      <c r="A105" s="24" t="s">
        <v>386</v>
      </c>
      <c r="B105" s="73" t="s">
        <v>568</v>
      </c>
      <c r="C105" s="19"/>
      <c r="D105" s="46" t="s">
        <v>739</v>
      </c>
      <c r="E105" s="19"/>
    </row>
    <row r="106" ht="16.5" customHeight="1">
      <c r="A106" s="20"/>
      <c r="B106" s="26" t="s">
        <v>12</v>
      </c>
      <c r="C106" s="26" t="s">
        <v>13</v>
      </c>
      <c r="D106" s="26" t="s">
        <v>12</v>
      </c>
      <c r="E106" s="26" t="s">
        <v>13</v>
      </c>
    </row>
    <row r="107" ht="16.5" customHeight="1">
      <c r="A107" s="27" t="s">
        <v>14</v>
      </c>
      <c r="B107" s="54"/>
      <c r="C107" s="61" t="str">
        <f t="shared" ref="C107:C116" si="15">"1조" &amp; " - " &amp; B$105 &amp; " - " &amp; $A107</f>
        <v>1조 - SOA - Availability</v>
      </c>
      <c r="D107" s="54"/>
      <c r="E107" s="61" t="str">
        <f t="shared" ref="E107:E116" si="16">"1조" &amp; " - " &amp; D$105 &amp; " - " &amp; $A107</f>
        <v>1조 - Mico-Service - Availability</v>
      </c>
    </row>
    <row r="108" ht="16.5" customHeight="1">
      <c r="A108" s="27" t="s">
        <v>44</v>
      </c>
      <c r="B108" s="54"/>
      <c r="C108" s="61" t="str">
        <f t="shared" si="15"/>
        <v>1조 - SOA - Deployability</v>
      </c>
      <c r="D108" s="54"/>
      <c r="E108" s="61" t="str">
        <f t="shared" si="16"/>
        <v>1조 - Mico-Service - Deployability</v>
      </c>
    </row>
    <row r="109" ht="16.5" customHeight="1">
      <c r="A109" s="27" t="s">
        <v>80</v>
      </c>
      <c r="B109" s="54"/>
      <c r="C109" s="61" t="str">
        <f t="shared" si="15"/>
        <v>1조 - SOA - Integrability</v>
      </c>
      <c r="D109" s="54"/>
      <c r="E109" s="61" t="str">
        <f t="shared" si="16"/>
        <v>1조 - Mico-Service - Integrability</v>
      </c>
    </row>
    <row r="110" ht="16.5" customHeight="1">
      <c r="A110" s="27" t="s">
        <v>113</v>
      </c>
      <c r="B110" s="54"/>
      <c r="C110" s="61" t="str">
        <f t="shared" si="15"/>
        <v>1조 - SOA - Energy Efficiency</v>
      </c>
      <c r="D110" s="54"/>
      <c r="E110" s="61" t="str">
        <f t="shared" si="16"/>
        <v>1조 - Mico-Service - Energy Efficiency</v>
      </c>
    </row>
    <row r="111" ht="16.5" customHeight="1">
      <c r="A111" s="27" t="s">
        <v>144</v>
      </c>
      <c r="B111" s="54"/>
      <c r="C111" s="61" t="str">
        <f t="shared" si="15"/>
        <v>1조 - SOA - Modifiability</v>
      </c>
      <c r="D111" s="54"/>
      <c r="E111" s="61" t="str">
        <f t="shared" si="16"/>
        <v>1조 - Mico-Service - Modifiability</v>
      </c>
    </row>
    <row r="112" ht="16.5" customHeight="1">
      <c r="A112" s="27" t="s">
        <v>176</v>
      </c>
      <c r="B112" s="54"/>
      <c r="C112" s="61" t="str">
        <f t="shared" si="15"/>
        <v>1조 - SOA - Performance</v>
      </c>
      <c r="D112" s="54"/>
      <c r="E112" s="61" t="str">
        <f t="shared" si="16"/>
        <v>1조 - Mico-Service - Performance</v>
      </c>
    </row>
    <row r="113" ht="16.5" customHeight="1">
      <c r="A113" s="27" t="s">
        <v>208</v>
      </c>
      <c r="B113" s="54"/>
      <c r="C113" s="61" t="str">
        <f t="shared" si="15"/>
        <v>1조 - SOA - Safety</v>
      </c>
      <c r="D113" s="54"/>
      <c r="E113" s="61" t="str">
        <f t="shared" si="16"/>
        <v>1조 - Mico-Service - Safety</v>
      </c>
    </row>
    <row r="114" ht="16.5" customHeight="1">
      <c r="A114" s="27" t="s">
        <v>242</v>
      </c>
      <c r="B114" s="54"/>
      <c r="C114" s="61" t="str">
        <f t="shared" si="15"/>
        <v>1조 - SOA - Security</v>
      </c>
      <c r="D114" s="54"/>
      <c r="E114" s="61" t="str">
        <f t="shared" si="16"/>
        <v>1조 - Mico-Service - Security</v>
      </c>
    </row>
    <row r="115" ht="16.5" customHeight="1">
      <c r="A115" s="27" t="s">
        <v>273</v>
      </c>
      <c r="B115" s="54"/>
      <c r="C115" s="61" t="str">
        <f t="shared" si="15"/>
        <v>1조 - SOA - Testability</v>
      </c>
      <c r="D115" s="54"/>
      <c r="E115" s="61" t="str">
        <f t="shared" si="16"/>
        <v>1조 - Mico-Service - Testability</v>
      </c>
    </row>
    <row r="116" ht="16.5" customHeight="1">
      <c r="A116" s="27" t="s">
        <v>305</v>
      </c>
      <c r="B116" s="54"/>
      <c r="C116" s="61" t="str">
        <f t="shared" si="15"/>
        <v>1조 - SOA - Usability</v>
      </c>
      <c r="D116" s="54"/>
      <c r="E116" s="61" t="str">
        <f t="shared" si="16"/>
        <v>1조 - Mico-Service - Usability</v>
      </c>
    </row>
    <row r="117" ht="16.5" customHeight="1">
      <c r="A117" s="34"/>
      <c r="B117" s="42"/>
      <c r="C117" s="34"/>
      <c r="D117" s="42"/>
      <c r="E117" s="34"/>
      <c r="F117" s="34"/>
      <c r="G117" s="34"/>
    </row>
    <row r="118" ht="16.5" customHeight="1">
      <c r="A118" s="24" t="s">
        <v>599</v>
      </c>
      <c r="B118" s="46" t="s">
        <v>600</v>
      </c>
      <c r="C118" s="19"/>
      <c r="D118" s="46" t="s">
        <v>601</v>
      </c>
      <c r="E118" s="19"/>
      <c r="F118" s="46" t="s">
        <v>603</v>
      </c>
      <c r="G118" s="19"/>
    </row>
    <row r="119" ht="16.5" customHeight="1">
      <c r="A119" s="20"/>
      <c r="B119" s="26" t="s">
        <v>12</v>
      </c>
      <c r="C119" s="26" t="s">
        <v>13</v>
      </c>
      <c r="D119" s="26" t="s">
        <v>12</v>
      </c>
      <c r="E119" s="26" t="s">
        <v>13</v>
      </c>
      <c r="F119" s="26" t="s">
        <v>12</v>
      </c>
      <c r="G119" s="26" t="s">
        <v>13</v>
      </c>
    </row>
    <row r="120" ht="16.5" customHeight="1">
      <c r="A120" s="27" t="s">
        <v>14</v>
      </c>
      <c r="B120" s="54"/>
      <c r="C120" s="61" t="str">
        <f t="shared" ref="C120:C128" si="17">"1조" &amp; " - " &amp; B$118 &amp; " - " &amp; $A120</f>
        <v>1조 - Container-based - Availability</v>
      </c>
      <c r="D120" s="54"/>
      <c r="E120" s="61" t="str">
        <f t="shared" ref="E120:E129" si="18">"1조" &amp; " - " &amp; D$118 &amp; " - " &amp; $A120</f>
        <v>1조 - Cloud-based - Availability</v>
      </c>
      <c r="F120" s="47" t="s">
        <v>648</v>
      </c>
    </row>
    <row r="121" ht="16.5" customHeight="1">
      <c r="A121" s="27" t="s">
        <v>44</v>
      </c>
      <c r="B121" s="54"/>
      <c r="C121" s="61" t="str">
        <f t="shared" si="17"/>
        <v>1조 - Container-based - Deployability</v>
      </c>
      <c r="D121" s="54"/>
      <c r="E121" s="61" t="str">
        <f t="shared" si="18"/>
        <v>1조 - Cloud-based - Deployability</v>
      </c>
      <c r="F121" s="47" t="s">
        <v>657</v>
      </c>
      <c r="G121" s="81" t="s">
        <v>759</v>
      </c>
    </row>
    <row r="122" ht="16.5" customHeight="1">
      <c r="A122" s="27" t="s">
        <v>80</v>
      </c>
      <c r="B122" s="54"/>
      <c r="C122" s="61" t="str">
        <f t="shared" si="17"/>
        <v>1조 - Container-based - Integrability</v>
      </c>
      <c r="D122" s="54"/>
      <c r="E122" s="61" t="str">
        <f t="shared" si="18"/>
        <v>1조 - Cloud-based - Integrability</v>
      </c>
      <c r="F122" s="47" t="s">
        <v>653</v>
      </c>
      <c r="G122" s="82" t="s">
        <v>760</v>
      </c>
    </row>
    <row r="123" ht="16.5" customHeight="1">
      <c r="A123" s="27" t="s">
        <v>113</v>
      </c>
      <c r="B123" s="54"/>
      <c r="C123" s="61" t="str">
        <f t="shared" si="17"/>
        <v>1조 - Container-based - Energy Efficiency</v>
      </c>
      <c r="D123" s="54"/>
      <c r="E123" s="61" t="str">
        <f t="shared" si="18"/>
        <v>1조 - Cloud-based - Energy Efficiency</v>
      </c>
      <c r="F123" s="47" t="s">
        <v>646</v>
      </c>
      <c r="G123" s="81" t="s">
        <v>762</v>
      </c>
    </row>
    <row r="124" ht="16.5" customHeight="1">
      <c r="A124" s="27" t="s">
        <v>144</v>
      </c>
      <c r="B124" s="54"/>
      <c r="C124" s="61" t="str">
        <f t="shared" si="17"/>
        <v>1조 - Container-based - Modifiability</v>
      </c>
      <c r="D124" s="54"/>
      <c r="E124" s="61" t="str">
        <f t="shared" si="18"/>
        <v>1조 - Cloud-based - Modifiability</v>
      </c>
      <c r="F124" s="47" t="s">
        <v>657</v>
      </c>
      <c r="G124" s="83" t="s">
        <v>765</v>
      </c>
    </row>
    <row r="125" ht="16.5" customHeight="1">
      <c r="A125" s="27" t="s">
        <v>176</v>
      </c>
      <c r="B125" s="54"/>
      <c r="C125" s="61" t="str">
        <f t="shared" si="17"/>
        <v>1조 - Container-based - Performance</v>
      </c>
      <c r="D125" s="54"/>
      <c r="E125" s="61" t="str">
        <f t="shared" si="18"/>
        <v>1조 - Cloud-based - Performance</v>
      </c>
      <c r="F125" s="47" t="s">
        <v>648</v>
      </c>
      <c r="G125" s="81" t="s">
        <v>767</v>
      </c>
    </row>
    <row r="126" ht="16.5" customHeight="1">
      <c r="A126" s="27" t="s">
        <v>208</v>
      </c>
      <c r="B126" s="54"/>
      <c r="C126" s="61" t="str">
        <f t="shared" si="17"/>
        <v>1조 - Container-based - Safety</v>
      </c>
      <c r="D126" s="54"/>
      <c r="E126" s="61" t="str">
        <f t="shared" si="18"/>
        <v>1조 - Cloud-based - Safety</v>
      </c>
      <c r="F126" s="47" t="s">
        <v>646</v>
      </c>
    </row>
    <row r="127" ht="16.5" customHeight="1">
      <c r="A127" s="27" t="s">
        <v>242</v>
      </c>
      <c r="B127" s="54"/>
      <c r="C127" s="61" t="str">
        <f t="shared" si="17"/>
        <v>1조 - Container-based - Security</v>
      </c>
      <c r="D127" s="54"/>
      <c r="E127" s="61" t="str">
        <f t="shared" si="18"/>
        <v>1조 - Cloud-based - Security</v>
      </c>
      <c r="F127" s="47" t="s">
        <v>657</v>
      </c>
      <c r="G127" s="84" t="s">
        <v>774</v>
      </c>
    </row>
    <row r="128" ht="16.5" customHeight="1">
      <c r="A128" s="27" t="s">
        <v>273</v>
      </c>
      <c r="B128" s="54"/>
      <c r="C128" s="61" t="str">
        <f t="shared" si="17"/>
        <v>1조 - Container-based - Testability</v>
      </c>
      <c r="D128" s="54"/>
      <c r="E128" s="61" t="str">
        <f t="shared" si="18"/>
        <v>1조 - Cloud-based - Testability</v>
      </c>
      <c r="F128" s="47" t="s">
        <v>657</v>
      </c>
      <c r="G128" s="83" t="s">
        <v>775</v>
      </c>
    </row>
    <row r="129" ht="16.5" customHeight="1">
      <c r="A129" s="27" t="s">
        <v>305</v>
      </c>
      <c r="B129" s="54"/>
      <c r="C129" s="52" t="s">
        <v>776</v>
      </c>
      <c r="D129" s="54"/>
      <c r="E129" s="61" t="str">
        <f t="shared" si="18"/>
        <v>1조 - Cloud-based - Usability</v>
      </c>
      <c r="F129" s="47" t="s">
        <v>646</v>
      </c>
      <c r="G129" s="85" t="s">
        <v>777</v>
      </c>
    </row>
    <row r="130" ht="16.5" customHeight="1">
      <c r="B130" s="42"/>
      <c r="D130" s="42"/>
      <c r="F130" s="42"/>
    </row>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0.57"/>
    <col customWidth="1" min="4" max="4" width="9.86"/>
    <col customWidth="1" min="5" max="5" width="64.43"/>
    <col customWidth="1" min="6" max="6" width="11.43"/>
    <col customWidth="1" min="7" max="7" width="89.43"/>
    <col customWidth="1" min="8" max="8" width="8.86"/>
    <col customWidth="1" min="9" max="9" width="64.14"/>
  </cols>
  <sheetData>
    <row r="1" ht="16.5" customHeight="1">
      <c r="A1" s="24" t="s">
        <v>610</v>
      </c>
      <c r="B1" s="46" t="s">
        <v>2</v>
      </c>
      <c r="C1" s="19"/>
      <c r="D1" s="46" t="s">
        <v>6</v>
      </c>
      <c r="E1" s="19"/>
      <c r="F1" s="46" t="s">
        <v>10</v>
      </c>
      <c r="G1" s="19"/>
    </row>
    <row r="2" ht="16.5" customHeight="1">
      <c r="A2" s="20"/>
      <c r="B2" s="26" t="s">
        <v>12</v>
      </c>
      <c r="C2" s="26" t="s">
        <v>13</v>
      </c>
      <c r="D2" s="26" t="s">
        <v>12</v>
      </c>
      <c r="E2" s="26" t="s">
        <v>13</v>
      </c>
      <c r="F2" s="26" t="s">
        <v>12</v>
      </c>
      <c r="G2" s="26" t="s">
        <v>13</v>
      </c>
    </row>
    <row r="3" ht="16.5" customHeight="1">
      <c r="A3" s="27" t="s">
        <v>14</v>
      </c>
      <c r="B3" s="47" t="s">
        <v>644</v>
      </c>
      <c r="C3" s="52" t="s">
        <v>649</v>
      </c>
      <c r="D3" s="54" t="s">
        <v>651</v>
      </c>
      <c r="E3" s="52"/>
      <c r="F3" s="47" t="s">
        <v>653</v>
      </c>
      <c r="G3" s="52" t="s">
        <v>654</v>
      </c>
    </row>
    <row r="4" ht="16.5" customHeight="1">
      <c r="A4" s="27" t="s">
        <v>44</v>
      </c>
      <c r="B4" s="47" t="s">
        <v>644</v>
      </c>
      <c r="C4" s="52" t="s">
        <v>655</v>
      </c>
      <c r="D4" s="54" t="s">
        <v>651</v>
      </c>
      <c r="E4" s="61" t="str">
        <f t="shared" ref="E4:E12" si="1">"2조" &amp; " - " &amp; D$1 &amp; " - " &amp; $A4</f>
        <v>2조 - Pipe and Filter - Deployability</v>
      </c>
      <c r="F4" s="47" t="s">
        <v>657</v>
      </c>
      <c r="G4" s="52" t="s">
        <v>663</v>
      </c>
    </row>
    <row r="5" ht="16.5" customHeight="1">
      <c r="A5" s="27" t="s">
        <v>80</v>
      </c>
      <c r="B5" s="47" t="s">
        <v>657</v>
      </c>
      <c r="C5" s="52" t="s">
        <v>665</v>
      </c>
      <c r="D5" s="54" t="s">
        <v>651</v>
      </c>
      <c r="E5" s="65" t="str">
        <f t="shared" si="1"/>
        <v>2조 - Pipe and Filter - Integrability</v>
      </c>
      <c r="F5" s="47" t="s">
        <v>653</v>
      </c>
      <c r="G5" s="52" t="s">
        <v>667</v>
      </c>
    </row>
    <row r="6" ht="16.5" customHeight="1">
      <c r="A6" s="27" t="s">
        <v>113</v>
      </c>
      <c r="B6" s="47" t="s">
        <v>646</v>
      </c>
      <c r="C6" s="52" t="s">
        <v>668</v>
      </c>
      <c r="D6" s="54" t="s">
        <v>651</v>
      </c>
      <c r="E6" s="61" t="str">
        <f t="shared" si="1"/>
        <v>2조 - Pipe and Filter - Energy Efficiency</v>
      </c>
      <c r="F6" s="47" t="s">
        <v>644</v>
      </c>
      <c r="G6" s="52" t="s">
        <v>671</v>
      </c>
    </row>
    <row r="7" ht="16.5" customHeight="1">
      <c r="A7" s="27" t="s">
        <v>144</v>
      </c>
      <c r="B7" s="47" t="s">
        <v>646</v>
      </c>
      <c r="C7" s="52" t="s">
        <v>673</v>
      </c>
      <c r="D7" s="54" t="s">
        <v>651</v>
      </c>
      <c r="E7" s="61" t="str">
        <f t="shared" si="1"/>
        <v>2조 - Pipe and Filter - Modifiability</v>
      </c>
      <c r="F7" s="47" t="s">
        <v>657</v>
      </c>
      <c r="G7" s="52" t="s">
        <v>675</v>
      </c>
    </row>
    <row r="8" ht="16.5" customHeight="1">
      <c r="A8" s="27" t="s">
        <v>176</v>
      </c>
      <c r="B8" s="47" t="s">
        <v>648</v>
      </c>
      <c r="C8" s="52" t="s">
        <v>677</v>
      </c>
      <c r="D8" s="54" t="s">
        <v>651</v>
      </c>
      <c r="E8" s="61" t="str">
        <f t="shared" si="1"/>
        <v>2조 - Pipe and Filter - Performance</v>
      </c>
      <c r="F8" s="47" t="s">
        <v>648</v>
      </c>
      <c r="G8" s="52" t="s">
        <v>679</v>
      </c>
    </row>
    <row r="9" ht="16.5" customHeight="1">
      <c r="A9" s="27" t="s">
        <v>208</v>
      </c>
      <c r="B9" s="47" t="s">
        <v>653</v>
      </c>
      <c r="C9" s="52" t="s">
        <v>681</v>
      </c>
      <c r="D9" s="54" t="s">
        <v>651</v>
      </c>
      <c r="E9" s="61" t="str">
        <f t="shared" si="1"/>
        <v>2조 - Pipe and Filter - Safety</v>
      </c>
      <c r="F9" s="47" t="s">
        <v>648</v>
      </c>
      <c r="G9" s="52" t="s">
        <v>684</v>
      </c>
    </row>
    <row r="10" ht="16.5" customHeight="1">
      <c r="A10" s="27" t="s">
        <v>242</v>
      </c>
      <c r="B10" s="47" t="s">
        <v>653</v>
      </c>
      <c r="C10" s="52" t="s">
        <v>685</v>
      </c>
      <c r="D10" s="54" t="s">
        <v>651</v>
      </c>
      <c r="E10" s="61" t="str">
        <f t="shared" si="1"/>
        <v>2조 - Pipe and Filter - Security</v>
      </c>
      <c r="F10" s="47" t="s">
        <v>657</v>
      </c>
      <c r="G10" s="52" t="s">
        <v>687</v>
      </c>
    </row>
    <row r="11" ht="16.5" customHeight="1">
      <c r="A11" s="27" t="s">
        <v>273</v>
      </c>
      <c r="B11" s="47" t="s">
        <v>648</v>
      </c>
      <c r="C11" s="52" t="s">
        <v>689</v>
      </c>
      <c r="D11" s="54" t="s">
        <v>651</v>
      </c>
      <c r="E11" s="61" t="str">
        <f t="shared" si="1"/>
        <v>2조 - Pipe and Filter - Testability</v>
      </c>
      <c r="F11" s="47" t="s">
        <v>653</v>
      </c>
      <c r="G11" s="52" t="s">
        <v>692</v>
      </c>
    </row>
    <row r="12" ht="16.5" customHeight="1">
      <c r="A12" s="27" t="s">
        <v>305</v>
      </c>
      <c r="B12" s="47" t="s">
        <v>644</v>
      </c>
      <c r="C12" s="52" t="s">
        <v>694</v>
      </c>
      <c r="D12" s="54" t="s">
        <v>651</v>
      </c>
      <c r="E12" s="61" t="str">
        <f t="shared" si="1"/>
        <v>2조 - Pipe and Filter - Usability</v>
      </c>
      <c r="F12" s="47" t="s">
        <v>644</v>
      </c>
      <c r="G12" s="52" t="s">
        <v>696</v>
      </c>
    </row>
    <row r="13" ht="16.5" customHeight="1">
      <c r="A13" s="34"/>
      <c r="B13" s="42" t="s">
        <v>651</v>
      </c>
      <c r="C13" s="42" t="s">
        <v>651</v>
      </c>
      <c r="D13" s="42" t="s">
        <v>651</v>
      </c>
      <c r="E13" s="42" t="s">
        <v>651</v>
      </c>
      <c r="F13" s="42" t="s">
        <v>651</v>
      </c>
      <c r="G13" s="34"/>
    </row>
    <row r="14" ht="16.5" customHeight="1">
      <c r="A14" s="35" t="s">
        <v>0</v>
      </c>
      <c r="B14" s="73" t="s">
        <v>615</v>
      </c>
      <c r="C14" s="19"/>
      <c r="D14" s="73" t="s">
        <v>8</v>
      </c>
      <c r="E14" s="19"/>
      <c r="F14" s="34"/>
      <c r="G14" s="34"/>
    </row>
    <row r="15" ht="16.5" customHeight="1">
      <c r="A15" s="36"/>
      <c r="B15" s="37" t="s">
        <v>12</v>
      </c>
      <c r="C15" s="74" t="s">
        <v>13</v>
      </c>
      <c r="D15" s="37" t="s">
        <v>12</v>
      </c>
      <c r="E15" s="74" t="s">
        <v>13</v>
      </c>
      <c r="F15" s="34"/>
      <c r="G15" s="34"/>
    </row>
    <row r="16" ht="16.5" customHeight="1">
      <c r="A16" s="27" t="s">
        <v>14</v>
      </c>
      <c r="B16" s="54" t="s">
        <v>651</v>
      </c>
      <c r="C16" s="61" t="str">
        <f t="shared" ref="C16:C25" si="2">"2조" &amp; " - " &amp; B$14 &amp; " - " &amp; $A16</f>
        <v>2조 - Shared Respository - Availability</v>
      </c>
      <c r="D16" s="54" t="s">
        <v>651</v>
      </c>
      <c r="E16" s="61" t="str">
        <f t="shared" ref="E16:E25" si="3">"2조" &amp; " - " &amp; D$14 &amp; " - " &amp; $A16</f>
        <v>2조 - Blackboard - Availability</v>
      </c>
      <c r="F16" s="34"/>
      <c r="G16" s="34"/>
    </row>
    <row r="17" ht="16.5" customHeight="1">
      <c r="A17" s="27" t="s">
        <v>44</v>
      </c>
      <c r="B17" s="54" t="s">
        <v>651</v>
      </c>
      <c r="C17" s="61" t="str">
        <f t="shared" si="2"/>
        <v>2조 - Shared Respository - Deployability</v>
      </c>
      <c r="D17" s="54" t="s">
        <v>651</v>
      </c>
      <c r="E17" s="61" t="str">
        <f t="shared" si="3"/>
        <v>2조 - Blackboard - Deployability</v>
      </c>
      <c r="F17" s="34"/>
      <c r="G17" s="34"/>
    </row>
    <row r="18" ht="16.5" customHeight="1">
      <c r="A18" s="27" t="s">
        <v>80</v>
      </c>
      <c r="B18" s="54" t="s">
        <v>651</v>
      </c>
      <c r="C18" s="61" t="str">
        <f t="shared" si="2"/>
        <v>2조 - Shared Respository - Integrability</v>
      </c>
      <c r="D18" s="54" t="s">
        <v>651</v>
      </c>
      <c r="E18" s="61" t="str">
        <f t="shared" si="3"/>
        <v>2조 - Blackboard - Integrability</v>
      </c>
      <c r="F18" s="34"/>
      <c r="G18" s="34"/>
    </row>
    <row r="19" ht="16.5" customHeight="1">
      <c r="A19" s="27" t="s">
        <v>113</v>
      </c>
      <c r="B19" s="54" t="s">
        <v>651</v>
      </c>
      <c r="C19" s="61" t="str">
        <f t="shared" si="2"/>
        <v>2조 - Shared Respository - Energy Efficiency</v>
      </c>
      <c r="D19" s="54" t="s">
        <v>651</v>
      </c>
      <c r="E19" s="61" t="str">
        <f t="shared" si="3"/>
        <v>2조 - Blackboard - Energy Efficiency</v>
      </c>
      <c r="F19" s="34"/>
      <c r="G19" s="34"/>
    </row>
    <row r="20" ht="16.5" customHeight="1">
      <c r="A20" s="27" t="s">
        <v>144</v>
      </c>
      <c r="B20" s="54" t="s">
        <v>651</v>
      </c>
      <c r="C20" s="61" t="str">
        <f t="shared" si="2"/>
        <v>2조 - Shared Respository - Modifiability</v>
      </c>
      <c r="D20" s="54" t="s">
        <v>651</v>
      </c>
      <c r="E20" s="61" t="str">
        <f t="shared" si="3"/>
        <v>2조 - Blackboard - Modifiability</v>
      </c>
      <c r="F20" s="34"/>
      <c r="G20" s="34"/>
    </row>
    <row r="21" ht="16.5" customHeight="1">
      <c r="A21" s="27" t="s">
        <v>176</v>
      </c>
      <c r="B21" s="54" t="s">
        <v>651</v>
      </c>
      <c r="C21" s="61" t="str">
        <f t="shared" si="2"/>
        <v>2조 - Shared Respository - Performance</v>
      </c>
      <c r="D21" s="54" t="s">
        <v>651</v>
      </c>
      <c r="E21" s="61" t="str">
        <f t="shared" si="3"/>
        <v>2조 - Blackboard - Performance</v>
      </c>
      <c r="F21" s="34"/>
      <c r="G21" s="34"/>
    </row>
    <row r="22" ht="16.5" customHeight="1">
      <c r="A22" s="27" t="s">
        <v>208</v>
      </c>
      <c r="B22" s="54" t="s">
        <v>651</v>
      </c>
      <c r="C22" s="61" t="str">
        <f t="shared" si="2"/>
        <v>2조 - Shared Respository - Safety</v>
      </c>
      <c r="D22" s="54" t="s">
        <v>651</v>
      </c>
      <c r="E22" s="61" t="str">
        <f t="shared" si="3"/>
        <v>2조 - Blackboard - Safety</v>
      </c>
      <c r="F22" s="34"/>
      <c r="G22" s="34"/>
    </row>
    <row r="23" ht="16.5" customHeight="1">
      <c r="A23" s="27" t="s">
        <v>242</v>
      </c>
      <c r="B23" s="54" t="s">
        <v>651</v>
      </c>
      <c r="C23" s="61" t="str">
        <f t="shared" si="2"/>
        <v>2조 - Shared Respository - Security</v>
      </c>
      <c r="D23" s="54" t="s">
        <v>651</v>
      </c>
      <c r="E23" s="61" t="str">
        <f t="shared" si="3"/>
        <v>2조 - Blackboard - Security</v>
      </c>
      <c r="F23" s="34"/>
      <c r="G23" s="34"/>
    </row>
    <row r="24" ht="16.5" customHeight="1">
      <c r="A24" s="27" t="s">
        <v>273</v>
      </c>
      <c r="B24" s="54" t="s">
        <v>651</v>
      </c>
      <c r="C24" s="61" t="str">
        <f t="shared" si="2"/>
        <v>2조 - Shared Respository - Testability</v>
      </c>
      <c r="D24" s="54" t="s">
        <v>651</v>
      </c>
      <c r="E24" s="61" t="str">
        <f t="shared" si="3"/>
        <v>2조 - Blackboard - Testability</v>
      </c>
      <c r="F24" s="34"/>
      <c r="G24" s="34"/>
    </row>
    <row r="25" ht="16.5" customHeight="1">
      <c r="A25" s="27" t="s">
        <v>305</v>
      </c>
      <c r="B25" s="54" t="s">
        <v>651</v>
      </c>
      <c r="C25" s="61" t="str">
        <f t="shared" si="2"/>
        <v>2조 - Shared Respository - Usability</v>
      </c>
      <c r="D25" s="54" t="s">
        <v>651</v>
      </c>
      <c r="E25" s="61" t="str">
        <f t="shared" si="3"/>
        <v>2조 - Blackboard - Usability</v>
      </c>
      <c r="F25" s="34"/>
      <c r="G25" s="34"/>
    </row>
    <row r="26" ht="16.5" customHeight="1">
      <c r="A26" s="34"/>
      <c r="B26" s="42" t="s">
        <v>651</v>
      </c>
      <c r="C26" s="42" t="s">
        <v>651</v>
      </c>
      <c r="D26" s="42" t="s">
        <v>651</v>
      </c>
      <c r="E26" s="42" t="s">
        <v>651</v>
      </c>
      <c r="F26" s="34"/>
      <c r="G26" s="34"/>
    </row>
    <row r="27" ht="16.5" customHeight="1">
      <c r="A27" s="35" t="s">
        <v>3</v>
      </c>
      <c r="B27" s="73" t="s">
        <v>7</v>
      </c>
      <c r="C27" s="19"/>
      <c r="D27" s="73" t="s">
        <v>11</v>
      </c>
      <c r="E27" s="19"/>
      <c r="F27" s="34"/>
      <c r="G27" s="34"/>
    </row>
    <row r="28" ht="16.5" customHeight="1">
      <c r="A28" s="39"/>
      <c r="B28" s="26" t="s">
        <v>12</v>
      </c>
      <c r="C28" s="44" t="s">
        <v>13</v>
      </c>
      <c r="D28" s="26" t="s">
        <v>12</v>
      </c>
      <c r="E28" s="44" t="s">
        <v>13</v>
      </c>
      <c r="F28" s="34"/>
      <c r="G28" s="34"/>
    </row>
    <row r="29" ht="16.5" customHeight="1">
      <c r="A29" s="27" t="s">
        <v>14</v>
      </c>
      <c r="B29" s="54" t="s">
        <v>651</v>
      </c>
      <c r="C29" s="61" t="str">
        <f t="shared" ref="C29:C38" si="4">"2조" &amp; " - " &amp; B$27 &amp; " - " &amp; $A29</f>
        <v>2조 - Non-Buffered Event Based - Availability</v>
      </c>
      <c r="D29" s="54" t="s">
        <v>651</v>
      </c>
      <c r="E29" s="61" t="str">
        <f t="shared" ref="E29:E38" si="5">"2조" &amp; " - " &amp; D$27 &amp; " - " &amp; $A29</f>
        <v>2조 - Buffered Message Based - Availability</v>
      </c>
      <c r="F29" s="34"/>
      <c r="G29" s="34"/>
    </row>
    <row r="30" ht="16.5" customHeight="1">
      <c r="A30" s="27" t="s">
        <v>44</v>
      </c>
      <c r="B30" s="54" t="s">
        <v>651</v>
      </c>
      <c r="C30" s="61" t="str">
        <f t="shared" si="4"/>
        <v>2조 - Non-Buffered Event Based - Deployability</v>
      </c>
      <c r="D30" s="54" t="s">
        <v>651</v>
      </c>
      <c r="E30" s="61" t="str">
        <f t="shared" si="5"/>
        <v>2조 - Buffered Message Based - Deployability</v>
      </c>
      <c r="F30" s="34"/>
      <c r="G30" s="34"/>
    </row>
    <row r="31" ht="16.5" customHeight="1">
      <c r="A31" s="27" t="s">
        <v>80</v>
      </c>
      <c r="B31" s="54" t="s">
        <v>651</v>
      </c>
      <c r="C31" s="61" t="str">
        <f t="shared" si="4"/>
        <v>2조 - Non-Buffered Event Based - Integrability</v>
      </c>
      <c r="D31" s="54" t="s">
        <v>651</v>
      </c>
      <c r="E31" s="61" t="str">
        <f t="shared" si="5"/>
        <v>2조 - Buffered Message Based - Integrability</v>
      </c>
      <c r="F31" s="34"/>
      <c r="G31" s="34"/>
    </row>
    <row r="32" ht="16.5" customHeight="1">
      <c r="A32" s="27" t="s">
        <v>113</v>
      </c>
      <c r="B32" s="54" t="s">
        <v>651</v>
      </c>
      <c r="C32" s="61" t="str">
        <f t="shared" si="4"/>
        <v>2조 - Non-Buffered Event Based - Energy Efficiency</v>
      </c>
      <c r="D32" s="54" t="s">
        <v>651</v>
      </c>
      <c r="E32" s="61" t="str">
        <f t="shared" si="5"/>
        <v>2조 - Buffered Message Based - Energy Efficiency</v>
      </c>
      <c r="F32" s="34"/>
      <c r="G32" s="34"/>
    </row>
    <row r="33" ht="16.5" customHeight="1">
      <c r="A33" s="27" t="s">
        <v>144</v>
      </c>
      <c r="B33" s="54" t="s">
        <v>651</v>
      </c>
      <c r="C33" s="61" t="str">
        <f t="shared" si="4"/>
        <v>2조 - Non-Buffered Event Based - Modifiability</v>
      </c>
      <c r="D33" s="54" t="s">
        <v>651</v>
      </c>
      <c r="E33" s="61" t="str">
        <f t="shared" si="5"/>
        <v>2조 - Buffered Message Based - Modifiability</v>
      </c>
      <c r="F33" s="34"/>
      <c r="G33" s="34"/>
    </row>
    <row r="34" ht="16.5" customHeight="1">
      <c r="A34" s="27" t="s">
        <v>176</v>
      </c>
      <c r="B34" s="54" t="s">
        <v>651</v>
      </c>
      <c r="C34" s="61" t="str">
        <f t="shared" si="4"/>
        <v>2조 - Non-Buffered Event Based - Performance</v>
      </c>
      <c r="D34" s="54" t="s">
        <v>651</v>
      </c>
      <c r="E34" s="61" t="str">
        <f t="shared" si="5"/>
        <v>2조 - Buffered Message Based - Performance</v>
      </c>
      <c r="F34" s="34"/>
      <c r="G34" s="34"/>
    </row>
    <row r="35" ht="16.5" customHeight="1">
      <c r="A35" s="27" t="s">
        <v>208</v>
      </c>
      <c r="B35" s="54" t="s">
        <v>651</v>
      </c>
      <c r="C35" s="61" t="str">
        <f t="shared" si="4"/>
        <v>2조 - Non-Buffered Event Based - Safety</v>
      </c>
      <c r="D35" s="54" t="s">
        <v>651</v>
      </c>
      <c r="E35" s="61" t="str">
        <f t="shared" si="5"/>
        <v>2조 - Buffered Message Based - Safety</v>
      </c>
      <c r="F35" s="34"/>
      <c r="G35" s="34"/>
    </row>
    <row r="36" ht="16.5" customHeight="1">
      <c r="A36" s="27" t="s">
        <v>242</v>
      </c>
      <c r="B36" s="54" t="s">
        <v>651</v>
      </c>
      <c r="C36" s="61" t="str">
        <f t="shared" si="4"/>
        <v>2조 - Non-Buffered Event Based - Security</v>
      </c>
      <c r="D36" s="54" t="s">
        <v>651</v>
      </c>
      <c r="E36" s="61" t="str">
        <f t="shared" si="5"/>
        <v>2조 - Buffered Message Based - Security</v>
      </c>
      <c r="F36" s="34"/>
      <c r="G36" s="34"/>
    </row>
    <row r="37" ht="16.5" customHeight="1">
      <c r="A37" s="27" t="s">
        <v>273</v>
      </c>
      <c r="B37" s="54" t="s">
        <v>651</v>
      </c>
      <c r="C37" s="61" t="str">
        <f t="shared" si="4"/>
        <v>2조 - Non-Buffered Event Based - Testability</v>
      </c>
      <c r="D37" s="54" t="s">
        <v>651</v>
      </c>
      <c r="E37" s="61" t="str">
        <f t="shared" si="5"/>
        <v>2조 - Buffered Message Based - Testability</v>
      </c>
      <c r="F37" s="34"/>
      <c r="G37" s="34"/>
    </row>
    <row r="38" ht="16.5" customHeight="1">
      <c r="A38" s="27" t="s">
        <v>305</v>
      </c>
      <c r="B38" s="54" t="s">
        <v>651</v>
      </c>
      <c r="C38" s="61" t="str">
        <f t="shared" si="4"/>
        <v>2조 - Non-Buffered Event Based - Usability</v>
      </c>
      <c r="D38" s="54" t="s">
        <v>651</v>
      </c>
      <c r="E38" s="61" t="str">
        <f t="shared" si="5"/>
        <v>2조 - Buffered Message Based - Usability</v>
      </c>
      <c r="F38" s="34"/>
      <c r="G38" s="34"/>
    </row>
    <row r="39" ht="16.5" customHeight="1">
      <c r="A39" s="34"/>
      <c r="B39" s="42" t="s">
        <v>651</v>
      </c>
      <c r="C39" s="42" t="s">
        <v>651</v>
      </c>
      <c r="D39" s="42" t="s">
        <v>651</v>
      </c>
      <c r="E39" s="42" t="s">
        <v>651</v>
      </c>
      <c r="F39" s="34"/>
      <c r="G39" s="34"/>
    </row>
    <row r="40" ht="16.5" customHeight="1">
      <c r="A40" s="35" t="s">
        <v>1</v>
      </c>
      <c r="B40" s="46" t="s">
        <v>4</v>
      </c>
      <c r="C40" s="19"/>
      <c r="D40" s="46" t="s">
        <v>9</v>
      </c>
      <c r="E40" s="19"/>
      <c r="F40" s="34"/>
      <c r="G40" s="34"/>
      <c r="H40" s="34"/>
    </row>
    <row r="41" ht="15.75" customHeight="1">
      <c r="A41" s="39"/>
      <c r="B41" s="26" t="s">
        <v>12</v>
      </c>
      <c r="C41" s="26" t="s">
        <v>13</v>
      </c>
      <c r="D41" s="26" t="s">
        <v>12</v>
      </c>
      <c r="E41" s="26" t="s">
        <v>13</v>
      </c>
      <c r="F41" s="34"/>
      <c r="G41" s="34"/>
      <c r="H41" s="34"/>
      <c r="I41" s="40"/>
    </row>
    <row r="42" ht="16.5" customHeight="1">
      <c r="A42" s="27" t="s">
        <v>14</v>
      </c>
      <c r="B42" s="54" t="s">
        <v>651</v>
      </c>
      <c r="C42" s="61" t="str">
        <f t="shared" ref="C42:C51" si="6">"2조" &amp; " - " &amp; B$40 &amp; " - " &amp; $A42</f>
        <v>2조 - MVC - Availability</v>
      </c>
      <c r="D42" s="54" t="s">
        <v>651</v>
      </c>
      <c r="E42" s="61" t="str">
        <f t="shared" ref="E42:E51" si="7">"2조" &amp; " - " &amp; D$40 &amp; " - " &amp; $A42</f>
        <v>2조 - PAC - Availability</v>
      </c>
      <c r="F42" s="34"/>
      <c r="G42" s="34"/>
      <c r="H42" s="34"/>
    </row>
    <row r="43" ht="16.5" customHeight="1">
      <c r="A43" s="27" t="s">
        <v>44</v>
      </c>
      <c r="B43" s="54" t="s">
        <v>651</v>
      </c>
      <c r="C43" s="61" t="str">
        <f t="shared" si="6"/>
        <v>2조 - MVC - Deployability</v>
      </c>
      <c r="D43" s="54" t="s">
        <v>651</v>
      </c>
      <c r="E43" s="61" t="str">
        <f t="shared" si="7"/>
        <v>2조 - PAC - Deployability</v>
      </c>
      <c r="F43" s="34"/>
      <c r="G43" s="34"/>
      <c r="H43" s="34"/>
    </row>
    <row r="44" ht="16.5" customHeight="1">
      <c r="A44" s="27" t="s">
        <v>80</v>
      </c>
      <c r="B44" s="54" t="s">
        <v>651</v>
      </c>
      <c r="C44" s="61" t="str">
        <f t="shared" si="6"/>
        <v>2조 - MVC - Integrability</v>
      </c>
      <c r="D44" s="54" t="s">
        <v>651</v>
      </c>
      <c r="E44" s="61" t="str">
        <f t="shared" si="7"/>
        <v>2조 - PAC - Integrability</v>
      </c>
      <c r="F44" s="34"/>
      <c r="G44" s="34"/>
      <c r="H44" s="34"/>
    </row>
    <row r="45" ht="16.5" customHeight="1">
      <c r="A45" s="27" t="s">
        <v>113</v>
      </c>
      <c r="B45" s="54" t="s">
        <v>651</v>
      </c>
      <c r="C45" s="61" t="str">
        <f t="shared" si="6"/>
        <v>2조 - MVC - Energy Efficiency</v>
      </c>
      <c r="D45" s="54" t="s">
        <v>651</v>
      </c>
      <c r="E45" s="61" t="str">
        <f t="shared" si="7"/>
        <v>2조 - PAC - Energy Efficiency</v>
      </c>
      <c r="F45" s="34"/>
      <c r="G45" s="34"/>
      <c r="H45" s="34"/>
    </row>
    <row r="46" ht="16.5" customHeight="1">
      <c r="A46" s="27" t="s">
        <v>144</v>
      </c>
      <c r="B46" s="54" t="s">
        <v>651</v>
      </c>
      <c r="C46" s="61" t="str">
        <f t="shared" si="6"/>
        <v>2조 - MVC - Modifiability</v>
      </c>
      <c r="D46" s="54" t="s">
        <v>651</v>
      </c>
      <c r="E46" s="61" t="str">
        <f t="shared" si="7"/>
        <v>2조 - PAC - Modifiability</v>
      </c>
      <c r="F46" s="34"/>
      <c r="G46" s="34"/>
      <c r="H46" s="34"/>
    </row>
    <row r="47" ht="16.5" customHeight="1">
      <c r="A47" s="27" t="s">
        <v>176</v>
      </c>
      <c r="B47" s="54" t="s">
        <v>651</v>
      </c>
      <c r="C47" s="61" t="str">
        <f t="shared" si="6"/>
        <v>2조 - MVC - Performance</v>
      </c>
      <c r="D47" s="54" t="s">
        <v>651</v>
      </c>
      <c r="E47" s="61" t="str">
        <f t="shared" si="7"/>
        <v>2조 - PAC - Performance</v>
      </c>
      <c r="F47" s="34"/>
      <c r="G47" s="34"/>
      <c r="H47" s="34"/>
    </row>
    <row r="48" ht="16.5" customHeight="1">
      <c r="A48" s="27" t="s">
        <v>208</v>
      </c>
      <c r="B48" s="54" t="s">
        <v>651</v>
      </c>
      <c r="C48" s="61" t="str">
        <f t="shared" si="6"/>
        <v>2조 - MVC - Safety</v>
      </c>
      <c r="D48" s="54" t="s">
        <v>651</v>
      </c>
      <c r="E48" s="61" t="str">
        <f t="shared" si="7"/>
        <v>2조 - PAC - Safety</v>
      </c>
      <c r="F48" s="34"/>
      <c r="G48" s="34"/>
      <c r="H48" s="34"/>
    </row>
    <row r="49" ht="16.5" customHeight="1">
      <c r="A49" s="27" t="s">
        <v>242</v>
      </c>
      <c r="B49" s="54" t="s">
        <v>651</v>
      </c>
      <c r="C49" s="61" t="str">
        <f t="shared" si="6"/>
        <v>2조 - MVC - Security</v>
      </c>
      <c r="D49" s="54" t="s">
        <v>651</v>
      </c>
      <c r="E49" s="61" t="str">
        <f t="shared" si="7"/>
        <v>2조 - PAC - Security</v>
      </c>
      <c r="F49" s="34"/>
      <c r="G49" s="34"/>
      <c r="H49" s="34"/>
    </row>
    <row r="50" ht="15.75" customHeight="1">
      <c r="A50" s="27" t="s">
        <v>273</v>
      </c>
      <c r="B50" s="54" t="s">
        <v>651</v>
      </c>
      <c r="C50" s="61" t="str">
        <f t="shared" si="6"/>
        <v>2조 - MVC - Testability</v>
      </c>
      <c r="D50" s="54" t="s">
        <v>651</v>
      </c>
      <c r="E50" s="61" t="str">
        <f t="shared" si="7"/>
        <v>2조 - PAC - Testability</v>
      </c>
      <c r="F50" s="34"/>
      <c r="G50" s="42" t="s">
        <v>651</v>
      </c>
      <c r="H50" s="34"/>
      <c r="I50" s="41"/>
    </row>
    <row r="51" ht="15.75" customHeight="1">
      <c r="A51" s="27" t="s">
        <v>305</v>
      </c>
      <c r="B51" s="54" t="s">
        <v>651</v>
      </c>
      <c r="C51" s="61" t="str">
        <f t="shared" si="6"/>
        <v>2조 - MVC - Usability</v>
      </c>
      <c r="D51" s="54" t="s">
        <v>651</v>
      </c>
      <c r="E51" s="61" t="str">
        <f t="shared" si="7"/>
        <v>2조 - PAC - Usability</v>
      </c>
      <c r="F51" s="34"/>
      <c r="G51" s="42" t="s">
        <v>651</v>
      </c>
      <c r="H51" s="34"/>
      <c r="I51" s="40"/>
    </row>
    <row r="52" ht="16.5" customHeight="1">
      <c r="A52" s="34"/>
      <c r="B52" s="42" t="s">
        <v>651</v>
      </c>
      <c r="C52" s="34"/>
      <c r="D52" s="42" t="s">
        <v>651</v>
      </c>
      <c r="E52" s="34"/>
      <c r="F52" s="34"/>
      <c r="G52" s="34"/>
    </row>
    <row r="53" ht="16.5" customHeight="1">
      <c r="A53" s="35" t="s">
        <v>361</v>
      </c>
      <c r="B53" s="73" t="s">
        <v>362</v>
      </c>
      <c r="C53" s="19"/>
      <c r="D53" s="73" t="s">
        <v>363</v>
      </c>
      <c r="E53" s="19"/>
      <c r="F53" s="34"/>
      <c r="G53" s="42" t="s">
        <v>651</v>
      </c>
      <c r="H53" s="34"/>
    </row>
    <row r="54" ht="16.5" customHeight="1">
      <c r="A54" s="39"/>
      <c r="B54" s="26" t="s">
        <v>12</v>
      </c>
      <c r="C54" s="44" t="s">
        <v>13</v>
      </c>
      <c r="D54" s="26" t="s">
        <v>12</v>
      </c>
      <c r="E54" s="44" t="s">
        <v>13</v>
      </c>
      <c r="F54" s="34"/>
      <c r="G54" s="42" t="s">
        <v>651</v>
      </c>
      <c r="H54" s="34"/>
    </row>
    <row r="55" ht="16.5" customHeight="1">
      <c r="A55" s="27" t="s">
        <v>14</v>
      </c>
      <c r="B55" s="54" t="s">
        <v>651</v>
      </c>
      <c r="C55" s="61" t="str">
        <f t="shared" ref="C55:C64" si="8">"2조" &amp; " - " &amp; B$53 &amp; " - " &amp; $A55</f>
        <v>2조 - Main-subroutine - Availability</v>
      </c>
      <c r="D55" s="54" t="s">
        <v>651</v>
      </c>
      <c r="E55" s="61" t="str">
        <f t="shared" ref="E55:E64" si="9">"2조" &amp; " - " &amp; D$53 &amp; " - " &amp; $A55</f>
        <v>2조 - Master-Slave - Availability</v>
      </c>
      <c r="F55" s="34"/>
      <c r="G55" s="42" t="s">
        <v>651</v>
      </c>
      <c r="H55" s="34"/>
    </row>
    <row r="56" ht="16.5" customHeight="1">
      <c r="A56" s="27" t="s">
        <v>44</v>
      </c>
      <c r="B56" s="54" t="s">
        <v>651</v>
      </c>
      <c r="C56" s="65" t="str">
        <f t="shared" si="8"/>
        <v>2조 - Main-subroutine - Deployability</v>
      </c>
      <c r="D56" s="54" t="s">
        <v>651</v>
      </c>
      <c r="E56" s="61" t="str">
        <f t="shared" si="9"/>
        <v>2조 - Master-Slave - Deployability</v>
      </c>
      <c r="F56" s="34"/>
      <c r="G56" s="42" t="s">
        <v>651</v>
      </c>
      <c r="H56" s="34"/>
    </row>
    <row r="57" ht="16.5" customHeight="1">
      <c r="A57" s="27" t="s">
        <v>80</v>
      </c>
      <c r="B57" s="54" t="s">
        <v>651</v>
      </c>
      <c r="C57" s="61" t="str">
        <f t="shared" si="8"/>
        <v>2조 - Main-subroutine - Integrability</v>
      </c>
      <c r="D57" s="54" t="s">
        <v>651</v>
      </c>
      <c r="E57" s="61" t="str">
        <f t="shared" si="9"/>
        <v>2조 - Master-Slave - Integrability</v>
      </c>
      <c r="F57" s="34"/>
      <c r="G57" s="42" t="s">
        <v>651</v>
      </c>
      <c r="H57" s="34"/>
    </row>
    <row r="58" ht="16.5" customHeight="1">
      <c r="A58" s="27" t="s">
        <v>113</v>
      </c>
      <c r="B58" s="54" t="s">
        <v>651</v>
      </c>
      <c r="C58" s="61" t="str">
        <f t="shared" si="8"/>
        <v>2조 - Main-subroutine - Energy Efficiency</v>
      </c>
      <c r="D58" s="54" t="s">
        <v>651</v>
      </c>
      <c r="E58" s="61" t="str">
        <f t="shared" si="9"/>
        <v>2조 - Master-Slave - Energy Efficiency</v>
      </c>
      <c r="F58" s="34"/>
      <c r="G58" s="42" t="s">
        <v>651</v>
      </c>
      <c r="H58" s="34"/>
    </row>
    <row r="59" ht="16.5" customHeight="1">
      <c r="A59" s="27" t="s">
        <v>144</v>
      </c>
      <c r="B59" s="54" t="s">
        <v>651</v>
      </c>
      <c r="C59" s="61" t="str">
        <f t="shared" si="8"/>
        <v>2조 - Main-subroutine - Modifiability</v>
      </c>
      <c r="D59" s="54" t="s">
        <v>651</v>
      </c>
      <c r="E59" s="61" t="str">
        <f t="shared" si="9"/>
        <v>2조 - Master-Slave - Modifiability</v>
      </c>
      <c r="F59" s="34"/>
      <c r="G59" s="42" t="s">
        <v>651</v>
      </c>
      <c r="H59" s="34"/>
    </row>
    <row r="60" ht="15.75" customHeight="1">
      <c r="A60" s="27" t="s">
        <v>176</v>
      </c>
      <c r="B60" s="54" t="s">
        <v>651</v>
      </c>
      <c r="C60" s="61" t="str">
        <f t="shared" si="8"/>
        <v>2조 - Main-subroutine - Performance</v>
      </c>
      <c r="D60" s="54" t="s">
        <v>651</v>
      </c>
      <c r="E60" s="61" t="str">
        <f t="shared" si="9"/>
        <v>2조 - Master-Slave - Performance</v>
      </c>
      <c r="F60" s="34"/>
      <c r="G60" s="42" t="s">
        <v>651</v>
      </c>
      <c r="H60" s="34"/>
      <c r="I60" s="41"/>
    </row>
    <row r="61" ht="15.75" customHeight="1">
      <c r="A61" s="27" t="s">
        <v>208</v>
      </c>
      <c r="B61" s="54" t="s">
        <v>651</v>
      </c>
      <c r="C61" s="61" t="str">
        <f t="shared" si="8"/>
        <v>2조 - Main-subroutine - Safety</v>
      </c>
      <c r="D61" s="54" t="s">
        <v>651</v>
      </c>
      <c r="E61" s="61" t="str">
        <f t="shared" si="9"/>
        <v>2조 - Master-Slave - Safety</v>
      </c>
      <c r="F61" s="34"/>
      <c r="G61" s="42" t="s">
        <v>651</v>
      </c>
      <c r="H61" s="34"/>
      <c r="I61" s="40"/>
    </row>
    <row r="62" ht="16.5" customHeight="1">
      <c r="A62" s="27" t="s">
        <v>242</v>
      </c>
      <c r="B62" s="54" t="s">
        <v>651</v>
      </c>
      <c r="C62" s="61" t="str">
        <f t="shared" si="8"/>
        <v>2조 - Main-subroutine - Security</v>
      </c>
      <c r="D62" s="54" t="s">
        <v>651</v>
      </c>
      <c r="E62" s="61" t="str">
        <f t="shared" si="9"/>
        <v>2조 - Master-Slave - Security</v>
      </c>
      <c r="F62" s="34"/>
      <c r="G62" s="42" t="s">
        <v>651</v>
      </c>
      <c r="H62" s="34"/>
    </row>
    <row r="63" ht="16.5" customHeight="1">
      <c r="A63" s="27" t="s">
        <v>273</v>
      </c>
      <c r="B63" s="54" t="s">
        <v>651</v>
      </c>
      <c r="C63" s="61" t="str">
        <f t="shared" si="8"/>
        <v>2조 - Main-subroutine - Testability</v>
      </c>
      <c r="D63" s="54" t="s">
        <v>651</v>
      </c>
      <c r="E63" s="61" t="str">
        <f t="shared" si="9"/>
        <v>2조 - Master-Slave - Testability</v>
      </c>
      <c r="F63" s="34"/>
      <c r="G63" s="42" t="s">
        <v>651</v>
      </c>
      <c r="H63" s="34"/>
    </row>
    <row r="64" ht="16.5" customHeight="1">
      <c r="A64" s="27" t="s">
        <v>305</v>
      </c>
      <c r="B64" s="54" t="s">
        <v>651</v>
      </c>
      <c r="C64" s="61" t="str">
        <f t="shared" si="8"/>
        <v>2조 - Main-subroutine - Usability</v>
      </c>
      <c r="D64" s="54" t="s">
        <v>651</v>
      </c>
      <c r="E64" s="61" t="str">
        <f t="shared" si="9"/>
        <v>2조 - Master-Slave - Usability</v>
      </c>
      <c r="F64" s="34"/>
      <c r="G64" s="42" t="s">
        <v>651</v>
      </c>
      <c r="H64" s="34"/>
    </row>
    <row r="65" ht="16.5" customHeight="1">
      <c r="A65" s="34"/>
      <c r="B65" s="42" t="s">
        <v>651</v>
      </c>
      <c r="C65" s="42" t="s">
        <v>651</v>
      </c>
      <c r="D65" s="42" t="s">
        <v>651</v>
      </c>
      <c r="E65" s="42" t="s">
        <v>651</v>
      </c>
      <c r="F65" s="34"/>
      <c r="G65" s="42" t="s">
        <v>651</v>
      </c>
      <c r="H65" s="34"/>
    </row>
    <row r="66" ht="16.5" customHeight="1">
      <c r="A66" s="35" t="s">
        <v>361</v>
      </c>
      <c r="B66" s="73" t="s">
        <v>377</v>
      </c>
      <c r="C66" s="19"/>
      <c r="D66" s="73" t="s">
        <v>378</v>
      </c>
      <c r="E66" s="19"/>
      <c r="F66" s="73" t="s">
        <v>379</v>
      </c>
      <c r="G66" s="19"/>
      <c r="H66" s="34"/>
    </row>
    <row r="67" ht="16.5" customHeight="1">
      <c r="A67" s="39"/>
      <c r="B67" s="26" t="s">
        <v>12</v>
      </c>
      <c r="C67" s="44" t="s">
        <v>13</v>
      </c>
      <c r="D67" s="26" t="s">
        <v>12</v>
      </c>
      <c r="E67" s="44" t="s">
        <v>13</v>
      </c>
      <c r="F67" s="26" t="s">
        <v>12</v>
      </c>
      <c r="G67" s="44" t="s">
        <v>13</v>
      </c>
      <c r="H67" s="34"/>
    </row>
    <row r="68" ht="16.5" customHeight="1">
      <c r="A68" s="27" t="s">
        <v>14</v>
      </c>
      <c r="B68" s="54" t="s">
        <v>651</v>
      </c>
      <c r="C68" s="61" t="str">
        <f t="shared" ref="C68:C77" si="10">"2조" &amp; " - " &amp; B$66 &amp; " - " &amp; $A68</f>
        <v>2조 - Layered - Availability</v>
      </c>
      <c r="D68" s="54" t="s">
        <v>651</v>
      </c>
      <c r="E68" s="61" t="str">
        <f t="shared" ref="E68:E77" si="11">"2조" &amp; " - " &amp; D$66 &amp; " - " &amp; $A68</f>
        <v>2조 - Virtual Machine - Availability</v>
      </c>
      <c r="F68" s="54" t="s">
        <v>651</v>
      </c>
      <c r="G68" s="61" t="str">
        <f t="shared" ref="G68:G77" si="12">"2조" &amp; " - " &amp; F$66 &amp; " - " &amp; $A68</f>
        <v>2조 - Microkernel - Availability</v>
      </c>
      <c r="H68" s="34"/>
    </row>
    <row r="69" ht="16.5" customHeight="1">
      <c r="A69" s="27" t="s">
        <v>44</v>
      </c>
      <c r="B69" s="54" t="s">
        <v>651</v>
      </c>
      <c r="C69" s="61" t="str">
        <f t="shared" si="10"/>
        <v>2조 - Layered - Deployability</v>
      </c>
      <c r="D69" s="54" t="s">
        <v>651</v>
      </c>
      <c r="E69" s="65" t="str">
        <f t="shared" si="11"/>
        <v>2조 - Virtual Machine - Deployability</v>
      </c>
      <c r="F69" s="54" t="s">
        <v>651</v>
      </c>
      <c r="G69" s="61" t="str">
        <f t="shared" si="12"/>
        <v>2조 - Microkernel - Deployability</v>
      </c>
      <c r="H69" s="34"/>
    </row>
    <row r="70" ht="16.5" customHeight="1">
      <c r="A70" s="27" t="s">
        <v>80</v>
      </c>
      <c r="B70" s="54" t="s">
        <v>651</v>
      </c>
      <c r="C70" s="61" t="str">
        <f t="shared" si="10"/>
        <v>2조 - Layered - Integrability</v>
      </c>
      <c r="D70" s="54" t="s">
        <v>651</v>
      </c>
      <c r="E70" s="61" t="str">
        <f t="shared" si="11"/>
        <v>2조 - Virtual Machine - Integrability</v>
      </c>
      <c r="F70" s="54" t="s">
        <v>651</v>
      </c>
      <c r="G70" s="61" t="str">
        <f t="shared" si="12"/>
        <v>2조 - Microkernel - Integrability</v>
      </c>
      <c r="H70" s="34"/>
    </row>
    <row r="71" ht="16.5" customHeight="1">
      <c r="A71" s="27" t="s">
        <v>113</v>
      </c>
      <c r="B71" s="54" t="s">
        <v>651</v>
      </c>
      <c r="C71" s="61" t="str">
        <f t="shared" si="10"/>
        <v>2조 - Layered - Energy Efficiency</v>
      </c>
      <c r="D71" s="54" t="s">
        <v>651</v>
      </c>
      <c r="E71" s="61" t="str">
        <f t="shared" si="11"/>
        <v>2조 - Virtual Machine - Energy Efficiency</v>
      </c>
      <c r="F71" s="54" t="s">
        <v>651</v>
      </c>
      <c r="G71" s="61" t="str">
        <f t="shared" si="12"/>
        <v>2조 - Microkernel - Energy Efficiency</v>
      </c>
      <c r="H71" s="34"/>
    </row>
    <row r="72" ht="16.5" customHeight="1">
      <c r="A72" s="27" t="s">
        <v>144</v>
      </c>
      <c r="B72" s="54" t="s">
        <v>651</v>
      </c>
      <c r="C72" s="61" t="str">
        <f t="shared" si="10"/>
        <v>2조 - Layered - Modifiability</v>
      </c>
      <c r="D72" s="54" t="s">
        <v>651</v>
      </c>
      <c r="E72" s="61" t="str">
        <f t="shared" si="11"/>
        <v>2조 - Virtual Machine - Modifiability</v>
      </c>
      <c r="F72" s="54" t="s">
        <v>651</v>
      </c>
      <c r="G72" s="61" t="str">
        <f t="shared" si="12"/>
        <v>2조 - Microkernel - Modifiability</v>
      </c>
      <c r="H72" s="34"/>
    </row>
    <row r="73" ht="16.5" customHeight="1">
      <c r="A73" s="27" t="s">
        <v>176</v>
      </c>
      <c r="B73" s="54" t="s">
        <v>651</v>
      </c>
      <c r="C73" s="61" t="str">
        <f t="shared" si="10"/>
        <v>2조 - Layered - Performance</v>
      </c>
      <c r="D73" s="54" t="s">
        <v>651</v>
      </c>
      <c r="E73" s="61" t="str">
        <f t="shared" si="11"/>
        <v>2조 - Virtual Machine - Performance</v>
      </c>
      <c r="F73" s="54" t="s">
        <v>651</v>
      </c>
      <c r="G73" s="61" t="str">
        <f t="shared" si="12"/>
        <v>2조 - Microkernel - Performance</v>
      </c>
      <c r="H73" s="34"/>
    </row>
    <row r="74" ht="16.5" customHeight="1">
      <c r="A74" s="27" t="s">
        <v>208</v>
      </c>
      <c r="B74" s="54" t="s">
        <v>651</v>
      </c>
      <c r="C74" s="61" t="str">
        <f t="shared" si="10"/>
        <v>2조 - Layered - Safety</v>
      </c>
      <c r="D74" s="54" t="s">
        <v>651</v>
      </c>
      <c r="E74" s="61" t="str">
        <f t="shared" si="11"/>
        <v>2조 - Virtual Machine - Safety</v>
      </c>
      <c r="F74" s="54" t="s">
        <v>651</v>
      </c>
      <c r="G74" s="61" t="str">
        <f t="shared" si="12"/>
        <v>2조 - Microkernel - Safety</v>
      </c>
    </row>
    <row r="75" ht="16.5" customHeight="1">
      <c r="A75" s="27" t="s">
        <v>242</v>
      </c>
      <c r="B75" s="54" t="s">
        <v>651</v>
      </c>
      <c r="C75" s="61" t="str">
        <f t="shared" si="10"/>
        <v>2조 - Layered - Security</v>
      </c>
      <c r="D75" s="54" t="s">
        <v>651</v>
      </c>
      <c r="E75" s="61" t="str">
        <f t="shared" si="11"/>
        <v>2조 - Virtual Machine - Security</v>
      </c>
      <c r="F75" s="54" t="s">
        <v>651</v>
      </c>
      <c r="G75" s="61" t="str">
        <f t="shared" si="12"/>
        <v>2조 - Microkernel - Security</v>
      </c>
    </row>
    <row r="76" ht="16.5" customHeight="1">
      <c r="A76" s="27" t="s">
        <v>273</v>
      </c>
      <c r="B76" s="54" t="s">
        <v>651</v>
      </c>
      <c r="C76" s="61" t="str">
        <f t="shared" si="10"/>
        <v>2조 - Layered - Testability</v>
      </c>
      <c r="D76" s="54" t="s">
        <v>651</v>
      </c>
      <c r="E76" s="61" t="str">
        <f t="shared" si="11"/>
        <v>2조 - Virtual Machine - Testability</v>
      </c>
      <c r="F76" s="54" t="s">
        <v>651</v>
      </c>
      <c r="G76" s="61" t="str">
        <f t="shared" si="12"/>
        <v>2조 - Microkernel - Testability</v>
      </c>
    </row>
    <row r="77" ht="16.5" customHeight="1">
      <c r="A77" s="27" t="s">
        <v>305</v>
      </c>
      <c r="B77" s="54" t="s">
        <v>651</v>
      </c>
      <c r="C77" s="61" t="str">
        <f t="shared" si="10"/>
        <v>2조 - Layered - Usability</v>
      </c>
      <c r="D77" s="54" t="s">
        <v>651</v>
      </c>
      <c r="E77" s="61" t="str">
        <f t="shared" si="11"/>
        <v>2조 - Virtual Machine - Usability</v>
      </c>
      <c r="F77" s="54" t="s">
        <v>651</v>
      </c>
      <c r="G77" s="61" t="str">
        <f t="shared" si="12"/>
        <v>2조 - Microkernel - Usability</v>
      </c>
    </row>
    <row r="78" ht="16.5" customHeight="1">
      <c r="A78" s="34"/>
      <c r="B78" s="42" t="s">
        <v>651</v>
      </c>
      <c r="C78" s="42" t="s">
        <v>651</v>
      </c>
      <c r="D78" s="42" t="s">
        <v>651</v>
      </c>
      <c r="E78" s="42" t="s">
        <v>651</v>
      </c>
      <c r="F78" s="42" t="s">
        <v>651</v>
      </c>
      <c r="G78" s="42" t="s">
        <v>651</v>
      </c>
    </row>
    <row r="79" ht="16.5" customHeight="1">
      <c r="A79" s="24" t="s">
        <v>386</v>
      </c>
      <c r="B79" s="73" t="s">
        <v>627</v>
      </c>
      <c r="C79" s="19"/>
      <c r="D79" s="75" t="s">
        <v>392</v>
      </c>
      <c r="E79" s="19"/>
    </row>
    <row r="80" ht="16.5" customHeight="1">
      <c r="A80" s="20"/>
      <c r="B80" s="26" t="s">
        <v>12</v>
      </c>
      <c r="C80" s="26" t="s">
        <v>13</v>
      </c>
      <c r="D80" s="26" t="s">
        <v>12</v>
      </c>
      <c r="E80" s="26" t="s">
        <v>13</v>
      </c>
    </row>
    <row r="81" ht="16.5" customHeight="1">
      <c r="A81" s="27" t="s">
        <v>14</v>
      </c>
      <c r="B81" s="54" t="s">
        <v>651</v>
      </c>
      <c r="C81" s="61" t="str">
        <f t="shared" ref="C81:C90" si="13">"2조" &amp; " - " &amp; B$79 &amp; " - " &amp; $A81</f>
        <v>2조 - Multi-tier - Availability</v>
      </c>
      <c r="D81" s="47" t="s">
        <v>657</v>
      </c>
      <c r="E81" s="52" t="s">
        <v>720</v>
      </c>
    </row>
    <row r="82" ht="16.5" customHeight="1">
      <c r="A82" s="27" t="s">
        <v>44</v>
      </c>
      <c r="B82" s="54" t="s">
        <v>651</v>
      </c>
      <c r="C82" s="61" t="str">
        <f t="shared" si="13"/>
        <v>2조 - Multi-tier - Deployability</v>
      </c>
      <c r="D82" s="47" t="s">
        <v>648</v>
      </c>
      <c r="E82" s="52" t="s">
        <v>721</v>
      </c>
    </row>
    <row r="83" ht="16.5" customHeight="1">
      <c r="A83" s="27" t="s">
        <v>80</v>
      </c>
      <c r="B83" s="54" t="s">
        <v>651</v>
      </c>
      <c r="C83" s="61" t="str">
        <f t="shared" si="13"/>
        <v>2조 - Multi-tier - Integrability</v>
      </c>
      <c r="D83" s="47" t="s">
        <v>646</v>
      </c>
      <c r="E83" s="52" t="s">
        <v>722</v>
      </c>
    </row>
    <row r="84" ht="16.5" customHeight="1">
      <c r="A84" s="27" t="s">
        <v>113</v>
      </c>
      <c r="B84" s="54" t="s">
        <v>651</v>
      </c>
      <c r="C84" s="61" t="str">
        <f t="shared" si="13"/>
        <v>2조 - Multi-tier - Energy Efficiency</v>
      </c>
      <c r="D84" s="47" t="s">
        <v>653</v>
      </c>
      <c r="E84" s="52" t="s">
        <v>723</v>
      </c>
    </row>
    <row r="85" ht="16.5" customHeight="1">
      <c r="A85" s="27" t="s">
        <v>144</v>
      </c>
      <c r="B85" s="54" t="s">
        <v>651</v>
      </c>
      <c r="C85" s="61" t="str">
        <f t="shared" si="13"/>
        <v>2조 - Multi-tier - Modifiability</v>
      </c>
      <c r="D85" s="47" t="s">
        <v>646</v>
      </c>
      <c r="E85" s="52" t="s">
        <v>724</v>
      </c>
    </row>
    <row r="86" ht="16.5" customHeight="1">
      <c r="A86" s="27" t="s">
        <v>176</v>
      </c>
      <c r="B86" s="54" t="s">
        <v>651</v>
      </c>
      <c r="C86" s="61" t="str">
        <f t="shared" si="13"/>
        <v>2조 - Multi-tier - Performance</v>
      </c>
      <c r="D86" s="47" t="s">
        <v>653</v>
      </c>
      <c r="E86" s="52" t="s">
        <v>725</v>
      </c>
    </row>
    <row r="87" ht="16.5" customHeight="1">
      <c r="A87" s="27" t="s">
        <v>208</v>
      </c>
      <c r="B87" s="54" t="s">
        <v>651</v>
      </c>
      <c r="C87" s="61" t="str">
        <f t="shared" si="13"/>
        <v>2조 - Multi-tier - Safety</v>
      </c>
      <c r="D87" s="47" t="s">
        <v>653</v>
      </c>
      <c r="E87" s="52" t="s">
        <v>726</v>
      </c>
    </row>
    <row r="88" ht="16.5" customHeight="1">
      <c r="A88" s="27" t="s">
        <v>242</v>
      </c>
      <c r="B88" s="54" t="s">
        <v>651</v>
      </c>
      <c r="C88" s="61" t="str">
        <f t="shared" si="13"/>
        <v>2조 - Multi-tier - Security</v>
      </c>
      <c r="D88" s="47" t="s">
        <v>646</v>
      </c>
      <c r="E88" s="52" t="s">
        <v>727</v>
      </c>
    </row>
    <row r="89" ht="16.5" customHeight="1">
      <c r="A89" s="27" t="s">
        <v>273</v>
      </c>
      <c r="B89" s="54" t="s">
        <v>651</v>
      </c>
      <c r="C89" s="61" t="str">
        <f t="shared" si="13"/>
        <v>2조 - Multi-tier - Testability</v>
      </c>
      <c r="D89" s="47" t="s">
        <v>646</v>
      </c>
      <c r="E89" s="52" t="s">
        <v>728</v>
      </c>
    </row>
    <row r="90" ht="16.5" customHeight="1">
      <c r="A90" s="27" t="s">
        <v>305</v>
      </c>
      <c r="B90" s="54" t="s">
        <v>651</v>
      </c>
      <c r="C90" s="61" t="str">
        <f t="shared" si="13"/>
        <v>2조 - Multi-tier - Usability</v>
      </c>
      <c r="D90" s="47" t="s">
        <v>646</v>
      </c>
      <c r="E90" s="52" t="s">
        <v>729</v>
      </c>
    </row>
    <row r="91" ht="16.5" customHeight="1">
      <c r="A91" s="34"/>
      <c r="B91" s="42" t="s">
        <v>651</v>
      </c>
      <c r="C91" s="34"/>
      <c r="D91" s="42" t="s">
        <v>651</v>
      </c>
      <c r="E91" s="34"/>
      <c r="F91" s="42" t="s">
        <v>651</v>
      </c>
      <c r="G91" s="34"/>
    </row>
    <row r="92" ht="16.5" customHeight="1">
      <c r="A92" s="24" t="s">
        <v>386</v>
      </c>
      <c r="B92" s="73" t="s">
        <v>499</v>
      </c>
      <c r="C92" s="19"/>
      <c r="D92" s="46" t="s">
        <v>502</v>
      </c>
      <c r="E92" s="19"/>
    </row>
    <row r="93" ht="16.5" customHeight="1">
      <c r="A93" s="20"/>
      <c r="B93" s="26" t="s">
        <v>12</v>
      </c>
      <c r="C93" s="26" t="s">
        <v>13</v>
      </c>
      <c r="D93" s="26" t="s">
        <v>12</v>
      </c>
      <c r="E93" s="26" t="s">
        <v>13</v>
      </c>
    </row>
    <row r="94" ht="16.5" customHeight="1">
      <c r="A94" s="27" t="s">
        <v>14</v>
      </c>
      <c r="B94" s="54" t="s">
        <v>651</v>
      </c>
      <c r="C94" s="61" t="str">
        <f t="shared" ref="C94:C103" si="14">"2조" &amp; " - " &amp; B$92 &amp; " - " &amp; $A94</f>
        <v>2조 - Broker - Availability</v>
      </c>
      <c r="D94" s="54" t="s">
        <v>651</v>
      </c>
      <c r="E94" s="61" t="str">
        <f t="shared" ref="E94:E103" si="15">"2조" &amp; " - " &amp; D$92 &amp; " - " &amp; $A94</f>
        <v>2조 - Dispatcher - Availability</v>
      </c>
    </row>
    <row r="95" ht="16.5" customHeight="1">
      <c r="A95" s="27" t="s">
        <v>44</v>
      </c>
      <c r="B95" s="54" t="s">
        <v>651</v>
      </c>
      <c r="C95" s="61" t="str">
        <f t="shared" si="14"/>
        <v>2조 - Broker - Deployability</v>
      </c>
      <c r="D95" s="54" t="s">
        <v>651</v>
      </c>
      <c r="E95" s="61" t="str">
        <f t="shared" si="15"/>
        <v>2조 - Dispatcher - Deployability</v>
      </c>
    </row>
    <row r="96" ht="16.5" customHeight="1">
      <c r="A96" s="27" t="s">
        <v>80</v>
      </c>
      <c r="B96" s="54" t="s">
        <v>651</v>
      </c>
      <c r="C96" s="61" t="str">
        <f t="shared" si="14"/>
        <v>2조 - Broker - Integrability</v>
      </c>
      <c r="D96" s="54" t="s">
        <v>651</v>
      </c>
      <c r="E96" s="61" t="str">
        <f t="shared" si="15"/>
        <v>2조 - Dispatcher - Integrability</v>
      </c>
    </row>
    <row r="97" ht="16.5" customHeight="1">
      <c r="A97" s="27" t="s">
        <v>113</v>
      </c>
      <c r="B97" s="54" t="s">
        <v>651</v>
      </c>
      <c r="C97" s="61" t="str">
        <f t="shared" si="14"/>
        <v>2조 - Broker - Energy Efficiency</v>
      </c>
      <c r="D97" s="54" t="s">
        <v>651</v>
      </c>
      <c r="E97" s="61" t="str">
        <f t="shared" si="15"/>
        <v>2조 - Dispatcher - Energy Efficiency</v>
      </c>
    </row>
    <row r="98" ht="16.5" customHeight="1">
      <c r="A98" s="27" t="s">
        <v>144</v>
      </c>
      <c r="B98" s="54" t="s">
        <v>651</v>
      </c>
      <c r="C98" s="61" t="str">
        <f t="shared" si="14"/>
        <v>2조 - Broker - Modifiability</v>
      </c>
      <c r="D98" s="54" t="s">
        <v>651</v>
      </c>
      <c r="E98" s="61" t="str">
        <f t="shared" si="15"/>
        <v>2조 - Dispatcher - Modifiability</v>
      </c>
    </row>
    <row r="99" ht="16.5" customHeight="1">
      <c r="A99" s="27" t="s">
        <v>176</v>
      </c>
      <c r="B99" s="54" t="s">
        <v>651</v>
      </c>
      <c r="C99" s="61" t="str">
        <f t="shared" si="14"/>
        <v>2조 - Broker - Performance</v>
      </c>
      <c r="D99" s="54" t="s">
        <v>651</v>
      </c>
      <c r="E99" s="61" t="str">
        <f t="shared" si="15"/>
        <v>2조 - Dispatcher - Performance</v>
      </c>
    </row>
    <row r="100" ht="16.5" customHeight="1">
      <c r="A100" s="27" t="s">
        <v>208</v>
      </c>
      <c r="B100" s="54" t="s">
        <v>651</v>
      </c>
      <c r="C100" s="61" t="str">
        <f t="shared" si="14"/>
        <v>2조 - Broker - Safety</v>
      </c>
      <c r="D100" s="54" t="s">
        <v>651</v>
      </c>
      <c r="E100" s="61" t="str">
        <f t="shared" si="15"/>
        <v>2조 - Dispatcher - Safety</v>
      </c>
    </row>
    <row r="101" ht="16.5" customHeight="1">
      <c r="A101" s="27" t="s">
        <v>242</v>
      </c>
      <c r="B101" s="54" t="s">
        <v>651</v>
      </c>
      <c r="C101" s="61" t="str">
        <f t="shared" si="14"/>
        <v>2조 - Broker - Security</v>
      </c>
      <c r="D101" s="54" t="s">
        <v>651</v>
      </c>
      <c r="E101" s="61" t="str">
        <f t="shared" si="15"/>
        <v>2조 - Dispatcher - Security</v>
      </c>
    </row>
    <row r="102" ht="16.5" customHeight="1">
      <c r="A102" s="27" t="s">
        <v>273</v>
      </c>
      <c r="B102" s="54" t="s">
        <v>651</v>
      </c>
      <c r="C102" s="61" t="str">
        <f t="shared" si="14"/>
        <v>2조 - Broker - Testability</v>
      </c>
      <c r="D102" s="54" t="s">
        <v>651</v>
      </c>
      <c r="E102" s="61" t="str">
        <f t="shared" si="15"/>
        <v>2조 - Dispatcher - Testability</v>
      </c>
    </row>
    <row r="103" ht="16.5" customHeight="1">
      <c r="A103" s="27" t="s">
        <v>305</v>
      </c>
      <c r="B103" s="54" t="s">
        <v>651</v>
      </c>
      <c r="C103" s="61" t="str">
        <f t="shared" si="14"/>
        <v>2조 - Broker - Usability</v>
      </c>
      <c r="D103" s="54" t="s">
        <v>651</v>
      </c>
      <c r="E103" s="61" t="str">
        <f t="shared" si="15"/>
        <v>2조 - Dispatcher - Usability</v>
      </c>
    </row>
    <row r="104" ht="16.5" customHeight="1">
      <c r="A104" s="34"/>
      <c r="B104" s="42" t="s">
        <v>651</v>
      </c>
      <c r="C104" s="34"/>
      <c r="D104" s="42" t="s">
        <v>651</v>
      </c>
      <c r="E104" s="34"/>
      <c r="F104" s="34"/>
      <c r="G104" s="34"/>
    </row>
    <row r="105" ht="16.5" customHeight="1">
      <c r="A105" s="24" t="s">
        <v>386</v>
      </c>
      <c r="B105" s="73" t="s">
        <v>568</v>
      </c>
      <c r="C105" s="19"/>
      <c r="D105" s="46" t="s">
        <v>739</v>
      </c>
      <c r="E105" s="19"/>
    </row>
    <row r="106" ht="16.5" customHeight="1">
      <c r="A106" s="20"/>
      <c r="B106" s="26" t="s">
        <v>12</v>
      </c>
      <c r="C106" s="26" t="s">
        <v>13</v>
      </c>
      <c r="D106" s="26" t="s">
        <v>12</v>
      </c>
      <c r="E106" s="26" t="s">
        <v>13</v>
      </c>
    </row>
    <row r="107" ht="16.5" customHeight="1">
      <c r="A107" s="27" t="s">
        <v>14</v>
      </c>
      <c r="B107" s="54" t="s">
        <v>651</v>
      </c>
      <c r="C107" s="61" t="str">
        <f t="shared" ref="C107:C116" si="16">"2조" &amp; " - " &amp; B$105 &amp; " - " &amp; $A107</f>
        <v>2조 - SOA - Availability</v>
      </c>
      <c r="D107" s="54" t="s">
        <v>651</v>
      </c>
      <c r="E107" s="61" t="str">
        <f t="shared" ref="E107:E116" si="17">"2조" &amp; " - " &amp; D$105 &amp; " - " &amp; $A107</f>
        <v>2조 - Mico-Service - Availability</v>
      </c>
    </row>
    <row r="108" ht="16.5" customHeight="1">
      <c r="A108" s="27" t="s">
        <v>44</v>
      </c>
      <c r="B108" s="54" t="s">
        <v>651</v>
      </c>
      <c r="C108" s="61" t="str">
        <f t="shared" si="16"/>
        <v>2조 - SOA - Deployability</v>
      </c>
      <c r="D108" s="54" t="s">
        <v>651</v>
      </c>
      <c r="E108" s="61" t="str">
        <f t="shared" si="17"/>
        <v>2조 - Mico-Service - Deployability</v>
      </c>
    </row>
    <row r="109" ht="16.5" customHeight="1">
      <c r="A109" s="27" t="s">
        <v>80</v>
      </c>
      <c r="B109" s="54" t="s">
        <v>651</v>
      </c>
      <c r="C109" s="61" t="str">
        <f t="shared" si="16"/>
        <v>2조 - SOA - Integrability</v>
      </c>
      <c r="D109" s="54" t="s">
        <v>651</v>
      </c>
      <c r="E109" s="61" t="str">
        <f t="shared" si="17"/>
        <v>2조 - Mico-Service - Integrability</v>
      </c>
    </row>
    <row r="110" ht="16.5" customHeight="1">
      <c r="A110" s="27" t="s">
        <v>113</v>
      </c>
      <c r="B110" s="54" t="s">
        <v>651</v>
      </c>
      <c r="C110" s="61" t="str">
        <f t="shared" si="16"/>
        <v>2조 - SOA - Energy Efficiency</v>
      </c>
      <c r="D110" s="54" t="s">
        <v>651</v>
      </c>
      <c r="E110" s="61" t="str">
        <f t="shared" si="17"/>
        <v>2조 - Mico-Service - Energy Efficiency</v>
      </c>
    </row>
    <row r="111" ht="16.5" customHeight="1">
      <c r="A111" s="27" t="s">
        <v>144</v>
      </c>
      <c r="B111" s="54" t="s">
        <v>651</v>
      </c>
      <c r="C111" s="61" t="str">
        <f t="shared" si="16"/>
        <v>2조 - SOA - Modifiability</v>
      </c>
      <c r="D111" s="54" t="s">
        <v>651</v>
      </c>
      <c r="E111" s="61" t="str">
        <f t="shared" si="17"/>
        <v>2조 - Mico-Service - Modifiability</v>
      </c>
    </row>
    <row r="112" ht="16.5" customHeight="1">
      <c r="A112" s="27" t="s">
        <v>176</v>
      </c>
      <c r="B112" s="54" t="s">
        <v>651</v>
      </c>
      <c r="C112" s="61" t="str">
        <f t="shared" si="16"/>
        <v>2조 - SOA - Performance</v>
      </c>
      <c r="D112" s="54" t="s">
        <v>651</v>
      </c>
      <c r="E112" s="61" t="str">
        <f t="shared" si="17"/>
        <v>2조 - Mico-Service - Performance</v>
      </c>
    </row>
    <row r="113" ht="16.5" customHeight="1">
      <c r="A113" s="27" t="s">
        <v>208</v>
      </c>
      <c r="B113" s="54" t="s">
        <v>651</v>
      </c>
      <c r="C113" s="61" t="str">
        <f t="shared" si="16"/>
        <v>2조 - SOA - Safety</v>
      </c>
      <c r="D113" s="54" t="s">
        <v>651</v>
      </c>
      <c r="E113" s="61" t="str">
        <f t="shared" si="17"/>
        <v>2조 - Mico-Service - Safety</v>
      </c>
    </row>
    <row r="114" ht="16.5" customHeight="1">
      <c r="A114" s="27" t="s">
        <v>242</v>
      </c>
      <c r="B114" s="54" t="s">
        <v>651</v>
      </c>
      <c r="C114" s="61" t="str">
        <f t="shared" si="16"/>
        <v>2조 - SOA - Security</v>
      </c>
      <c r="D114" s="54" t="s">
        <v>651</v>
      </c>
      <c r="E114" s="61" t="str">
        <f t="shared" si="17"/>
        <v>2조 - Mico-Service - Security</v>
      </c>
    </row>
    <row r="115" ht="16.5" customHeight="1">
      <c r="A115" s="27" t="s">
        <v>273</v>
      </c>
      <c r="B115" s="54" t="s">
        <v>651</v>
      </c>
      <c r="C115" s="61" t="str">
        <f t="shared" si="16"/>
        <v>2조 - SOA - Testability</v>
      </c>
      <c r="D115" s="54" t="s">
        <v>651</v>
      </c>
      <c r="E115" s="61" t="str">
        <f t="shared" si="17"/>
        <v>2조 - Mico-Service - Testability</v>
      </c>
    </row>
    <row r="116" ht="16.5" customHeight="1">
      <c r="A116" s="27" t="s">
        <v>305</v>
      </c>
      <c r="B116" s="54" t="s">
        <v>651</v>
      </c>
      <c r="C116" s="61" t="str">
        <f t="shared" si="16"/>
        <v>2조 - SOA - Usability</v>
      </c>
      <c r="D116" s="54" t="s">
        <v>651</v>
      </c>
      <c r="E116" s="61" t="str">
        <f t="shared" si="17"/>
        <v>2조 - Mico-Service - Usability</v>
      </c>
    </row>
    <row r="117" ht="16.5" customHeight="1">
      <c r="A117" s="34"/>
      <c r="B117" s="42" t="s">
        <v>651</v>
      </c>
      <c r="C117" s="34"/>
      <c r="D117" s="42" t="s">
        <v>651</v>
      </c>
      <c r="E117" s="34"/>
      <c r="F117" s="34"/>
      <c r="G117" s="34"/>
    </row>
    <row r="118" ht="16.5" customHeight="1">
      <c r="A118" s="24" t="s">
        <v>599</v>
      </c>
      <c r="B118" s="46" t="s">
        <v>600</v>
      </c>
      <c r="C118" s="19"/>
      <c r="D118" s="46" t="s">
        <v>601</v>
      </c>
      <c r="E118" s="19"/>
      <c r="F118" s="80" t="s">
        <v>603</v>
      </c>
      <c r="G118" s="19"/>
    </row>
    <row r="119" ht="16.5" customHeight="1">
      <c r="A119" s="20"/>
      <c r="B119" s="26" t="s">
        <v>12</v>
      </c>
      <c r="C119" s="26" t="s">
        <v>13</v>
      </c>
      <c r="D119" s="26" t="s">
        <v>12</v>
      </c>
      <c r="E119" s="26" t="s">
        <v>13</v>
      </c>
      <c r="F119" s="26" t="s">
        <v>12</v>
      </c>
      <c r="G119" s="26" t="s">
        <v>13</v>
      </c>
    </row>
    <row r="120" ht="16.5" customHeight="1">
      <c r="A120" s="27" t="s">
        <v>14</v>
      </c>
      <c r="B120" s="54" t="s">
        <v>651</v>
      </c>
      <c r="C120" s="61" t="str">
        <f t="shared" ref="C120:C129" si="18">"2조" &amp; " - " &amp; B$118 &amp; " - " &amp; $A120</f>
        <v>2조 - Container-based - Availability</v>
      </c>
      <c r="D120" s="54" t="s">
        <v>651</v>
      </c>
      <c r="E120" s="61" t="str">
        <f t="shared" ref="E120:E129" si="19">"2조" &amp; " - " &amp; D$118 &amp; " - " &amp; $A120</f>
        <v>2조 - Cloud-based - Availability</v>
      </c>
      <c r="F120" s="47" t="s">
        <v>648</v>
      </c>
      <c r="G120" s="52" t="s">
        <v>742</v>
      </c>
    </row>
    <row r="121" ht="16.5" customHeight="1">
      <c r="A121" s="27" t="s">
        <v>44</v>
      </c>
      <c r="B121" s="54" t="s">
        <v>651</v>
      </c>
      <c r="C121" s="61" t="str">
        <f t="shared" si="18"/>
        <v>2조 - Container-based - Deployability</v>
      </c>
      <c r="D121" s="54" t="s">
        <v>651</v>
      </c>
      <c r="E121" s="61" t="str">
        <f t="shared" si="19"/>
        <v>2조 - Cloud-based - Deployability</v>
      </c>
      <c r="F121" s="47" t="s">
        <v>644</v>
      </c>
      <c r="G121" s="52" t="s">
        <v>743</v>
      </c>
    </row>
    <row r="122" ht="16.5" customHeight="1">
      <c r="A122" s="27" t="s">
        <v>80</v>
      </c>
      <c r="B122" s="54" t="s">
        <v>651</v>
      </c>
      <c r="C122" s="61" t="str">
        <f t="shared" si="18"/>
        <v>2조 - Container-based - Integrability</v>
      </c>
      <c r="D122" s="54" t="s">
        <v>651</v>
      </c>
      <c r="E122" s="61" t="str">
        <f t="shared" si="19"/>
        <v>2조 - Cloud-based - Integrability</v>
      </c>
      <c r="F122" s="47" t="s">
        <v>657</v>
      </c>
      <c r="G122" s="52" t="s">
        <v>744</v>
      </c>
    </row>
    <row r="123" ht="16.5" customHeight="1">
      <c r="A123" s="27" t="s">
        <v>113</v>
      </c>
      <c r="B123" s="54" t="s">
        <v>651</v>
      </c>
      <c r="C123" s="61" t="str">
        <f t="shared" si="18"/>
        <v>2조 - Container-based - Energy Efficiency</v>
      </c>
      <c r="D123" s="54" t="s">
        <v>651</v>
      </c>
      <c r="E123" s="61" t="str">
        <f t="shared" si="19"/>
        <v>2조 - Cloud-based - Energy Efficiency</v>
      </c>
      <c r="F123" s="47" t="s">
        <v>653</v>
      </c>
      <c r="G123" s="52" t="s">
        <v>745</v>
      </c>
    </row>
    <row r="124" ht="16.5" customHeight="1">
      <c r="A124" s="27" t="s">
        <v>144</v>
      </c>
      <c r="B124" s="54" t="s">
        <v>651</v>
      </c>
      <c r="C124" s="61" t="str">
        <f t="shared" si="18"/>
        <v>2조 - Container-based - Modifiability</v>
      </c>
      <c r="D124" s="54" t="s">
        <v>651</v>
      </c>
      <c r="E124" s="61" t="str">
        <f t="shared" si="19"/>
        <v>2조 - Cloud-based - Modifiability</v>
      </c>
      <c r="F124" s="47" t="s">
        <v>657</v>
      </c>
      <c r="G124" s="52" t="s">
        <v>747</v>
      </c>
    </row>
    <row r="125" ht="16.5" customHeight="1">
      <c r="A125" s="27" t="s">
        <v>176</v>
      </c>
      <c r="B125" s="54" t="s">
        <v>651</v>
      </c>
      <c r="C125" s="61" t="str">
        <f t="shared" si="18"/>
        <v>2조 - Container-based - Performance</v>
      </c>
      <c r="D125" s="54" t="s">
        <v>651</v>
      </c>
      <c r="E125" s="61" t="str">
        <f t="shared" si="19"/>
        <v>2조 - Cloud-based - Performance</v>
      </c>
      <c r="F125" s="47" t="s">
        <v>648</v>
      </c>
      <c r="G125" s="52" t="s">
        <v>748</v>
      </c>
    </row>
    <row r="126" ht="16.5" customHeight="1">
      <c r="A126" s="27" t="s">
        <v>208</v>
      </c>
      <c r="B126" s="54" t="s">
        <v>651</v>
      </c>
      <c r="C126" s="61" t="str">
        <f t="shared" si="18"/>
        <v>2조 - Container-based - Safety</v>
      </c>
      <c r="D126" s="54" t="s">
        <v>651</v>
      </c>
      <c r="E126" s="61" t="str">
        <f t="shared" si="19"/>
        <v>2조 - Cloud-based - Safety</v>
      </c>
      <c r="F126" s="47" t="s">
        <v>646</v>
      </c>
      <c r="G126" s="52" t="s">
        <v>750</v>
      </c>
    </row>
    <row r="127" ht="16.5" customHeight="1">
      <c r="A127" s="27" t="s">
        <v>242</v>
      </c>
      <c r="B127" s="54" t="s">
        <v>651</v>
      </c>
      <c r="C127" s="61" t="str">
        <f t="shared" si="18"/>
        <v>2조 - Container-based - Security</v>
      </c>
      <c r="D127" s="54" t="s">
        <v>651</v>
      </c>
      <c r="E127" s="61" t="str">
        <f t="shared" si="19"/>
        <v>2조 - Cloud-based - Security</v>
      </c>
      <c r="F127" s="47" t="s">
        <v>657</v>
      </c>
      <c r="G127" s="52" t="s">
        <v>752</v>
      </c>
    </row>
    <row r="128" ht="16.5" customHeight="1">
      <c r="A128" s="27" t="s">
        <v>273</v>
      </c>
      <c r="B128" s="54" t="s">
        <v>651</v>
      </c>
      <c r="C128" s="61" t="str">
        <f t="shared" si="18"/>
        <v>2조 - Container-based - Testability</v>
      </c>
      <c r="D128" s="54" t="s">
        <v>651</v>
      </c>
      <c r="E128" s="61" t="str">
        <f t="shared" si="19"/>
        <v>2조 - Cloud-based - Testability</v>
      </c>
      <c r="F128" s="47" t="s">
        <v>657</v>
      </c>
      <c r="G128" s="52" t="s">
        <v>753</v>
      </c>
    </row>
    <row r="129" ht="16.5" customHeight="1">
      <c r="A129" s="27" t="s">
        <v>305</v>
      </c>
      <c r="B129" s="54" t="s">
        <v>651</v>
      </c>
      <c r="C129" s="61" t="str">
        <f t="shared" si="18"/>
        <v>2조 - Container-based - Usability</v>
      </c>
      <c r="D129" s="54" t="s">
        <v>651</v>
      </c>
      <c r="E129" s="61" t="str">
        <f t="shared" si="19"/>
        <v>2조 - Cloud-based - Usability</v>
      </c>
      <c r="F129" s="47" t="s">
        <v>657</v>
      </c>
      <c r="G129" s="52" t="s">
        <v>755</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0.57"/>
    <col customWidth="1" min="4" max="4" width="9.86"/>
    <col customWidth="1" min="5" max="5" width="64.43"/>
    <col customWidth="1" min="6" max="6" width="11.43"/>
    <col customWidth="1" min="7" max="7" width="61.57"/>
    <col customWidth="1" min="8" max="8" width="8.86"/>
    <col customWidth="1" min="9" max="9" width="64.14"/>
  </cols>
  <sheetData>
    <row r="1" ht="16.5" customHeight="1">
      <c r="A1" s="24" t="s">
        <v>610</v>
      </c>
      <c r="B1" s="46" t="s">
        <v>2</v>
      </c>
      <c r="C1" s="19"/>
      <c r="D1" s="46" t="s">
        <v>6</v>
      </c>
      <c r="E1" s="19"/>
      <c r="F1" s="46" t="s">
        <v>10</v>
      </c>
      <c r="G1" s="19"/>
    </row>
    <row r="2" ht="16.5" customHeight="1">
      <c r="A2" s="20"/>
      <c r="B2" s="26" t="s">
        <v>12</v>
      </c>
      <c r="C2" s="26" t="s">
        <v>13</v>
      </c>
      <c r="D2" s="26" t="s">
        <v>12</v>
      </c>
      <c r="E2" s="26" t="s">
        <v>13</v>
      </c>
      <c r="F2" s="26" t="s">
        <v>12</v>
      </c>
      <c r="G2" s="26" t="s">
        <v>13</v>
      </c>
    </row>
    <row r="3" ht="16.5" customHeight="1">
      <c r="A3" s="27" t="s">
        <v>14</v>
      </c>
      <c r="B3" s="47" t="s">
        <v>644</v>
      </c>
      <c r="C3" s="52" t="s">
        <v>700</v>
      </c>
      <c r="D3" s="54" t="s">
        <v>651</v>
      </c>
      <c r="E3" s="61" t="str">
        <f t="shared" ref="E3:E12" si="1">"3조" &amp; " - " &amp; D$1 &amp; " - " &amp; $A3</f>
        <v>3조 - Pipe and Filter - Availability</v>
      </c>
      <c r="F3" s="54" t="s">
        <v>651</v>
      </c>
      <c r="G3" s="61" t="str">
        <f t="shared" ref="G3:G12" si="2">"3조" &amp; " - " &amp; F$1 &amp; " - " &amp; $A3</f>
        <v>3조 - Process Control - Availability</v>
      </c>
    </row>
    <row r="4" ht="16.5" customHeight="1">
      <c r="A4" s="27" t="s">
        <v>44</v>
      </c>
      <c r="B4" s="47" t="s">
        <v>648</v>
      </c>
      <c r="C4" s="52" t="s">
        <v>701</v>
      </c>
      <c r="D4" s="54" t="s">
        <v>651</v>
      </c>
      <c r="E4" s="61" t="str">
        <f t="shared" si="1"/>
        <v>3조 - Pipe and Filter - Deployability</v>
      </c>
      <c r="F4" s="54" t="s">
        <v>651</v>
      </c>
      <c r="G4" s="61" t="str">
        <f t="shared" si="2"/>
        <v>3조 - Process Control - Deployability</v>
      </c>
    </row>
    <row r="5" ht="16.5" customHeight="1">
      <c r="A5" s="27" t="s">
        <v>80</v>
      </c>
      <c r="B5" s="47" t="s">
        <v>657</v>
      </c>
      <c r="C5" s="52" t="s">
        <v>702</v>
      </c>
      <c r="D5" s="54" t="s">
        <v>651</v>
      </c>
      <c r="E5" s="65" t="str">
        <f t="shared" si="1"/>
        <v>3조 - Pipe and Filter - Integrability</v>
      </c>
      <c r="F5" s="54" t="s">
        <v>651</v>
      </c>
      <c r="G5" s="61" t="str">
        <f t="shared" si="2"/>
        <v>3조 - Process Control - Integrability</v>
      </c>
    </row>
    <row r="6" ht="16.5" customHeight="1">
      <c r="A6" s="27" t="s">
        <v>113</v>
      </c>
      <c r="B6" s="47" t="s">
        <v>653</v>
      </c>
      <c r="C6" s="52" t="s">
        <v>703</v>
      </c>
      <c r="D6" s="54" t="s">
        <v>651</v>
      </c>
      <c r="E6" s="61" t="str">
        <f t="shared" si="1"/>
        <v>3조 - Pipe and Filter - Energy Efficiency</v>
      </c>
      <c r="F6" s="54" t="s">
        <v>651</v>
      </c>
      <c r="G6" s="61" t="str">
        <f t="shared" si="2"/>
        <v>3조 - Process Control - Energy Efficiency</v>
      </c>
    </row>
    <row r="7" ht="28.5" customHeight="1">
      <c r="A7" s="27" t="s">
        <v>144</v>
      </c>
      <c r="B7" s="47" t="s">
        <v>653</v>
      </c>
      <c r="C7" s="52" t="s">
        <v>704</v>
      </c>
      <c r="D7" s="54" t="s">
        <v>651</v>
      </c>
      <c r="E7" s="61" t="str">
        <f t="shared" si="1"/>
        <v>3조 - Pipe and Filter - Modifiability</v>
      </c>
      <c r="F7" s="54" t="s">
        <v>651</v>
      </c>
      <c r="G7" s="61" t="str">
        <f t="shared" si="2"/>
        <v>3조 - Process Control - Modifiability</v>
      </c>
    </row>
    <row r="8" ht="16.5" customHeight="1">
      <c r="A8" s="27" t="s">
        <v>176</v>
      </c>
      <c r="B8" s="47" t="s">
        <v>644</v>
      </c>
      <c r="C8" s="52" t="s">
        <v>705</v>
      </c>
      <c r="D8" s="54" t="s">
        <v>651</v>
      </c>
      <c r="E8" s="61" t="str">
        <f t="shared" si="1"/>
        <v>3조 - Pipe and Filter - Performance</v>
      </c>
      <c r="F8" s="54" t="s">
        <v>651</v>
      </c>
      <c r="G8" s="61" t="str">
        <f t="shared" si="2"/>
        <v>3조 - Process Control - Performance</v>
      </c>
    </row>
    <row r="9" ht="16.5" customHeight="1">
      <c r="A9" s="27" t="s">
        <v>208</v>
      </c>
      <c r="B9" s="47" t="s">
        <v>657</v>
      </c>
      <c r="C9" s="52" t="s">
        <v>706</v>
      </c>
      <c r="D9" s="54" t="s">
        <v>651</v>
      </c>
      <c r="E9" s="61" t="str">
        <f t="shared" si="1"/>
        <v>3조 - Pipe and Filter - Safety</v>
      </c>
      <c r="F9" s="54" t="s">
        <v>651</v>
      </c>
      <c r="G9" s="61" t="str">
        <f t="shared" si="2"/>
        <v>3조 - Process Control - Safety</v>
      </c>
    </row>
    <row r="10" ht="16.5" customHeight="1">
      <c r="A10" s="27" t="s">
        <v>242</v>
      </c>
      <c r="B10" s="47" t="s">
        <v>657</v>
      </c>
      <c r="C10" s="52" t="s">
        <v>707</v>
      </c>
      <c r="D10" s="54" t="s">
        <v>651</v>
      </c>
      <c r="E10" s="61" t="str">
        <f t="shared" si="1"/>
        <v>3조 - Pipe and Filter - Security</v>
      </c>
      <c r="F10" s="54" t="s">
        <v>651</v>
      </c>
      <c r="G10" s="61" t="str">
        <f t="shared" si="2"/>
        <v>3조 - Process Control - Security</v>
      </c>
    </row>
    <row r="11" ht="16.5" customHeight="1">
      <c r="A11" s="27" t="s">
        <v>273</v>
      </c>
      <c r="B11" s="47" t="s">
        <v>648</v>
      </c>
      <c r="C11" s="52" t="s">
        <v>708</v>
      </c>
      <c r="D11" s="54" t="s">
        <v>651</v>
      </c>
      <c r="E11" s="61" t="str">
        <f t="shared" si="1"/>
        <v>3조 - Pipe and Filter - Testability</v>
      </c>
      <c r="F11" s="54" t="s">
        <v>651</v>
      </c>
      <c r="G11" s="61" t="str">
        <f t="shared" si="2"/>
        <v>3조 - Process Control - Testability</v>
      </c>
    </row>
    <row r="12" ht="16.5" customHeight="1">
      <c r="A12" s="27" t="s">
        <v>305</v>
      </c>
      <c r="B12" s="47" t="s">
        <v>646</v>
      </c>
      <c r="C12" s="52" t="s">
        <v>709</v>
      </c>
      <c r="D12" s="54" t="s">
        <v>651</v>
      </c>
      <c r="E12" s="61" t="str">
        <f t="shared" si="1"/>
        <v>3조 - Pipe and Filter - Usability</v>
      </c>
      <c r="F12" s="54" t="s">
        <v>651</v>
      </c>
      <c r="G12" s="61" t="str">
        <f t="shared" si="2"/>
        <v>3조 - Process Control - Usability</v>
      </c>
    </row>
    <row r="13" ht="16.5" customHeight="1">
      <c r="A13" s="34"/>
      <c r="B13" s="42" t="s">
        <v>651</v>
      </c>
      <c r="C13" s="42" t="s">
        <v>651</v>
      </c>
      <c r="D13" s="42" t="s">
        <v>651</v>
      </c>
      <c r="E13" s="42" t="s">
        <v>651</v>
      </c>
      <c r="F13" s="42" t="s">
        <v>651</v>
      </c>
      <c r="G13" s="34"/>
    </row>
    <row r="14" ht="16.5" customHeight="1">
      <c r="A14" s="35" t="s">
        <v>0</v>
      </c>
      <c r="B14" s="73" t="s">
        <v>615</v>
      </c>
      <c r="C14" s="19"/>
      <c r="D14" s="73" t="s">
        <v>8</v>
      </c>
      <c r="E14" s="19"/>
      <c r="F14" s="34"/>
      <c r="G14" s="34"/>
    </row>
    <row r="15" ht="16.5" customHeight="1">
      <c r="A15" s="36"/>
      <c r="B15" s="37" t="s">
        <v>12</v>
      </c>
      <c r="C15" s="74" t="s">
        <v>13</v>
      </c>
      <c r="D15" s="37" t="s">
        <v>12</v>
      </c>
      <c r="E15" s="74" t="s">
        <v>13</v>
      </c>
      <c r="F15" s="34"/>
      <c r="G15" s="34"/>
    </row>
    <row r="16" ht="16.5" customHeight="1">
      <c r="A16" s="27" t="s">
        <v>14</v>
      </c>
      <c r="B16" s="47" t="s">
        <v>657</v>
      </c>
      <c r="C16" s="52" t="s">
        <v>710</v>
      </c>
      <c r="D16" s="54" t="s">
        <v>651</v>
      </c>
      <c r="E16" s="61" t="str">
        <f t="shared" ref="E16:E25" si="3">"3조" &amp; " - " &amp; D$14 &amp; " - " &amp; $A16</f>
        <v>3조 - Blackboard - Availability</v>
      </c>
      <c r="F16" s="34"/>
      <c r="G16" s="34"/>
    </row>
    <row r="17" ht="16.5" customHeight="1">
      <c r="A17" s="27" t="s">
        <v>44</v>
      </c>
      <c r="B17" s="47" t="s">
        <v>657</v>
      </c>
      <c r="C17" s="52" t="s">
        <v>711</v>
      </c>
      <c r="D17" s="54" t="s">
        <v>651</v>
      </c>
      <c r="E17" s="61" t="str">
        <f t="shared" si="3"/>
        <v>3조 - Blackboard - Deployability</v>
      </c>
      <c r="F17" s="34"/>
      <c r="G17" s="34"/>
    </row>
    <row r="18" ht="27.75" customHeight="1">
      <c r="A18" s="27" t="s">
        <v>80</v>
      </c>
      <c r="B18" s="47" t="s">
        <v>657</v>
      </c>
      <c r="C18" s="52" t="s">
        <v>712</v>
      </c>
      <c r="D18" s="54" t="s">
        <v>651</v>
      </c>
      <c r="E18" s="61" t="str">
        <f t="shared" si="3"/>
        <v>3조 - Blackboard - Integrability</v>
      </c>
      <c r="F18" s="34"/>
      <c r="G18" s="34"/>
    </row>
    <row r="19" ht="31.5" customHeight="1">
      <c r="A19" s="27" t="s">
        <v>113</v>
      </c>
      <c r="B19" s="47" t="s">
        <v>646</v>
      </c>
      <c r="C19" s="52" t="s">
        <v>713</v>
      </c>
      <c r="D19" s="54" t="s">
        <v>651</v>
      </c>
      <c r="E19" s="61" t="str">
        <f t="shared" si="3"/>
        <v>3조 - Blackboard - Energy Efficiency</v>
      </c>
      <c r="F19" s="34"/>
      <c r="G19" s="34"/>
    </row>
    <row r="20" ht="16.5" customHeight="1">
      <c r="A20" s="27" t="s">
        <v>144</v>
      </c>
      <c r="B20" s="47" t="s">
        <v>657</v>
      </c>
      <c r="C20" s="52" t="s">
        <v>714</v>
      </c>
      <c r="D20" s="54" t="s">
        <v>651</v>
      </c>
      <c r="E20" s="61" t="str">
        <f t="shared" si="3"/>
        <v>3조 - Blackboard - Modifiability</v>
      </c>
      <c r="F20" s="34"/>
      <c r="G20" s="34"/>
    </row>
    <row r="21" ht="16.5" customHeight="1">
      <c r="A21" s="27" t="s">
        <v>176</v>
      </c>
      <c r="B21" s="47" t="s">
        <v>646</v>
      </c>
      <c r="C21" s="52" t="s">
        <v>715</v>
      </c>
      <c r="D21" s="54" t="s">
        <v>651</v>
      </c>
      <c r="E21" s="61" t="str">
        <f t="shared" si="3"/>
        <v>3조 - Blackboard - Performance</v>
      </c>
      <c r="F21" s="34"/>
      <c r="G21" s="34"/>
    </row>
    <row r="22" ht="16.5" customHeight="1">
      <c r="A22" s="27" t="s">
        <v>208</v>
      </c>
      <c r="B22" s="47" t="s">
        <v>644</v>
      </c>
      <c r="C22" s="52" t="s">
        <v>716</v>
      </c>
      <c r="D22" s="54" t="s">
        <v>651</v>
      </c>
      <c r="E22" s="61" t="str">
        <f t="shared" si="3"/>
        <v>3조 - Blackboard - Safety</v>
      </c>
      <c r="F22" s="34"/>
      <c r="G22" s="34"/>
    </row>
    <row r="23" ht="16.5" customHeight="1">
      <c r="A23" s="27" t="s">
        <v>242</v>
      </c>
      <c r="B23" s="47" t="s">
        <v>657</v>
      </c>
      <c r="C23" s="52" t="s">
        <v>717</v>
      </c>
      <c r="D23" s="54" t="s">
        <v>651</v>
      </c>
      <c r="E23" s="61" t="str">
        <f t="shared" si="3"/>
        <v>3조 - Blackboard - Security</v>
      </c>
      <c r="F23" s="34"/>
      <c r="G23" s="34"/>
    </row>
    <row r="24" ht="16.5" customHeight="1">
      <c r="A24" s="27" t="s">
        <v>273</v>
      </c>
      <c r="B24" s="47" t="s">
        <v>657</v>
      </c>
      <c r="C24" s="52" t="s">
        <v>718</v>
      </c>
      <c r="D24" s="54" t="s">
        <v>651</v>
      </c>
      <c r="E24" s="61" t="str">
        <f t="shared" si="3"/>
        <v>3조 - Blackboard - Testability</v>
      </c>
      <c r="F24" s="34"/>
      <c r="G24" s="34"/>
    </row>
    <row r="25" ht="16.5" customHeight="1">
      <c r="A25" s="27" t="s">
        <v>305</v>
      </c>
      <c r="B25" s="47" t="s">
        <v>646</v>
      </c>
      <c r="C25" s="52" t="s">
        <v>719</v>
      </c>
      <c r="D25" s="54" t="s">
        <v>651</v>
      </c>
      <c r="E25" s="61" t="str">
        <f t="shared" si="3"/>
        <v>3조 - Blackboard - Usability</v>
      </c>
      <c r="F25" s="34"/>
      <c r="G25" s="34"/>
    </row>
    <row r="26" ht="16.5" customHeight="1">
      <c r="A26" s="34"/>
      <c r="B26" s="42" t="s">
        <v>651</v>
      </c>
      <c r="C26" s="42" t="s">
        <v>651</v>
      </c>
      <c r="D26" s="42" t="s">
        <v>651</v>
      </c>
      <c r="E26" s="42" t="s">
        <v>651</v>
      </c>
      <c r="F26" s="34"/>
      <c r="G26" s="34"/>
    </row>
    <row r="27" ht="16.5" customHeight="1">
      <c r="A27" s="35" t="s">
        <v>3</v>
      </c>
      <c r="B27" s="73" t="s">
        <v>7</v>
      </c>
      <c r="C27" s="19"/>
      <c r="D27" s="73" t="s">
        <v>11</v>
      </c>
      <c r="E27" s="19"/>
      <c r="F27" s="34"/>
      <c r="G27" s="34"/>
    </row>
    <row r="28" ht="16.5" customHeight="1">
      <c r="A28" s="39"/>
      <c r="B28" s="26" t="s">
        <v>12</v>
      </c>
      <c r="C28" s="44" t="s">
        <v>13</v>
      </c>
      <c r="D28" s="26" t="s">
        <v>12</v>
      </c>
      <c r="E28" s="44" t="s">
        <v>13</v>
      </c>
      <c r="F28" s="34"/>
      <c r="G28" s="34"/>
    </row>
    <row r="29" ht="16.5" customHeight="1">
      <c r="A29" s="27" t="s">
        <v>14</v>
      </c>
      <c r="B29" s="54" t="s">
        <v>651</v>
      </c>
      <c r="C29" s="61" t="str">
        <f t="shared" ref="C29:C38" si="4">"3조" &amp; " - " &amp; B$27 &amp; " - " &amp; $A29</f>
        <v>3조 - Non-Buffered Event Based - Availability</v>
      </c>
      <c r="D29" s="54" t="s">
        <v>651</v>
      </c>
      <c r="E29" s="61" t="str">
        <f t="shared" ref="E29:E38" si="5">"3조" &amp; " - " &amp; D$27 &amp; " - " &amp; $A29</f>
        <v>3조 - Buffered Message Based - Availability</v>
      </c>
      <c r="F29" s="34"/>
      <c r="G29" s="34"/>
    </row>
    <row r="30" ht="16.5" customHeight="1">
      <c r="A30" s="27" t="s">
        <v>44</v>
      </c>
      <c r="B30" s="54" t="s">
        <v>651</v>
      </c>
      <c r="C30" s="61" t="str">
        <f t="shared" si="4"/>
        <v>3조 - Non-Buffered Event Based - Deployability</v>
      </c>
      <c r="D30" s="54" t="s">
        <v>651</v>
      </c>
      <c r="E30" s="61" t="str">
        <f t="shared" si="5"/>
        <v>3조 - Buffered Message Based - Deployability</v>
      </c>
      <c r="F30" s="34"/>
      <c r="G30" s="34"/>
    </row>
    <row r="31" ht="16.5" customHeight="1">
      <c r="A31" s="27" t="s">
        <v>80</v>
      </c>
      <c r="B31" s="54" t="s">
        <v>651</v>
      </c>
      <c r="C31" s="61" t="str">
        <f t="shared" si="4"/>
        <v>3조 - Non-Buffered Event Based - Integrability</v>
      </c>
      <c r="D31" s="54" t="s">
        <v>651</v>
      </c>
      <c r="E31" s="61" t="str">
        <f t="shared" si="5"/>
        <v>3조 - Buffered Message Based - Integrability</v>
      </c>
      <c r="F31" s="34"/>
      <c r="G31" s="34"/>
    </row>
    <row r="32" ht="16.5" customHeight="1">
      <c r="A32" s="27" t="s">
        <v>113</v>
      </c>
      <c r="B32" s="54" t="s">
        <v>651</v>
      </c>
      <c r="C32" s="61" t="str">
        <f t="shared" si="4"/>
        <v>3조 - Non-Buffered Event Based - Energy Efficiency</v>
      </c>
      <c r="D32" s="54" t="s">
        <v>651</v>
      </c>
      <c r="E32" s="61" t="str">
        <f t="shared" si="5"/>
        <v>3조 - Buffered Message Based - Energy Efficiency</v>
      </c>
      <c r="F32" s="34"/>
      <c r="G32" s="34"/>
    </row>
    <row r="33" ht="16.5" customHeight="1">
      <c r="A33" s="27" t="s">
        <v>144</v>
      </c>
      <c r="B33" s="54" t="s">
        <v>651</v>
      </c>
      <c r="C33" s="61" t="str">
        <f t="shared" si="4"/>
        <v>3조 - Non-Buffered Event Based - Modifiability</v>
      </c>
      <c r="D33" s="54" t="s">
        <v>651</v>
      </c>
      <c r="E33" s="61" t="str">
        <f t="shared" si="5"/>
        <v>3조 - Buffered Message Based - Modifiability</v>
      </c>
      <c r="F33" s="34"/>
      <c r="G33" s="34"/>
    </row>
    <row r="34" ht="16.5" customHeight="1">
      <c r="A34" s="27" t="s">
        <v>176</v>
      </c>
      <c r="B34" s="54" t="s">
        <v>651</v>
      </c>
      <c r="C34" s="61" t="str">
        <f t="shared" si="4"/>
        <v>3조 - Non-Buffered Event Based - Performance</v>
      </c>
      <c r="D34" s="54" t="s">
        <v>651</v>
      </c>
      <c r="E34" s="61" t="str">
        <f t="shared" si="5"/>
        <v>3조 - Buffered Message Based - Performance</v>
      </c>
      <c r="F34" s="34"/>
      <c r="G34" s="34"/>
    </row>
    <row r="35" ht="16.5" customHeight="1">
      <c r="A35" s="27" t="s">
        <v>208</v>
      </c>
      <c r="B35" s="54" t="s">
        <v>651</v>
      </c>
      <c r="C35" s="61" t="str">
        <f t="shared" si="4"/>
        <v>3조 - Non-Buffered Event Based - Safety</v>
      </c>
      <c r="D35" s="54" t="s">
        <v>651</v>
      </c>
      <c r="E35" s="61" t="str">
        <f t="shared" si="5"/>
        <v>3조 - Buffered Message Based - Safety</v>
      </c>
      <c r="F35" s="34"/>
      <c r="G35" s="34"/>
    </row>
    <row r="36" ht="16.5" customHeight="1">
      <c r="A36" s="27" t="s">
        <v>242</v>
      </c>
      <c r="B36" s="54" t="s">
        <v>651</v>
      </c>
      <c r="C36" s="61" t="str">
        <f t="shared" si="4"/>
        <v>3조 - Non-Buffered Event Based - Security</v>
      </c>
      <c r="D36" s="54" t="s">
        <v>651</v>
      </c>
      <c r="E36" s="61" t="str">
        <f t="shared" si="5"/>
        <v>3조 - Buffered Message Based - Security</v>
      </c>
      <c r="F36" s="34"/>
      <c r="G36" s="34"/>
    </row>
    <row r="37" ht="16.5" customHeight="1">
      <c r="A37" s="27" t="s">
        <v>273</v>
      </c>
      <c r="B37" s="54" t="s">
        <v>651</v>
      </c>
      <c r="C37" s="61" t="str">
        <f t="shared" si="4"/>
        <v>3조 - Non-Buffered Event Based - Testability</v>
      </c>
      <c r="D37" s="54" t="s">
        <v>651</v>
      </c>
      <c r="E37" s="61" t="str">
        <f t="shared" si="5"/>
        <v>3조 - Buffered Message Based - Testability</v>
      </c>
      <c r="F37" s="34"/>
      <c r="G37" s="34"/>
    </row>
    <row r="38" ht="16.5" customHeight="1">
      <c r="A38" s="27" t="s">
        <v>305</v>
      </c>
      <c r="B38" s="54" t="s">
        <v>651</v>
      </c>
      <c r="C38" s="61" t="str">
        <f t="shared" si="4"/>
        <v>3조 - Non-Buffered Event Based - Usability</v>
      </c>
      <c r="D38" s="54" t="s">
        <v>651</v>
      </c>
      <c r="E38" s="61" t="str">
        <f t="shared" si="5"/>
        <v>3조 - Buffered Message Based - Usability</v>
      </c>
      <c r="F38" s="34"/>
      <c r="G38" s="34"/>
    </row>
    <row r="39" ht="16.5" customHeight="1">
      <c r="A39" s="34"/>
      <c r="B39" s="42" t="s">
        <v>651</v>
      </c>
      <c r="C39" s="42" t="s">
        <v>651</v>
      </c>
      <c r="D39" s="42" t="s">
        <v>651</v>
      </c>
      <c r="E39" s="42" t="s">
        <v>651</v>
      </c>
      <c r="F39" s="34"/>
      <c r="G39" s="34"/>
    </row>
    <row r="40" ht="16.5" customHeight="1">
      <c r="A40" s="35" t="s">
        <v>1</v>
      </c>
      <c r="B40" s="46" t="s">
        <v>4</v>
      </c>
      <c r="C40" s="19"/>
      <c r="D40" s="46" t="s">
        <v>9</v>
      </c>
      <c r="E40" s="19"/>
      <c r="F40" s="34"/>
      <c r="G40" s="34"/>
      <c r="H40" s="34"/>
    </row>
    <row r="41" ht="15.75" customHeight="1">
      <c r="A41" s="39"/>
      <c r="B41" s="26" t="s">
        <v>12</v>
      </c>
      <c r="C41" s="26" t="s">
        <v>13</v>
      </c>
      <c r="D41" s="26" t="s">
        <v>12</v>
      </c>
      <c r="E41" s="26" t="s">
        <v>13</v>
      </c>
      <c r="F41" s="34"/>
      <c r="G41" s="34"/>
      <c r="H41" s="34"/>
      <c r="I41" s="40"/>
    </row>
    <row r="42" ht="16.5" customHeight="1">
      <c r="A42" s="27" t="s">
        <v>14</v>
      </c>
      <c r="B42" s="54" t="s">
        <v>651</v>
      </c>
      <c r="C42" s="61" t="str">
        <f t="shared" ref="C42:C51" si="6">"3조" &amp; " - " &amp; B$40 &amp; " - " &amp; $A42</f>
        <v>3조 - MVC - Availability</v>
      </c>
      <c r="D42" s="54" t="s">
        <v>651</v>
      </c>
      <c r="E42" s="61" t="str">
        <f t="shared" ref="E42:E51" si="7">"3조" &amp; " - " &amp; D$40 &amp; " - " &amp; $A42</f>
        <v>3조 - PAC - Availability</v>
      </c>
      <c r="F42" s="34"/>
      <c r="G42" s="34"/>
      <c r="H42" s="34"/>
    </row>
    <row r="43" ht="16.5" customHeight="1">
      <c r="A43" s="27" t="s">
        <v>44</v>
      </c>
      <c r="B43" s="54" t="s">
        <v>651</v>
      </c>
      <c r="C43" s="61" t="str">
        <f t="shared" si="6"/>
        <v>3조 - MVC - Deployability</v>
      </c>
      <c r="D43" s="54" t="s">
        <v>651</v>
      </c>
      <c r="E43" s="61" t="str">
        <f t="shared" si="7"/>
        <v>3조 - PAC - Deployability</v>
      </c>
      <c r="F43" s="34"/>
      <c r="G43" s="34"/>
      <c r="H43" s="34"/>
    </row>
    <row r="44" ht="16.5" customHeight="1">
      <c r="A44" s="27" t="s">
        <v>80</v>
      </c>
      <c r="B44" s="54" t="s">
        <v>651</v>
      </c>
      <c r="C44" s="61" t="str">
        <f t="shared" si="6"/>
        <v>3조 - MVC - Integrability</v>
      </c>
      <c r="D44" s="54" t="s">
        <v>651</v>
      </c>
      <c r="E44" s="61" t="str">
        <f t="shared" si="7"/>
        <v>3조 - PAC - Integrability</v>
      </c>
      <c r="F44" s="34"/>
      <c r="G44" s="34"/>
      <c r="H44" s="34"/>
    </row>
    <row r="45" ht="16.5" customHeight="1">
      <c r="A45" s="27" t="s">
        <v>113</v>
      </c>
      <c r="B45" s="54" t="s">
        <v>651</v>
      </c>
      <c r="C45" s="61" t="str">
        <f t="shared" si="6"/>
        <v>3조 - MVC - Energy Efficiency</v>
      </c>
      <c r="D45" s="54" t="s">
        <v>651</v>
      </c>
      <c r="E45" s="61" t="str">
        <f t="shared" si="7"/>
        <v>3조 - PAC - Energy Efficiency</v>
      </c>
      <c r="F45" s="34"/>
      <c r="G45" s="34"/>
      <c r="H45" s="34"/>
    </row>
    <row r="46" ht="16.5" customHeight="1">
      <c r="A46" s="27" t="s">
        <v>144</v>
      </c>
      <c r="B46" s="54" t="s">
        <v>651</v>
      </c>
      <c r="C46" s="61" t="str">
        <f t="shared" si="6"/>
        <v>3조 - MVC - Modifiability</v>
      </c>
      <c r="D46" s="54" t="s">
        <v>651</v>
      </c>
      <c r="E46" s="61" t="str">
        <f t="shared" si="7"/>
        <v>3조 - PAC - Modifiability</v>
      </c>
      <c r="F46" s="34"/>
      <c r="G46" s="34"/>
      <c r="H46" s="34"/>
    </row>
    <row r="47" ht="16.5" customHeight="1">
      <c r="A47" s="27" t="s">
        <v>176</v>
      </c>
      <c r="B47" s="54" t="s">
        <v>651</v>
      </c>
      <c r="C47" s="61" t="str">
        <f t="shared" si="6"/>
        <v>3조 - MVC - Performance</v>
      </c>
      <c r="D47" s="54" t="s">
        <v>651</v>
      </c>
      <c r="E47" s="61" t="str">
        <f t="shared" si="7"/>
        <v>3조 - PAC - Performance</v>
      </c>
      <c r="F47" s="34"/>
      <c r="G47" s="34"/>
      <c r="H47" s="34"/>
    </row>
    <row r="48" ht="16.5" customHeight="1">
      <c r="A48" s="27" t="s">
        <v>208</v>
      </c>
      <c r="B48" s="54" t="s">
        <v>651</v>
      </c>
      <c r="C48" s="61" t="str">
        <f t="shared" si="6"/>
        <v>3조 - MVC - Safety</v>
      </c>
      <c r="D48" s="54" t="s">
        <v>651</v>
      </c>
      <c r="E48" s="61" t="str">
        <f t="shared" si="7"/>
        <v>3조 - PAC - Safety</v>
      </c>
      <c r="F48" s="34"/>
      <c r="G48" s="34"/>
      <c r="H48" s="34"/>
    </row>
    <row r="49" ht="16.5" customHeight="1">
      <c r="A49" s="27" t="s">
        <v>242</v>
      </c>
      <c r="B49" s="54" t="s">
        <v>651</v>
      </c>
      <c r="C49" s="61" t="str">
        <f t="shared" si="6"/>
        <v>3조 - MVC - Security</v>
      </c>
      <c r="D49" s="54" t="s">
        <v>651</v>
      </c>
      <c r="E49" s="61" t="str">
        <f t="shared" si="7"/>
        <v>3조 - PAC - Security</v>
      </c>
      <c r="F49" s="34"/>
      <c r="G49" s="34"/>
      <c r="H49" s="34"/>
    </row>
    <row r="50" ht="15.75" customHeight="1">
      <c r="A50" s="27" t="s">
        <v>273</v>
      </c>
      <c r="B50" s="54" t="s">
        <v>651</v>
      </c>
      <c r="C50" s="61" t="str">
        <f t="shared" si="6"/>
        <v>3조 - MVC - Testability</v>
      </c>
      <c r="D50" s="54" t="s">
        <v>651</v>
      </c>
      <c r="E50" s="61" t="str">
        <f t="shared" si="7"/>
        <v>3조 - PAC - Testability</v>
      </c>
      <c r="F50" s="34"/>
      <c r="G50" s="42" t="s">
        <v>651</v>
      </c>
      <c r="H50" s="34"/>
      <c r="I50" s="41"/>
    </row>
    <row r="51" ht="15.75" customHeight="1">
      <c r="A51" s="27" t="s">
        <v>305</v>
      </c>
      <c r="B51" s="54" t="s">
        <v>651</v>
      </c>
      <c r="C51" s="61" t="str">
        <f t="shared" si="6"/>
        <v>3조 - MVC - Usability</v>
      </c>
      <c r="D51" s="54" t="s">
        <v>651</v>
      </c>
      <c r="E51" s="61" t="str">
        <f t="shared" si="7"/>
        <v>3조 - PAC - Usability</v>
      </c>
      <c r="F51" s="34"/>
      <c r="G51" s="42" t="s">
        <v>651</v>
      </c>
      <c r="H51" s="34"/>
      <c r="I51" s="40"/>
    </row>
    <row r="52" ht="16.5" customHeight="1">
      <c r="A52" s="34"/>
      <c r="B52" s="42" t="s">
        <v>651</v>
      </c>
      <c r="C52" s="34"/>
      <c r="D52" s="42" t="s">
        <v>651</v>
      </c>
      <c r="E52" s="34"/>
      <c r="F52" s="34"/>
      <c r="G52" s="34"/>
    </row>
    <row r="53" ht="16.5" customHeight="1">
      <c r="A53" s="35" t="s">
        <v>361</v>
      </c>
      <c r="B53" s="73" t="s">
        <v>362</v>
      </c>
      <c r="C53" s="19"/>
      <c r="D53" s="73" t="s">
        <v>363</v>
      </c>
      <c r="E53" s="19"/>
      <c r="F53" s="34"/>
      <c r="G53" s="42" t="s">
        <v>651</v>
      </c>
      <c r="H53" s="34"/>
    </row>
    <row r="54" ht="16.5" customHeight="1">
      <c r="A54" s="39"/>
      <c r="B54" s="26" t="s">
        <v>12</v>
      </c>
      <c r="C54" s="44" t="s">
        <v>13</v>
      </c>
      <c r="D54" s="26" t="s">
        <v>12</v>
      </c>
      <c r="E54" s="44" t="s">
        <v>13</v>
      </c>
      <c r="F54" s="34"/>
      <c r="G54" s="42" t="s">
        <v>651</v>
      </c>
      <c r="H54" s="34"/>
    </row>
    <row r="55" ht="16.5" customHeight="1">
      <c r="A55" s="27" t="s">
        <v>14</v>
      </c>
      <c r="B55" s="54" t="s">
        <v>651</v>
      </c>
      <c r="C55" s="61" t="str">
        <f t="shared" ref="C55:C64" si="8">"3조" &amp; " - " &amp; B$53 &amp; " - " &amp; $A55</f>
        <v>3조 - Main-subroutine - Availability</v>
      </c>
      <c r="D55" s="54" t="s">
        <v>651</v>
      </c>
      <c r="E55" s="61" t="str">
        <f t="shared" ref="E55:E64" si="9">"3조" &amp; " - " &amp; D$53 &amp; " - " &amp; $A55</f>
        <v>3조 - Master-Slave - Availability</v>
      </c>
      <c r="F55" s="34"/>
      <c r="G55" s="42" t="s">
        <v>651</v>
      </c>
      <c r="H55" s="34"/>
    </row>
    <row r="56" ht="16.5" customHeight="1">
      <c r="A56" s="27" t="s">
        <v>44</v>
      </c>
      <c r="B56" s="54" t="s">
        <v>651</v>
      </c>
      <c r="C56" s="65" t="str">
        <f t="shared" si="8"/>
        <v>3조 - Main-subroutine - Deployability</v>
      </c>
      <c r="D56" s="54" t="s">
        <v>651</v>
      </c>
      <c r="E56" s="61" t="str">
        <f t="shared" si="9"/>
        <v>3조 - Master-Slave - Deployability</v>
      </c>
      <c r="F56" s="34"/>
      <c r="G56" s="42" t="s">
        <v>651</v>
      </c>
      <c r="H56" s="34"/>
    </row>
    <row r="57" ht="16.5" customHeight="1">
      <c r="A57" s="27" t="s">
        <v>80</v>
      </c>
      <c r="B57" s="54" t="s">
        <v>651</v>
      </c>
      <c r="C57" s="61" t="str">
        <f t="shared" si="8"/>
        <v>3조 - Main-subroutine - Integrability</v>
      </c>
      <c r="D57" s="54" t="s">
        <v>651</v>
      </c>
      <c r="E57" s="61" t="str">
        <f t="shared" si="9"/>
        <v>3조 - Master-Slave - Integrability</v>
      </c>
      <c r="F57" s="34"/>
      <c r="G57" s="42" t="s">
        <v>651</v>
      </c>
      <c r="H57" s="34"/>
    </row>
    <row r="58" ht="16.5" customHeight="1">
      <c r="A58" s="27" t="s">
        <v>113</v>
      </c>
      <c r="B58" s="54" t="s">
        <v>651</v>
      </c>
      <c r="C58" s="61" t="str">
        <f t="shared" si="8"/>
        <v>3조 - Main-subroutine - Energy Efficiency</v>
      </c>
      <c r="D58" s="54" t="s">
        <v>651</v>
      </c>
      <c r="E58" s="61" t="str">
        <f t="shared" si="9"/>
        <v>3조 - Master-Slave - Energy Efficiency</v>
      </c>
      <c r="F58" s="34"/>
      <c r="G58" s="42" t="s">
        <v>651</v>
      </c>
      <c r="H58" s="34"/>
    </row>
    <row r="59" ht="16.5" customHeight="1">
      <c r="A59" s="27" t="s">
        <v>144</v>
      </c>
      <c r="B59" s="54" t="s">
        <v>651</v>
      </c>
      <c r="C59" s="61" t="str">
        <f t="shared" si="8"/>
        <v>3조 - Main-subroutine - Modifiability</v>
      </c>
      <c r="D59" s="54" t="s">
        <v>651</v>
      </c>
      <c r="E59" s="61" t="str">
        <f t="shared" si="9"/>
        <v>3조 - Master-Slave - Modifiability</v>
      </c>
      <c r="F59" s="34"/>
      <c r="G59" s="42" t="s">
        <v>651</v>
      </c>
      <c r="H59" s="34"/>
    </row>
    <row r="60" ht="15.75" customHeight="1">
      <c r="A60" s="27" t="s">
        <v>176</v>
      </c>
      <c r="B60" s="54" t="s">
        <v>651</v>
      </c>
      <c r="C60" s="61" t="str">
        <f t="shared" si="8"/>
        <v>3조 - Main-subroutine - Performance</v>
      </c>
      <c r="D60" s="54" t="s">
        <v>651</v>
      </c>
      <c r="E60" s="61" t="str">
        <f t="shared" si="9"/>
        <v>3조 - Master-Slave - Performance</v>
      </c>
      <c r="F60" s="34"/>
      <c r="G60" s="42" t="s">
        <v>651</v>
      </c>
      <c r="H60" s="34"/>
      <c r="I60" s="41"/>
    </row>
    <row r="61" ht="15.75" customHeight="1">
      <c r="A61" s="27" t="s">
        <v>208</v>
      </c>
      <c r="B61" s="54" t="s">
        <v>651</v>
      </c>
      <c r="C61" s="61" t="str">
        <f t="shared" si="8"/>
        <v>3조 - Main-subroutine - Safety</v>
      </c>
      <c r="D61" s="54" t="s">
        <v>651</v>
      </c>
      <c r="E61" s="61" t="str">
        <f t="shared" si="9"/>
        <v>3조 - Master-Slave - Safety</v>
      </c>
      <c r="F61" s="34"/>
      <c r="G61" s="42" t="s">
        <v>651</v>
      </c>
      <c r="H61" s="34"/>
      <c r="I61" s="40"/>
    </row>
    <row r="62" ht="16.5" customHeight="1">
      <c r="A62" s="27" t="s">
        <v>242</v>
      </c>
      <c r="B62" s="54" t="s">
        <v>651</v>
      </c>
      <c r="C62" s="61" t="str">
        <f t="shared" si="8"/>
        <v>3조 - Main-subroutine - Security</v>
      </c>
      <c r="D62" s="54" t="s">
        <v>651</v>
      </c>
      <c r="E62" s="61" t="str">
        <f t="shared" si="9"/>
        <v>3조 - Master-Slave - Security</v>
      </c>
      <c r="F62" s="34"/>
      <c r="G62" s="42" t="s">
        <v>651</v>
      </c>
      <c r="H62" s="34"/>
    </row>
    <row r="63" ht="16.5" customHeight="1">
      <c r="A63" s="27" t="s">
        <v>273</v>
      </c>
      <c r="B63" s="54" t="s">
        <v>651</v>
      </c>
      <c r="C63" s="61" t="str">
        <f t="shared" si="8"/>
        <v>3조 - Main-subroutine - Testability</v>
      </c>
      <c r="D63" s="54" t="s">
        <v>651</v>
      </c>
      <c r="E63" s="61" t="str">
        <f t="shared" si="9"/>
        <v>3조 - Master-Slave - Testability</v>
      </c>
      <c r="F63" s="34"/>
      <c r="G63" s="42" t="s">
        <v>651</v>
      </c>
      <c r="H63" s="34"/>
    </row>
    <row r="64" ht="16.5" customHeight="1">
      <c r="A64" s="27" t="s">
        <v>305</v>
      </c>
      <c r="B64" s="54" t="s">
        <v>651</v>
      </c>
      <c r="C64" s="61" t="str">
        <f t="shared" si="8"/>
        <v>3조 - Main-subroutine - Usability</v>
      </c>
      <c r="D64" s="54" t="s">
        <v>651</v>
      </c>
      <c r="E64" s="61" t="str">
        <f t="shared" si="9"/>
        <v>3조 - Master-Slave - Usability</v>
      </c>
      <c r="F64" s="34"/>
      <c r="G64" s="42" t="s">
        <v>651</v>
      </c>
      <c r="H64" s="34"/>
    </row>
    <row r="65" ht="16.5" customHeight="1">
      <c r="A65" s="34"/>
      <c r="B65" s="42" t="s">
        <v>651</v>
      </c>
      <c r="C65" s="42" t="s">
        <v>651</v>
      </c>
      <c r="D65" s="42" t="s">
        <v>651</v>
      </c>
      <c r="E65" s="42" t="s">
        <v>651</v>
      </c>
      <c r="F65" s="34"/>
      <c r="G65" s="42" t="s">
        <v>651</v>
      </c>
      <c r="H65" s="34"/>
    </row>
    <row r="66" ht="16.5" customHeight="1">
      <c r="A66" s="35" t="s">
        <v>361</v>
      </c>
      <c r="B66" s="73" t="s">
        <v>377</v>
      </c>
      <c r="C66" s="19"/>
      <c r="D66" s="73" t="s">
        <v>378</v>
      </c>
      <c r="E66" s="19"/>
      <c r="F66" s="73" t="s">
        <v>379</v>
      </c>
      <c r="G66" s="19"/>
      <c r="H66" s="34"/>
    </row>
    <row r="67" ht="16.5" customHeight="1">
      <c r="A67" s="39"/>
      <c r="B67" s="26" t="s">
        <v>12</v>
      </c>
      <c r="C67" s="44" t="s">
        <v>13</v>
      </c>
      <c r="D67" s="26" t="s">
        <v>12</v>
      </c>
      <c r="E67" s="44" t="s">
        <v>13</v>
      </c>
      <c r="F67" s="26" t="s">
        <v>12</v>
      </c>
      <c r="G67" s="44" t="s">
        <v>13</v>
      </c>
      <c r="H67" s="34"/>
    </row>
    <row r="68" ht="16.5" customHeight="1">
      <c r="A68" s="27" t="s">
        <v>14</v>
      </c>
      <c r="B68" s="54" t="s">
        <v>651</v>
      </c>
      <c r="C68" s="61" t="str">
        <f t="shared" ref="C68:C77" si="10">"3조" &amp; " - " &amp; B$66 &amp; " - " &amp; $A68</f>
        <v>3조 - Layered - Availability</v>
      </c>
      <c r="D68" s="54" t="s">
        <v>651</v>
      </c>
      <c r="E68" s="61" t="str">
        <f t="shared" ref="E68:E77" si="11">"3조" &amp; " - " &amp; D$66 &amp; " - " &amp; $A68</f>
        <v>3조 - Virtual Machine - Availability</v>
      </c>
      <c r="F68" s="54" t="s">
        <v>651</v>
      </c>
      <c r="G68" s="61" t="str">
        <f t="shared" ref="G68:G77" si="12">"3조" &amp; " - " &amp; F$66 &amp; " - " &amp; $A68</f>
        <v>3조 - Microkernel - Availability</v>
      </c>
      <c r="H68" s="34"/>
    </row>
    <row r="69" ht="16.5" customHeight="1">
      <c r="A69" s="27" t="s">
        <v>44</v>
      </c>
      <c r="B69" s="54" t="s">
        <v>651</v>
      </c>
      <c r="C69" s="61" t="str">
        <f t="shared" si="10"/>
        <v>3조 - Layered - Deployability</v>
      </c>
      <c r="D69" s="54" t="s">
        <v>651</v>
      </c>
      <c r="E69" s="65" t="str">
        <f t="shared" si="11"/>
        <v>3조 - Virtual Machine - Deployability</v>
      </c>
      <c r="F69" s="54" t="s">
        <v>651</v>
      </c>
      <c r="G69" s="61" t="str">
        <f t="shared" si="12"/>
        <v>3조 - Microkernel - Deployability</v>
      </c>
      <c r="H69" s="34"/>
    </row>
    <row r="70" ht="16.5" customHeight="1">
      <c r="A70" s="27" t="s">
        <v>80</v>
      </c>
      <c r="B70" s="54" t="s">
        <v>651</v>
      </c>
      <c r="C70" s="61" t="str">
        <f t="shared" si="10"/>
        <v>3조 - Layered - Integrability</v>
      </c>
      <c r="D70" s="54" t="s">
        <v>651</v>
      </c>
      <c r="E70" s="61" t="str">
        <f t="shared" si="11"/>
        <v>3조 - Virtual Machine - Integrability</v>
      </c>
      <c r="F70" s="54" t="s">
        <v>651</v>
      </c>
      <c r="G70" s="61" t="str">
        <f t="shared" si="12"/>
        <v>3조 - Microkernel - Integrability</v>
      </c>
      <c r="H70" s="34"/>
    </row>
    <row r="71" ht="16.5" customHeight="1">
      <c r="A71" s="27" t="s">
        <v>113</v>
      </c>
      <c r="B71" s="54" t="s">
        <v>651</v>
      </c>
      <c r="C71" s="61" t="str">
        <f t="shared" si="10"/>
        <v>3조 - Layered - Energy Efficiency</v>
      </c>
      <c r="D71" s="54" t="s">
        <v>651</v>
      </c>
      <c r="E71" s="61" t="str">
        <f t="shared" si="11"/>
        <v>3조 - Virtual Machine - Energy Efficiency</v>
      </c>
      <c r="F71" s="54" t="s">
        <v>651</v>
      </c>
      <c r="G71" s="61" t="str">
        <f t="shared" si="12"/>
        <v>3조 - Microkernel - Energy Efficiency</v>
      </c>
      <c r="H71" s="34"/>
    </row>
    <row r="72" ht="16.5" customHeight="1">
      <c r="A72" s="27" t="s">
        <v>144</v>
      </c>
      <c r="B72" s="54" t="s">
        <v>651</v>
      </c>
      <c r="C72" s="61" t="str">
        <f t="shared" si="10"/>
        <v>3조 - Layered - Modifiability</v>
      </c>
      <c r="D72" s="54" t="s">
        <v>651</v>
      </c>
      <c r="E72" s="61" t="str">
        <f t="shared" si="11"/>
        <v>3조 - Virtual Machine - Modifiability</v>
      </c>
      <c r="F72" s="54" t="s">
        <v>651</v>
      </c>
      <c r="G72" s="61" t="str">
        <f t="shared" si="12"/>
        <v>3조 - Microkernel - Modifiability</v>
      </c>
      <c r="H72" s="34"/>
    </row>
    <row r="73" ht="16.5" customHeight="1">
      <c r="A73" s="27" t="s">
        <v>176</v>
      </c>
      <c r="B73" s="54" t="s">
        <v>651</v>
      </c>
      <c r="C73" s="61" t="str">
        <f t="shared" si="10"/>
        <v>3조 - Layered - Performance</v>
      </c>
      <c r="D73" s="54" t="s">
        <v>651</v>
      </c>
      <c r="E73" s="61" t="str">
        <f t="shared" si="11"/>
        <v>3조 - Virtual Machine - Performance</v>
      </c>
      <c r="F73" s="54" t="s">
        <v>651</v>
      </c>
      <c r="G73" s="61" t="str">
        <f t="shared" si="12"/>
        <v>3조 - Microkernel - Performance</v>
      </c>
      <c r="H73" s="34"/>
    </row>
    <row r="74" ht="16.5" customHeight="1">
      <c r="A74" s="27" t="s">
        <v>208</v>
      </c>
      <c r="B74" s="54" t="s">
        <v>651</v>
      </c>
      <c r="C74" s="61" t="str">
        <f t="shared" si="10"/>
        <v>3조 - Layered - Safety</v>
      </c>
      <c r="D74" s="54" t="s">
        <v>651</v>
      </c>
      <c r="E74" s="61" t="str">
        <f t="shared" si="11"/>
        <v>3조 - Virtual Machine - Safety</v>
      </c>
      <c r="F74" s="54" t="s">
        <v>651</v>
      </c>
      <c r="G74" s="61" t="str">
        <f t="shared" si="12"/>
        <v>3조 - Microkernel - Safety</v>
      </c>
    </row>
    <row r="75" ht="16.5" customHeight="1">
      <c r="A75" s="27" t="s">
        <v>242</v>
      </c>
      <c r="B75" s="54" t="s">
        <v>651</v>
      </c>
      <c r="C75" s="61" t="str">
        <f t="shared" si="10"/>
        <v>3조 - Layered - Security</v>
      </c>
      <c r="D75" s="54" t="s">
        <v>651</v>
      </c>
      <c r="E75" s="61" t="str">
        <f t="shared" si="11"/>
        <v>3조 - Virtual Machine - Security</v>
      </c>
      <c r="F75" s="54" t="s">
        <v>651</v>
      </c>
      <c r="G75" s="61" t="str">
        <f t="shared" si="12"/>
        <v>3조 - Microkernel - Security</v>
      </c>
    </row>
    <row r="76" ht="16.5" customHeight="1">
      <c r="A76" s="27" t="s">
        <v>273</v>
      </c>
      <c r="B76" s="54" t="s">
        <v>651</v>
      </c>
      <c r="C76" s="61" t="str">
        <f t="shared" si="10"/>
        <v>3조 - Layered - Testability</v>
      </c>
      <c r="D76" s="54" t="s">
        <v>651</v>
      </c>
      <c r="E76" s="61" t="str">
        <f t="shared" si="11"/>
        <v>3조 - Virtual Machine - Testability</v>
      </c>
      <c r="F76" s="54" t="s">
        <v>651</v>
      </c>
      <c r="G76" s="61" t="str">
        <f t="shared" si="12"/>
        <v>3조 - Microkernel - Testability</v>
      </c>
    </row>
    <row r="77" ht="16.5" customHeight="1">
      <c r="A77" s="27" t="s">
        <v>305</v>
      </c>
      <c r="B77" s="54" t="s">
        <v>651</v>
      </c>
      <c r="C77" s="61" t="str">
        <f t="shared" si="10"/>
        <v>3조 - Layered - Usability</v>
      </c>
      <c r="D77" s="54" t="s">
        <v>651</v>
      </c>
      <c r="E77" s="61" t="str">
        <f t="shared" si="11"/>
        <v>3조 - Virtual Machine - Usability</v>
      </c>
      <c r="F77" s="54" t="s">
        <v>651</v>
      </c>
      <c r="G77" s="61" t="str">
        <f t="shared" si="12"/>
        <v>3조 - Microkernel - Usability</v>
      </c>
    </row>
    <row r="78" ht="16.5" customHeight="1">
      <c r="A78" s="34"/>
      <c r="B78" s="42" t="s">
        <v>651</v>
      </c>
      <c r="C78" s="42" t="s">
        <v>651</v>
      </c>
      <c r="D78" s="42" t="s">
        <v>651</v>
      </c>
      <c r="E78" s="42" t="s">
        <v>651</v>
      </c>
      <c r="F78" s="42" t="s">
        <v>651</v>
      </c>
      <c r="G78" s="42" t="s">
        <v>651</v>
      </c>
    </row>
    <row r="79" ht="16.5" customHeight="1">
      <c r="A79" s="24" t="s">
        <v>386</v>
      </c>
      <c r="B79" s="73" t="s">
        <v>627</v>
      </c>
      <c r="C79" s="19"/>
      <c r="D79" s="73" t="s">
        <v>392</v>
      </c>
      <c r="E79" s="19"/>
    </row>
    <row r="80" ht="16.5" customHeight="1">
      <c r="A80" s="20"/>
      <c r="B80" s="26" t="s">
        <v>12</v>
      </c>
      <c r="C80" s="26" t="s">
        <v>13</v>
      </c>
      <c r="D80" s="26" t="s">
        <v>12</v>
      </c>
      <c r="E80" s="26" t="s">
        <v>13</v>
      </c>
    </row>
    <row r="81" ht="16.5" customHeight="1">
      <c r="A81" s="27" t="s">
        <v>14</v>
      </c>
      <c r="B81" s="54" t="s">
        <v>651</v>
      </c>
      <c r="C81" s="61" t="str">
        <f t="shared" ref="C81:C90" si="13">"3조" &amp; " - " &amp; B$79 &amp; " - " &amp; $A81</f>
        <v>3조 - Multi-tier - Availability</v>
      </c>
      <c r="D81" s="54" t="s">
        <v>651</v>
      </c>
      <c r="E81" s="61" t="str">
        <f t="shared" ref="E81:E90" si="14">"3조" &amp; " - " &amp; D$79 &amp; " - " &amp; $A81</f>
        <v>3조 - Client-Server - Availability</v>
      </c>
    </row>
    <row r="82" ht="16.5" customHeight="1">
      <c r="A82" s="27" t="s">
        <v>44</v>
      </c>
      <c r="B82" s="54" t="s">
        <v>651</v>
      </c>
      <c r="C82" s="61" t="str">
        <f t="shared" si="13"/>
        <v>3조 - Multi-tier - Deployability</v>
      </c>
      <c r="D82" s="54" t="s">
        <v>651</v>
      </c>
      <c r="E82" s="61" t="str">
        <f t="shared" si="14"/>
        <v>3조 - Client-Server - Deployability</v>
      </c>
    </row>
    <row r="83" ht="16.5" customHeight="1">
      <c r="A83" s="27" t="s">
        <v>80</v>
      </c>
      <c r="B83" s="54" t="s">
        <v>651</v>
      </c>
      <c r="C83" s="61" t="str">
        <f t="shared" si="13"/>
        <v>3조 - Multi-tier - Integrability</v>
      </c>
      <c r="D83" s="54" t="s">
        <v>651</v>
      </c>
      <c r="E83" s="61" t="str">
        <f t="shared" si="14"/>
        <v>3조 - Client-Server - Integrability</v>
      </c>
    </row>
    <row r="84" ht="16.5" customHeight="1">
      <c r="A84" s="27" t="s">
        <v>113</v>
      </c>
      <c r="B84" s="54" t="s">
        <v>651</v>
      </c>
      <c r="C84" s="61" t="str">
        <f t="shared" si="13"/>
        <v>3조 - Multi-tier - Energy Efficiency</v>
      </c>
      <c r="D84" s="54" t="s">
        <v>651</v>
      </c>
      <c r="E84" s="61" t="str">
        <f t="shared" si="14"/>
        <v>3조 - Client-Server - Energy Efficiency</v>
      </c>
    </row>
    <row r="85" ht="16.5" customHeight="1">
      <c r="A85" s="27" t="s">
        <v>144</v>
      </c>
      <c r="B85" s="54" t="s">
        <v>651</v>
      </c>
      <c r="C85" s="61" t="str">
        <f t="shared" si="13"/>
        <v>3조 - Multi-tier - Modifiability</v>
      </c>
      <c r="D85" s="54" t="s">
        <v>651</v>
      </c>
      <c r="E85" s="61" t="str">
        <f t="shared" si="14"/>
        <v>3조 - Client-Server - Modifiability</v>
      </c>
    </row>
    <row r="86" ht="16.5" customHeight="1">
      <c r="A86" s="27" t="s">
        <v>176</v>
      </c>
      <c r="B86" s="54" t="s">
        <v>651</v>
      </c>
      <c r="C86" s="61" t="str">
        <f t="shared" si="13"/>
        <v>3조 - Multi-tier - Performance</v>
      </c>
      <c r="D86" s="54" t="s">
        <v>651</v>
      </c>
      <c r="E86" s="61" t="str">
        <f t="shared" si="14"/>
        <v>3조 - Client-Server - Performance</v>
      </c>
    </row>
    <row r="87" ht="16.5" customHeight="1">
      <c r="A87" s="27" t="s">
        <v>208</v>
      </c>
      <c r="B87" s="54" t="s">
        <v>651</v>
      </c>
      <c r="C87" s="61" t="str">
        <f t="shared" si="13"/>
        <v>3조 - Multi-tier - Safety</v>
      </c>
      <c r="D87" s="54" t="s">
        <v>651</v>
      </c>
      <c r="E87" s="61" t="str">
        <f t="shared" si="14"/>
        <v>3조 - Client-Server - Safety</v>
      </c>
    </row>
    <row r="88" ht="16.5" customHeight="1">
      <c r="A88" s="27" t="s">
        <v>242</v>
      </c>
      <c r="B88" s="54" t="s">
        <v>651</v>
      </c>
      <c r="C88" s="61" t="str">
        <f t="shared" si="13"/>
        <v>3조 - Multi-tier - Security</v>
      </c>
      <c r="D88" s="54" t="s">
        <v>651</v>
      </c>
      <c r="E88" s="61" t="str">
        <f t="shared" si="14"/>
        <v>3조 - Client-Server - Security</v>
      </c>
    </row>
    <row r="89" ht="16.5" customHeight="1">
      <c r="A89" s="27" t="s">
        <v>273</v>
      </c>
      <c r="B89" s="54" t="s">
        <v>651</v>
      </c>
      <c r="C89" s="61" t="str">
        <f t="shared" si="13"/>
        <v>3조 - Multi-tier - Testability</v>
      </c>
      <c r="D89" s="54" t="s">
        <v>651</v>
      </c>
      <c r="E89" s="61" t="str">
        <f t="shared" si="14"/>
        <v>3조 - Client-Server - Testability</v>
      </c>
    </row>
    <row r="90" ht="16.5" customHeight="1">
      <c r="A90" s="27" t="s">
        <v>305</v>
      </c>
      <c r="B90" s="54" t="s">
        <v>651</v>
      </c>
      <c r="C90" s="61" t="str">
        <f t="shared" si="13"/>
        <v>3조 - Multi-tier - Usability</v>
      </c>
      <c r="D90" s="54" t="s">
        <v>651</v>
      </c>
      <c r="E90" s="61" t="str">
        <f t="shared" si="14"/>
        <v>3조 - Client-Server - Usability</v>
      </c>
    </row>
    <row r="91" ht="16.5" customHeight="1">
      <c r="A91" s="34"/>
      <c r="B91" s="42" t="s">
        <v>651</v>
      </c>
      <c r="C91" s="34"/>
      <c r="D91" s="42" t="s">
        <v>651</v>
      </c>
      <c r="E91" s="34"/>
      <c r="F91" s="42" t="s">
        <v>651</v>
      </c>
      <c r="G91" s="34"/>
    </row>
    <row r="92" ht="16.5" customHeight="1">
      <c r="A92" s="24" t="s">
        <v>386</v>
      </c>
      <c r="B92" s="73" t="s">
        <v>499</v>
      </c>
      <c r="C92" s="19"/>
      <c r="D92" s="46" t="s">
        <v>502</v>
      </c>
      <c r="E92" s="19"/>
    </row>
    <row r="93" ht="16.5" customHeight="1">
      <c r="A93" s="20"/>
      <c r="B93" s="26" t="s">
        <v>12</v>
      </c>
      <c r="C93" s="26" t="s">
        <v>13</v>
      </c>
      <c r="D93" s="26" t="s">
        <v>12</v>
      </c>
      <c r="E93" s="26" t="s">
        <v>13</v>
      </c>
    </row>
    <row r="94" ht="16.5" customHeight="1">
      <c r="A94" s="27" t="s">
        <v>14</v>
      </c>
      <c r="B94" s="54" t="s">
        <v>651</v>
      </c>
      <c r="C94" s="61" t="str">
        <f t="shared" ref="C94:C103" si="15">"3조" &amp; " - " &amp; B$92 &amp; " - " &amp; $A94</f>
        <v>3조 - Broker - Availability</v>
      </c>
      <c r="D94" s="54" t="s">
        <v>651</v>
      </c>
      <c r="E94" s="61" t="str">
        <f t="shared" ref="E94:E103" si="16">"3조" &amp; " - " &amp; D$92 &amp; " - " &amp; $A94</f>
        <v>3조 - Dispatcher - Availability</v>
      </c>
    </row>
    <row r="95" ht="16.5" customHeight="1">
      <c r="A95" s="27" t="s">
        <v>44</v>
      </c>
      <c r="B95" s="54" t="s">
        <v>651</v>
      </c>
      <c r="C95" s="61" t="str">
        <f t="shared" si="15"/>
        <v>3조 - Broker - Deployability</v>
      </c>
      <c r="D95" s="54" t="s">
        <v>651</v>
      </c>
      <c r="E95" s="61" t="str">
        <f t="shared" si="16"/>
        <v>3조 - Dispatcher - Deployability</v>
      </c>
    </row>
    <row r="96" ht="16.5" customHeight="1">
      <c r="A96" s="27" t="s">
        <v>80</v>
      </c>
      <c r="B96" s="54" t="s">
        <v>651</v>
      </c>
      <c r="C96" s="61" t="str">
        <f t="shared" si="15"/>
        <v>3조 - Broker - Integrability</v>
      </c>
      <c r="D96" s="54" t="s">
        <v>651</v>
      </c>
      <c r="E96" s="61" t="str">
        <f t="shared" si="16"/>
        <v>3조 - Dispatcher - Integrability</v>
      </c>
    </row>
    <row r="97" ht="16.5" customHeight="1">
      <c r="A97" s="27" t="s">
        <v>113</v>
      </c>
      <c r="B97" s="54" t="s">
        <v>651</v>
      </c>
      <c r="C97" s="61" t="str">
        <f t="shared" si="15"/>
        <v>3조 - Broker - Energy Efficiency</v>
      </c>
      <c r="D97" s="54" t="s">
        <v>651</v>
      </c>
      <c r="E97" s="61" t="str">
        <f t="shared" si="16"/>
        <v>3조 - Dispatcher - Energy Efficiency</v>
      </c>
    </row>
    <row r="98" ht="16.5" customHeight="1">
      <c r="A98" s="27" t="s">
        <v>144</v>
      </c>
      <c r="B98" s="54" t="s">
        <v>651</v>
      </c>
      <c r="C98" s="61" t="str">
        <f t="shared" si="15"/>
        <v>3조 - Broker - Modifiability</v>
      </c>
      <c r="D98" s="54" t="s">
        <v>651</v>
      </c>
      <c r="E98" s="61" t="str">
        <f t="shared" si="16"/>
        <v>3조 - Dispatcher - Modifiability</v>
      </c>
    </row>
    <row r="99" ht="16.5" customHeight="1">
      <c r="A99" s="27" t="s">
        <v>176</v>
      </c>
      <c r="B99" s="54" t="s">
        <v>651</v>
      </c>
      <c r="C99" s="61" t="str">
        <f t="shared" si="15"/>
        <v>3조 - Broker - Performance</v>
      </c>
      <c r="D99" s="54" t="s">
        <v>651</v>
      </c>
      <c r="E99" s="61" t="str">
        <f t="shared" si="16"/>
        <v>3조 - Dispatcher - Performance</v>
      </c>
    </row>
    <row r="100" ht="16.5" customHeight="1">
      <c r="A100" s="27" t="s">
        <v>208</v>
      </c>
      <c r="B100" s="54" t="s">
        <v>651</v>
      </c>
      <c r="C100" s="61" t="str">
        <f t="shared" si="15"/>
        <v>3조 - Broker - Safety</v>
      </c>
      <c r="D100" s="54" t="s">
        <v>651</v>
      </c>
      <c r="E100" s="61" t="str">
        <f t="shared" si="16"/>
        <v>3조 - Dispatcher - Safety</v>
      </c>
    </row>
    <row r="101" ht="16.5" customHeight="1">
      <c r="A101" s="27" t="s">
        <v>242</v>
      </c>
      <c r="B101" s="54" t="s">
        <v>651</v>
      </c>
      <c r="C101" s="61" t="str">
        <f t="shared" si="15"/>
        <v>3조 - Broker - Security</v>
      </c>
      <c r="D101" s="54" t="s">
        <v>651</v>
      </c>
      <c r="E101" s="61" t="str">
        <f t="shared" si="16"/>
        <v>3조 - Dispatcher - Security</v>
      </c>
    </row>
    <row r="102" ht="16.5" customHeight="1">
      <c r="A102" s="27" t="s">
        <v>273</v>
      </c>
      <c r="B102" s="54" t="s">
        <v>651</v>
      </c>
      <c r="C102" s="61" t="str">
        <f t="shared" si="15"/>
        <v>3조 - Broker - Testability</v>
      </c>
      <c r="D102" s="54" t="s">
        <v>651</v>
      </c>
      <c r="E102" s="61" t="str">
        <f t="shared" si="16"/>
        <v>3조 - Dispatcher - Testability</v>
      </c>
    </row>
    <row r="103" ht="16.5" customHeight="1">
      <c r="A103" s="27" t="s">
        <v>305</v>
      </c>
      <c r="B103" s="54" t="s">
        <v>651</v>
      </c>
      <c r="C103" s="61" t="str">
        <f t="shared" si="15"/>
        <v>3조 - Broker - Usability</v>
      </c>
      <c r="D103" s="54" t="s">
        <v>651</v>
      </c>
      <c r="E103" s="61" t="str">
        <f t="shared" si="16"/>
        <v>3조 - Dispatcher - Usability</v>
      </c>
    </row>
    <row r="104" ht="16.5" customHeight="1">
      <c r="A104" s="34"/>
      <c r="B104" s="42" t="s">
        <v>651</v>
      </c>
      <c r="C104" s="34"/>
      <c r="D104" s="42" t="s">
        <v>651</v>
      </c>
      <c r="E104" s="34"/>
      <c r="F104" s="34"/>
      <c r="G104" s="34"/>
    </row>
    <row r="105" ht="16.5" customHeight="1">
      <c r="A105" s="24" t="s">
        <v>386</v>
      </c>
      <c r="B105" s="73" t="s">
        <v>568</v>
      </c>
      <c r="C105" s="19"/>
      <c r="D105" s="46" t="s">
        <v>739</v>
      </c>
      <c r="E105" s="19"/>
    </row>
    <row r="106" ht="16.5" customHeight="1">
      <c r="A106" s="20"/>
      <c r="B106" s="26" t="s">
        <v>12</v>
      </c>
      <c r="C106" s="26" t="s">
        <v>13</v>
      </c>
      <c r="D106" s="26" t="s">
        <v>12</v>
      </c>
      <c r="E106" s="26" t="s">
        <v>13</v>
      </c>
    </row>
    <row r="107" ht="16.5" customHeight="1">
      <c r="A107" s="27" t="s">
        <v>14</v>
      </c>
      <c r="B107" s="54" t="s">
        <v>651</v>
      </c>
      <c r="C107" s="61" t="str">
        <f t="shared" ref="C107:C116" si="17">"3조" &amp; " - " &amp; B$105 &amp; " - " &amp; $A107</f>
        <v>3조 - SOA - Availability</v>
      </c>
      <c r="D107" s="54" t="s">
        <v>651</v>
      </c>
      <c r="E107" s="61" t="str">
        <f t="shared" ref="E107:E116" si="18">"3조" &amp; " - " &amp; D$105 &amp; " - " &amp; $A107</f>
        <v>3조 - Mico-Service - Availability</v>
      </c>
    </row>
    <row r="108" ht="16.5" customHeight="1">
      <c r="A108" s="27" t="s">
        <v>44</v>
      </c>
      <c r="B108" s="54" t="s">
        <v>651</v>
      </c>
      <c r="C108" s="61" t="str">
        <f t="shared" si="17"/>
        <v>3조 - SOA - Deployability</v>
      </c>
      <c r="D108" s="54" t="s">
        <v>651</v>
      </c>
      <c r="E108" s="61" t="str">
        <f t="shared" si="18"/>
        <v>3조 - Mico-Service - Deployability</v>
      </c>
    </row>
    <row r="109" ht="16.5" customHeight="1">
      <c r="A109" s="27" t="s">
        <v>80</v>
      </c>
      <c r="B109" s="54" t="s">
        <v>651</v>
      </c>
      <c r="C109" s="61" t="str">
        <f t="shared" si="17"/>
        <v>3조 - SOA - Integrability</v>
      </c>
      <c r="D109" s="54" t="s">
        <v>651</v>
      </c>
      <c r="E109" s="61" t="str">
        <f t="shared" si="18"/>
        <v>3조 - Mico-Service - Integrability</v>
      </c>
    </row>
    <row r="110" ht="16.5" customHeight="1">
      <c r="A110" s="27" t="s">
        <v>113</v>
      </c>
      <c r="B110" s="54" t="s">
        <v>651</v>
      </c>
      <c r="C110" s="61" t="str">
        <f t="shared" si="17"/>
        <v>3조 - SOA - Energy Efficiency</v>
      </c>
      <c r="D110" s="54" t="s">
        <v>651</v>
      </c>
      <c r="E110" s="61" t="str">
        <f t="shared" si="18"/>
        <v>3조 - Mico-Service - Energy Efficiency</v>
      </c>
    </row>
    <row r="111" ht="16.5" customHeight="1">
      <c r="A111" s="27" t="s">
        <v>144</v>
      </c>
      <c r="B111" s="54" t="s">
        <v>651</v>
      </c>
      <c r="C111" s="61" t="str">
        <f t="shared" si="17"/>
        <v>3조 - SOA - Modifiability</v>
      </c>
      <c r="D111" s="54" t="s">
        <v>651</v>
      </c>
      <c r="E111" s="61" t="str">
        <f t="shared" si="18"/>
        <v>3조 - Mico-Service - Modifiability</v>
      </c>
    </row>
    <row r="112" ht="16.5" customHeight="1">
      <c r="A112" s="27" t="s">
        <v>176</v>
      </c>
      <c r="B112" s="54" t="s">
        <v>651</v>
      </c>
      <c r="C112" s="61" t="str">
        <f t="shared" si="17"/>
        <v>3조 - SOA - Performance</v>
      </c>
      <c r="D112" s="54" t="s">
        <v>651</v>
      </c>
      <c r="E112" s="61" t="str">
        <f t="shared" si="18"/>
        <v>3조 - Mico-Service - Performance</v>
      </c>
    </row>
    <row r="113" ht="16.5" customHeight="1">
      <c r="A113" s="27" t="s">
        <v>208</v>
      </c>
      <c r="B113" s="54" t="s">
        <v>651</v>
      </c>
      <c r="C113" s="61" t="str">
        <f t="shared" si="17"/>
        <v>3조 - SOA - Safety</v>
      </c>
      <c r="D113" s="54" t="s">
        <v>651</v>
      </c>
      <c r="E113" s="61" t="str">
        <f t="shared" si="18"/>
        <v>3조 - Mico-Service - Safety</v>
      </c>
    </row>
    <row r="114" ht="16.5" customHeight="1">
      <c r="A114" s="27" t="s">
        <v>242</v>
      </c>
      <c r="B114" s="54" t="s">
        <v>651</v>
      </c>
      <c r="C114" s="61" t="str">
        <f t="shared" si="17"/>
        <v>3조 - SOA - Security</v>
      </c>
      <c r="D114" s="54" t="s">
        <v>651</v>
      </c>
      <c r="E114" s="61" t="str">
        <f t="shared" si="18"/>
        <v>3조 - Mico-Service - Security</v>
      </c>
    </row>
    <row r="115" ht="16.5" customHeight="1">
      <c r="A115" s="27" t="s">
        <v>273</v>
      </c>
      <c r="B115" s="54" t="s">
        <v>651</v>
      </c>
      <c r="C115" s="61" t="str">
        <f t="shared" si="17"/>
        <v>3조 - SOA - Testability</v>
      </c>
      <c r="D115" s="54" t="s">
        <v>651</v>
      </c>
      <c r="E115" s="61" t="str">
        <f t="shared" si="18"/>
        <v>3조 - Mico-Service - Testability</v>
      </c>
    </row>
    <row r="116" ht="16.5" customHeight="1">
      <c r="A116" s="27" t="s">
        <v>305</v>
      </c>
      <c r="B116" s="54" t="s">
        <v>651</v>
      </c>
      <c r="C116" s="61" t="str">
        <f t="shared" si="17"/>
        <v>3조 - SOA - Usability</v>
      </c>
      <c r="D116" s="54" t="s">
        <v>651</v>
      </c>
      <c r="E116" s="61" t="str">
        <f t="shared" si="18"/>
        <v>3조 - Mico-Service - Usability</v>
      </c>
    </row>
    <row r="117" ht="16.5" customHeight="1">
      <c r="A117" s="34"/>
      <c r="B117" s="42" t="s">
        <v>651</v>
      </c>
      <c r="C117" s="34"/>
      <c r="D117" s="42" t="s">
        <v>651</v>
      </c>
      <c r="E117" s="34"/>
      <c r="F117" s="34"/>
      <c r="G117" s="34"/>
    </row>
    <row r="118" ht="16.5" customHeight="1">
      <c r="A118" s="24" t="s">
        <v>599</v>
      </c>
      <c r="B118" s="46" t="s">
        <v>600</v>
      </c>
      <c r="C118" s="19"/>
      <c r="D118" s="46" t="s">
        <v>601</v>
      </c>
      <c r="E118" s="19"/>
      <c r="F118" s="46" t="s">
        <v>603</v>
      </c>
      <c r="G118" s="19"/>
    </row>
    <row r="119" ht="16.5" customHeight="1">
      <c r="A119" s="20"/>
      <c r="B119" s="26" t="s">
        <v>12</v>
      </c>
      <c r="C119" s="26" t="s">
        <v>13</v>
      </c>
      <c r="D119" s="26" t="s">
        <v>12</v>
      </c>
      <c r="E119" s="26" t="s">
        <v>13</v>
      </c>
      <c r="F119" s="26" t="s">
        <v>12</v>
      </c>
      <c r="G119" s="26" t="s">
        <v>13</v>
      </c>
    </row>
    <row r="120" ht="16.5" customHeight="1">
      <c r="A120" s="27" t="s">
        <v>14</v>
      </c>
      <c r="B120" s="54" t="s">
        <v>651</v>
      </c>
      <c r="C120" s="61" t="str">
        <f t="shared" ref="C120:C129" si="19">"3조" &amp; " - " &amp; B$118 &amp; " - " &amp; $A120</f>
        <v>3조 - Container-based - Availability</v>
      </c>
      <c r="D120" s="54" t="s">
        <v>651</v>
      </c>
      <c r="E120" s="61" t="str">
        <f t="shared" ref="E120:E129" si="20">"3조" &amp; " - " &amp; D$118 &amp; " - " &amp; $A120</f>
        <v>3조 - Cloud-based - Availability</v>
      </c>
      <c r="F120" s="54" t="s">
        <v>651</v>
      </c>
      <c r="G120" s="61" t="str">
        <f t="shared" ref="G120:G129" si="21">"3조" &amp; " - " &amp; F$118 &amp; " - " &amp; $A120</f>
        <v>3조 - Edge-based - Availability</v>
      </c>
    </row>
    <row r="121" ht="16.5" customHeight="1">
      <c r="A121" s="27" t="s">
        <v>44</v>
      </c>
      <c r="B121" s="54" t="s">
        <v>651</v>
      </c>
      <c r="C121" s="61" t="str">
        <f t="shared" si="19"/>
        <v>3조 - Container-based - Deployability</v>
      </c>
      <c r="D121" s="54" t="s">
        <v>651</v>
      </c>
      <c r="E121" s="61" t="str">
        <f t="shared" si="20"/>
        <v>3조 - Cloud-based - Deployability</v>
      </c>
      <c r="F121" s="54" t="s">
        <v>651</v>
      </c>
      <c r="G121" s="61" t="str">
        <f t="shared" si="21"/>
        <v>3조 - Edge-based - Deployability</v>
      </c>
    </row>
    <row r="122" ht="16.5" customHeight="1">
      <c r="A122" s="27" t="s">
        <v>80</v>
      </c>
      <c r="B122" s="54" t="s">
        <v>651</v>
      </c>
      <c r="C122" s="61" t="str">
        <f t="shared" si="19"/>
        <v>3조 - Container-based - Integrability</v>
      </c>
      <c r="D122" s="54" t="s">
        <v>651</v>
      </c>
      <c r="E122" s="61" t="str">
        <f t="shared" si="20"/>
        <v>3조 - Cloud-based - Integrability</v>
      </c>
      <c r="F122" s="54" t="s">
        <v>651</v>
      </c>
      <c r="G122" s="61" t="str">
        <f t="shared" si="21"/>
        <v>3조 - Edge-based - Integrability</v>
      </c>
    </row>
    <row r="123" ht="16.5" customHeight="1">
      <c r="A123" s="27" t="s">
        <v>113</v>
      </c>
      <c r="B123" s="54" t="s">
        <v>651</v>
      </c>
      <c r="C123" s="61" t="str">
        <f t="shared" si="19"/>
        <v>3조 - Container-based - Energy Efficiency</v>
      </c>
      <c r="D123" s="54" t="s">
        <v>651</v>
      </c>
      <c r="E123" s="61" t="str">
        <f t="shared" si="20"/>
        <v>3조 - Cloud-based - Energy Efficiency</v>
      </c>
      <c r="F123" s="54" t="s">
        <v>651</v>
      </c>
      <c r="G123" s="61" t="str">
        <f t="shared" si="21"/>
        <v>3조 - Edge-based - Energy Efficiency</v>
      </c>
    </row>
    <row r="124" ht="16.5" customHeight="1">
      <c r="A124" s="27" t="s">
        <v>144</v>
      </c>
      <c r="B124" s="54" t="s">
        <v>651</v>
      </c>
      <c r="C124" s="61" t="str">
        <f t="shared" si="19"/>
        <v>3조 - Container-based - Modifiability</v>
      </c>
      <c r="D124" s="54" t="s">
        <v>651</v>
      </c>
      <c r="E124" s="61" t="str">
        <f t="shared" si="20"/>
        <v>3조 - Cloud-based - Modifiability</v>
      </c>
      <c r="F124" s="54" t="s">
        <v>651</v>
      </c>
      <c r="G124" s="61" t="str">
        <f t="shared" si="21"/>
        <v>3조 - Edge-based - Modifiability</v>
      </c>
    </row>
    <row r="125" ht="16.5" customHeight="1">
      <c r="A125" s="27" t="s">
        <v>176</v>
      </c>
      <c r="B125" s="54" t="s">
        <v>651</v>
      </c>
      <c r="C125" s="61" t="str">
        <f t="shared" si="19"/>
        <v>3조 - Container-based - Performance</v>
      </c>
      <c r="D125" s="54" t="s">
        <v>651</v>
      </c>
      <c r="E125" s="61" t="str">
        <f t="shared" si="20"/>
        <v>3조 - Cloud-based - Performance</v>
      </c>
      <c r="F125" s="54" t="s">
        <v>651</v>
      </c>
      <c r="G125" s="61" t="str">
        <f t="shared" si="21"/>
        <v>3조 - Edge-based - Performance</v>
      </c>
    </row>
    <row r="126" ht="16.5" customHeight="1">
      <c r="A126" s="27" t="s">
        <v>208</v>
      </c>
      <c r="B126" s="54" t="s">
        <v>651</v>
      </c>
      <c r="C126" s="61" t="str">
        <f t="shared" si="19"/>
        <v>3조 - Container-based - Safety</v>
      </c>
      <c r="D126" s="54" t="s">
        <v>651</v>
      </c>
      <c r="E126" s="61" t="str">
        <f t="shared" si="20"/>
        <v>3조 - Cloud-based - Safety</v>
      </c>
      <c r="F126" s="54" t="s">
        <v>651</v>
      </c>
      <c r="G126" s="61" t="str">
        <f t="shared" si="21"/>
        <v>3조 - Edge-based - Safety</v>
      </c>
    </row>
    <row r="127" ht="16.5" customHeight="1">
      <c r="A127" s="27" t="s">
        <v>242</v>
      </c>
      <c r="B127" s="54" t="s">
        <v>651</v>
      </c>
      <c r="C127" s="61" t="str">
        <f t="shared" si="19"/>
        <v>3조 - Container-based - Security</v>
      </c>
      <c r="D127" s="54" t="s">
        <v>651</v>
      </c>
      <c r="E127" s="61" t="str">
        <f t="shared" si="20"/>
        <v>3조 - Cloud-based - Security</v>
      </c>
      <c r="F127" s="54" t="s">
        <v>651</v>
      </c>
      <c r="G127" s="61" t="str">
        <f t="shared" si="21"/>
        <v>3조 - Edge-based - Security</v>
      </c>
    </row>
    <row r="128" ht="16.5" customHeight="1">
      <c r="A128" s="27" t="s">
        <v>273</v>
      </c>
      <c r="B128" s="54" t="s">
        <v>651</v>
      </c>
      <c r="C128" s="61" t="str">
        <f t="shared" si="19"/>
        <v>3조 - Container-based - Testability</v>
      </c>
      <c r="D128" s="54" t="s">
        <v>651</v>
      </c>
      <c r="E128" s="61" t="str">
        <f t="shared" si="20"/>
        <v>3조 - Cloud-based - Testability</v>
      </c>
      <c r="F128" s="54" t="s">
        <v>651</v>
      </c>
      <c r="G128" s="61" t="str">
        <f t="shared" si="21"/>
        <v>3조 - Edge-based - Testability</v>
      </c>
    </row>
    <row r="129" ht="16.5" customHeight="1">
      <c r="A129" s="27" t="s">
        <v>305</v>
      </c>
      <c r="B129" s="54" t="s">
        <v>651</v>
      </c>
      <c r="C129" s="61" t="str">
        <f t="shared" si="19"/>
        <v>3조 - Container-based - Usability</v>
      </c>
      <c r="D129" s="54" t="s">
        <v>651</v>
      </c>
      <c r="E129" s="61" t="str">
        <f t="shared" si="20"/>
        <v>3조 - Cloud-based - Usability</v>
      </c>
      <c r="F129" s="54" t="s">
        <v>651</v>
      </c>
      <c r="G129" s="61" t="str">
        <f t="shared" si="21"/>
        <v>3조 - Edge-based - Usability</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0.57"/>
    <col customWidth="1" min="4" max="4" width="9.86"/>
    <col customWidth="1" min="5" max="5" width="64.43"/>
    <col customWidth="1" min="6" max="6" width="11.43"/>
    <col customWidth="1" min="7" max="7" width="61.57"/>
    <col customWidth="1" min="8" max="8" width="8.86"/>
    <col customWidth="1" min="9" max="9" width="64.14"/>
  </cols>
  <sheetData>
    <row r="1" ht="16.5" customHeight="1">
      <c r="A1" s="24" t="s">
        <v>610</v>
      </c>
      <c r="B1" s="46" t="s">
        <v>2</v>
      </c>
      <c r="C1" s="19"/>
      <c r="D1" s="46" t="s">
        <v>6</v>
      </c>
      <c r="E1" s="19"/>
      <c r="F1" s="46" t="s">
        <v>10</v>
      </c>
      <c r="G1" s="19"/>
    </row>
    <row r="2" ht="16.5" customHeight="1">
      <c r="A2" s="20"/>
      <c r="B2" s="26" t="s">
        <v>12</v>
      </c>
      <c r="C2" s="26" t="s">
        <v>13</v>
      </c>
      <c r="D2" s="26" t="s">
        <v>12</v>
      </c>
      <c r="E2" s="26" t="s">
        <v>13</v>
      </c>
      <c r="F2" s="26" t="s">
        <v>12</v>
      </c>
      <c r="G2" s="26" t="s">
        <v>13</v>
      </c>
    </row>
    <row r="3" ht="16.5" customHeight="1">
      <c r="A3" s="27" t="s">
        <v>14</v>
      </c>
      <c r="B3" s="47" t="s">
        <v>644</v>
      </c>
      <c r="C3" s="52" t="s">
        <v>741</v>
      </c>
      <c r="D3" s="54" t="s">
        <v>651</v>
      </c>
      <c r="E3" s="61" t="str">
        <f t="shared" ref="E3:E12" si="1">"4조" &amp; " - " &amp; D$1 &amp; " - " &amp; $A3</f>
        <v>4조 - Pipe and Filter - Availability</v>
      </c>
      <c r="F3" s="54" t="s">
        <v>651</v>
      </c>
      <c r="G3" s="61" t="str">
        <f t="shared" ref="G3:G12" si="2">"4조" &amp; " - " &amp; F$1 &amp; " - " &amp; $A3</f>
        <v>4조 - Process Control - Availability</v>
      </c>
    </row>
    <row r="4" ht="16.5" customHeight="1">
      <c r="A4" s="27" t="s">
        <v>44</v>
      </c>
      <c r="B4" s="47" t="s">
        <v>653</v>
      </c>
      <c r="C4" s="52" t="s">
        <v>746</v>
      </c>
      <c r="D4" s="54" t="s">
        <v>651</v>
      </c>
      <c r="E4" s="61" t="str">
        <f t="shared" si="1"/>
        <v>4조 - Pipe and Filter - Deployability</v>
      </c>
      <c r="F4" s="54" t="s">
        <v>651</v>
      </c>
      <c r="G4" s="61" t="str">
        <f t="shared" si="2"/>
        <v>4조 - Process Control - Deployability</v>
      </c>
    </row>
    <row r="5" ht="16.5" customHeight="1">
      <c r="A5" s="27" t="s">
        <v>80</v>
      </c>
      <c r="B5" s="47" t="s">
        <v>648</v>
      </c>
      <c r="C5" s="81" t="s">
        <v>749</v>
      </c>
      <c r="D5" s="54" t="s">
        <v>651</v>
      </c>
      <c r="E5" s="65" t="str">
        <f t="shared" si="1"/>
        <v>4조 - Pipe and Filter - Integrability</v>
      </c>
      <c r="F5" s="54" t="s">
        <v>651</v>
      </c>
      <c r="G5" s="61" t="str">
        <f t="shared" si="2"/>
        <v>4조 - Process Control - Integrability</v>
      </c>
    </row>
    <row r="6" ht="16.5" customHeight="1">
      <c r="A6" s="27" t="s">
        <v>113</v>
      </c>
      <c r="B6" s="47" t="s">
        <v>657</v>
      </c>
      <c r="C6" s="52" t="s">
        <v>751</v>
      </c>
      <c r="D6" s="54" t="s">
        <v>651</v>
      </c>
      <c r="E6" s="61" t="str">
        <f t="shared" si="1"/>
        <v>4조 - Pipe and Filter - Energy Efficiency</v>
      </c>
      <c r="F6" s="54" t="s">
        <v>651</v>
      </c>
      <c r="G6" s="61" t="str">
        <f t="shared" si="2"/>
        <v>4조 - Process Control - Energy Efficiency</v>
      </c>
    </row>
    <row r="7" ht="16.5" customHeight="1">
      <c r="A7" s="27" t="s">
        <v>144</v>
      </c>
      <c r="B7" s="47" t="s">
        <v>648</v>
      </c>
      <c r="C7" s="52" t="s">
        <v>754</v>
      </c>
      <c r="D7" s="54" t="s">
        <v>651</v>
      </c>
      <c r="E7" s="61" t="str">
        <f t="shared" si="1"/>
        <v>4조 - Pipe and Filter - Modifiability</v>
      </c>
      <c r="F7" s="54" t="s">
        <v>651</v>
      </c>
      <c r="G7" s="61" t="str">
        <f t="shared" si="2"/>
        <v>4조 - Process Control - Modifiability</v>
      </c>
    </row>
    <row r="8" ht="16.5" customHeight="1">
      <c r="A8" s="27" t="s">
        <v>176</v>
      </c>
      <c r="B8" s="47" t="s">
        <v>657</v>
      </c>
      <c r="C8" s="52" t="s">
        <v>756</v>
      </c>
      <c r="D8" s="54" t="s">
        <v>651</v>
      </c>
      <c r="E8" s="61" t="str">
        <f t="shared" si="1"/>
        <v>4조 - Pipe and Filter - Performance</v>
      </c>
      <c r="F8" s="54" t="s">
        <v>651</v>
      </c>
      <c r="G8" s="61" t="str">
        <f t="shared" si="2"/>
        <v>4조 - Process Control - Performance</v>
      </c>
    </row>
    <row r="9" ht="16.5" customHeight="1">
      <c r="A9" s="27" t="s">
        <v>208</v>
      </c>
      <c r="B9" s="47" t="s">
        <v>644</v>
      </c>
      <c r="C9" s="52" t="s">
        <v>757</v>
      </c>
      <c r="D9" s="54" t="s">
        <v>651</v>
      </c>
      <c r="E9" s="61" t="str">
        <f t="shared" si="1"/>
        <v>4조 - Pipe and Filter - Safety</v>
      </c>
      <c r="F9" s="54" t="s">
        <v>651</v>
      </c>
      <c r="G9" s="61" t="str">
        <f t="shared" si="2"/>
        <v>4조 - Process Control - Safety</v>
      </c>
    </row>
    <row r="10" ht="16.5" customHeight="1">
      <c r="A10" s="27" t="s">
        <v>242</v>
      </c>
      <c r="B10" s="47" t="s">
        <v>644</v>
      </c>
      <c r="C10" s="52" t="s">
        <v>758</v>
      </c>
      <c r="D10" s="54" t="s">
        <v>651</v>
      </c>
      <c r="E10" s="61" t="str">
        <f t="shared" si="1"/>
        <v>4조 - Pipe and Filter - Security</v>
      </c>
      <c r="F10" s="54" t="s">
        <v>651</v>
      </c>
      <c r="G10" s="61" t="str">
        <f t="shared" si="2"/>
        <v>4조 - Process Control - Security</v>
      </c>
    </row>
    <row r="11" ht="16.5" customHeight="1">
      <c r="A11" s="27" t="s">
        <v>273</v>
      </c>
      <c r="B11" s="54" t="s">
        <v>651</v>
      </c>
      <c r="C11" s="61" t="str">
        <f t="shared" ref="C11:C12" si="3">"4조" &amp; " - " &amp; B$1 &amp; " - " &amp; $A11</f>
        <v>4조 - Batch Sequential - Testability</v>
      </c>
      <c r="D11" s="54" t="s">
        <v>651</v>
      </c>
      <c r="E11" s="61" t="str">
        <f t="shared" si="1"/>
        <v>4조 - Pipe and Filter - Testability</v>
      </c>
      <c r="F11" s="54" t="s">
        <v>651</v>
      </c>
      <c r="G11" s="61" t="str">
        <f t="shared" si="2"/>
        <v>4조 - Process Control - Testability</v>
      </c>
    </row>
    <row r="12" ht="16.5" customHeight="1">
      <c r="A12" s="27" t="s">
        <v>305</v>
      </c>
      <c r="B12" s="54" t="s">
        <v>651</v>
      </c>
      <c r="C12" s="61" t="str">
        <f t="shared" si="3"/>
        <v>4조 - Batch Sequential - Usability</v>
      </c>
      <c r="D12" s="54" t="s">
        <v>651</v>
      </c>
      <c r="E12" s="61" t="str">
        <f t="shared" si="1"/>
        <v>4조 - Pipe and Filter - Usability</v>
      </c>
      <c r="F12" s="54" t="s">
        <v>651</v>
      </c>
      <c r="G12" s="61" t="str">
        <f t="shared" si="2"/>
        <v>4조 - Process Control - Usability</v>
      </c>
    </row>
    <row r="13" ht="16.5" customHeight="1">
      <c r="A13" s="34"/>
      <c r="B13" s="42" t="s">
        <v>651</v>
      </c>
      <c r="C13" s="42" t="s">
        <v>651</v>
      </c>
      <c r="D13" s="42" t="s">
        <v>651</v>
      </c>
      <c r="E13" s="42" t="s">
        <v>651</v>
      </c>
      <c r="F13" s="42" t="s">
        <v>651</v>
      </c>
      <c r="G13" s="34"/>
    </row>
    <row r="14" ht="16.5" customHeight="1">
      <c r="A14" s="35" t="s">
        <v>0</v>
      </c>
      <c r="B14" s="73" t="s">
        <v>615</v>
      </c>
      <c r="C14" s="19"/>
      <c r="D14" s="73" t="s">
        <v>8</v>
      </c>
      <c r="E14" s="19"/>
      <c r="F14" s="34"/>
      <c r="G14" s="34"/>
    </row>
    <row r="15" ht="16.5" customHeight="1">
      <c r="A15" s="36"/>
      <c r="B15" s="37" t="s">
        <v>12</v>
      </c>
      <c r="C15" s="74" t="s">
        <v>13</v>
      </c>
      <c r="D15" s="37" t="s">
        <v>12</v>
      </c>
      <c r="E15" s="74" t="s">
        <v>13</v>
      </c>
      <c r="F15" s="34"/>
      <c r="G15" s="34"/>
    </row>
    <row r="16" ht="16.5" customHeight="1">
      <c r="A16" s="27" t="s">
        <v>14</v>
      </c>
      <c r="B16" s="54" t="s">
        <v>651</v>
      </c>
      <c r="C16" s="61" t="str">
        <f t="shared" ref="C16:C25" si="4">"4조" &amp; " - " &amp; B$14 &amp; " - " &amp; $A16</f>
        <v>4조 - Shared Respository - Availability</v>
      </c>
      <c r="D16" s="47" t="s">
        <v>644</v>
      </c>
      <c r="E16" s="52" t="s">
        <v>761</v>
      </c>
      <c r="F16" s="34"/>
      <c r="G16" s="34"/>
    </row>
    <row r="17" ht="16.5" customHeight="1">
      <c r="A17" s="27" t="s">
        <v>44</v>
      </c>
      <c r="B17" s="54" t="s">
        <v>651</v>
      </c>
      <c r="C17" s="61" t="str">
        <f t="shared" si="4"/>
        <v>4조 - Shared Respository - Deployability</v>
      </c>
      <c r="D17" s="47" t="s">
        <v>657</v>
      </c>
      <c r="E17" s="81" t="s">
        <v>763</v>
      </c>
      <c r="F17" s="34"/>
      <c r="G17" s="34"/>
    </row>
    <row r="18" ht="16.5" customHeight="1">
      <c r="A18" s="27" t="s">
        <v>80</v>
      </c>
      <c r="B18" s="54" t="s">
        <v>651</v>
      </c>
      <c r="C18" s="61" t="str">
        <f t="shared" si="4"/>
        <v>4조 - Shared Respository - Integrability</v>
      </c>
      <c r="D18" s="47" t="s">
        <v>646</v>
      </c>
      <c r="E18" s="52" t="s">
        <v>764</v>
      </c>
      <c r="F18" s="34"/>
      <c r="G18" s="34"/>
    </row>
    <row r="19" ht="16.5" customHeight="1">
      <c r="A19" s="27" t="s">
        <v>113</v>
      </c>
      <c r="B19" s="54" t="s">
        <v>651</v>
      </c>
      <c r="C19" s="61" t="str">
        <f t="shared" si="4"/>
        <v>4조 - Shared Respository - Energy Efficiency</v>
      </c>
      <c r="D19" s="47" t="s">
        <v>657</v>
      </c>
      <c r="E19" s="81" t="s">
        <v>766</v>
      </c>
      <c r="F19" s="34"/>
      <c r="G19" s="34"/>
    </row>
    <row r="20" ht="16.5" customHeight="1">
      <c r="A20" s="27" t="s">
        <v>144</v>
      </c>
      <c r="B20" s="54" t="s">
        <v>651</v>
      </c>
      <c r="C20" s="61" t="str">
        <f t="shared" si="4"/>
        <v>4조 - Shared Respository - Modifiability</v>
      </c>
      <c r="D20" s="47" t="s">
        <v>646</v>
      </c>
      <c r="E20" s="52" t="s">
        <v>768</v>
      </c>
      <c r="F20" s="34"/>
      <c r="G20" s="34"/>
    </row>
    <row r="21" ht="16.5" customHeight="1">
      <c r="A21" s="27" t="s">
        <v>176</v>
      </c>
      <c r="B21" s="54" t="s">
        <v>651</v>
      </c>
      <c r="C21" s="61" t="str">
        <f t="shared" si="4"/>
        <v>4조 - Shared Respository - Performance</v>
      </c>
      <c r="D21" s="47" t="s">
        <v>644</v>
      </c>
      <c r="E21" s="52" t="s">
        <v>769</v>
      </c>
      <c r="F21" s="34"/>
      <c r="G21" s="34"/>
    </row>
    <row r="22" ht="16.5" customHeight="1">
      <c r="A22" s="27" t="s">
        <v>208</v>
      </c>
      <c r="B22" s="54" t="s">
        <v>651</v>
      </c>
      <c r="C22" s="61" t="str">
        <f t="shared" si="4"/>
        <v>4조 - Shared Respository - Safety</v>
      </c>
      <c r="D22" s="47" t="s">
        <v>657</v>
      </c>
      <c r="E22" s="52" t="s">
        <v>770</v>
      </c>
      <c r="F22" s="34"/>
      <c r="G22" s="34"/>
    </row>
    <row r="23" ht="16.5" customHeight="1">
      <c r="A23" s="27" t="s">
        <v>242</v>
      </c>
      <c r="B23" s="54" t="s">
        <v>651</v>
      </c>
      <c r="C23" s="61" t="str">
        <f t="shared" si="4"/>
        <v>4조 - Shared Respository - Security</v>
      </c>
      <c r="D23" s="47" t="s">
        <v>644</v>
      </c>
      <c r="E23" s="52" t="s">
        <v>771</v>
      </c>
      <c r="F23" s="34"/>
      <c r="G23" s="34"/>
    </row>
    <row r="24" ht="16.5" customHeight="1">
      <c r="A24" s="27" t="s">
        <v>273</v>
      </c>
      <c r="B24" s="54" t="s">
        <v>651</v>
      </c>
      <c r="C24" s="61" t="str">
        <f t="shared" si="4"/>
        <v>4조 - Shared Respository - Testability</v>
      </c>
      <c r="D24" s="47" t="s">
        <v>646</v>
      </c>
      <c r="E24" s="52" t="s">
        <v>772</v>
      </c>
      <c r="F24" s="34"/>
      <c r="G24" s="34"/>
    </row>
    <row r="25" ht="16.5" customHeight="1">
      <c r="A25" s="27" t="s">
        <v>305</v>
      </c>
      <c r="B25" s="54" t="s">
        <v>651</v>
      </c>
      <c r="C25" s="61" t="str">
        <f t="shared" si="4"/>
        <v>4조 - Shared Respository - Usability</v>
      </c>
      <c r="D25" s="47" t="s">
        <v>653</v>
      </c>
      <c r="E25" s="52" t="s">
        <v>773</v>
      </c>
      <c r="F25" s="34"/>
      <c r="G25" s="34"/>
    </row>
    <row r="26" ht="16.5" customHeight="1">
      <c r="A26" s="34"/>
      <c r="B26" s="42" t="s">
        <v>651</v>
      </c>
      <c r="C26" s="42" t="s">
        <v>651</v>
      </c>
      <c r="D26" s="42" t="s">
        <v>651</v>
      </c>
      <c r="E26" s="42" t="s">
        <v>651</v>
      </c>
      <c r="F26" s="34"/>
      <c r="G26" s="34"/>
    </row>
    <row r="27" ht="16.5" customHeight="1">
      <c r="A27" s="35" t="s">
        <v>3</v>
      </c>
      <c r="B27" s="73" t="s">
        <v>7</v>
      </c>
      <c r="C27" s="19"/>
      <c r="D27" s="73" t="s">
        <v>11</v>
      </c>
      <c r="E27" s="19"/>
      <c r="F27" s="34"/>
      <c r="G27" s="34"/>
    </row>
    <row r="28" ht="16.5" customHeight="1">
      <c r="A28" s="39"/>
      <c r="B28" s="26" t="s">
        <v>12</v>
      </c>
      <c r="C28" s="44" t="s">
        <v>13</v>
      </c>
      <c r="D28" s="26" t="s">
        <v>12</v>
      </c>
      <c r="E28" s="44" t="s">
        <v>13</v>
      </c>
      <c r="F28" s="34"/>
      <c r="G28" s="34"/>
    </row>
    <row r="29" ht="16.5" customHeight="1">
      <c r="A29" s="27" t="s">
        <v>14</v>
      </c>
      <c r="B29" s="54" t="s">
        <v>651</v>
      </c>
      <c r="C29" s="61" t="str">
        <f t="shared" ref="C29:C38" si="5">"4조" &amp; " - " &amp; B$27 &amp; " - " &amp; $A29</f>
        <v>4조 - Non-Buffered Event Based - Availability</v>
      </c>
      <c r="D29" s="54" t="s">
        <v>651</v>
      </c>
      <c r="E29" s="61" t="str">
        <f t="shared" ref="E29:E38" si="6">"4조" &amp; " - " &amp; D$27 &amp; " - " &amp; $A29</f>
        <v>4조 - Buffered Message Based - Availability</v>
      </c>
      <c r="F29" s="34"/>
      <c r="G29" s="34"/>
    </row>
    <row r="30" ht="16.5" customHeight="1">
      <c r="A30" s="27" t="s">
        <v>44</v>
      </c>
      <c r="B30" s="54" t="s">
        <v>651</v>
      </c>
      <c r="C30" s="61" t="str">
        <f t="shared" si="5"/>
        <v>4조 - Non-Buffered Event Based - Deployability</v>
      </c>
      <c r="D30" s="54" t="s">
        <v>651</v>
      </c>
      <c r="E30" s="61" t="str">
        <f t="shared" si="6"/>
        <v>4조 - Buffered Message Based - Deployability</v>
      </c>
      <c r="F30" s="34"/>
      <c r="G30" s="34"/>
    </row>
    <row r="31" ht="16.5" customHeight="1">
      <c r="A31" s="27" t="s">
        <v>80</v>
      </c>
      <c r="B31" s="54" t="s">
        <v>651</v>
      </c>
      <c r="C31" s="61" t="str">
        <f t="shared" si="5"/>
        <v>4조 - Non-Buffered Event Based - Integrability</v>
      </c>
      <c r="D31" s="54" t="s">
        <v>651</v>
      </c>
      <c r="E31" s="61" t="str">
        <f t="shared" si="6"/>
        <v>4조 - Buffered Message Based - Integrability</v>
      </c>
      <c r="F31" s="34"/>
      <c r="G31" s="34"/>
    </row>
    <row r="32" ht="16.5" customHeight="1">
      <c r="A32" s="27" t="s">
        <v>113</v>
      </c>
      <c r="B32" s="54" t="s">
        <v>651</v>
      </c>
      <c r="C32" s="61" t="str">
        <f t="shared" si="5"/>
        <v>4조 - Non-Buffered Event Based - Energy Efficiency</v>
      </c>
      <c r="D32" s="54" t="s">
        <v>651</v>
      </c>
      <c r="E32" s="61" t="str">
        <f t="shared" si="6"/>
        <v>4조 - Buffered Message Based - Energy Efficiency</v>
      </c>
      <c r="F32" s="34"/>
      <c r="G32" s="34"/>
    </row>
    <row r="33" ht="16.5" customHeight="1">
      <c r="A33" s="27" t="s">
        <v>144</v>
      </c>
      <c r="B33" s="54" t="s">
        <v>651</v>
      </c>
      <c r="C33" s="61" t="str">
        <f t="shared" si="5"/>
        <v>4조 - Non-Buffered Event Based - Modifiability</v>
      </c>
      <c r="D33" s="54" t="s">
        <v>651</v>
      </c>
      <c r="E33" s="61" t="str">
        <f t="shared" si="6"/>
        <v>4조 - Buffered Message Based - Modifiability</v>
      </c>
      <c r="F33" s="34"/>
      <c r="G33" s="34"/>
    </row>
    <row r="34" ht="16.5" customHeight="1">
      <c r="A34" s="27" t="s">
        <v>176</v>
      </c>
      <c r="B34" s="54" t="s">
        <v>651</v>
      </c>
      <c r="C34" s="61" t="str">
        <f t="shared" si="5"/>
        <v>4조 - Non-Buffered Event Based - Performance</v>
      </c>
      <c r="D34" s="54" t="s">
        <v>651</v>
      </c>
      <c r="E34" s="61" t="str">
        <f t="shared" si="6"/>
        <v>4조 - Buffered Message Based - Performance</v>
      </c>
      <c r="F34" s="34"/>
      <c r="G34" s="34"/>
    </row>
    <row r="35" ht="16.5" customHeight="1">
      <c r="A35" s="27" t="s">
        <v>208</v>
      </c>
      <c r="B35" s="54" t="s">
        <v>651</v>
      </c>
      <c r="C35" s="61" t="str">
        <f t="shared" si="5"/>
        <v>4조 - Non-Buffered Event Based - Safety</v>
      </c>
      <c r="D35" s="54" t="s">
        <v>651</v>
      </c>
      <c r="E35" s="61" t="str">
        <f t="shared" si="6"/>
        <v>4조 - Buffered Message Based - Safety</v>
      </c>
      <c r="F35" s="34"/>
      <c r="G35" s="34"/>
    </row>
    <row r="36" ht="16.5" customHeight="1">
      <c r="A36" s="27" t="s">
        <v>242</v>
      </c>
      <c r="B36" s="54" t="s">
        <v>651</v>
      </c>
      <c r="C36" s="61" t="str">
        <f t="shared" si="5"/>
        <v>4조 - Non-Buffered Event Based - Security</v>
      </c>
      <c r="D36" s="54" t="s">
        <v>651</v>
      </c>
      <c r="E36" s="61" t="str">
        <f t="shared" si="6"/>
        <v>4조 - Buffered Message Based - Security</v>
      </c>
      <c r="F36" s="34"/>
      <c r="G36" s="34"/>
    </row>
    <row r="37" ht="16.5" customHeight="1">
      <c r="A37" s="27" t="s">
        <v>273</v>
      </c>
      <c r="B37" s="54" t="s">
        <v>651</v>
      </c>
      <c r="C37" s="61" t="str">
        <f t="shared" si="5"/>
        <v>4조 - Non-Buffered Event Based - Testability</v>
      </c>
      <c r="D37" s="54" t="s">
        <v>651</v>
      </c>
      <c r="E37" s="61" t="str">
        <f t="shared" si="6"/>
        <v>4조 - Buffered Message Based - Testability</v>
      </c>
      <c r="F37" s="34"/>
      <c r="G37" s="34"/>
    </row>
    <row r="38" ht="16.5" customHeight="1">
      <c r="A38" s="27" t="s">
        <v>305</v>
      </c>
      <c r="B38" s="54" t="s">
        <v>651</v>
      </c>
      <c r="C38" s="61" t="str">
        <f t="shared" si="5"/>
        <v>4조 - Non-Buffered Event Based - Usability</v>
      </c>
      <c r="D38" s="54" t="s">
        <v>651</v>
      </c>
      <c r="E38" s="61" t="str">
        <f t="shared" si="6"/>
        <v>4조 - Buffered Message Based - Usability</v>
      </c>
      <c r="F38" s="34"/>
      <c r="G38" s="34"/>
    </row>
    <row r="39" ht="16.5" customHeight="1">
      <c r="A39" s="34"/>
      <c r="B39" s="42" t="s">
        <v>651</v>
      </c>
      <c r="C39" s="42" t="s">
        <v>651</v>
      </c>
      <c r="D39" s="42" t="s">
        <v>651</v>
      </c>
      <c r="E39" s="42" t="s">
        <v>651</v>
      </c>
      <c r="F39" s="34"/>
      <c r="G39" s="34"/>
    </row>
    <row r="40" ht="16.5" customHeight="1">
      <c r="A40" s="35" t="s">
        <v>1</v>
      </c>
      <c r="B40" s="46" t="s">
        <v>4</v>
      </c>
      <c r="C40" s="19"/>
      <c r="D40" s="46" t="s">
        <v>9</v>
      </c>
      <c r="E40" s="19"/>
      <c r="F40" s="34"/>
      <c r="G40" s="34"/>
      <c r="H40" s="34"/>
    </row>
    <row r="41" ht="15.75" customHeight="1">
      <c r="A41" s="39"/>
      <c r="B41" s="26" t="s">
        <v>12</v>
      </c>
      <c r="C41" s="26" t="s">
        <v>13</v>
      </c>
      <c r="D41" s="26" t="s">
        <v>12</v>
      </c>
      <c r="E41" s="26" t="s">
        <v>13</v>
      </c>
      <c r="F41" s="34"/>
      <c r="G41" s="34"/>
      <c r="H41" s="34"/>
      <c r="I41" s="40"/>
    </row>
    <row r="42" ht="16.5" customHeight="1">
      <c r="A42" s="27" t="s">
        <v>14</v>
      </c>
      <c r="B42" s="54" t="s">
        <v>651</v>
      </c>
      <c r="C42" s="61" t="str">
        <f t="shared" ref="C42:C51" si="7">"4조" &amp; " - " &amp; B$40 &amp; " - " &amp; $A42</f>
        <v>4조 - MVC - Availability</v>
      </c>
      <c r="D42" s="54" t="s">
        <v>651</v>
      </c>
      <c r="E42" s="61" t="str">
        <f t="shared" ref="E42:E51" si="8">"4조" &amp; " - " &amp; D$40 &amp; " - " &amp; $A42</f>
        <v>4조 - PAC - Availability</v>
      </c>
      <c r="F42" s="34"/>
      <c r="G42" s="34"/>
      <c r="H42" s="34"/>
    </row>
    <row r="43" ht="16.5" customHeight="1">
      <c r="A43" s="27" t="s">
        <v>44</v>
      </c>
      <c r="B43" s="54" t="s">
        <v>651</v>
      </c>
      <c r="C43" s="61" t="str">
        <f t="shared" si="7"/>
        <v>4조 - MVC - Deployability</v>
      </c>
      <c r="D43" s="54" t="s">
        <v>651</v>
      </c>
      <c r="E43" s="61" t="str">
        <f t="shared" si="8"/>
        <v>4조 - PAC - Deployability</v>
      </c>
      <c r="F43" s="34"/>
      <c r="G43" s="34"/>
      <c r="H43" s="34"/>
    </row>
    <row r="44" ht="16.5" customHeight="1">
      <c r="A44" s="27" t="s">
        <v>80</v>
      </c>
      <c r="B44" s="54" t="s">
        <v>651</v>
      </c>
      <c r="C44" s="61" t="str">
        <f t="shared" si="7"/>
        <v>4조 - MVC - Integrability</v>
      </c>
      <c r="D44" s="54" t="s">
        <v>651</v>
      </c>
      <c r="E44" s="61" t="str">
        <f t="shared" si="8"/>
        <v>4조 - PAC - Integrability</v>
      </c>
      <c r="F44" s="34"/>
      <c r="G44" s="34"/>
      <c r="H44" s="34"/>
    </row>
    <row r="45" ht="16.5" customHeight="1">
      <c r="A45" s="27" t="s">
        <v>113</v>
      </c>
      <c r="B45" s="54" t="s">
        <v>651</v>
      </c>
      <c r="C45" s="61" t="str">
        <f t="shared" si="7"/>
        <v>4조 - MVC - Energy Efficiency</v>
      </c>
      <c r="D45" s="54" t="s">
        <v>651</v>
      </c>
      <c r="E45" s="61" t="str">
        <f t="shared" si="8"/>
        <v>4조 - PAC - Energy Efficiency</v>
      </c>
      <c r="F45" s="34"/>
      <c r="G45" s="34"/>
      <c r="H45" s="34"/>
    </row>
    <row r="46" ht="16.5" customHeight="1">
      <c r="A46" s="27" t="s">
        <v>144</v>
      </c>
      <c r="B46" s="54" t="s">
        <v>651</v>
      </c>
      <c r="C46" s="61" t="str">
        <f t="shared" si="7"/>
        <v>4조 - MVC - Modifiability</v>
      </c>
      <c r="D46" s="54" t="s">
        <v>651</v>
      </c>
      <c r="E46" s="61" t="str">
        <f t="shared" si="8"/>
        <v>4조 - PAC - Modifiability</v>
      </c>
      <c r="F46" s="34"/>
      <c r="G46" s="34"/>
      <c r="H46" s="34"/>
    </row>
    <row r="47" ht="16.5" customHeight="1">
      <c r="A47" s="27" t="s">
        <v>176</v>
      </c>
      <c r="B47" s="54" t="s">
        <v>651</v>
      </c>
      <c r="C47" s="61" t="str">
        <f t="shared" si="7"/>
        <v>4조 - MVC - Performance</v>
      </c>
      <c r="D47" s="54" t="s">
        <v>651</v>
      </c>
      <c r="E47" s="61" t="str">
        <f t="shared" si="8"/>
        <v>4조 - PAC - Performance</v>
      </c>
      <c r="F47" s="34"/>
      <c r="G47" s="34"/>
      <c r="H47" s="34"/>
    </row>
    <row r="48" ht="16.5" customHeight="1">
      <c r="A48" s="27" t="s">
        <v>208</v>
      </c>
      <c r="B48" s="54" t="s">
        <v>651</v>
      </c>
      <c r="C48" s="61" t="str">
        <f t="shared" si="7"/>
        <v>4조 - MVC - Safety</v>
      </c>
      <c r="D48" s="54" t="s">
        <v>651</v>
      </c>
      <c r="E48" s="61" t="str">
        <f t="shared" si="8"/>
        <v>4조 - PAC - Safety</v>
      </c>
      <c r="F48" s="34"/>
      <c r="G48" s="34"/>
      <c r="H48" s="34"/>
    </row>
    <row r="49" ht="16.5" customHeight="1">
      <c r="A49" s="27" t="s">
        <v>242</v>
      </c>
      <c r="B49" s="54" t="s">
        <v>651</v>
      </c>
      <c r="C49" s="61" t="str">
        <f t="shared" si="7"/>
        <v>4조 - MVC - Security</v>
      </c>
      <c r="D49" s="54" t="s">
        <v>651</v>
      </c>
      <c r="E49" s="61" t="str">
        <f t="shared" si="8"/>
        <v>4조 - PAC - Security</v>
      </c>
      <c r="F49" s="34"/>
      <c r="G49" s="34"/>
      <c r="H49" s="34"/>
    </row>
    <row r="50" ht="15.75" customHeight="1">
      <c r="A50" s="27" t="s">
        <v>273</v>
      </c>
      <c r="B50" s="54" t="s">
        <v>651</v>
      </c>
      <c r="C50" s="61" t="str">
        <f t="shared" si="7"/>
        <v>4조 - MVC - Testability</v>
      </c>
      <c r="D50" s="54" t="s">
        <v>651</v>
      </c>
      <c r="E50" s="61" t="str">
        <f t="shared" si="8"/>
        <v>4조 - PAC - Testability</v>
      </c>
      <c r="F50" s="34"/>
      <c r="G50" s="42" t="s">
        <v>651</v>
      </c>
      <c r="H50" s="34"/>
      <c r="I50" s="41"/>
    </row>
    <row r="51" ht="15.75" customHeight="1">
      <c r="A51" s="27" t="s">
        <v>305</v>
      </c>
      <c r="B51" s="54" t="s">
        <v>651</v>
      </c>
      <c r="C51" s="61" t="str">
        <f t="shared" si="7"/>
        <v>4조 - MVC - Usability</v>
      </c>
      <c r="D51" s="54" t="s">
        <v>651</v>
      </c>
      <c r="E51" s="61" t="str">
        <f t="shared" si="8"/>
        <v>4조 - PAC - Usability</v>
      </c>
      <c r="F51" s="34"/>
      <c r="G51" s="42" t="s">
        <v>651</v>
      </c>
      <c r="H51" s="34"/>
      <c r="I51" s="40"/>
    </row>
    <row r="52" ht="16.5" customHeight="1">
      <c r="A52" s="34"/>
      <c r="B52" s="42" t="s">
        <v>651</v>
      </c>
      <c r="C52" s="34"/>
      <c r="D52" s="42" t="s">
        <v>651</v>
      </c>
      <c r="E52" s="34"/>
      <c r="F52" s="34"/>
      <c r="G52" s="34"/>
    </row>
    <row r="53" ht="16.5" customHeight="1">
      <c r="A53" s="35" t="s">
        <v>361</v>
      </c>
      <c r="B53" s="73" t="s">
        <v>362</v>
      </c>
      <c r="C53" s="19"/>
      <c r="D53" s="73" t="s">
        <v>363</v>
      </c>
      <c r="E53" s="19"/>
      <c r="F53" s="34"/>
      <c r="G53" s="42" t="s">
        <v>651</v>
      </c>
      <c r="H53" s="34"/>
    </row>
    <row r="54" ht="16.5" customHeight="1">
      <c r="A54" s="39"/>
      <c r="B54" s="26" t="s">
        <v>12</v>
      </c>
      <c r="C54" s="44" t="s">
        <v>13</v>
      </c>
      <c r="D54" s="26" t="s">
        <v>12</v>
      </c>
      <c r="E54" s="44" t="s">
        <v>13</v>
      </c>
      <c r="F54" s="34"/>
      <c r="G54" s="42" t="s">
        <v>651</v>
      </c>
      <c r="H54" s="34"/>
    </row>
    <row r="55" ht="16.5" customHeight="1">
      <c r="A55" s="27" t="s">
        <v>14</v>
      </c>
      <c r="B55" s="54" t="s">
        <v>651</v>
      </c>
      <c r="C55" s="61" t="str">
        <f t="shared" ref="C55:C64" si="9">"4조" &amp; " - " &amp; B$53 &amp; " - " &amp; $A55</f>
        <v>4조 - Main-subroutine - Availability</v>
      </c>
      <c r="D55" s="54" t="s">
        <v>651</v>
      </c>
      <c r="E55" s="61" t="str">
        <f t="shared" ref="E55:E64" si="10">"4조" &amp; " - " &amp; D$53 &amp; " - " &amp; $A55</f>
        <v>4조 - Master-Slave - Availability</v>
      </c>
      <c r="F55" s="34"/>
      <c r="G55" s="42" t="s">
        <v>651</v>
      </c>
      <c r="H55" s="34"/>
    </row>
    <row r="56" ht="16.5" customHeight="1">
      <c r="A56" s="27" t="s">
        <v>44</v>
      </c>
      <c r="B56" s="54" t="s">
        <v>651</v>
      </c>
      <c r="C56" s="65" t="str">
        <f t="shared" si="9"/>
        <v>4조 - Main-subroutine - Deployability</v>
      </c>
      <c r="D56" s="54" t="s">
        <v>651</v>
      </c>
      <c r="E56" s="61" t="str">
        <f t="shared" si="10"/>
        <v>4조 - Master-Slave - Deployability</v>
      </c>
      <c r="F56" s="34"/>
      <c r="G56" s="42" t="s">
        <v>651</v>
      </c>
      <c r="H56" s="34"/>
    </row>
    <row r="57" ht="16.5" customHeight="1">
      <c r="A57" s="27" t="s">
        <v>80</v>
      </c>
      <c r="B57" s="54" t="s">
        <v>651</v>
      </c>
      <c r="C57" s="61" t="str">
        <f t="shared" si="9"/>
        <v>4조 - Main-subroutine - Integrability</v>
      </c>
      <c r="D57" s="54" t="s">
        <v>651</v>
      </c>
      <c r="E57" s="61" t="str">
        <f t="shared" si="10"/>
        <v>4조 - Master-Slave - Integrability</v>
      </c>
      <c r="F57" s="34"/>
      <c r="G57" s="42" t="s">
        <v>651</v>
      </c>
      <c r="H57" s="34"/>
    </row>
    <row r="58" ht="16.5" customHeight="1">
      <c r="A58" s="27" t="s">
        <v>113</v>
      </c>
      <c r="B58" s="54" t="s">
        <v>651</v>
      </c>
      <c r="C58" s="61" t="str">
        <f t="shared" si="9"/>
        <v>4조 - Main-subroutine - Energy Efficiency</v>
      </c>
      <c r="D58" s="54" t="s">
        <v>651</v>
      </c>
      <c r="E58" s="61" t="str">
        <f t="shared" si="10"/>
        <v>4조 - Master-Slave - Energy Efficiency</v>
      </c>
      <c r="F58" s="34"/>
      <c r="G58" s="42" t="s">
        <v>651</v>
      </c>
      <c r="H58" s="34"/>
    </row>
    <row r="59" ht="16.5" customHeight="1">
      <c r="A59" s="27" t="s">
        <v>144</v>
      </c>
      <c r="B59" s="54" t="s">
        <v>651</v>
      </c>
      <c r="C59" s="61" t="str">
        <f t="shared" si="9"/>
        <v>4조 - Main-subroutine - Modifiability</v>
      </c>
      <c r="D59" s="54" t="s">
        <v>651</v>
      </c>
      <c r="E59" s="61" t="str">
        <f t="shared" si="10"/>
        <v>4조 - Master-Slave - Modifiability</v>
      </c>
      <c r="F59" s="34"/>
      <c r="G59" s="42" t="s">
        <v>651</v>
      </c>
      <c r="H59" s="34"/>
    </row>
    <row r="60" ht="15.75" customHeight="1">
      <c r="A60" s="27" t="s">
        <v>176</v>
      </c>
      <c r="B60" s="54" t="s">
        <v>651</v>
      </c>
      <c r="C60" s="61" t="str">
        <f t="shared" si="9"/>
        <v>4조 - Main-subroutine - Performance</v>
      </c>
      <c r="D60" s="54" t="s">
        <v>651</v>
      </c>
      <c r="E60" s="61" t="str">
        <f t="shared" si="10"/>
        <v>4조 - Master-Slave - Performance</v>
      </c>
      <c r="F60" s="34"/>
      <c r="G60" s="42" t="s">
        <v>651</v>
      </c>
      <c r="H60" s="34"/>
      <c r="I60" s="41"/>
    </row>
    <row r="61" ht="15.75" customHeight="1">
      <c r="A61" s="27" t="s">
        <v>208</v>
      </c>
      <c r="B61" s="54" t="s">
        <v>651</v>
      </c>
      <c r="C61" s="61" t="str">
        <f t="shared" si="9"/>
        <v>4조 - Main-subroutine - Safety</v>
      </c>
      <c r="D61" s="54" t="s">
        <v>651</v>
      </c>
      <c r="E61" s="61" t="str">
        <f t="shared" si="10"/>
        <v>4조 - Master-Slave - Safety</v>
      </c>
      <c r="F61" s="34"/>
      <c r="G61" s="42" t="s">
        <v>651</v>
      </c>
      <c r="H61" s="34"/>
      <c r="I61" s="40"/>
    </row>
    <row r="62" ht="16.5" customHeight="1">
      <c r="A62" s="27" t="s">
        <v>242</v>
      </c>
      <c r="B62" s="54" t="s">
        <v>651</v>
      </c>
      <c r="C62" s="61" t="str">
        <f t="shared" si="9"/>
        <v>4조 - Main-subroutine - Security</v>
      </c>
      <c r="D62" s="54" t="s">
        <v>651</v>
      </c>
      <c r="E62" s="61" t="str">
        <f t="shared" si="10"/>
        <v>4조 - Master-Slave - Security</v>
      </c>
      <c r="F62" s="34"/>
      <c r="G62" s="42" t="s">
        <v>651</v>
      </c>
      <c r="H62" s="34"/>
    </row>
    <row r="63" ht="16.5" customHeight="1">
      <c r="A63" s="27" t="s">
        <v>273</v>
      </c>
      <c r="B63" s="54" t="s">
        <v>651</v>
      </c>
      <c r="C63" s="61" t="str">
        <f t="shared" si="9"/>
        <v>4조 - Main-subroutine - Testability</v>
      </c>
      <c r="D63" s="54" t="s">
        <v>651</v>
      </c>
      <c r="E63" s="61" t="str">
        <f t="shared" si="10"/>
        <v>4조 - Master-Slave - Testability</v>
      </c>
      <c r="F63" s="34"/>
      <c r="G63" s="42" t="s">
        <v>651</v>
      </c>
      <c r="H63" s="34"/>
    </row>
    <row r="64" ht="16.5" customHeight="1">
      <c r="A64" s="27" t="s">
        <v>305</v>
      </c>
      <c r="B64" s="54" t="s">
        <v>651</v>
      </c>
      <c r="C64" s="61" t="str">
        <f t="shared" si="9"/>
        <v>4조 - Main-subroutine - Usability</v>
      </c>
      <c r="D64" s="54" t="s">
        <v>651</v>
      </c>
      <c r="E64" s="61" t="str">
        <f t="shared" si="10"/>
        <v>4조 - Master-Slave - Usability</v>
      </c>
      <c r="F64" s="34"/>
      <c r="G64" s="42" t="s">
        <v>651</v>
      </c>
      <c r="H64" s="34"/>
    </row>
    <row r="65" ht="16.5" customHeight="1">
      <c r="A65" s="34"/>
      <c r="B65" s="42" t="s">
        <v>651</v>
      </c>
      <c r="C65" s="42" t="s">
        <v>651</v>
      </c>
      <c r="D65" s="42" t="s">
        <v>651</v>
      </c>
      <c r="E65" s="42" t="s">
        <v>651</v>
      </c>
      <c r="F65" s="34"/>
      <c r="G65" s="42" t="s">
        <v>651</v>
      </c>
      <c r="H65" s="34"/>
    </row>
    <row r="66" ht="16.5" customHeight="1">
      <c r="A66" s="35" t="s">
        <v>361</v>
      </c>
      <c r="B66" s="73" t="s">
        <v>377</v>
      </c>
      <c r="C66" s="19"/>
      <c r="D66" s="73" t="s">
        <v>378</v>
      </c>
      <c r="E66" s="19"/>
      <c r="F66" s="73" t="s">
        <v>379</v>
      </c>
      <c r="G66" s="19"/>
      <c r="H66" s="34"/>
    </row>
    <row r="67" ht="16.5" customHeight="1">
      <c r="A67" s="39"/>
      <c r="B67" s="26" t="s">
        <v>12</v>
      </c>
      <c r="C67" s="44" t="s">
        <v>13</v>
      </c>
      <c r="D67" s="26" t="s">
        <v>12</v>
      </c>
      <c r="E67" s="44" t="s">
        <v>13</v>
      </c>
      <c r="F67" s="26" t="s">
        <v>12</v>
      </c>
      <c r="G67" s="44" t="s">
        <v>13</v>
      </c>
      <c r="H67" s="34"/>
    </row>
    <row r="68" ht="16.5" customHeight="1">
      <c r="A68" s="27" t="s">
        <v>14</v>
      </c>
      <c r="B68" s="54" t="s">
        <v>651</v>
      </c>
      <c r="C68" s="61" t="str">
        <f t="shared" ref="C68:C77" si="11">"4조" &amp; " - " &amp; B$66 &amp; " - " &amp; $A68</f>
        <v>4조 - Layered - Availability</v>
      </c>
      <c r="D68" s="54" t="s">
        <v>651</v>
      </c>
      <c r="E68" s="61" t="str">
        <f t="shared" ref="E68:E77" si="12">"4조" &amp; " - " &amp; D$66 &amp; " - " &amp; $A68</f>
        <v>4조 - Virtual Machine - Availability</v>
      </c>
      <c r="F68" s="54" t="s">
        <v>651</v>
      </c>
      <c r="G68" s="61" t="str">
        <f t="shared" ref="G68:G77" si="13">"4조" &amp; " - " &amp; F$66 &amp; " - " &amp; $A68</f>
        <v>4조 - Microkernel - Availability</v>
      </c>
      <c r="H68" s="34"/>
    </row>
    <row r="69" ht="16.5" customHeight="1">
      <c r="A69" s="27" t="s">
        <v>44</v>
      </c>
      <c r="B69" s="54" t="s">
        <v>651</v>
      </c>
      <c r="C69" s="61" t="str">
        <f t="shared" si="11"/>
        <v>4조 - Layered - Deployability</v>
      </c>
      <c r="D69" s="54" t="s">
        <v>651</v>
      </c>
      <c r="E69" s="65" t="str">
        <f t="shared" si="12"/>
        <v>4조 - Virtual Machine - Deployability</v>
      </c>
      <c r="F69" s="54" t="s">
        <v>651</v>
      </c>
      <c r="G69" s="61" t="str">
        <f t="shared" si="13"/>
        <v>4조 - Microkernel - Deployability</v>
      </c>
      <c r="H69" s="34"/>
    </row>
    <row r="70" ht="16.5" customHeight="1">
      <c r="A70" s="27" t="s">
        <v>80</v>
      </c>
      <c r="B70" s="54" t="s">
        <v>651</v>
      </c>
      <c r="C70" s="61" t="str">
        <f t="shared" si="11"/>
        <v>4조 - Layered - Integrability</v>
      </c>
      <c r="D70" s="54" t="s">
        <v>651</v>
      </c>
      <c r="E70" s="61" t="str">
        <f t="shared" si="12"/>
        <v>4조 - Virtual Machine - Integrability</v>
      </c>
      <c r="F70" s="54" t="s">
        <v>651</v>
      </c>
      <c r="G70" s="61" t="str">
        <f t="shared" si="13"/>
        <v>4조 - Microkernel - Integrability</v>
      </c>
      <c r="H70" s="34"/>
    </row>
    <row r="71" ht="16.5" customHeight="1">
      <c r="A71" s="27" t="s">
        <v>113</v>
      </c>
      <c r="B71" s="54" t="s">
        <v>651</v>
      </c>
      <c r="C71" s="61" t="str">
        <f t="shared" si="11"/>
        <v>4조 - Layered - Energy Efficiency</v>
      </c>
      <c r="D71" s="54" t="s">
        <v>651</v>
      </c>
      <c r="E71" s="61" t="str">
        <f t="shared" si="12"/>
        <v>4조 - Virtual Machine - Energy Efficiency</v>
      </c>
      <c r="F71" s="54" t="s">
        <v>651</v>
      </c>
      <c r="G71" s="61" t="str">
        <f t="shared" si="13"/>
        <v>4조 - Microkernel - Energy Efficiency</v>
      </c>
      <c r="H71" s="34"/>
    </row>
    <row r="72" ht="16.5" customHeight="1">
      <c r="A72" s="27" t="s">
        <v>144</v>
      </c>
      <c r="B72" s="54" t="s">
        <v>651</v>
      </c>
      <c r="C72" s="61" t="str">
        <f t="shared" si="11"/>
        <v>4조 - Layered - Modifiability</v>
      </c>
      <c r="D72" s="54" t="s">
        <v>651</v>
      </c>
      <c r="E72" s="61" t="str">
        <f t="shared" si="12"/>
        <v>4조 - Virtual Machine - Modifiability</v>
      </c>
      <c r="F72" s="54" t="s">
        <v>651</v>
      </c>
      <c r="G72" s="61" t="str">
        <f t="shared" si="13"/>
        <v>4조 - Microkernel - Modifiability</v>
      </c>
      <c r="H72" s="34"/>
    </row>
    <row r="73" ht="16.5" customHeight="1">
      <c r="A73" s="27" t="s">
        <v>176</v>
      </c>
      <c r="B73" s="54" t="s">
        <v>651</v>
      </c>
      <c r="C73" s="61" t="str">
        <f t="shared" si="11"/>
        <v>4조 - Layered - Performance</v>
      </c>
      <c r="D73" s="54" t="s">
        <v>651</v>
      </c>
      <c r="E73" s="61" t="str">
        <f t="shared" si="12"/>
        <v>4조 - Virtual Machine - Performance</v>
      </c>
      <c r="F73" s="54" t="s">
        <v>651</v>
      </c>
      <c r="G73" s="61" t="str">
        <f t="shared" si="13"/>
        <v>4조 - Microkernel - Performance</v>
      </c>
      <c r="H73" s="34"/>
    </row>
    <row r="74" ht="16.5" customHeight="1">
      <c r="A74" s="27" t="s">
        <v>208</v>
      </c>
      <c r="B74" s="54" t="s">
        <v>651</v>
      </c>
      <c r="C74" s="61" t="str">
        <f t="shared" si="11"/>
        <v>4조 - Layered - Safety</v>
      </c>
      <c r="D74" s="54" t="s">
        <v>651</v>
      </c>
      <c r="E74" s="61" t="str">
        <f t="shared" si="12"/>
        <v>4조 - Virtual Machine - Safety</v>
      </c>
      <c r="F74" s="54" t="s">
        <v>651</v>
      </c>
      <c r="G74" s="61" t="str">
        <f t="shared" si="13"/>
        <v>4조 - Microkernel - Safety</v>
      </c>
    </row>
    <row r="75" ht="16.5" customHeight="1">
      <c r="A75" s="27" t="s">
        <v>242</v>
      </c>
      <c r="B75" s="54" t="s">
        <v>651</v>
      </c>
      <c r="C75" s="61" t="str">
        <f t="shared" si="11"/>
        <v>4조 - Layered - Security</v>
      </c>
      <c r="D75" s="54" t="s">
        <v>651</v>
      </c>
      <c r="E75" s="61" t="str">
        <f t="shared" si="12"/>
        <v>4조 - Virtual Machine - Security</v>
      </c>
      <c r="F75" s="54" t="s">
        <v>651</v>
      </c>
      <c r="G75" s="61" t="str">
        <f t="shared" si="13"/>
        <v>4조 - Microkernel - Security</v>
      </c>
    </row>
    <row r="76" ht="16.5" customHeight="1">
      <c r="A76" s="27" t="s">
        <v>273</v>
      </c>
      <c r="B76" s="54" t="s">
        <v>651</v>
      </c>
      <c r="C76" s="61" t="str">
        <f t="shared" si="11"/>
        <v>4조 - Layered - Testability</v>
      </c>
      <c r="D76" s="54" t="s">
        <v>651</v>
      </c>
      <c r="E76" s="61" t="str">
        <f t="shared" si="12"/>
        <v>4조 - Virtual Machine - Testability</v>
      </c>
      <c r="F76" s="54" t="s">
        <v>651</v>
      </c>
      <c r="G76" s="61" t="str">
        <f t="shared" si="13"/>
        <v>4조 - Microkernel - Testability</v>
      </c>
    </row>
    <row r="77" ht="16.5" customHeight="1">
      <c r="A77" s="27" t="s">
        <v>305</v>
      </c>
      <c r="B77" s="54" t="s">
        <v>651</v>
      </c>
      <c r="C77" s="61" t="str">
        <f t="shared" si="11"/>
        <v>4조 - Layered - Usability</v>
      </c>
      <c r="D77" s="54" t="s">
        <v>651</v>
      </c>
      <c r="E77" s="61" t="str">
        <f t="shared" si="12"/>
        <v>4조 - Virtual Machine - Usability</v>
      </c>
      <c r="F77" s="54" t="s">
        <v>651</v>
      </c>
      <c r="G77" s="61" t="str">
        <f t="shared" si="13"/>
        <v>4조 - Microkernel - Usability</v>
      </c>
    </row>
    <row r="78" ht="16.5" customHeight="1">
      <c r="A78" s="34"/>
      <c r="B78" s="42" t="s">
        <v>651</v>
      </c>
      <c r="C78" s="42" t="s">
        <v>651</v>
      </c>
      <c r="D78" s="42" t="s">
        <v>651</v>
      </c>
      <c r="E78" s="42" t="s">
        <v>651</v>
      </c>
      <c r="F78" s="42" t="s">
        <v>651</v>
      </c>
      <c r="G78" s="42" t="s">
        <v>651</v>
      </c>
    </row>
    <row r="79" ht="16.5" customHeight="1">
      <c r="A79" s="24" t="s">
        <v>386</v>
      </c>
      <c r="B79" s="73" t="s">
        <v>627</v>
      </c>
      <c r="C79" s="19"/>
      <c r="D79" s="73" t="s">
        <v>392</v>
      </c>
      <c r="E79" s="19"/>
    </row>
    <row r="80" ht="16.5" customHeight="1">
      <c r="A80" s="20"/>
      <c r="B80" s="26" t="s">
        <v>12</v>
      </c>
      <c r="C80" s="26" t="s">
        <v>13</v>
      </c>
      <c r="D80" s="26" t="s">
        <v>12</v>
      </c>
      <c r="E80" s="26" t="s">
        <v>13</v>
      </c>
    </row>
    <row r="81" ht="16.5" customHeight="1">
      <c r="A81" s="27" t="s">
        <v>14</v>
      </c>
      <c r="B81" s="54" t="s">
        <v>651</v>
      </c>
      <c r="C81" s="61" t="str">
        <f t="shared" ref="C81:C90" si="14">"4조" &amp; " - " &amp; B$79 &amp; " - " &amp; $A81</f>
        <v>4조 - Multi-tier - Availability</v>
      </c>
      <c r="D81" s="54" t="s">
        <v>651</v>
      </c>
      <c r="E81" s="61" t="str">
        <f t="shared" ref="E81:E90" si="15">"4조" &amp; " - " &amp; D$79 &amp; " - " &amp; $A81</f>
        <v>4조 - Client-Server - Availability</v>
      </c>
    </row>
    <row r="82" ht="16.5" customHeight="1">
      <c r="A82" s="27" t="s">
        <v>44</v>
      </c>
      <c r="B82" s="54" t="s">
        <v>651</v>
      </c>
      <c r="C82" s="61" t="str">
        <f t="shared" si="14"/>
        <v>4조 - Multi-tier - Deployability</v>
      </c>
      <c r="D82" s="54" t="s">
        <v>651</v>
      </c>
      <c r="E82" s="61" t="str">
        <f t="shared" si="15"/>
        <v>4조 - Client-Server - Deployability</v>
      </c>
    </row>
    <row r="83" ht="16.5" customHeight="1">
      <c r="A83" s="27" t="s">
        <v>80</v>
      </c>
      <c r="B83" s="54" t="s">
        <v>651</v>
      </c>
      <c r="C83" s="61" t="str">
        <f t="shared" si="14"/>
        <v>4조 - Multi-tier - Integrability</v>
      </c>
      <c r="D83" s="54" t="s">
        <v>651</v>
      </c>
      <c r="E83" s="61" t="str">
        <f t="shared" si="15"/>
        <v>4조 - Client-Server - Integrability</v>
      </c>
    </row>
    <row r="84" ht="16.5" customHeight="1">
      <c r="A84" s="27" t="s">
        <v>113</v>
      </c>
      <c r="B84" s="54" t="s">
        <v>651</v>
      </c>
      <c r="C84" s="61" t="str">
        <f t="shared" si="14"/>
        <v>4조 - Multi-tier - Energy Efficiency</v>
      </c>
      <c r="D84" s="54" t="s">
        <v>651</v>
      </c>
      <c r="E84" s="61" t="str">
        <f t="shared" si="15"/>
        <v>4조 - Client-Server - Energy Efficiency</v>
      </c>
    </row>
    <row r="85" ht="16.5" customHeight="1">
      <c r="A85" s="27" t="s">
        <v>144</v>
      </c>
      <c r="B85" s="54" t="s">
        <v>651</v>
      </c>
      <c r="C85" s="61" t="str">
        <f t="shared" si="14"/>
        <v>4조 - Multi-tier - Modifiability</v>
      </c>
      <c r="D85" s="54" t="s">
        <v>651</v>
      </c>
      <c r="E85" s="61" t="str">
        <f t="shared" si="15"/>
        <v>4조 - Client-Server - Modifiability</v>
      </c>
    </row>
    <row r="86" ht="16.5" customHeight="1">
      <c r="A86" s="27" t="s">
        <v>176</v>
      </c>
      <c r="B86" s="54" t="s">
        <v>651</v>
      </c>
      <c r="C86" s="61" t="str">
        <f t="shared" si="14"/>
        <v>4조 - Multi-tier - Performance</v>
      </c>
      <c r="D86" s="54" t="s">
        <v>651</v>
      </c>
      <c r="E86" s="61" t="str">
        <f t="shared" si="15"/>
        <v>4조 - Client-Server - Performance</v>
      </c>
    </row>
    <row r="87" ht="16.5" customHeight="1">
      <c r="A87" s="27" t="s">
        <v>208</v>
      </c>
      <c r="B87" s="54" t="s">
        <v>651</v>
      </c>
      <c r="C87" s="61" t="str">
        <f t="shared" si="14"/>
        <v>4조 - Multi-tier - Safety</v>
      </c>
      <c r="D87" s="54" t="s">
        <v>651</v>
      </c>
      <c r="E87" s="61" t="str">
        <f t="shared" si="15"/>
        <v>4조 - Client-Server - Safety</v>
      </c>
    </row>
    <row r="88" ht="16.5" customHeight="1">
      <c r="A88" s="27" t="s">
        <v>242</v>
      </c>
      <c r="B88" s="54" t="s">
        <v>651</v>
      </c>
      <c r="C88" s="61" t="str">
        <f t="shared" si="14"/>
        <v>4조 - Multi-tier - Security</v>
      </c>
      <c r="D88" s="54" t="s">
        <v>651</v>
      </c>
      <c r="E88" s="61" t="str">
        <f t="shared" si="15"/>
        <v>4조 - Client-Server - Security</v>
      </c>
    </row>
    <row r="89" ht="16.5" customHeight="1">
      <c r="A89" s="27" t="s">
        <v>273</v>
      </c>
      <c r="B89" s="54" t="s">
        <v>651</v>
      </c>
      <c r="C89" s="61" t="str">
        <f t="shared" si="14"/>
        <v>4조 - Multi-tier - Testability</v>
      </c>
      <c r="D89" s="54" t="s">
        <v>651</v>
      </c>
      <c r="E89" s="61" t="str">
        <f t="shared" si="15"/>
        <v>4조 - Client-Server - Testability</v>
      </c>
    </row>
    <row r="90" ht="16.5" customHeight="1">
      <c r="A90" s="27" t="s">
        <v>305</v>
      </c>
      <c r="B90" s="54" t="s">
        <v>651</v>
      </c>
      <c r="C90" s="61" t="str">
        <f t="shared" si="14"/>
        <v>4조 - Multi-tier - Usability</v>
      </c>
      <c r="D90" s="54" t="s">
        <v>651</v>
      </c>
      <c r="E90" s="61" t="str">
        <f t="shared" si="15"/>
        <v>4조 - Client-Server - Usability</v>
      </c>
    </row>
    <row r="91" ht="16.5" customHeight="1">
      <c r="A91" s="34"/>
      <c r="B91" s="42" t="s">
        <v>651</v>
      </c>
      <c r="C91" s="34"/>
      <c r="D91" s="42" t="s">
        <v>651</v>
      </c>
      <c r="E91" s="34"/>
      <c r="F91" s="42" t="s">
        <v>651</v>
      </c>
      <c r="G91" s="34"/>
    </row>
    <row r="92" ht="16.5" customHeight="1">
      <c r="A92" s="24" t="s">
        <v>386</v>
      </c>
      <c r="B92" s="73" t="s">
        <v>499</v>
      </c>
      <c r="C92" s="19"/>
      <c r="D92" s="46" t="s">
        <v>502</v>
      </c>
      <c r="E92" s="19"/>
    </row>
    <row r="93" ht="16.5" customHeight="1">
      <c r="A93" s="20"/>
      <c r="B93" s="26" t="s">
        <v>12</v>
      </c>
      <c r="C93" s="26" t="s">
        <v>13</v>
      </c>
      <c r="D93" s="26" t="s">
        <v>12</v>
      </c>
      <c r="E93" s="26" t="s">
        <v>13</v>
      </c>
    </row>
    <row r="94" ht="16.5" customHeight="1">
      <c r="A94" s="27" t="s">
        <v>14</v>
      </c>
      <c r="B94" s="54" t="s">
        <v>651</v>
      </c>
      <c r="C94" s="61" t="str">
        <f t="shared" ref="C94:C103" si="16">"4조" &amp; " - " &amp; B$92 &amp; " - " &amp; $A94</f>
        <v>4조 - Broker - Availability</v>
      </c>
      <c r="D94" s="54" t="s">
        <v>651</v>
      </c>
      <c r="E94" s="61" t="str">
        <f t="shared" ref="E94:E103" si="17">"4조" &amp; " - " &amp; D$92 &amp; " - " &amp; $A94</f>
        <v>4조 - Dispatcher - Availability</v>
      </c>
    </row>
    <row r="95" ht="16.5" customHeight="1">
      <c r="A95" s="27" t="s">
        <v>44</v>
      </c>
      <c r="B95" s="54" t="s">
        <v>651</v>
      </c>
      <c r="C95" s="61" t="str">
        <f t="shared" si="16"/>
        <v>4조 - Broker - Deployability</v>
      </c>
      <c r="D95" s="54" t="s">
        <v>651</v>
      </c>
      <c r="E95" s="61" t="str">
        <f t="shared" si="17"/>
        <v>4조 - Dispatcher - Deployability</v>
      </c>
    </row>
    <row r="96" ht="16.5" customHeight="1">
      <c r="A96" s="27" t="s">
        <v>80</v>
      </c>
      <c r="B96" s="54" t="s">
        <v>651</v>
      </c>
      <c r="C96" s="61" t="str">
        <f t="shared" si="16"/>
        <v>4조 - Broker - Integrability</v>
      </c>
      <c r="D96" s="54" t="s">
        <v>651</v>
      </c>
      <c r="E96" s="61" t="str">
        <f t="shared" si="17"/>
        <v>4조 - Dispatcher - Integrability</v>
      </c>
    </row>
    <row r="97" ht="16.5" customHeight="1">
      <c r="A97" s="27" t="s">
        <v>113</v>
      </c>
      <c r="B97" s="54" t="s">
        <v>651</v>
      </c>
      <c r="C97" s="61" t="str">
        <f t="shared" si="16"/>
        <v>4조 - Broker - Energy Efficiency</v>
      </c>
      <c r="D97" s="54" t="s">
        <v>651</v>
      </c>
      <c r="E97" s="61" t="str">
        <f t="shared" si="17"/>
        <v>4조 - Dispatcher - Energy Efficiency</v>
      </c>
    </row>
    <row r="98" ht="16.5" customHeight="1">
      <c r="A98" s="27" t="s">
        <v>144</v>
      </c>
      <c r="B98" s="54" t="s">
        <v>651</v>
      </c>
      <c r="C98" s="61" t="str">
        <f t="shared" si="16"/>
        <v>4조 - Broker - Modifiability</v>
      </c>
      <c r="D98" s="54" t="s">
        <v>651</v>
      </c>
      <c r="E98" s="61" t="str">
        <f t="shared" si="17"/>
        <v>4조 - Dispatcher - Modifiability</v>
      </c>
    </row>
    <row r="99" ht="16.5" customHeight="1">
      <c r="A99" s="27" t="s">
        <v>176</v>
      </c>
      <c r="B99" s="54" t="s">
        <v>651</v>
      </c>
      <c r="C99" s="61" t="str">
        <f t="shared" si="16"/>
        <v>4조 - Broker - Performance</v>
      </c>
      <c r="D99" s="54" t="s">
        <v>651</v>
      </c>
      <c r="E99" s="61" t="str">
        <f t="shared" si="17"/>
        <v>4조 - Dispatcher - Performance</v>
      </c>
    </row>
    <row r="100" ht="16.5" customHeight="1">
      <c r="A100" s="27" t="s">
        <v>208</v>
      </c>
      <c r="B100" s="54" t="s">
        <v>651</v>
      </c>
      <c r="C100" s="61" t="str">
        <f t="shared" si="16"/>
        <v>4조 - Broker - Safety</v>
      </c>
      <c r="D100" s="54" t="s">
        <v>651</v>
      </c>
      <c r="E100" s="61" t="str">
        <f t="shared" si="17"/>
        <v>4조 - Dispatcher - Safety</v>
      </c>
    </row>
    <row r="101" ht="16.5" customHeight="1">
      <c r="A101" s="27" t="s">
        <v>242</v>
      </c>
      <c r="B101" s="54" t="s">
        <v>651</v>
      </c>
      <c r="C101" s="61" t="str">
        <f t="shared" si="16"/>
        <v>4조 - Broker - Security</v>
      </c>
      <c r="D101" s="54" t="s">
        <v>651</v>
      </c>
      <c r="E101" s="61" t="str">
        <f t="shared" si="17"/>
        <v>4조 - Dispatcher - Security</v>
      </c>
    </row>
    <row r="102" ht="16.5" customHeight="1">
      <c r="A102" s="27" t="s">
        <v>273</v>
      </c>
      <c r="B102" s="54" t="s">
        <v>651</v>
      </c>
      <c r="C102" s="61" t="str">
        <f t="shared" si="16"/>
        <v>4조 - Broker - Testability</v>
      </c>
      <c r="D102" s="54" t="s">
        <v>651</v>
      </c>
      <c r="E102" s="61" t="str">
        <f t="shared" si="17"/>
        <v>4조 - Dispatcher - Testability</v>
      </c>
    </row>
    <row r="103" ht="16.5" customHeight="1">
      <c r="A103" s="27" t="s">
        <v>305</v>
      </c>
      <c r="B103" s="54" t="s">
        <v>651</v>
      </c>
      <c r="C103" s="61" t="str">
        <f t="shared" si="16"/>
        <v>4조 - Broker - Usability</v>
      </c>
      <c r="D103" s="54" t="s">
        <v>651</v>
      </c>
      <c r="E103" s="61" t="str">
        <f t="shared" si="17"/>
        <v>4조 - Dispatcher - Usability</v>
      </c>
    </row>
    <row r="104" ht="16.5" customHeight="1">
      <c r="A104" s="34"/>
      <c r="B104" s="42" t="s">
        <v>651</v>
      </c>
      <c r="C104" s="34"/>
      <c r="D104" s="42" t="s">
        <v>651</v>
      </c>
      <c r="E104" s="34"/>
      <c r="F104" s="34"/>
      <c r="G104" s="34"/>
    </row>
    <row r="105" ht="16.5" customHeight="1">
      <c r="A105" s="24" t="s">
        <v>386</v>
      </c>
      <c r="B105" s="73" t="s">
        <v>568</v>
      </c>
      <c r="C105" s="19"/>
      <c r="D105" s="46" t="s">
        <v>739</v>
      </c>
      <c r="E105" s="19"/>
    </row>
    <row r="106" ht="16.5" customHeight="1">
      <c r="A106" s="20"/>
      <c r="B106" s="26" t="s">
        <v>12</v>
      </c>
      <c r="C106" s="26" t="s">
        <v>13</v>
      </c>
      <c r="D106" s="26" t="s">
        <v>12</v>
      </c>
      <c r="E106" s="26" t="s">
        <v>13</v>
      </c>
    </row>
    <row r="107" ht="16.5" customHeight="1">
      <c r="A107" s="27" t="s">
        <v>14</v>
      </c>
      <c r="B107" s="54" t="s">
        <v>651</v>
      </c>
      <c r="C107" s="61" t="str">
        <f t="shared" ref="C107:C116" si="18">"4조" &amp; " - " &amp; B$105 &amp; " - " &amp; $A107</f>
        <v>4조 - SOA - Availability</v>
      </c>
      <c r="D107" s="54" t="s">
        <v>651</v>
      </c>
      <c r="E107" s="61" t="str">
        <f t="shared" ref="E107:E116" si="19">"4조" &amp; " - " &amp; D$105 &amp; " - " &amp; $A107</f>
        <v>4조 - Mico-Service - Availability</v>
      </c>
    </row>
    <row r="108" ht="16.5" customHeight="1">
      <c r="A108" s="27" t="s">
        <v>44</v>
      </c>
      <c r="B108" s="54" t="s">
        <v>651</v>
      </c>
      <c r="C108" s="61" t="str">
        <f t="shared" si="18"/>
        <v>4조 - SOA - Deployability</v>
      </c>
      <c r="D108" s="54" t="s">
        <v>651</v>
      </c>
      <c r="E108" s="61" t="str">
        <f t="shared" si="19"/>
        <v>4조 - Mico-Service - Deployability</v>
      </c>
    </row>
    <row r="109" ht="16.5" customHeight="1">
      <c r="A109" s="27" t="s">
        <v>80</v>
      </c>
      <c r="B109" s="54" t="s">
        <v>651</v>
      </c>
      <c r="C109" s="61" t="str">
        <f t="shared" si="18"/>
        <v>4조 - SOA - Integrability</v>
      </c>
      <c r="D109" s="54" t="s">
        <v>651</v>
      </c>
      <c r="E109" s="61" t="str">
        <f t="shared" si="19"/>
        <v>4조 - Mico-Service - Integrability</v>
      </c>
    </row>
    <row r="110" ht="16.5" customHeight="1">
      <c r="A110" s="27" t="s">
        <v>113</v>
      </c>
      <c r="B110" s="54" t="s">
        <v>651</v>
      </c>
      <c r="C110" s="61" t="str">
        <f t="shared" si="18"/>
        <v>4조 - SOA - Energy Efficiency</v>
      </c>
      <c r="D110" s="54" t="s">
        <v>651</v>
      </c>
      <c r="E110" s="61" t="str">
        <f t="shared" si="19"/>
        <v>4조 - Mico-Service - Energy Efficiency</v>
      </c>
    </row>
    <row r="111" ht="16.5" customHeight="1">
      <c r="A111" s="27" t="s">
        <v>144</v>
      </c>
      <c r="B111" s="54" t="s">
        <v>651</v>
      </c>
      <c r="C111" s="61" t="str">
        <f t="shared" si="18"/>
        <v>4조 - SOA - Modifiability</v>
      </c>
      <c r="D111" s="54" t="s">
        <v>651</v>
      </c>
      <c r="E111" s="61" t="str">
        <f t="shared" si="19"/>
        <v>4조 - Mico-Service - Modifiability</v>
      </c>
    </row>
    <row r="112" ht="16.5" customHeight="1">
      <c r="A112" s="27" t="s">
        <v>176</v>
      </c>
      <c r="B112" s="54" t="s">
        <v>651</v>
      </c>
      <c r="C112" s="61" t="str">
        <f t="shared" si="18"/>
        <v>4조 - SOA - Performance</v>
      </c>
      <c r="D112" s="54" t="s">
        <v>651</v>
      </c>
      <c r="E112" s="61" t="str">
        <f t="shared" si="19"/>
        <v>4조 - Mico-Service - Performance</v>
      </c>
    </row>
    <row r="113" ht="16.5" customHeight="1">
      <c r="A113" s="27" t="s">
        <v>208</v>
      </c>
      <c r="B113" s="54" t="s">
        <v>651</v>
      </c>
      <c r="C113" s="61" t="str">
        <f t="shared" si="18"/>
        <v>4조 - SOA - Safety</v>
      </c>
      <c r="D113" s="54" t="s">
        <v>651</v>
      </c>
      <c r="E113" s="61" t="str">
        <f t="shared" si="19"/>
        <v>4조 - Mico-Service - Safety</v>
      </c>
    </row>
    <row r="114" ht="16.5" customHeight="1">
      <c r="A114" s="27" t="s">
        <v>242</v>
      </c>
      <c r="B114" s="54" t="s">
        <v>651</v>
      </c>
      <c r="C114" s="61" t="str">
        <f t="shared" si="18"/>
        <v>4조 - SOA - Security</v>
      </c>
      <c r="D114" s="54" t="s">
        <v>651</v>
      </c>
      <c r="E114" s="61" t="str">
        <f t="shared" si="19"/>
        <v>4조 - Mico-Service - Security</v>
      </c>
    </row>
    <row r="115" ht="16.5" customHeight="1">
      <c r="A115" s="27" t="s">
        <v>273</v>
      </c>
      <c r="B115" s="54" t="s">
        <v>651</v>
      </c>
      <c r="C115" s="61" t="str">
        <f t="shared" si="18"/>
        <v>4조 - SOA - Testability</v>
      </c>
      <c r="D115" s="54" t="s">
        <v>651</v>
      </c>
      <c r="E115" s="61" t="str">
        <f t="shared" si="19"/>
        <v>4조 - Mico-Service - Testability</v>
      </c>
    </row>
    <row r="116" ht="16.5" customHeight="1">
      <c r="A116" s="27" t="s">
        <v>305</v>
      </c>
      <c r="B116" s="54" t="s">
        <v>651</v>
      </c>
      <c r="C116" s="61" t="str">
        <f t="shared" si="18"/>
        <v>4조 - SOA - Usability</v>
      </c>
      <c r="D116" s="54" t="s">
        <v>651</v>
      </c>
      <c r="E116" s="61" t="str">
        <f t="shared" si="19"/>
        <v>4조 - Mico-Service - Usability</v>
      </c>
    </row>
    <row r="117" ht="16.5" customHeight="1">
      <c r="A117" s="34"/>
      <c r="B117" s="42" t="s">
        <v>651</v>
      </c>
      <c r="C117" s="34"/>
      <c r="D117" s="42" t="s">
        <v>651</v>
      </c>
      <c r="E117" s="34"/>
      <c r="F117" s="34"/>
      <c r="G117" s="34"/>
    </row>
    <row r="118" ht="16.5" customHeight="1">
      <c r="A118" s="24" t="s">
        <v>599</v>
      </c>
      <c r="B118" s="46" t="s">
        <v>600</v>
      </c>
      <c r="C118" s="19"/>
      <c r="D118" s="46" t="s">
        <v>601</v>
      </c>
      <c r="E118" s="19"/>
      <c r="F118" s="46" t="s">
        <v>603</v>
      </c>
      <c r="G118" s="19"/>
    </row>
    <row r="119" ht="16.5" customHeight="1">
      <c r="A119" s="20"/>
      <c r="B119" s="26" t="s">
        <v>12</v>
      </c>
      <c r="C119" s="26" t="s">
        <v>13</v>
      </c>
      <c r="D119" s="26" t="s">
        <v>12</v>
      </c>
      <c r="E119" s="26" t="s">
        <v>13</v>
      </c>
      <c r="F119" s="26" t="s">
        <v>12</v>
      </c>
      <c r="G119" s="26" t="s">
        <v>13</v>
      </c>
    </row>
    <row r="120" ht="16.5" customHeight="1">
      <c r="A120" s="27" t="s">
        <v>14</v>
      </c>
      <c r="B120" s="54" t="s">
        <v>651</v>
      </c>
      <c r="C120" s="61" t="str">
        <f t="shared" ref="C120:C129" si="20">"4조" &amp; " - " &amp; B$118 &amp; " - " &amp; $A120</f>
        <v>4조 - Container-based - Availability</v>
      </c>
      <c r="D120" s="54" t="s">
        <v>651</v>
      </c>
      <c r="E120" s="61" t="str">
        <f t="shared" ref="E120:E129" si="21">"4조" &amp; " - " &amp; D$118 &amp; " - " &amp; $A120</f>
        <v>4조 - Cloud-based - Availability</v>
      </c>
      <c r="F120" s="54" t="s">
        <v>651</v>
      </c>
      <c r="G120" s="61" t="str">
        <f t="shared" ref="G120:G129" si="22">"4조" &amp; " - " &amp; F$118 &amp; " - " &amp; $A120</f>
        <v>4조 - Edge-based - Availability</v>
      </c>
    </row>
    <row r="121" ht="16.5" customHeight="1">
      <c r="A121" s="27" t="s">
        <v>44</v>
      </c>
      <c r="B121" s="54" t="s">
        <v>651</v>
      </c>
      <c r="C121" s="61" t="str">
        <f t="shared" si="20"/>
        <v>4조 - Container-based - Deployability</v>
      </c>
      <c r="D121" s="54" t="s">
        <v>651</v>
      </c>
      <c r="E121" s="61" t="str">
        <f t="shared" si="21"/>
        <v>4조 - Cloud-based - Deployability</v>
      </c>
      <c r="F121" s="54" t="s">
        <v>651</v>
      </c>
      <c r="G121" s="61" t="str">
        <f t="shared" si="22"/>
        <v>4조 - Edge-based - Deployability</v>
      </c>
    </row>
    <row r="122" ht="16.5" customHeight="1">
      <c r="A122" s="27" t="s">
        <v>80</v>
      </c>
      <c r="B122" s="54" t="s">
        <v>651</v>
      </c>
      <c r="C122" s="61" t="str">
        <f t="shared" si="20"/>
        <v>4조 - Container-based - Integrability</v>
      </c>
      <c r="D122" s="54" t="s">
        <v>651</v>
      </c>
      <c r="E122" s="61" t="str">
        <f t="shared" si="21"/>
        <v>4조 - Cloud-based - Integrability</v>
      </c>
      <c r="F122" s="54" t="s">
        <v>651</v>
      </c>
      <c r="G122" s="61" t="str">
        <f t="shared" si="22"/>
        <v>4조 - Edge-based - Integrability</v>
      </c>
    </row>
    <row r="123" ht="16.5" customHeight="1">
      <c r="A123" s="27" t="s">
        <v>113</v>
      </c>
      <c r="B123" s="54" t="s">
        <v>651</v>
      </c>
      <c r="C123" s="61" t="str">
        <f t="shared" si="20"/>
        <v>4조 - Container-based - Energy Efficiency</v>
      </c>
      <c r="D123" s="54" t="s">
        <v>651</v>
      </c>
      <c r="E123" s="61" t="str">
        <f t="shared" si="21"/>
        <v>4조 - Cloud-based - Energy Efficiency</v>
      </c>
      <c r="F123" s="54" t="s">
        <v>651</v>
      </c>
      <c r="G123" s="61" t="str">
        <f t="shared" si="22"/>
        <v>4조 - Edge-based - Energy Efficiency</v>
      </c>
    </row>
    <row r="124" ht="16.5" customHeight="1">
      <c r="A124" s="27" t="s">
        <v>144</v>
      </c>
      <c r="B124" s="54" t="s">
        <v>651</v>
      </c>
      <c r="C124" s="61" t="str">
        <f t="shared" si="20"/>
        <v>4조 - Container-based - Modifiability</v>
      </c>
      <c r="D124" s="54" t="s">
        <v>651</v>
      </c>
      <c r="E124" s="61" t="str">
        <f t="shared" si="21"/>
        <v>4조 - Cloud-based - Modifiability</v>
      </c>
      <c r="F124" s="54" t="s">
        <v>651</v>
      </c>
      <c r="G124" s="61" t="str">
        <f t="shared" si="22"/>
        <v>4조 - Edge-based - Modifiability</v>
      </c>
    </row>
    <row r="125" ht="16.5" customHeight="1">
      <c r="A125" s="27" t="s">
        <v>176</v>
      </c>
      <c r="B125" s="54" t="s">
        <v>651</v>
      </c>
      <c r="C125" s="61" t="str">
        <f t="shared" si="20"/>
        <v>4조 - Container-based - Performance</v>
      </c>
      <c r="D125" s="54" t="s">
        <v>651</v>
      </c>
      <c r="E125" s="61" t="str">
        <f t="shared" si="21"/>
        <v>4조 - Cloud-based - Performance</v>
      </c>
      <c r="F125" s="54" t="s">
        <v>651</v>
      </c>
      <c r="G125" s="61" t="str">
        <f t="shared" si="22"/>
        <v>4조 - Edge-based - Performance</v>
      </c>
    </row>
    <row r="126" ht="16.5" customHeight="1">
      <c r="A126" s="27" t="s">
        <v>208</v>
      </c>
      <c r="B126" s="54" t="s">
        <v>651</v>
      </c>
      <c r="C126" s="61" t="str">
        <f t="shared" si="20"/>
        <v>4조 - Container-based - Safety</v>
      </c>
      <c r="D126" s="54" t="s">
        <v>651</v>
      </c>
      <c r="E126" s="61" t="str">
        <f t="shared" si="21"/>
        <v>4조 - Cloud-based - Safety</v>
      </c>
      <c r="F126" s="54" t="s">
        <v>651</v>
      </c>
      <c r="G126" s="61" t="str">
        <f t="shared" si="22"/>
        <v>4조 - Edge-based - Safety</v>
      </c>
    </row>
    <row r="127" ht="16.5" customHeight="1">
      <c r="A127" s="27" t="s">
        <v>242</v>
      </c>
      <c r="B127" s="54" t="s">
        <v>651</v>
      </c>
      <c r="C127" s="61" t="str">
        <f t="shared" si="20"/>
        <v>4조 - Container-based - Security</v>
      </c>
      <c r="D127" s="54" t="s">
        <v>651</v>
      </c>
      <c r="E127" s="61" t="str">
        <f t="shared" si="21"/>
        <v>4조 - Cloud-based - Security</v>
      </c>
      <c r="F127" s="54" t="s">
        <v>651</v>
      </c>
      <c r="G127" s="61" t="str">
        <f t="shared" si="22"/>
        <v>4조 - Edge-based - Security</v>
      </c>
    </row>
    <row r="128" ht="16.5" customHeight="1">
      <c r="A128" s="27" t="s">
        <v>273</v>
      </c>
      <c r="B128" s="54" t="s">
        <v>651</v>
      </c>
      <c r="C128" s="61" t="str">
        <f t="shared" si="20"/>
        <v>4조 - Container-based - Testability</v>
      </c>
      <c r="D128" s="54" t="s">
        <v>651</v>
      </c>
      <c r="E128" s="61" t="str">
        <f t="shared" si="21"/>
        <v>4조 - Cloud-based - Testability</v>
      </c>
      <c r="F128" s="54" t="s">
        <v>651</v>
      </c>
      <c r="G128" s="61" t="str">
        <f t="shared" si="22"/>
        <v>4조 - Edge-based - Testability</v>
      </c>
    </row>
    <row r="129" ht="16.5" customHeight="1">
      <c r="A129" s="27" t="s">
        <v>305</v>
      </c>
      <c r="B129" s="54" t="s">
        <v>651</v>
      </c>
      <c r="C129" s="61" t="str">
        <f t="shared" si="20"/>
        <v>4조 - Container-based - Usability</v>
      </c>
      <c r="D129" s="54" t="s">
        <v>651</v>
      </c>
      <c r="E129" s="61" t="str">
        <f t="shared" si="21"/>
        <v>4조 - Cloud-based - Usability</v>
      </c>
      <c r="F129" s="54" t="s">
        <v>651</v>
      </c>
      <c r="G129" s="61" t="str">
        <f t="shared" si="22"/>
        <v>4조 - Edge-based - Usability</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0.57"/>
    <col customWidth="1" min="4" max="4" width="9.86"/>
    <col customWidth="1" min="5" max="5" width="64.43"/>
    <col customWidth="1" min="6" max="6" width="11.43"/>
    <col customWidth="1" min="7" max="7" width="61.57"/>
    <col customWidth="1" min="8" max="8" width="8.86"/>
    <col customWidth="1" min="9" max="9" width="64.14"/>
  </cols>
  <sheetData>
    <row r="1" ht="16.5" customHeight="1">
      <c r="A1" s="24" t="s">
        <v>610</v>
      </c>
      <c r="B1" s="46" t="s">
        <v>2</v>
      </c>
      <c r="C1" s="19"/>
      <c r="D1" s="46" t="s">
        <v>6</v>
      </c>
      <c r="E1" s="19"/>
      <c r="F1" s="46" t="s">
        <v>10</v>
      </c>
      <c r="G1" s="19"/>
    </row>
    <row r="2" ht="16.5" customHeight="1">
      <c r="A2" s="20"/>
      <c r="B2" s="26" t="s">
        <v>12</v>
      </c>
      <c r="C2" s="26" t="s">
        <v>13</v>
      </c>
      <c r="D2" s="26" t="s">
        <v>12</v>
      </c>
      <c r="E2" s="26" t="s">
        <v>13</v>
      </c>
      <c r="F2" s="26" t="s">
        <v>12</v>
      </c>
      <c r="G2" s="26" t="s">
        <v>13</v>
      </c>
    </row>
    <row r="3" ht="16.5" customHeight="1">
      <c r="A3" s="27" t="s">
        <v>14</v>
      </c>
      <c r="B3" s="47" t="s">
        <v>644</v>
      </c>
      <c r="C3" s="52" t="s">
        <v>778</v>
      </c>
      <c r="D3" s="47" t="s">
        <v>644</v>
      </c>
      <c r="E3" s="52" t="s">
        <v>779</v>
      </c>
      <c r="F3" s="54" t="s">
        <v>651</v>
      </c>
      <c r="G3" s="61" t="str">
        <f t="shared" ref="G3:G12" si="1">"5조" &amp; " - " &amp; F$1 &amp; " - " &amp; $A3</f>
        <v>5조 - Process Control - Availability</v>
      </c>
    </row>
    <row r="4" ht="16.5" customHeight="1">
      <c r="A4" s="27" t="s">
        <v>44</v>
      </c>
      <c r="B4" s="47" t="s">
        <v>648</v>
      </c>
      <c r="C4" s="52" t="s">
        <v>780</v>
      </c>
      <c r="D4" s="47" t="s">
        <v>646</v>
      </c>
      <c r="E4" s="52" t="s">
        <v>781</v>
      </c>
      <c r="F4" s="54" t="s">
        <v>651</v>
      </c>
      <c r="G4" s="61" t="str">
        <f t="shared" si="1"/>
        <v>5조 - Process Control - Deployability</v>
      </c>
    </row>
    <row r="5" ht="16.5" customHeight="1">
      <c r="A5" s="27" t="s">
        <v>80</v>
      </c>
      <c r="B5" s="47" t="s">
        <v>648</v>
      </c>
      <c r="C5" s="52" t="s">
        <v>782</v>
      </c>
      <c r="D5" s="47" t="s">
        <v>646</v>
      </c>
      <c r="E5" s="86" t="s">
        <v>783</v>
      </c>
      <c r="F5" s="54" t="s">
        <v>651</v>
      </c>
      <c r="G5" s="61" t="str">
        <f t="shared" si="1"/>
        <v>5조 - Process Control - Integrability</v>
      </c>
    </row>
    <row r="6" ht="16.5" customHeight="1">
      <c r="A6" s="27" t="s">
        <v>113</v>
      </c>
      <c r="B6" s="47" t="s">
        <v>644</v>
      </c>
      <c r="C6" s="52" t="s">
        <v>784</v>
      </c>
      <c r="D6" s="47" t="s">
        <v>646</v>
      </c>
      <c r="E6" s="52" t="s">
        <v>785</v>
      </c>
      <c r="F6" s="54" t="s">
        <v>651</v>
      </c>
      <c r="G6" s="61" t="str">
        <f t="shared" si="1"/>
        <v>5조 - Process Control - Energy Efficiency</v>
      </c>
    </row>
    <row r="7" ht="16.5" customHeight="1">
      <c r="A7" s="27" t="s">
        <v>144</v>
      </c>
      <c r="B7" s="47" t="s">
        <v>648</v>
      </c>
      <c r="C7" s="52" t="s">
        <v>786</v>
      </c>
      <c r="D7" s="47" t="s">
        <v>657</v>
      </c>
      <c r="E7" s="52" t="s">
        <v>787</v>
      </c>
      <c r="F7" s="54" t="s">
        <v>651</v>
      </c>
      <c r="G7" s="61" t="str">
        <f t="shared" si="1"/>
        <v>5조 - Process Control - Modifiability</v>
      </c>
    </row>
    <row r="8" ht="16.5" customHeight="1">
      <c r="A8" s="27" t="s">
        <v>176</v>
      </c>
      <c r="B8" s="47" t="s">
        <v>653</v>
      </c>
      <c r="C8" s="52" t="s">
        <v>788</v>
      </c>
      <c r="D8" s="47" t="s">
        <v>653</v>
      </c>
      <c r="E8" s="52" t="s">
        <v>789</v>
      </c>
      <c r="F8" s="54" t="s">
        <v>651</v>
      </c>
      <c r="G8" s="61" t="str">
        <f t="shared" si="1"/>
        <v>5조 - Process Control - Performance</v>
      </c>
    </row>
    <row r="9" ht="16.5" customHeight="1">
      <c r="A9" s="27" t="s">
        <v>208</v>
      </c>
      <c r="B9" s="47" t="s">
        <v>648</v>
      </c>
      <c r="C9" s="52" t="s">
        <v>790</v>
      </c>
      <c r="D9" s="54" t="s">
        <v>651</v>
      </c>
      <c r="E9" s="61"/>
      <c r="F9" s="54" t="s">
        <v>651</v>
      </c>
      <c r="G9" s="61" t="str">
        <f t="shared" si="1"/>
        <v>5조 - Process Control - Safety</v>
      </c>
    </row>
    <row r="10" ht="16.5" customHeight="1">
      <c r="A10" s="27" t="s">
        <v>242</v>
      </c>
      <c r="B10" s="47" t="s">
        <v>646</v>
      </c>
      <c r="C10" s="52" t="s">
        <v>791</v>
      </c>
      <c r="D10" s="54" t="s">
        <v>651</v>
      </c>
      <c r="E10" s="61" t="str">
        <f t="shared" ref="E10:E12" si="2">"5조" &amp; " - " &amp; D$1 &amp; " - " &amp; $A10</f>
        <v>5조 - Pipe and Filter - Security</v>
      </c>
      <c r="F10" s="54" t="s">
        <v>651</v>
      </c>
      <c r="G10" s="61" t="str">
        <f t="shared" si="1"/>
        <v>5조 - Process Control - Security</v>
      </c>
    </row>
    <row r="11" ht="16.5" customHeight="1">
      <c r="A11" s="27" t="s">
        <v>273</v>
      </c>
      <c r="B11" s="47" t="s">
        <v>646</v>
      </c>
      <c r="C11" s="52" t="s">
        <v>792</v>
      </c>
      <c r="D11" s="54" t="s">
        <v>651</v>
      </c>
      <c r="E11" s="61" t="str">
        <f t="shared" si="2"/>
        <v>5조 - Pipe and Filter - Testability</v>
      </c>
      <c r="F11" s="54" t="s">
        <v>651</v>
      </c>
      <c r="G11" s="61" t="str">
        <f t="shared" si="1"/>
        <v>5조 - Process Control - Testability</v>
      </c>
    </row>
    <row r="12" ht="16.5" customHeight="1">
      <c r="A12" s="27" t="s">
        <v>305</v>
      </c>
      <c r="B12" s="47" t="s">
        <v>653</v>
      </c>
      <c r="C12" s="52" t="s">
        <v>793</v>
      </c>
      <c r="D12" s="54" t="s">
        <v>651</v>
      </c>
      <c r="E12" s="61" t="str">
        <f t="shared" si="2"/>
        <v>5조 - Pipe and Filter - Usability</v>
      </c>
      <c r="F12" s="54" t="s">
        <v>651</v>
      </c>
      <c r="G12" s="61" t="str">
        <f t="shared" si="1"/>
        <v>5조 - Process Control - Usability</v>
      </c>
    </row>
    <row r="13" ht="16.5" customHeight="1">
      <c r="A13" s="34"/>
      <c r="B13" s="42" t="s">
        <v>651</v>
      </c>
      <c r="C13" s="42" t="s">
        <v>651</v>
      </c>
      <c r="D13" s="42" t="s">
        <v>651</v>
      </c>
      <c r="E13" s="42" t="s">
        <v>651</v>
      </c>
      <c r="F13" s="42" t="s">
        <v>651</v>
      </c>
      <c r="G13" s="34"/>
    </row>
    <row r="14" ht="16.5" customHeight="1">
      <c r="A14" s="35" t="s">
        <v>0</v>
      </c>
      <c r="B14" s="73" t="s">
        <v>615</v>
      </c>
      <c r="C14" s="19"/>
      <c r="D14" s="73" t="s">
        <v>8</v>
      </c>
      <c r="E14" s="19"/>
      <c r="F14" s="34"/>
      <c r="G14" s="34"/>
    </row>
    <row r="15" ht="16.5" customHeight="1">
      <c r="A15" s="36"/>
      <c r="B15" s="37" t="s">
        <v>12</v>
      </c>
      <c r="C15" s="74" t="s">
        <v>13</v>
      </c>
      <c r="D15" s="37" t="s">
        <v>12</v>
      </c>
      <c r="E15" s="74" t="s">
        <v>13</v>
      </c>
      <c r="F15" s="34"/>
      <c r="G15" s="34"/>
    </row>
    <row r="16" ht="16.5" customHeight="1">
      <c r="A16" s="27" t="s">
        <v>14</v>
      </c>
      <c r="B16" s="54" t="s">
        <v>651</v>
      </c>
      <c r="C16" s="61" t="str">
        <f t="shared" ref="C16:C25" si="3">"5조" &amp; " - " &amp; B$14 &amp; " - " &amp; $A16</f>
        <v>5조 - Shared Respository - Availability</v>
      </c>
      <c r="D16" s="54" t="s">
        <v>651</v>
      </c>
      <c r="E16" s="61" t="str">
        <f t="shared" ref="E16:E25" si="4">"5조" &amp; " - " &amp; D$14 &amp; " - " &amp; $A16</f>
        <v>5조 - Blackboard - Availability</v>
      </c>
      <c r="F16" s="34"/>
      <c r="G16" s="34"/>
    </row>
    <row r="17" ht="16.5" customHeight="1">
      <c r="A17" s="27" t="s">
        <v>44</v>
      </c>
      <c r="B17" s="54" t="s">
        <v>651</v>
      </c>
      <c r="C17" s="61" t="str">
        <f t="shared" si="3"/>
        <v>5조 - Shared Respository - Deployability</v>
      </c>
      <c r="D17" s="54" t="s">
        <v>651</v>
      </c>
      <c r="E17" s="61" t="str">
        <f t="shared" si="4"/>
        <v>5조 - Blackboard - Deployability</v>
      </c>
      <c r="F17" s="34"/>
      <c r="G17" s="34"/>
    </row>
    <row r="18" ht="16.5" customHeight="1">
      <c r="A18" s="27" t="s">
        <v>80</v>
      </c>
      <c r="B18" s="54" t="s">
        <v>651</v>
      </c>
      <c r="C18" s="61" t="str">
        <f t="shared" si="3"/>
        <v>5조 - Shared Respository - Integrability</v>
      </c>
      <c r="D18" s="54" t="s">
        <v>651</v>
      </c>
      <c r="E18" s="61" t="str">
        <f t="shared" si="4"/>
        <v>5조 - Blackboard - Integrability</v>
      </c>
      <c r="F18" s="34"/>
      <c r="G18" s="34"/>
    </row>
    <row r="19" ht="16.5" customHeight="1">
      <c r="A19" s="27" t="s">
        <v>113</v>
      </c>
      <c r="B19" s="54" t="s">
        <v>651</v>
      </c>
      <c r="C19" s="61" t="str">
        <f t="shared" si="3"/>
        <v>5조 - Shared Respository - Energy Efficiency</v>
      </c>
      <c r="D19" s="54" t="s">
        <v>651</v>
      </c>
      <c r="E19" s="61" t="str">
        <f t="shared" si="4"/>
        <v>5조 - Blackboard - Energy Efficiency</v>
      </c>
      <c r="F19" s="34"/>
      <c r="G19" s="34"/>
    </row>
    <row r="20" ht="16.5" customHeight="1">
      <c r="A20" s="27" t="s">
        <v>144</v>
      </c>
      <c r="B20" s="54" t="s">
        <v>651</v>
      </c>
      <c r="C20" s="61" t="str">
        <f t="shared" si="3"/>
        <v>5조 - Shared Respository - Modifiability</v>
      </c>
      <c r="D20" s="54" t="s">
        <v>651</v>
      </c>
      <c r="E20" s="61" t="str">
        <f t="shared" si="4"/>
        <v>5조 - Blackboard - Modifiability</v>
      </c>
      <c r="F20" s="34"/>
      <c r="G20" s="34"/>
    </row>
    <row r="21" ht="16.5" customHeight="1">
      <c r="A21" s="27" t="s">
        <v>176</v>
      </c>
      <c r="B21" s="54" t="s">
        <v>651</v>
      </c>
      <c r="C21" s="61" t="str">
        <f t="shared" si="3"/>
        <v>5조 - Shared Respository - Performance</v>
      </c>
      <c r="D21" s="54" t="s">
        <v>651</v>
      </c>
      <c r="E21" s="61" t="str">
        <f t="shared" si="4"/>
        <v>5조 - Blackboard - Performance</v>
      </c>
      <c r="F21" s="34"/>
      <c r="G21" s="34"/>
    </row>
    <row r="22" ht="16.5" customHeight="1">
      <c r="A22" s="27" t="s">
        <v>208</v>
      </c>
      <c r="B22" s="54" t="s">
        <v>651</v>
      </c>
      <c r="C22" s="61" t="str">
        <f t="shared" si="3"/>
        <v>5조 - Shared Respository - Safety</v>
      </c>
      <c r="D22" s="54" t="s">
        <v>651</v>
      </c>
      <c r="E22" s="61" t="str">
        <f t="shared" si="4"/>
        <v>5조 - Blackboard - Safety</v>
      </c>
      <c r="F22" s="34"/>
      <c r="G22" s="34"/>
    </row>
    <row r="23" ht="16.5" customHeight="1">
      <c r="A23" s="27" t="s">
        <v>242</v>
      </c>
      <c r="B23" s="54" t="s">
        <v>651</v>
      </c>
      <c r="C23" s="61" t="str">
        <f t="shared" si="3"/>
        <v>5조 - Shared Respository - Security</v>
      </c>
      <c r="D23" s="54" t="s">
        <v>651</v>
      </c>
      <c r="E23" s="61" t="str">
        <f t="shared" si="4"/>
        <v>5조 - Blackboard - Security</v>
      </c>
      <c r="F23" s="34"/>
      <c r="G23" s="34"/>
    </row>
    <row r="24" ht="16.5" customHeight="1">
      <c r="A24" s="27" t="s">
        <v>273</v>
      </c>
      <c r="B24" s="54" t="s">
        <v>651</v>
      </c>
      <c r="C24" s="61" t="str">
        <f t="shared" si="3"/>
        <v>5조 - Shared Respository - Testability</v>
      </c>
      <c r="D24" s="54" t="s">
        <v>651</v>
      </c>
      <c r="E24" s="61" t="str">
        <f t="shared" si="4"/>
        <v>5조 - Blackboard - Testability</v>
      </c>
      <c r="F24" s="34"/>
      <c r="G24" s="34"/>
    </row>
    <row r="25" ht="16.5" customHeight="1">
      <c r="A25" s="27" t="s">
        <v>305</v>
      </c>
      <c r="B25" s="54" t="s">
        <v>651</v>
      </c>
      <c r="C25" s="61" t="str">
        <f t="shared" si="3"/>
        <v>5조 - Shared Respository - Usability</v>
      </c>
      <c r="D25" s="54" t="s">
        <v>651</v>
      </c>
      <c r="E25" s="61" t="str">
        <f t="shared" si="4"/>
        <v>5조 - Blackboard - Usability</v>
      </c>
      <c r="F25" s="34"/>
      <c r="G25" s="34"/>
    </row>
    <row r="26" ht="16.5" customHeight="1">
      <c r="A26" s="34"/>
      <c r="B26" s="42" t="s">
        <v>651</v>
      </c>
      <c r="C26" s="42" t="s">
        <v>651</v>
      </c>
      <c r="D26" s="42" t="s">
        <v>651</v>
      </c>
      <c r="E26" s="42" t="s">
        <v>651</v>
      </c>
      <c r="F26" s="34"/>
      <c r="G26" s="34"/>
    </row>
    <row r="27" ht="16.5" customHeight="1">
      <c r="A27" s="35" t="s">
        <v>3</v>
      </c>
      <c r="B27" s="73" t="s">
        <v>7</v>
      </c>
      <c r="C27" s="19"/>
      <c r="D27" s="73" t="s">
        <v>11</v>
      </c>
      <c r="E27" s="19"/>
      <c r="F27" s="34"/>
      <c r="G27" s="34"/>
    </row>
    <row r="28" ht="16.5" customHeight="1">
      <c r="A28" s="39"/>
      <c r="B28" s="26" t="s">
        <v>12</v>
      </c>
      <c r="C28" s="44" t="s">
        <v>13</v>
      </c>
      <c r="D28" s="26" t="s">
        <v>12</v>
      </c>
      <c r="E28" s="44" t="s">
        <v>13</v>
      </c>
      <c r="F28" s="34"/>
      <c r="G28" s="34"/>
    </row>
    <row r="29" ht="16.5" customHeight="1">
      <c r="A29" s="27" t="s">
        <v>14</v>
      </c>
      <c r="B29" s="47" t="s">
        <v>644</v>
      </c>
      <c r="C29" s="52" t="s">
        <v>794</v>
      </c>
      <c r="D29" s="54" t="s">
        <v>651</v>
      </c>
      <c r="E29" s="61" t="str">
        <f t="shared" ref="E29:E38" si="5">"5조" &amp; " - " &amp; D$27 &amp; " - " &amp; $A29</f>
        <v>5조 - Buffered Message Based - Availability</v>
      </c>
      <c r="F29" s="34"/>
      <c r="G29" s="34"/>
    </row>
    <row r="30" ht="16.5" customHeight="1">
      <c r="A30" s="27" t="s">
        <v>44</v>
      </c>
      <c r="B30" s="47" t="s">
        <v>646</v>
      </c>
      <c r="C30" s="52" t="s">
        <v>795</v>
      </c>
      <c r="D30" s="54" t="s">
        <v>651</v>
      </c>
      <c r="E30" s="61" t="str">
        <f t="shared" si="5"/>
        <v>5조 - Buffered Message Based - Deployability</v>
      </c>
      <c r="F30" s="34"/>
      <c r="G30" s="34"/>
    </row>
    <row r="31" ht="16.5" customHeight="1">
      <c r="A31" s="27" t="s">
        <v>80</v>
      </c>
      <c r="B31" s="47" t="s">
        <v>646</v>
      </c>
      <c r="C31" s="52" t="s">
        <v>795</v>
      </c>
      <c r="D31" s="54" t="s">
        <v>651</v>
      </c>
      <c r="E31" s="61" t="str">
        <f t="shared" si="5"/>
        <v>5조 - Buffered Message Based - Integrability</v>
      </c>
      <c r="F31" s="34"/>
      <c r="G31" s="34"/>
    </row>
    <row r="32" ht="16.5" customHeight="1">
      <c r="A32" s="27" t="s">
        <v>113</v>
      </c>
      <c r="B32" s="47" t="s">
        <v>644</v>
      </c>
      <c r="C32" s="52" t="s">
        <v>797</v>
      </c>
      <c r="D32" s="54" t="s">
        <v>651</v>
      </c>
      <c r="E32" s="61" t="str">
        <f t="shared" si="5"/>
        <v>5조 - Buffered Message Based - Energy Efficiency</v>
      </c>
      <c r="F32" s="34"/>
      <c r="G32" s="34"/>
    </row>
    <row r="33" ht="16.5" customHeight="1">
      <c r="A33" s="27" t="s">
        <v>144</v>
      </c>
      <c r="B33" s="47" t="s">
        <v>646</v>
      </c>
      <c r="C33" s="52" t="s">
        <v>798</v>
      </c>
      <c r="D33" s="54" t="s">
        <v>651</v>
      </c>
      <c r="E33" s="61" t="str">
        <f t="shared" si="5"/>
        <v>5조 - Buffered Message Based - Modifiability</v>
      </c>
      <c r="F33" s="34"/>
      <c r="G33" s="34"/>
    </row>
    <row r="34" ht="16.5" customHeight="1">
      <c r="A34" s="27" t="s">
        <v>176</v>
      </c>
      <c r="B34" s="47" t="s">
        <v>657</v>
      </c>
      <c r="C34" s="81" t="s">
        <v>799</v>
      </c>
      <c r="D34" s="54" t="s">
        <v>651</v>
      </c>
      <c r="E34" s="61" t="str">
        <f t="shared" si="5"/>
        <v>5조 - Buffered Message Based - Performance</v>
      </c>
      <c r="F34" s="34"/>
      <c r="G34" s="34"/>
    </row>
    <row r="35" ht="16.5" customHeight="1">
      <c r="A35" s="27" t="s">
        <v>208</v>
      </c>
      <c r="B35" s="47" t="s">
        <v>657</v>
      </c>
      <c r="C35" s="52" t="s">
        <v>801</v>
      </c>
      <c r="D35" s="54" t="s">
        <v>651</v>
      </c>
      <c r="E35" s="61" t="str">
        <f t="shared" si="5"/>
        <v>5조 - Buffered Message Based - Safety</v>
      </c>
      <c r="F35" s="34"/>
      <c r="G35" s="34"/>
    </row>
    <row r="36" ht="16.5" customHeight="1">
      <c r="A36" s="27" t="s">
        <v>242</v>
      </c>
      <c r="B36" s="47" t="s">
        <v>657</v>
      </c>
      <c r="C36" s="81" t="s">
        <v>802</v>
      </c>
      <c r="D36" s="54" t="s">
        <v>651</v>
      </c>
      <c r="E36" s="61" t="str">
        <f t="shared" si="5"/>
        <v>5조 - Buffered Message Based - Security</v>
      </c>
      <c r="F36" s="34"/>
      <c r="G36" s="34"/>
    </row>
    <row r="37" ht="16.5" customHeight="1">
      <c r="A37" s="27" t="s">
        <v>273</v>
      </c>
      <c r="B37" s="47" t="s">
        <v>657</v>
      </c>
      <c r="C37" s="52" t="s">
        <v>804</v>
      </c>
      <c r="D37" s="54" t="s">
        <v>651</v>
      </c>
      <c r="E37" s="61" t="str">
        <f t="shared" si="5"/>
        <v>5조 - Buffered Message Based - Testability</v>
      </c>
      <c r="F37" s="34"/>
      <c r="G37" s="34"/>
    </row>
    <row r="38" ht="16.5" customHeight="1">
      <c r="A38" s="27" t="s">
        <v>305</v>
      </c>
      <c r="B38" s="47" t="s">
        <v>657</v>
      </c>
      <c r="C38" s="52" t="s">
        <v>806</v>
      </c>
      <c r="D38" s="54" t="s">
        <v>651</v>
      </c>
      <c r="E38" s="61" t="str">
        <f t="shared" si="5"/>
        <v>5조 - Buffered Message Based - Usability</v>
      </c>
      <c r="F38" s="34"/>
      <c r="G38" s="34"/>
    </row>
    <row r="39" ht="16.5" customHeight="1">
      <c r="A39" s="34"/>
      <c r="B39" s="42" t="s">
        <v>651</v>
      </c>
      <c r="C39" s="42" t="s">
        <v>651</v>
      </c>
      <c r="D39" s="42" t="s">
        <v>651</v>
      </c>
      <c r="E39" s="42" t="s">
        <v>651</v>
      </c>
      <c r="F39" s="34"/>
      <c r="G39" s="34"/>
    </row>
    <row r="40" ht="16.5" customHeight="1">
      <c r="A40" s="35" t="s">
        <v>1</v>
      </c>
      <c r="B40" s="46" t="s">
        <v>4</v>
      </c>
      <c r="C40" s="19"/>
      <c r="D40" s="46" t="s">
        <v>9</v>
      </c>
      <c r="E40" s="19"/>
      <c r="F40" s="34"/>
      <c r="G40" s="34"/>
      <c r="H40" s="34"/>
    </row>
    <row r="41" ht="15.75" customHeight="1">
      <c r="A41" s="39"/>
      <c r="B41" s="26" t="s">
        <v>12</v>
      </c>
      <c r="C41" s="26" t="s">
        <v>13</v>
      </c>
      <c r="D41" s="26" t="s">
        <v>12</v>
      </c>
      <c r="E41" s="26" t="s">
        <v>13</v>
      </c>
      <c r="F41" s="34"/>
      <c r="G41" s="34"/>
      <c r="H41" s="34"/>
      <c r="I41" s="40"/>
    </row>
    <row r="42" ht="16.5" customHeight="1">
      <c r="A42" s="27" t="s">
        <v>14</v>
      </c>
      <c r="B42" s="54" t="s">
        <v>651</v>
      </c>
      <c r="C42" s="61" t="str">
        <f t="shared" ref="C42:C51" si="6">"5조" &amp; " - " &amp; B$40 &amp; " - " &amp; $A42</f>
        <v>5조 - MVC - Availability</v>
      </c>
      <c r="D42" s="54" t="s">
        <v>651</v>
      </c>
      <c r="E42" s="61" t="str">
        <f t="shared" ref="E42:E51" si="7">"5조" &amp; " - " &amp; D$40 &amp; " - " &amp; $A42</f>
        <v>5조 - PAC - Availability</v>
      </c>
      <c r="F42" s="34"/>
      <c r="G42" s="34"/>
      <c r="H42" s="34"/>
    </row>
    <row r="43" ht="16.5" customHeight="1">
      <c r="A43" s="27" t="s">
        <v>44</v>
      </c>
      <c r="B43" s="54" t="s">
        <v>651</v>
      </c>
      <c r="C43" s="61" t="str">
        <f t="shared" si="6"/>
        <v>5조 - MVC - Deployability</v>
      </c>
      <c r="D43" s="54" t="s">
        <v>651</v>
      </c>
      <c r="E43" s="61" t="str">
        <f t="shared" si="7"/>
        <v>5조 - PAC - Deployability</v>
      </c>
      <c r="F43" s="34"/>
      <c r="G43" s="34"/>
      <c r="H43" s="34"/>
    </row>
    <row r="44" ht="16.5" customHeight="1">
      <c r="A44" s="27" t="s">
        <v>80</v>
      </c>
      <c r="B44" s="54" t="s">
        <v>651</v>
      </c>
      <c r="C44" s="61" t="str">
        <f t="shared" si="6"/>
        <v>5조 - MVC - Integrability</v>
      </c>
      <c r="D44" s="54" t="s">
        <v>651</v>
      </c>
      <c r="E44" s="61" t="str">
        <f t="shared" si="7"/>
        <v>5조 - PAC - Integrability</v>
      </c>
      <c r="F44" s="34"/>
      <c r="G44" s="34"/>
      <c r="H44" s="34"/>
    </row>
    <row r="45" ht="16.5" customHeight="1">
      <c r="A45" s="27" t="s">
        <v>113</v>
      </c>
      <c r="B45" s="54" t="s">
        <v>651</v>
      </c>
      <c r="C45" s="61" t="str">
        <f t="shared" si="6"/>
        <v>5조 - MVC - Energy Efficiency</v>
      </c>
      <c r="D45" s="54" t="s">
        <v>651</v>
      </c>
      <c r="E45" s="61" t="str">
        <f t="shared" si="7"/>
        <v>5조 - PAC - Energy Efficiency</v>
      </c>
      <c r="F45" s="34"/>
      <c r="G45" s="34"/>
      <c r="H45" s="34"/>
    </row>
    <row r="46" ht="16.5" customHeight="1">
      <c r="A46" s="27" t="s">
        <v>144</v>
      </c>
      <c r="B46" s="54" t="s">
        <v>651</v>
      </c>
      <c r="C46" s="61" t="str">
        <f t="shared" si="6"/>
        <v>5조 - MVC - Modifiability</v>
      </c>
      <c r="D46" s="54" t="s">
        <v>651</v>
      </c>
      <c r="E46" s="61" t="str">
        <f t="shared" si="7"/>
        <v>5조 - PAC - Modifiability</v>
      </c>
      <c r="F46" s="34"/>
      <c r="G46" s="34"/>
      <c r="H46" s="34"/>
    </row>
    <row r="47" ht="16.5" customHeight="1">
      <c r="A47" s="27" t="s">
        <v>176</v>
      </c>
      <c r="B47" s="54" t="s">
        <v>651</v>
      </c>
      <c r="C47" s="61" t="str">
        <f t="shared" si="6"/>
        <v>5조 - MVC - Performance</v>
      </c>
      <c r="D47" s="54" t="s">
        <v>651</v>
      </c>
      <c r="E47" s="61" t="str">
        <f t="shared" si="7"/>
        <v>5조 - PAC - Performance</v>
      </c>
      <c r="F47" s="34"/>
      <c r="G47" s="34"/>
      <c r="H47" s="34"/>
    </row>
    <row r="48" ht="16.5" customHeight="1">
      <c r="A48" s="27" t="s">
        <v>208</v>
      </c>
      <c r="B48" s="54" t="s">
        <v>651</v>
      </c>
      <c r="C48" s="61" t="str">
        <f t="shared" si="6"/>
        <v>5조 - MVC - Safety</v>
      </c>
      <c r="D48" s="54" t="s">
        <v>651</v>
      </c>
      <c r="E48" s="61" t="str">
        <f t="shared" si="7"/>
        <v>5조 - PAC - Safety</v>
      </c>
      <c r="F48" s="34"/>
      <c r="G48" s="34"/>
      <c r="H48" s="34"/>
    </row>
    <row r="49" ht="16.5" customHeight="1">
      <c r="A49" s="27" t="s">
        <v>242</v>
      </c>
      <c r="B49" s="54" t="s">
        <v>651</v>
      </c>
      <c r="C49" s="61" t="str">
        <f t="shared" si="6"/>
        <v>5조 - MVC - Security</v>
      </c>
      <c r="D49" s="54" t="s">
        <v>651</v>
      </c>
      <c r="E49" s="61" t="str">
        <f t="shared" si="7"/>
        <v>5조 - PAC - Security</v>
      </c>
      <c r="F49" s="34"/>
      <c r="G49" s="34"/>
      <c r="H49" s="34"/>
    </row>
    <row r="50" ht="15.75" customHeight="1">
      <c r="A50" s="27" t="s">
        <v>273</v>
      </c>
      <c r="B50" s="54" t="s">
        <v>651</v>
      </c>
      <c r="C50" s="61" t="str">
        <f t="shared" si="6"/>
        <v>5조 - MVC - Testability</v>
      </c>
      <c r="D50" s="54" t="s">
        <v>651</v>
      </c>
      <c r="E50" s="61" t="str">
        <f t="shared" si="7"/>
        <v>5조 - PAC - Testability</v>
      </c>
      <c r="F50" s="34"/>
      <c r="G50" s="42" t="s">
        <v>651</v>
      </c>
      <c r="H50" s="34"/>
      <c r="I50" s="41"/>
    </row>
    <row r="51" ht="15.75" customHeight="1">
      <c r="A51" s="27" t="s">
        <v>305</v>
      </c>
      <c r="B51" s="54" t="s">
        <v>651</v>
      </c>
      <c r="C51" s="61" t="str">
        <f t="shared" si="6"/>
        <v>5조 - MVC - Usability</v>
      </c>
      <c r="D51" s="54" t="s">
        <v>651</v>
      </c>
      <c r="E51" s="61" t="str">
        <f t="shared" si="7"/>
        <v>5조 - PAC - Usability</v>
      </c>
      <c r="F51" s="34"/>
      <c r="G51" s="42" t="s">
        <v>651</v>
      </c>
      <c r="H51" s="34"/>
      <c r="I51" s="40"/>
    </row>
    <row r="52" ht="16.5" customHeight="1">
      <c r="A52" s="34"/>
      <c r="B52" s="42" t="s">
        <v>651</v>
      </c>
      <c r="C52" s="34"/>
      <c r="D52" s="42" t="s">
        <v>651</v>
      </c>
      <c r="E52" s="34"/>
      <c r="F52" s="34"/>
      <c r="G52" s="34"/>
    </row>
    <row r="53" ht="16.5" customHeight="1">
      <c r="A53" s="35" t="s">
        <v>361</v>
      </c>
      <c r="B53" s="73" t="s">
        <v>362</v>
      </c>
      <c r="C53" s="19"/>
      <c r="D53" s="73" t="s">
        <v>363</v>
      </c>
      <c r="E53" s="19"/>
      <c r="F53" s="34"/>
      <c r="G53" s="42" t="s">
        <v>651</v>
      </c>
      <c r="H53" s="34"/>
    </row>
    <row r="54" ht="16.5" customHeight="1">
      <c r="A54" s="39"/>
      <c r="B54" s="26" t="s">
        <v>12</v>
      </c>
      <c r="C54" s="44" t="s">
        <v>13</v>
      </c>
      <c r="D54" s="26" t="s">
        <v>12</v>
      </c>
      <c r="E54" s="44" t="s">
        <v>13</v>
      </c>
      <c r="F54" s="34"/>
      <c r="G54" s="42" t="s">
        <v>651</v>
      </c>
      <c r="H54" s="34"/>
    </row>
    <row r="55" ht="16.5" customHeight="1">
      <c r="A55" s="27" t="s">
        <v>14</v>
      </c>
      <c r="B55" s="54" t="s">
        <v>651</v>
      </c>
      <c r="C55" s="61" t="str">
        <f t="shared" ref="C55:C64" si="8">"5조" &amp; " - " &amp; B$53 &amp; " - " &amp; $A55</f>
        <v>5조 - Main-subroutine - Availability</v>
      </c>
      <c r="D55" s="54" t="s">
        <v>651</v>
      </c>
      <c r="E55" s="61" t="str">
        <f t="shared" ref="E55:E64" si="9">"5조" &amp; " - " &amp; D$53 &amp; " - " &amp; $A55</f>
        <v>5조 - Master-Slave - Availability</v>
      </c>
      <c r="F55" s="34"/>
      <c r="G55" s="42" t="s">
        <v>651</v>
      </c>
      <c r="H55" s="34"/>
    </row>
    <row r="56" ht="16.5" customHeight="1">
      <c r="A56" s="27" t="s">
        <v>44</v>
      </c>
      <c r="B56" s="54" t="s">
        <v>651</v>
      </c>
      <c r="C56" s="65" t="str">
        <f t="shared" si="8"/>
        <v>5조 - Main-subroutine - Deployability</v>
      </c>
      <c r="D56" s="54" t="s">
        <v>651</v>
      </c>
      <c r="E56" s="61" t="str">
        <f t="shared" si="9"/>
        <v>5조 - Master-Slave - Deployability</v>
      </c>
      <c r="F56" s="34"/>
      <c r="G56" s="42" t="s">
        <v>651</v>
      </c>
      <c r="H56" s="34"/>
    </row>
    <row r="57" ht="16.5" customHeight="1">
      <c r="A57" s="27" t="s">
        <v>80</v>
      </c>
      <c r="B57" s="54" t="s">
        <v>651</v>
      </c>
      <c r="C57" s="61" t="str">
        <f t="shared" si="8"/>
        <v>5조 - Main-subroutine - Integrability</v>
      </c>
      <c r="D57" s="54" t="s">
        <v>651</v>
      </c>
      <c r="E57" s="61" t="str">
        <f t="shared" si="9"/>
        <v>5조 - Master-Slave - Integrability</v>
      </c>
      <c r="F57" s="34"/>
      <c r="G57" s="42" t="s">
        <v>651</v>
      </c>
      <c r="H57" s="34"/>
    </row>
    <row r="58" ht="16.5" customHeight="1">
      <c r="A58" s="27" t="s">
        <v>113</v>
      </c>
      <c r="B58" s="54" t="s">
        <v>651</v>
      </c>
      <c r="C58" s="61" t="str">
        <f t="shared" si="8"/>
        <v>5조 - Main-subroutine - Energy Efficiency</v>
      </c>
      <c r="D58" s="54" t="s">
        <v>651</v>
      </c>
      <c r="E58" s="61" t="str">
        <f t="shared" si="9"/>
        <v>5조 - Master-Slave - Energy Efficiency</v>
      </c>
      <c r="F58" s="34"/>
      <c r="G58" s="42" t="s">
        <v>651</v>
      </c>
      <c r="H58" s="34"/>
    </row>
    <row r="59" ht="16.5" customHeight="1">
      <c r="A59" s="27" t="s">
        <v>144</v>
      </c>
      <c r="B59" s="54" t="s">
        <v>651</v>
      </c>
      <c r="C59" s="61" t="str">
        <f t="shared" si="8"/>
        <v>5조 - Main-subroutine - Modifiability</v>
      </c>
      <c r="D59" s="54" t="s">
        <v>651</v>
      </c>
      <c r="E59" s="61" t="str">
        <f t="shared" si="9"/>
        <v>5조 - Master-Slave - Modifiability</v>
      </c>
      <c r="F59" s="34"/>
      <c r="G59" s="42" t="s">
        <v>651</v>
      </c>
      <c r="H59" s="34"/>
    </row>
    <row r="60" ht="15.75" customHeight="1">
      <c r="A60" s="27" t="s">
        <v>176</v>
      </c>
      <c r="B60" s="54" t="s">
        <v>651</v>
      </c>
      <c r="C60" s="61" t="str">
        <f t="shared" si="8"/>
        <v>5조 - Main-subroutine - Performance</v>
      </c>
      <c r="D60" s="54" t="s">
        <v>651</v>
      </c>
      <c r="E60" s="61" t="str">
        <f t="shared" si="9"/>
        <v>5조 - Master-Slave - Performance</v>
      </c>
      <c r="F60" s="34"/>
      <c r="G60" s="42" t="s">
        <v>651</v>
      </c>
      <c r="H60" s="34"/>
      <c r="I60" s="41"/>
    </row>
    <row r="61" ht="15.75" customHeight="1">
      <c r="A61" s="27" t="s">
        <v>208</v>
      </c>
      <c r="B61" s="54" t="s">
        <v>651</v>
      </c>
      <c r="C61" s="61" t="str">
        <f t="shared" si="8"/>
        <v>5조 - Main-subroutine - Safety</v>
      </c>
      <c r="D61" s="54" t="s">
        <v>651</v>
      </c>
      <c r="E61" s="61" t="str">
        <f t="shared" si="9"/>
        <v>5조 - Master-Slave - Safety</v>
      </c>
      <c r="F61" s="34"/>
      <c r="G61" s="42" t="s">
        <v>651</v>
      </c>
      <c r="H61" s="34"/>
      <c r="I61" s="40"/>
    </row>
    <row r="62" ht="16.5" customHeight="1">
      <c r="A62" s="27" t="s">
        <v>242</v>
      </c>
      <c r="B62" s="54" t="s">
        <v>651</v>
      </c>
      <c r="C62" s="61" t="str">
        <f t="shared" si="8"/>
        <v>5조 - Main-subroutine - Security</v>
      </c>
      <c r="D62" s="54" t="s">
        <v>651</v>
      </c>
      <c r="E62" s="61" t="str">
        <f t="shared" si="9"/>
        <v>5조 - Master-Slave - Security</v>
      </c>
      <c r="F62" s="34"/>
      <c r="G62" s="42" t="s">
        <v>651</v>
      </c>
      <c r="H62" s="34"/>
    </row>
    <row r="63" ht="16.5" customHeight="1">
      <c r="A63" s="27" t="s">
        <v>273</v>
      </c>
      <c r="B63" s="54" t="s">
        <v>651</v>
      </c>
      <c r="C63" s="61" t="str">
        <f t="shared" si="8"/>
        <v>5조 - Main-subroutine - Testability</v>
      </c>
      <c r="D63" s="54" t="s">
        <v>651</v>
      </c>
      <c r="E63" s="61" t="str">
        <f t="shared" si="9"/>
        <v>5조 - Master-Slave - Testability</v>
      </c>
      <c r="F63" s="34"/>
      <c r="G63" s="42" t="s">
        <v>651</v>
      </c>
      <c r="H63" s="34"/>
    </row>
    <row r="64" ht="16.5" customHeight="1">
      <c r="A64" s="27" t="s">
        <v>305</v>
      </c>
      <c r="B64" s="54" t="s">
        <v>651</v>
      </c>
      <c r="C64" s="61" t="str">
        <f t="shared" si="8"/>
        <v>5조 - Main-subroutine - Usability</v>
      </c>
      <c r="D64" s="54" t="s">
        <v>651</v>
      </c>
      <c r="E64" s="61" t="str">
        <f t="shared" si="9"/>
        <v>5조 - Master-Slave - Usability</v>
      </c>
      <c r="F64" s="34"/>
      <c r="G64" s="42" t="s">
        <v>651</v>
      </c>
      <c r="H64" s="34"/>
    </row>
    <row r="65" ht="16.5" customHeight="1">
      <c r="A65" s="34"/>
      <c r="B65" s="42" t="s">
        <v>651</v>
      </c>
      <c r="C65" s="42" t="s">
        <v>651</v>
      </c>
      <c r="D65" s="42" t="s">
        <v>651</v>
      </c>
      <c r="E65" s="42" t="s">
        <v>651</v>
      </c>
      <c r="F65" s="34"/>
      <c r="G65" s="42" t="s">
        <v>651</v>
      </c>
      <c r="H65" s="34"/>
    </row>
    <row r="66" ht="16.5" customHeight="1">
      <c r="A66" s="35" t="s">
        <v>361</v>
      </c>
      <c r="B66" s="73" t="s">
        <v>377</v>
      </c>
      <c r="C66" s="19"/>
      <c r="D66" s="73" t="s">
        <v>378</v>
      </c>
      <c r="E66" s="19"/>
      <c r="F66" s="73" t="s">
        <v>379</v>
      </c>
      <c r="G66" s="19"/>
      <c r="H66" s="34"/>
    </row>
    <row r="67" ht="16.5" customHeight="1">
      <c r="A67" s="39"/>
      <c r="B67" s="26" t="s">
        <v>12</v>
      </c>
      <c r="C67" s="44" t="s">
        <v>13</v>
      </c>
      <c r="D67" s="26" t="s">
        <v>12</v>
      </c>
      <c r="E67" s="44" t="s">
        <v>13</v>
      </c>
      <c r="F67" s="26" t="s">
        <v>12</v>
      </c>
      <c r="G67" s="44" t="s">
        <v>13</v>
      </c>
      <c r="H67" s="34"/>
    </row>
    <row r="68" ht="16.5" customHeight="1">
      <c r="A68" s="27" t="s">
        <v>14</v>
      </c>
      <c r="B68" s="54" t="s">
        <v>651</v>
      </c>
      <c r="C68" s="61" t="str">
        <f t="shared" ref="C68:C77" si="10">"5조" &amp; " - " &amp; B$66 &amp; " - " &amp; $A68</f>
        <v>5조 - Layered - Availability</v>
      </c>
      <c r="D68" s="54" t="s">
        <v>651</v>
      </c>
      <c r="E68" s="61" t="str">
        <f t="shared" ref="E68:E77" si="11">"5조" &amp; " - " &amp; D$66 &amp; " - " &amp; $A68</f>
        <v>5조 - Virtual Machine - Availability</v>
      </c>
      <c r="F68" s="54" t="s">
        <v>651</v>
      </c>
      <c r="G68" s="61" t="str">
        <f t="shared" ref="G68:G77" si="12">"5조" &amp; " - " &amp; F$66 &amp; " - " &amp; $A68</f>
        <v>5조 - Microkernel - Availability</v>
      </c>
      <c r="H68" s="34"/>
    </row>
    <row r="69" ht="16.5" customHeight="1">
      <c r="A69" s="27" t="s">
        <v>44</v>
      </c>
      <c r="B69" s="54" t="s">
        <v>651</v>
      </c>
      <c r="C69" s="61" t="str">
        <f t="shared" si="10"/>
        <v>5조 - Layered - Deployability</v>
      </c>
      <c r="D69" s="54" t="s">
        <v>651</v>
      </c>
      <c r="E69" s="65" t="str">
        <f t="shared" si="11"/>
        <v>5조 - Virtual Machine - Deployability</v>
      </c>
      <c r="F69" s="54" t="s">
        <v>651</v>
      </c>
      <c r="G69" s="61" t="str">
        <f t="shared" si="12"/>
        <v>5조 - Microkernel - Deployability</v>
      </c>
      <c r="H69" s="34"/>
    </row>
    <row r="70" ht="16.5" customHeight="1">
      <c r="A70" s="27" t="s">
        <v>80</v>
      </c>
      <c r="B70" s="54" t="s">
        <v>651</v>
      </c>
      <c r="C70" s="61" t="str">
        <f t="shared" si="10"/>
        <v>5조 - Layered - Integrability</v>
      </c>
      <c r="D70" s="54" t="s">
        <v>651</v>
      </c>
      <c r="E70" s="61" t="str">
        <f t="shared" si="11"/>
        <v>5조 - Virtual Machine - Integrability</v>
      </c>
      <c r="F70" s="54" t="s">
        <v>651</v>
      </c>
      <c r="G70" s="61" t="str">
        <f t="shared" si="12"/>
        <v>5조 - Microkernel - Integrability</v>
      </c>
      <c r="H70" s="34"/>
    </row>
    <row r="71" ht="16.5" customHeight="1">
      <c r="A71" s="27" t="s">
        <v>113</v>
      </c>
      <c r="B71" s="54" t="s">
        <v>651</v>
      </c>
      <c r="C71" s="61" t="str">
        <f t="shared" si="10"/>
        <v>5조 - Layered - Energy Efficiency</v>
      </c>
      <c r="D71" s="54" t="s">
        <v>651</v>
      </c>
      <c r="E71" s="61" t="str">
        <f t="shared" si="11"/>
        <v>5조 - Virtual Machine - Energy Efficiency</v>
      </c>
      <c r="F71" s="54" t="s">
        <v>651</v>
      </c>
      <c r="G71" s="61" t="str">
        <f t="shared" si="12"/>
        <v>5조 - Microkernel - Energy Efficiency</v>
      </c>
      <c r="H71" s="34"/>
    </row>
    <row r="72" ht="16.5" customHeight="1">
      <c r="A72" s="27" t="s">
        <v>144</v>
      </c>
      <c r="B72" s="54" t="s">
        <v>651</v>
      </c>
      <c r="C72" s="61" t="str">
        <f t="shared" si="10"/>
        <v>5조 - Layered - Modifiability</v>
      </c>
      <c r="D72" s="54" t="s">
        <v>651</v>
      </c>
      <c r="E72" s="61" t="str">
        <f t="shared" si="11"/>
        <v>5조 - Virtual Machine - Modifiability</v>
      </c>
      <c r="F72" s="54" t="s">
        <v>651</v>
      </c>
      <c r="G72" s="61" t="str">
        <f t="shared" si="12"/>
        <v>5조 - Microkernel - Modifiability</v>
      </c>
      <c r="H72" s="34"/>
    </row>
    <row r="73" ht="16.5" customHeight="1">
      <c r="A73" s="27" t="s">
        <v>176</v>
      </c>
      <c r="B73" s="54" t="s">
        <v>651</v>
      </c>
      <c r="C73" s="61" t="str">
        <f t="shared" si="10"/>
        <v>5조 - Layered - Performance</v>
      </c>
      <c r="D73" s="54" t="s">
        <v>651</v>
      </c>
      <c r="E73" s="61" t="str">
        <f t="shared" si="11"/>
        <v>5조 - Virtual Machine - Performance</v>
      </c>
      <c r="F73" s="54" t="s">
        <v>651</v>
      </c>
      <c r="G73" s="61" t="str">
        <f t="shared" si="12"/>
        <v>5조 - Microkernel - Performance</v>
      </c>
      <c r="H73" s="34"/>
    </row>
    <row r="74" ht="16.5" customHeight="1">
      <c r="A74" s="27" t="s">
        <v>208</v>
      </c>
      <c r="B74" s="54" t="s">
        <v>651</v>
      </c>
      <c r="C74" s="61" t="str">
        <f t="shared" si="10"/>
        <v>5조 - Layered - Safety</v>
      </c>
      <c r="D74" s="54" t="s">
        <v>651</v>
      </c>
      <c r="E74" s="61" t="str">
        <f t="shared" si="11"/>
        <v>5조 - Virtual Machine - Safety</v>
      </c>
      <c r="F74" s="54" t="s">
        <v>651</v>
      </c>
      <c r="G74" s="61" t="str">
        <f t="shared" si="12"/>
        <v>5조 - Microkernel - Safety</v>
      </c>
    </row>
    <row r="75" ht="16.5" customHeight="1">
      <c r="A75" s="27" t="s">
        <v>242</v>
      </c>
      <c r="B75" s="54" t="s">
        <v>651</v>
      </c>
      <c r="C75" s="61" t="str">
        <f t="shared" si="10"/>
        <v>5조 - Layered - Security</v>
      </c>
      <c r="D75" s="54" t="s">
        <v>651</v>
      </c>
      <c r="E75" s="61" t="str">
        <f t="shared" si="11"/>
        <v>5조 - Virtual Machine - Security</v>
      </c>
      <c r="F75" s="54" t="s">
        <v>651</v>
      </c>
      <c r="G75" s="61" t="str">
        <f t="shared" si="12"/>
        <v>5조 - Microkernel - Security</v>
      </c>
    </row>
    <row r="76" ht="16.5" customHeight="1">
      <c r="A76" s="27" t="s">
        <v>273</v>
      </c>
      <c r="B76" s="54" t="s">
        <v>651</v>
      </c>
      <c r="C76" s="61" t="str">
        <f t="shared" si="10"/>
        <v>5조 - Layered - Testability</v>
      </c>
      <c r="D76" s="54" t="s">
        <v>651</v>
      </c>
      <c r="E76" s="61" t="str">
        <f t="shared" si="11"/>
        <v>5조 - Virtual Machine - Testability</v>
      </c>
      <c r="F76" s="54" t="s">
        <v>651</v>
      </c>
      <c r="G76" s="61" t="str">
        <f t="shared" si="12"/>
        <v>5조 - Microkernel - Testability</v>
      </c>
    </row>
    <row r="77" ht="16.5" customHeight="1">
      <c r="A77" s="27" t="s">
        <v>305</v>
      </c>
      <c r="B77" s="54" t="s">
        <v>651</v>
      </c>
      <c r="C77" s="61" t="str">
        <f t="shared" si="10"/>
        <v>5조 - Layered - Usability</v>
      </c>
      <c r="D77" s="54" t="s">
        <v>651</v>
      </c>
      <c r="E77" s="61" t="str">
        <f t="shared" si="11"/>
        <v>5조 - Virtual Machine - Usability</v>
      </c>
      <c r="F77" s="54" t="s">
        <v>651</v>
      </c>
      <c r="G77" s="61" t="str">
        <f t="shared" si="12"/>
        <v>5조 - Microkernel - Usability</v>
      </c>
    </row>
    <row r="78" ht="16.5" customHeight="1">
      <c r="A78" s="34"/>
      <c r="B78" s="42" t="s">
        <v>651</v>
      </c>
      <c r="C78" s="42" t="s">
        <v>651</v>
      </c>
      <c r="D78" s="42" t="s">
        <v>651</v>
      </c>
      <c r="E78" s="42" t="s">
        <v>651</v>
      </c>
      <c r="F78" s="42" t="s">
        <v>651</v>
      </c>
      <c r="G78" s="42" t="s">
        <v>651</v>
      </c>
    </row>
    <row r="79" ht="16.5" customHeight="1">
      <c r="A79" s="24" t="s">
        <v>386</v>
      </c>
      <c r="B79" s="73" t="s">
        <v>627</v>
      </c>
      <c r="C79" s="19"/>
      <c r="D79" s="73" t="s">
        <v>392</v>
      </c>
      <c r="E79" s="19"/>
    </row>
    <row r="80" ht="16.5" customHeight="1">
      <c r="A80" s="20"/>
      <c r="B80" s="26" t="s">
        <v>12</v>
      </c>
      <c r="C80" s="26" t="s">
        <v>13</v>
      </c>
      <c r="D80" s="26" t="s">
        <v>12</v>
      </c>
      <c r="E80" s="26" t="s">
        <v>13</v>
      </c>
    </row>
    <row r="81" ht="16.5" customHeight="1">
      <c r="A81" s="27" t="s">
        <v>14</v>
      </c>
      <c r="B81" s="54" t="s">
        <v>651</v>
      </c>
      <c r="C81" s="61" t="str">
        <f t="shared" ref="C81:C90" si="13">"5조" &amp; " - " &amp; B$79 &amp; " - " &amp; $A81</f>
        <v>5조 - Multi-tier - Availability</v>
      </c>
      <c r="D81" s="54" t="s">
        <v>651</v>
      </c>
      <c r="E81" s="61" t="str">
        <f t="shared" ref="E81:E90" si="14">"5조" &amp; " - " &amp; D$79 &amp; " - " &amp; $A81</f>
        <v>5조 - Client-Server - Availability</v>
      </c>
    </row>
    <row r="82" ht="16.5" customHeight="1">
      <c r="A82" s="27" t="s">
        <v>44</v>
      </c>
      <c r="B82" s="54" t="s">
        <v>651</v>
      </c>
      <c r="C82" s="61" t="str">
        <f t="shared" si="13"/>
        <v>5조 - Multi-tier - Deployability</v>
      </c>
      <c r="D82" s="54" t="s">
        <v>651</v>
      </c>
      <c r="E82" s="61" t="str">
        <f t="shared" si="14"/>
        <v>5조 - Client-Server - Deployability</v>
      </c>
    </row>
    <row r="83" ht="16.5" customHeight="1">
      <c r="A83" s="27" t="s">
        <v>80</v>
      </c>
      <c r="B83" s="54" t="s">
        <v>651</v>
      </c>
      <c r="C83" s="61" t="str">
        <f t="shared" si="13"/>
        <v>5조 - Multi-tier - Integrability</v>
      </c>
      <c r="D83" s="54" t="s">
        <v>651</v>
      </c>
      <c r="E83" s="61" t="str">
        <f t="shared" si="14"/>
        <v>5조 - Client-Server - Integrability</v>
      </c>
    </row>
    <row r="84" ht="16.5" customHeight="1">
      <c r="A84" s="27" t="s">
        <v>113</v>
      </c>
      <c r="B84" s="54" t="s">
        <v>651</v>
      </c>
      <c r="C84" s="61" t="str">
        <f t="shared" si="13"/>
        <v>5조 - Multi-tier - Energy Efficiency</v>
      </c>
      <c r="D84" s="54" t="s">
        <v>651</v>
      </c>
      <c r="E84" s="61" t="str">
        <f t="shared" si="14"/>
        <v>5조 - Client-Server - Energy Efficiency</v>
      </c>
    </row>
    <row r="85" ht="16.5" customHeight="1">
      <c r="A85" s="27" t="s">
        <v>144</v>
      </c>
      <c r="B85" s="54" t="s">
        <v>651</v>
      </c>
      <c r="C85" s="61" t="str">
        <f t="shared" si="13"/>
        <v>5조 - Multi-tier - Modifiability</v>
      </c>
      <c r="D85" s="54" t="s">
        <v>651</v>
      </c>
      <c r="E85" s="61" t="str">
        <f t="shared" si="14"/>
        <v>5조 - Client-Server - Modifiability</v>
      </c>
    </row>
    <row r="86" ht="16.5" customHeight="1">
      <c r="A86" s="27" t="s">
        <v>176</v>
      </c>
      <c r="B86" s="54" t="s">
        <v>651</v>
      </c>
      <c r="C86" s="61" t="str">
        <f t="shared" si="13"/>
        <v>5조 - Multi-tier - Performance</v>
      </c>
      <c r="D86" s="54" t="s">
        <v>651</v>
      </c>
      <c r="E86" s="61" t="str">
        <f t="shared" si="14"/>
        <v>5조 - Client-Server - Performance</v>
      </c>
    </row>
    <row r="87" ht="16.5" customHeight="1">
      <c r="A87" s="27" t="s">
        <v>208</v>
      </c>
      <c r="B87" s="54" t="s">
        <v>651</v>
      </c>
      <c r="C87" s="61" t="str">
        <f t="shared" si="13"/>
        <v>5조 - Multi-tier - Safety</v>
      </c>
      <c r="D87" s="54" t="s">
        <v>651</v>
      </c>
      <c r="E87" s="61" t="str">
        <f t="shared" si="14"/>
        <v>5조 - Client-Server - Safety</v>
      </c>
    </row>
    <row r="88" ht="16.5" customHeight="1">
      <c r="A88" s="27" t="s">
        <v>242</v>
      </c>
      <c r="B88" s="54" t="s">
        <v>651</v>
      </c>
      <c r="C88" s="61" t="str">
        <f t="shared" si="13"/>
        <v>5조 - Multi-tier - Security</v>
      </c>
      <c r="D88" s="54" t="s">
        <v>651</v>
      </c>
      <c r="E88" s="61" t="str">
        <f t="shared" si="14"/>
        <v>5조 - Client-Server - Security</v>
      </c>
    </row>
    <row r="89" ht="16.5" customHeight="1">
      <c r="A89" s="27" t="s">
        <v>273</v>
      </c>
      <c r="B89" s="54" t="s">
        <v>651</v>
      </c>
      <c r="C89" s="61" t="str">
        <f t="shared" si="13"/>
        <v>5조 - Multi-tier - Testability</v>
      </c>
      <c r="D89" s="54" t="s">
        <v>651</v>
      </c>
      <c r="E89" s="61" t="str">
        <f t="shared" si="14"/>
        <v>5조 - Client-Server - Testability</v>
      </c>
    </row>
    <row r="90" ht="16.5" customHeight="1">
      <c r="A90" s="27" t="s">
        <v>305</v>
      </c>
      <c r="B90" s="54" t="s">
        <v>651</v>
      </c>
      <c r="C90" s="61" t="str">
        <f t="shared" si="13"/>
        <v>5조 - Multi-tier - Usability</v>
      </c>
      <c r="D90" s="54" t="s">
        <v>651</v>
      </c>
      <c r="E90" s="61" t="str">
        <f t="shared" si="14"/>
        <v>5조 - Client-Server - Usability</v>
      </c>
    </row>
    <row r="91" ht="16.5" customHeight="1">
      <c r="A91" s="34"/>
      <c r="B91" s="42" t="s">
        <v>651</v>
      </c>
      <c r="C91" s="34"/>
      <c r="D91" s="42" t="s">
        <v>651</v>
      </c>
      <c r="E91" s="34"/>
      <c r="F91" s="42" t="s">
        <v>651</v>
      </c>
      <c r="G91" s="34"/>
    </row>
    <row r="92" ht="16.5" customHeight="1">
      <c r="A92" s="24" t="s">
        <v>386</v>
      </c>
      <c r="B92" s="73" t="s">
        <v>499</v>
      </c>
      <c r="C92" s="19"/>
      <c r="D92" s="46" t="s">
        <v>502</v>
      </c>
      <c r="E92" s="19"/>
    </row>
    <row r="93" ht="16.5" customHeight="1">
      <c r="A93" s="20"/>
      <c r="B93" s="26" t="s">
        <v>12</v>
      </c>
      <c r="C93" s="26" t="s">
        <v>13</v>
      </c>
      <c r="D93" s="26" t="s">
        <v>12</v>
      </c>
      <c r="E93" s="26" t="s">
        <v>13</v>
      </c>
    </row>
    <row r="94" ht="16.5" customHeight="1">
      <c r="A94" s="27" t="s">
        <v>14</v>
      </c>
      <c r="B94" s="54" t="s">
        <v>651</v>
      </c>
      <c r="C94" s="61" t="str">
        <f t="shared" ref="C94:C103" si="15">"5조" &amp; " - " &amp; B$92 &amp; " - " &amp; $A94</f>
        <v>5조 - Broker - Availability</v>
      </c>
      <c r="D94" s="54" t="s">
        <v>651</v>
      </c>
      <c r="E94" s="61" t="str">
        <f t="shared" ref="E94:E103" si="16">"5조" &amp; " - " &amp; D$92 &amp; " - " &amp; $A94</f>
        <v>5조 - Dispatcher - Availability</v>
      </c>
    </row>
    <row r="95" ht="16.5" customHeight="1">
      <c r="A95" s="27" t="s">
        <v>44</v>
      </c>
      <c r="B95" s="54" t="s">
        <v>651</v>
      </c>
      <c r="C95" s="61" t="str">
        <f t="shared" si="15"/>
        <v>5조 - Broker - Deployability</v>
      </c>
      <c r="D95" s="54" t="s">
        <v>651</v>
      </c>
      <c r="E95" s="61" t="str">
        <f t="shared" si="16"/>
        <v>5조 - Dispatcher - Deployability</v>
      </c>
    </row>
    <row r="96" ht="16.5" customHeight="1">
      <c r="A96" s="27" t="s">
        <v>80</v>
      </c>
      <c r="B96" s="54" t="s">
        <v>651</v>
      </c>
      <c r="C96" s="61" t="str">
        <f t="shared" si="15"/>
        <v>5조 - Broker - Integrability</v>
      </c>
      <c r="D96" s="54" t="s">
        <v>651</v>
      </c>
      <c r="E96" s="61" t="str">
        <f t="shared" si="16"/>
        <v>5조 - Dispatcher - Integrability</v>
      </c>
    </row>
    <row r="97" ht="16.5" customHeight="1">
      <c r="A97" s="27" t="s">
        <v>113</v>
      </c>
      <c r="B97" s="54" t="s">
        <v>651</v>
      </c>
      <c r="C97" s="61" t="str">
        <f t="shared" si="15"/>
        <v>5조 - Broker - Energy Efficiency</v>
      </c>
      <c r="D97" s="54" t="s">
        <v>651</v>
      </c>
      <c r="E97" s="61" t="str">
        <f t="shared" si="16"/>
        <v>5조 - Dispatcher - Energy Efficiency</v>
      </c>
    </row>
    <row r="98" ht="16.5" customHeight="1">
      <c r="A98" s="27" t="s">
        <v>144</v>
      </c>
      <c r="B98" s="54" t="s">
        <v>651</v>
      </c>
      <c r="C98" s="61" t="str">
        <f t="shared" si="15"/>
        <v>5조 - Broker - Modifiability</v>
      </c>
      <c r="D98" s="54" t="s">
        <v>651</v>
      </c>
      <c r="E98" s="61" t="str">
        <f t="shared" si="16"/>
        <v>5조 - Dispatcher - Modifiability</v>
      </c>
    </row>
    <row r="99" ht="16.5" customHeight="1">
      <c r="A99" s="27" t="s">
        <v>176</v>
      </c>
      <c r="B99" s="54" t="s">
        <v>651</v>
      </c>
      <c r="C99" s="61" t="str">
        <f t="shared" si="15"/>
        <v>5조 - Broker - Performance</v>
      </c>
      <c r="D99" s="54" t="s">
        <v>651</v>
      </c>
      <c r="E99" s="61" t="str">
        <f t="shared" si="16"/>
        <v>5조 - Dispatcher - Performance</v>
      </c>
    </row>
    <row r="100" ht="16.5" customHeight="1">
      <c r="A100" s="27" t="s">
        <v>208</v>
      </c>
      <c r="B100" s="54" t="s">
        <v>651</v>
      </c>
      <c r="C100" s="61" t="str">
        <f t="shared" si="15"/>
        <v>5조 - Broker - Safety</v>
      </c>
      <c r="D100" s="54" t="s">
        <v>651</v>
      </c>
      <c r="E100" s="61" t="str">
        <f t="shared" si="16"/>
        <v>5조 - Dispatcher - Safety</v>
      </c>
    </row>
    <row r="101" ht="16.5" customHeight="1">
      <c r="A101" s="27" t="s">
        <v>242</v>
      </c>
      <c r="B101" s="54" t="s">
        <v>651</v>
      </c>
      <c r="C101" s="61" t="str">
        <f t="shared" si="15"/>
        <v>5조 - Broker - Security</v>
      </c>
      <c r="D101" s="54" t="s">
        <v>651</v>
      </c>
      <c r="E101" s="61" t="str">
        <f t="shared" si="16"/>
        <v>5조 - Dispatcher - Security</v>
      </c>
    </row>
    <row r="102" ht="16.5" customHeight="1">
      <c r="A102" s="27" t="s">
        <v>273</v>
      </c>
      <c r="B102" s="54" t="s">
        <v>651</v>
      </c>
      <c r="C102" s="61" t="str">
        <f t="shared" si="15"/>
        <v>5조 - Broker - Testability</v>
      </c>
      <c r="D102" s="54" t="s">
        <v>651</v>
      </c>
      <c r="E102" s="61" t="str">
        <f t="shared" si="16"/>
        <v>5조 - Dispatcher - Testability</v>
      </c>
    </row>
    <row r="103" ht="16.5" customHeight="1">
      <c r="A103" s="27" t="s">
        <v>305</v>
      </c>
      <c r="B103" s="54" t="s">
        <v>651</v>
      </c>
      <c r="C103" s="61" t="str">
        <f t="shared" si="15"/>
        <v>5조 - Broker - Usability</v>
      </c>
      <c r="D103" s="54" t="s">
        <v>651</v>
      </c>
      <c r="E103" s="61" t="str">
        <f t="shared" si="16"/>
        <v>5조 - Dispatcher - Usability</v>
      </c>
    </row>
    <row r="104" ht="16.5" customHeight="1">
      <c r="A104" s="34"/>
      <c r="B104" s="42" t="s">
        <v>651</v>
      </c>
      <c r="C104" s="34"/>
      <c r="D104" s="42" t="s">
        <v>651</v>
      </c>
      <c r="E104" s="34"/>
      <c r="F104" s="34"/>
      <c r="G104" s="34"/>
    </row>
    <row r="105" ht="16.5" customHeight="1">
      <c r="A105" s="24" t="s">
        <v>386</v>
      </c>
      <c r="B105" s="73" t="s">
        <v>568</v>
      </c>
      <c r="C105" s="19"/>
      <c r="D105" s="46" t="s">
        <v>739</v>
      </c>
      <c r="E105" s="19"/>
    </row>
    <row r="106" ht="16.5" customHeight="1">
      <c r="A106" s="20"/>
      <c r="B106" s="26" t="s">
        <v>12</v>
      </c>
      <c r="C106" s="26" t="s">
        <v>13</v>
      </c>
      <c r="D106" s="26" t="s">
        <v>12</v>
      </c>
      <c r="E106" s="26" t="s">
        <v>13</v>
      </c>
    </row>
    <row r="107" ht="16.5" customHeight="1">
      <c r="A107" s="27" t="s">
        <v>14</v>
      </c>
      <c r="B107" s="47" t="s">
        <v>653</v>
      </c>
      <c r="C107" s="52" t="s">
        <v>851</v>
      </c>
      <c r="D107" s="54" t="s">
        <v>651</v>
      </c>
      <c r="E107" s="61" t="str">
        <f t="shared" ref="E107:E116" si="17">"5조" &amp; " - " &amp; D$105 &amp; " - " &amp; $A107</f>
        <v>5조 - Mico-Service - Availability</v>
      </c>
    </row>
    <row r="108" ht="16.5" customHeight="1">
      <c r="A108" s="27" t="s">
        <v>44</v>
      </c>
      <c r="B108" s="47" t="s">
        <v>653</v>
      </c>
      <c r="C108" s="52" t="s">
        <v>854</v>
      </c>
      <c r="D108" s="54" t="s">
        <v>651</v>
      </c>
      <c r="E108" s="61" t="str">
        <f t="shared" si="17"/>
        <v>5조 - Mico-Service - Deployability</v>
      </c>
    </row>
    <row r="109" ht="16.5" customHeight="1">
      <c r="A109" s="27" t="s">
        <v>80</v>
      </c>
      <c r="B109" s="47" t="s">
        <v>648</v>
      </c>
      <c r="C109" s="52" t="s">
        <v>855</v>
      </c>
      <c r="D109" s="54" t="s">
        <v>651</v>
      </c>
      <c r="E109" s="61" t="str">
        <f t="shared" si="17"/>
        <v>5조 - Mico-Service - Integrability</v>
      </c>
    </row>
    <row r="110" ht="16.5" customHeight="1">
      <c r="A110" s="27" t="s">
        <v>113</v>
      </c>
      <c r="B110" s="47" t="s">
        <v>657</v>
      </c>
      <c r="C110" s="52" t="s">
        <v>857</v>
      </c>
      <c r="D110" s="54" t="s">
        <v>651</v>
      </c>
      <c r="E110" s="61" t="str">
        <f t="shared" si="17"/>
        <v>5조 - Mico-Service - Energy Efficiency</v>
      </c>
    </row>
    <row r="111" ht="16.5" customHeight="1">
      <c r="A111" s="27" t="s">
        <v>144</v>
      </c>
      <c r="B111" s="47" t="s">
        <v>648</v>
      </c>
      <c r="C111" s="52" t="s">
        <v>859</v>
      </c>
      <c r="D111" s="54" t="s">
        <v>651</v>
      </c>
      <c r="E111" s="61" t="str">
        <f t="shared" si="17"/>
        <v>5조 - Mico-Service - Modifiability</v>
      </c>
    </row>
    <row r="112" ht="16.5" customHeight="1">
      <c r="A112" s="27" t="s">
        <v>176</v>
      </c>
      <c r="B112" s="47" t="s">
        <v>646</v>
      </c>
      <c r="C112" s="52" t="s">
        <v>861</v>
      </c>
      <c r="D112" s="54" t="s">
        <v>651</v>
      </c>
      <c r="E112" s="61" t="str">
        <f t="shared" si="17"/>
        <v>5조 - Mico-Service - Performance</v>
      </c>
    </row>
    <row r="113" ht="16.5" customHeight="1">
      <c r="A113" s="27" t="s">
        <v>208</v>
      </c>
      <c r="B113" s="47" t="s">
        <v>646</v>
      </c>
      <c r="C113" s="52" t="s">
        <v>862</v>
      </c>
      <c r="D113" s="54" t="s">
        <v>651</v>
      </c>
      <c r="E113" s="61" t="str">
        <f t="shared" si="17"/>
        <v>5조 - Mico-Service - Safety</v>
      </c>
    </row>
    <row r="114" ht="16.5" customHeight="1">
      <c r="A114" s="27" t="s">
        <v>242</v>
      </c>
      <c r="B114" s="47" t="s">
        <v>646</v>
      </c>
      <c r="C114" s="52" t="s">
        <v>863</v>
      </c>
      <c r="D114" s="54" t="s">
        <v>651</v>
      </c>
      <c r="E114" s="61" t="str">
        <f t="shared" si="17"/>
        <v>5조 - Mico-Service - Security</v>
      </c>
    </row>
    <row r="115" ht="16.5" customHeight="1">
      <c r="A115" s="27" t="s">
        <v>273</v>
      </c>
      <c r="B115" s="47" t="s">
        <v>648</v>
      </c>
      <c r="C115" s="52" t="s">
        <v>864</v>
      </c>
      <c r="D115" s="54" t="s">
        <v>651</v>
      </c>
      <c r="E115" s="61" t="str">
        <f t="shared" si="17"/>
        <v>5조 - Mico-Service - Testability</v>
      </c>
    </row>
    <row r="116" ht="16.5" customHeight="1">
      <c r="A116" s="27" t="s">
        <v>305</v>
      </c>
      <c r="B116" s="47" t="s">
        <v>646</v>
      </c>
      <c r="C116" s="52" t="s">
        <v>865</v>
      </c>
      <c r="D116" s="54" t="s">
        <v>651</v>
      </c>
      <c r="E116" s="61" t="str">
        <f t="shared" si="17"/>
        <v>5조 - Mico-Service - Usability</v>
      </c>
    </row>
    <row r="117" ht="16.5" customHeight="1">
      <c r="A117" s="34"/>
      <c r="B117" s="42" t="s">
        <v>651</v>
      </c>
      <c r="C117" s="34"/>
      <c r="D117" s="42" t="s">
        <v>651</v>
      </c>
      <c r="E117" s="34"/>
      <c r="F117" s="34"/>
      <c r="G117" s="34"/>
    </row>
    <row r="118" ht="16.5" customHeight="1">
      <c r="A118" s="24" t="s">
        <v>599</v>
      </c>
      <c r="B118" s="46" t="s">
        <v>600</v>
      </c>
      <c r="C118" s="19"/>
      <c r="D118" s="46" t="s">
        <v>601</v>
      </c>
      <c r="E118" s="19"/>
      <c r="F118" s="46" t="s">
        <v>603</v>
      </c>
      <c r="G118" s="19"/>
    </row>
    <row r="119" ht="16.5" customHeight="1">
      <c r="A119" s="20"/>
      <c r="B119" s="26" t="s">
        <v>12</v>
      </c>
      <c r="C119" s="26" t="s">
        <v>13</v>
      </c>
      <c r="D119" s="26" t="s">
        <v>12</v>
      </c>
      <c r="E119" s="26" t="s">
        <v>13</v>
      </c>
      <c r="F119" s="26" t="s">
        <v>12</v>
      </c>
      <c r="G119" s="26" t="s">
        <v>13</v>
      </c>
    </row>
    <row r="120" ht="16.5" customHeight="1">
      <c r="A120" s="27" t="s">
        <v>14</v>
      </c>
      <c r="B120" s="54" t="s">
        <v>651</v>
      </c>
      <c r="C120" s="61" t="str">
        <f t="shared" ref="C120:C129" si="18">"5조" &amp; " - " &amp; B$118 &amp; " - " &amp; $A120</f>
        <v>5조 - Container-based - Availability</v>
      </c>
      <c r="D120" s="54" t="s">
        <v>651</v>
      </c>
      <c r="E120" s="61" t="str">
        <f t="shared" ref="E120:E129" si="19">"5조" &amp; " - " &amp; D$118 &amp; " - " &amp; $A120</f>
        <v>5조 - Cloud-based - Availability</v>
      </c>
      <c r="F120" s="54" t="s">
        <v>651</v>
      </c>
      <c r="G120" s="61" t="str">
        <f t="shared" ref="G120:G129" si="20">"5조" &amp; " - " &amp; F$118 &amp; " - " &amp; $A120</f>
        <v>5조 - Edge-based - Availability</v>
      </c>
    </row>
    <row r="121" ht="16.5" customHeight="1">
      <c r="A121" s="27" t="s">
        <v>44</v>
      </c>
      <c r="B121" s="54" t="s">
        <v>651</v>
      </c>
      <c r="C121" s="61" t="str">
        <f t="shared" si="18"/>
        <v>5조 - Container-based - Deployability</v>
      </c>
      <c r="D121" s="54" t="s">
        <v>651</v>
      </c>
      <c r="E121" s="61" t="str">
        <f t="shared" si="19"/>
        <v>5조 - Cloud-based - Deployability</v>
      </c>
      <c r="F121" s="54" t="s">
        <v>651</v>
      </c>
      <c r="G121" s="61" t="str">
        <f t="shared" si="20"/>
        <v>5조 - Edge-based - Deployability</v>
      </c>
    </row>
    <row r="122" ht="16.5" customHeight="1">
      <c r="A122" s="27" t="s">
        <v>80</v>
      </c>
      <c r="B122" s="54" t="s">
        <v>651</v>
      </c>
      <c r="C122" s="61" t="str">
        <f t="shared" si="18"/>
        <v>5조 - Container-based - Integrability</v>
      </c>
      <c r="D122" s="54" t="s">
        <v>651</v>
      </c>
      <c r="E122" s="61" t="str">
        <f t="shared" si="19"/>
        <v>5조 - Cloud-based - Integrability</v>
      </c>
      <c r="F122" s="54" t="s">
        <v>651</v>
      </c>
      <c r="G122" s="61" t="str">
        <f t="shared" si="20"/>
        <v>5조 - Edge-based - Integrability</v>
      </c>
    </row>
    <row r="123" ht="16.5" customHeight="1">
      <c r="A123" s="27" t="s">
        <v>113</v>
      </c>
      <c r="B123" s="54" t="s">
        <v>651</v>
      </c>
      <c r="C123" s="61" t="str">
        <f t="shared" si="18"/>
        <v>5조 - Container-based - Energy Efficiency</v>
      </c>
      <c r="D123" s="54" t="s">
        <v>651</v>
      </c>
      <c r="E123" s="61" t="str">
        <f t="shared" si="19"/>
        <v>5조 - Cloud-based - Energy Efficiency</v>
      </c>
      <c r="F123" s="54" t="s">
        <v>651</v>
      </c>
      <c r="G123" s="61" t="str">
        <f t="shared" si="20"/>
        <v>5조 - Edge-based - Energy Efficiency</v>
      </c>
    </row>
    <row r="124" ht="16.5" customHeight="1">
      <c r="A124" s="27" t="s">
        <v>144</v>
      </c>
      <c r="B124" s="54" t="s">
        <v>651</v>
      </c>
      <c r="C124" s="61" t="str">
        <f t="shared" si="18"/>
        <v>5조 - Container-based - Modifiability</v>
      </c>
      <c r="D124" s="54" t="s">
        <v>651</v>
      </c>
      <c r="E124" s="61" t="str">
        <f t="shared" si="19"/>
        <v>5조 - Cloud-based - Modifiability</v>
      </c>
      <c r="F124" s="54" t="s">
        <v>651</v>
      </c>
      <c r="G124" s="61" t="str">
        <f t="shared" si="20"/>
        <v>5조 - Edge-based - Modifiability</v>
      </c>
    </row>
    <row r="125" ht="16.5" customHeight="1">
      <c r="A125" s="27" t="s">
        <v>176</v>
      </c>
      <c r="B125" s="54" t="s">
        <v>651</v>
      </c>
      <c r="C125" s="61" t="str">
        <f t="shared" si="18"/>
        <v>5조 - Container-based - Performance</v>
      </c>
      <c r="D125" s="54" t="s">
        <v>651</v>
      </c>
      <c r="E125" s="61" t="str">
        <f t="shared" si="19"/>
        <v>5조 - Cloud-based - Performance</v>
      </c>
      <c r="F125" s="54" t="s">
        <v>651</v>
      </c>
      <c r="G125" s="61" t="str">
        <f t="shared" si="20"/>
        <v>5조 - Edge-based - Performance</v>
      </c>
    </row>
    <row r="126" ht="16.5" customHeight="1">
      <c r="A126" s="27" t="s">
        <v>208</v>
      </c>
      <c r="B126" s="54" t="s">
        <v>651</v>
      </c>
      <c r="C126" s="61" t="str">
        <f t="shared" si="18"/>
        <v>5조 - Container-based - Safety</v>
      </c>
      <c r="D126" s="54" t="s">
        <v>651</v>
      </c>
      <c r="E126" s="61" t="str">
        <f t="shared" si="19"/>
        <v>5조 - Cloud-based - Safety</v>
      </c>
      <c r="F126" s="54" t="s">
        <v>651</v>
      </c>
      <c r="G126" s="61" t="str">
        <f t="shared" si="20"/>
        <v>5조 - Edge-based - Safety</v>
      </c>
    </row>
    <row r="127" ht="16.5" customHeight="1">
      <c r="A127" s="27" t="s">
        <v>242</v>
      </c>
      <c r="B127" s="54" t="s">
        <v>651</v>
      </c>
      <c r="C127" s="61" t="str">
        <f t="shared" si="18"/>
        <v>5조 - Container-based - Security</v>
      </c>
      <c r="D127" s="54" t="s">
        <v>651</v>
      </c>
      <c r="E127" s="61" t="str">
        <f t="shared" si="19"/>
        <v>5조 - Cloud-based - Security</v>
      </c>
      <c r="F127" s="54" t="s">
        <v>651</v>
      </c>
      <c r="G127" s="61" t="str">
        <f t="shared" si="20"/>
        <v>5조 - Edge-based - Security</v>
      </c>
    </row>
    <row r="128" ht="16.5" customHeight="1">
      <c r="A128" s="27" t="s">
        <v>273</v>
      </c>
      <c r="B128" s="54" t="s">
        <v>651</v>
      </c>
      <c r="C128" s="61" t="str">
        <f t="shared" si="18"/>
        <v>5조 - Container-based - Testability</v>
      </c>
      <c r="D128" s="54" t="s">
        <v>651</v>
      </c>
      <c r="E128" s="61" t="str">
        <f t="shared" si="19"/>
        <v>5조 - Cloud-based - Testability</v>
      </c>
      <c r="F128" s="54" t="s">
        <v>651</v>
      </c>
      <c r="G128" s="61" t="str">
        <f t="shared" si="20"/>
        <v>5조 - Edge-based - Testability</v>
      </c>
    </row>
    <row r="129" ht="16.5" customHeight="1">
      <c r="A129" s="27" t="s">
        <v>305</v>
      </c>
      <c r="B129" s="54" t="s">
        <v>651</v>
      </c>
      <c r="C129" s="61" t="str">
        <f t="shared" si="18"/>
        <v>5조 - Container-based - Usability</v>
      </c>
      <c r="D129" s="54" t="s">
        <v>651</v>
      </c>
      <c r="E129" s="61" t="str">
        <f t="shared" si="19"/>
        <v>5조 - Cloud-based - Usability</v>
      </c>
      <c r="F129" s="54" t="s">
        <v>651</v>
      </c>
      <c r="G129" s="61" t="str">
        <f t="shared" si="20"/>
        <v>5조 - Edge-based - Usability</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0.57"/>
    <col customWidth="1" min="4" max="4" width="9.86"/>
    <col customWidth="1" min="5" max="5" width="64.43"/>
    <col customWidth="1" min="6" max="6" width="11.43"/>
    <col customWidth="1" min="7" max="7" width="61.57"/>
    <col customWidth="1" min="8" max="8" width="8.86"/>
    <col customWidth="1" min="9" max="9" width="64.14"/>
  </cols>
  <sheetData>
    <row r="1" ht="16.5" customHeight="1">
      <c r="A1" s="24" t="s">
        <v>610</v>
      </c>
      <c r="B1" s="46" t="s">
        <v>2</v>
      </c>
      <c r="C1" s="19"/>
      <c r="D1" s="46" t="s">
        <v>6</v>
      </c>
      <c r="E1" s="19"/>
      <c r="F1" s="46" t="s">
        <v>10</v>
      </c>
      <c r="G1" s="19"/>
    </row>
    <row r="2" ht="16.5" customHeight="1">
      <c r="A2" s="20"/>
      <c r="B2" s="26" t="s">
        <v>12</v>
      </c>
      <c r="C2" s="26" t="s">
        <v>13</v>
      </c>
      <c r="D2" s="26" t="s">
        <v>12</v>
      </c>
      <c r="E2" s="26" t="s">
        <v>13</v>
      </c>
      <c r="F2" s="26" t="s">
        <v>12</v>
      </c>
      <c r="G2" s="26" t="s">
        <v>13</v>
      </c>
    </row>
    <row r="3" ht="16.5" customHeight="1">
      <c r="A3" s="27" t="s">
        <v>14</v>
      </c>
      <c r="B3" s="87" t="s">
        <v>644</v>
      </c>
      <c r="C3" s="88" t="s">
        <v>796</v>
      </c>
      <c r="D3" s="89" t="s">
        <v>646</v>
      </c>
      <c r="E3" s="90" t="s">
        <v>647</v>
      </c>
      <c r="F3" s="87" t="s">
        <v>653</v>
      </c>
      <c r="G3" s="88" t="s">
        <v>654</v>
      </c>
    </row>
    <row r="4" ht="16.5" customHeight="1">
      <c r="A4" s="27" t="s">
        <v>44</v>
      </c>
      <c r="B4" s="87" t="s">
        <v>646</v>
      </c>
      <c r="C4" s="88" t="s">
        <v>800</v>
      </c>
      <c r="D4" s="91" t="s">
        <v>648</v>
      </c>
      <c r="E4" s="92" t="s">
        <v>656</v>
      </c>
      <c r="F4" s="87" t="s">
        <v>657</v>
      </c>
      <c r="G4" s="88" t="s">
        <v>663</v>
      </c>
    </row>
    <row r="5" ht="16.5" customHeight="1">
      <c r="A5" s="27" t="s">
        <v>80</v>
      </c>
      <c r="B5" s="87" t="s">
        <v>646</v>
      </c>
      <c r="C5" s="88" t="s">
        <v>803</v>
      </c>
      <c r="D5" s="91" t="s">
        <v>648</v>
      </c>
      <c r="E5" s="92" t="s">
        <v>660</v>
      </c>
      <c r="F5" s="87" t="s">
        <v>653</v>
      </c>
      <c r="G5" s="88" t="s">
        <v>667</v>
      </c>
    </row>
    <row r="6" ht="16.5" customHeight="1">
      <c r="A6" s="27" t="s">
        <v>113</v>
      </c>
      <c r="B6" s="87" t="s">
        <v>653</v>
      </c>
      <c r="C6" s="88" t="s">
        <v>805</v>
      </c>
      <c r="D6" s="93" t="s">
        <v>653</v>
      </c>
      <c r="E6" s="94" t="s">
        <v>664</v>
      </c>
      <c r="F6" s="87" t="s">
        <v>644</v>
      </c>
      <c r="G6" s="88" t="s">
        <v>671</v>
      </c>
    </row>
    <row r="7" ht="16.5" customHeight="1">
      <c r="A7" s="27" t="s">
        <v>144</v>
      </c>
      <c r="B7" s="87" t="s">
        <v>646</v>
      </c>
      <c r="C7" s="88" t="s">
        <v>807</v>
      </c>
      <c r="D7" s="91" t="s">
        <v>646</v>
      </c>
      <c r="E7" s="92" t="s">
        <v>670</v>
      </c>
      <c r="F7" s="87" t="s">
        <v>657</v>
      </c>
      <c r="G7" s="88" t="s">
        <v>675</v>
      </c>
    </row>
    <row r="8" ht="16.5" customHeight="1">
      <c r="A8" s="27" t="s">
        <v>176</v>
      </c>
      <c r="B8" s="87" t="s">
        <v>657</v>
      </c>
      <c r="C8" s="88" t="s">
        <v>808</v>
      </c>
      <c r="D8" s="91" t="s">
        <v>646</v>
      </c>
      <c r="E8" s="94" t="s">
        <v>676</v>
      </c>
      <c r="F8" s="87" t="s">
        <v>648</v>
      </c>
      <c r="G8" s="88" t="s">
        <v>679</v>
      </c>
    </row>
    <row r="9" ht="16.5" customHeight="1">
      <c r="A9" s="27" t="s">
        <v>208</v>
      </c>
      <c r="B9" s="87" t="s">
        <v>648</v>
      </c>
      <c r="C9" s="88" t="s">
        <v>809</v>
      </c>
      <c r="D9" s="93" t="s">
        <v>653</v>
      </c>
      <c r="E9" s="94" t="s">
        <v>682</v>
      </c>
      <c r="F9" s="87" t="s">
        <v>648</v>
      </c>
      <c r="G9" s="88" t="s">
        <v>684</v>
      </c>
    </row>
    <row r="10" ht="16.5" customHeight="1">
      <c r="A10" s="27" t="s">
        <v>242</v>
      </c>
      <c r="B10" s="87" t="s">
        <v>657</v>
      </c>
      <c r="C10" s="88" t="s">
        <v>810</v>
      </c>
      <c r="D10" s="93" t="s">
        <v>653</v>
      </c>
      <c r="E10" s="95" t="s">
        <v>688</v>
      </c>
      <c r="F10" s="87" t="s">
        <v>657</v>
      </c>
      <c r="G10" s="88" t="s">
        <v>687</v>
      </c>
    </row>
    <row r="11" ht="16.5" customHeight="1">
      <c r="A11" s="27" t="s">
        <v>273</v>
      </c>
      <c r="B11" s="87" t="s">
        <v>648</v>
      </c>
      <c r="C11" s="88" t="s">
        <v>811</v>
      </c>
      <c r="D11" s="91" t="s">
        <v>646</v>
      </c>
      <c r="E11" s="92" t="s">
        <v>693</v>
      </c>
      <c r="F11" s="87" t="s">
        <v>653</v>
      </c>
      <c r="G11" s="88" t="s">
        <v>692</v>
      </c>
    </row>
    <row r="12" ht="16.5" customHeight="1">
      <c r="A12" s="27" t="s">
        <v>305</v>
      </c>
      <c r="B12" s="87" t="s">
        <v>653</v>
      </c>
      <c r="C12" s="88" t="s">
        <v>812</v>
      </c>
      <c r="D12" s="91" t="s">
        <v>648</v>
      </c>
      <c r="E12" s="96" t="s">
        <v>698</v>
      </c>
      <c r="F12" s="87" t="s">
        <v>644</v>
      </c>
      <c r="G12" s="88" t="s">
        <v>696</v>
      </c>
    </row>
    <row r="13" ht="16.5" customHeight="1">
      <c r="A13" s="34"/>
      <c r="B13" s="42" t="s">
        <v>651</v>
      </c>
      <c r="C13" s="42" t="s">
        <v>651</v>
      </c>
      <c r="D13" s="42" t="s">
        <v>651</v>
      </c>
      <c r="E13" s="42" t="s">
        <v>651</v>
      </c>
      <c r="F13" s="42" t="s">
        <v>651</v>
      </c>
      <c r="G13" s="34"/>
    </row>
    <row r="14" ht="16.5" customHeight="1">
      <c r="A14" s="35" t="s">
        <v>0</v>
      </c>
      <c r="B14" s="73" t="s">
        <v>615</v>
      </c>
      <c r="C14" s="19"/>
      <c r="D14" s="73" t="s">
        <v>8</v>
      </c>
      <c r="E14" s="19"/>
      <c r="F14" s="34"/>
      <c r="G14" s="34"/>
    </row>
    <row r="15" ht="16.5" customHeight="1">
      <c r="A15" s="36"/>
      <c r="B15" s="37" t="s">
        <v>12</v>
      </c>
      <c r="C15" s="74" t="s">
        <v>13</v>
      </c>
      <c r="D15" s="37" t="s">
        <v>12</v>
      </c>
      <c r="E15" s="74" t="s">
        <v>13</v>
      </c>
      <c r="F15" s="34"/>
      <c r="G15" s="34"/>
    </row>
    <row r="16" ht="16.5" customHeight="1">
      <c r="A16" s="27" t="s">
        <v>14</v>
      </c>
      <c r="B16" s="47" t="s">
        <v>657</v>
      </c>
      <c r="C16" s="52" t="s">
        <v>710</v>
      </c>
      <c r="D16" s="47" t="s">
        <v>644</v>
      </c>
      <c r="E16" s="52" t="s">
        <v>761</v>
      </c>
      <c r="F16" s="34"/>
      <c r="G16" s="34"/>
    </row>
    <row r="17" ht="16.5" customHeight="1">
      <c r="A17" s="27" t="s">
        <v>44</v>
      </c>
      <c r="B17" s="47" t="s">
        <v>657</v>
      </c>
      <c r="C17" s="52" t="s">
        <v>711</v>
      </c>
      <c r="D17" s="47" t="s">
        <v>657</v>
      </c>
      <c r="E17" s="81" t="s">
        <v>763</v>
      </c>
      <c r="F17" s="34"/>
      <c r="G17" s="34"/>
    </row>
    <row r="18" ht="16.5" customHeight="1">
      <c r="A18" s="27" t="s">
        <v>80</v>
      </c>
      <c r="B18" s="47" t="s">
        <v>657</v>
      </c>
      <c r="C18" s="52" t="s">
        <v>712</v>
      </c>
      <c r="D18" s="47" t="s">
        <v>646</v>
      </c>
      <c r="E18" s="52" t="s">
        <v>764</v>
      </c>
      <c r="F18" s="34"/>
      <c r="G18" s="34"/>
    </row>
    <row r="19" ht="16.5" customHeight="1">
      <c r="A19" s="27" t="s">
        <v>113</v>
      </c>
      <c r="B19" s="47" t="s">
        <v>646</v>
      </c>
      <c r="C19" s="52" t="s">
        <v>713</v>
      </c>
      <c r="D19" s="47" t="s">
        <v>657</v>
      </c>
      <c r="E19" s="81" t="s">
        <v>766</v>
      </c>
      <c r="F19" s="34"/>
      <c r="G19" s="34"/>
    </row>
    <row r="20" ht="16.5" customHeight="1">
      <c r="A20" s="27" t="s">
        <v>144</v>
      </c>
      <c r="B20" s="47" t="s">
        <v>657</v>
      </c>
      <c r="C20" s="52" t="s">
        <v>714</v>
      </c>
      <c r="D20" s="47" t="s">
        <v>646</v>
      </c>
      <c r="E20" s="52" t="s">
        <v>768</v>
      </c>
      <c r="F20" s="34"/>
      <c r="G20" s="34"/>
    </row>
    <row r="21" ht="16.5" customHeight="1">
      <c r="A21" s="27" t="s">
        <v>176</v>
      </c>
      <c r="B21" s="47" t="s">
        <v>646</v>
      </c>
      <c r="C21" s="52" t="s">
        <v>715</v>
      </c>
      <c r="D21" s="47" t="s">
        <v>644</v>
      </c>
      <c r="E21" s="52" t="s">
        <v>769</v>
      </c>
      <c r="F21" s="34"/>
      <c r="G21" s="34"/>
    </row>
    <row r="22" ht="16.5" customHeight="1">
      <c r="A22" s="27" t="s">
        <v>208</v>
      </c>
      <c r="B22" s="47" t="s">
        <v>644</v>
      </c>
      <c r="C22" s="52" t="s">
        <v>716</v>
      </c>
      <c r="D22" s="47" t="s">
        <v>657</v>
      </c>
      <c r="E22" s="52" t="s">
        <v>770</v>
      </c>
      <c r="F22" s="34"/>
      <c r="G22" s="34"/>
    </row>
    <row r="23" ht="16.5" customHeight="1">
      <c r="A23" s="27" t="s">
        <v>242</v>
      </c>
      <c r="B23" s="47" t="s">
        <v>657</v>
      </c>
      <c r="C23" s="52" t="s">
        <v>717</v>
      </c>
      <c r="D23" s="47" t="s">
        <v>644</v>
      </c>
      <c r="E23" s="52" t="s">
        <v>771</v>
      </c>
      <c r="F23" s="34"/>
      <c r="G23" s="34"/>
    </row>
    <row r="24" ht="16.5" customHeight="1">
      <c r="A24" s="27" t="s">
        <v>273</v>
      </c>
      <c r="B24" s="47" t="s">
        <v>657</v>
      </c>
      <c r="C24" s="52" t="s">
        <v>718</v>
      </c>
      <c r="D24" s="47" t="s">
        <v>646</v>
      </c>
      <c r="E24" s="52" t="s">
        <v>772</v>
      </c>
      <c r="F24" s="34"/>
      <c r="G24" s="34"/>
    </row>
    <row r="25" ht="16.5" customHeight="1">
      <c r="A25" s="27" t="s">
        <v>305</v>
      </c>
      <c r="B25" s="47" t="s">
        <v>646</v>
      </c>
      <c r="C25" s="52" t="s">
        <v>719</v>
      </c>
      <c r="D25" s="47" t="s">
        <v>653</v>
      </c>
      <c r="E25" s="52" t="s">
        <v>773</v>
      </c>
      <c r="F25" s="34"/>
      <c r="G25" s="34"/>
    </row>
    <row r="26" ht="16.5" customHeight="1">
      <c r="A26" s="34"/>
      <c r="B26" s="42" t="s">
        <v>651</v>
      </c>
      <c r="C26" s="42" t="s">
        <v>651</v>
      </c>
      <c r="D26" s="42" t="s">
        <v>651</v>
      </c>
      <c r="E26" s="42" t="s">
        <v>651</v>
      </c>
      <c r="F26" s="34"/>
      <c r="G26" s="34"/>
    </row>
    <row r="27" ht="16.5" customHeight="1">
      <c r="A27" s="35" t="s">
        <v>3</v>
      </c>
      <c r="B27" s="73" t="s">
        <v>7</v>
      </c>
      <c r="C27" s="19"/>
      <c r="D27" s="73" t="s">
        <v>11</v>
      </c>
      <c r="E27" s="19"/>
      <c r="F27" s="34"/>
      <c r="G27" s="34"/>
    </row>
    <row r="28" ht="16.5" customHeight="1">
      <c r="A28" s="39"/>
      <c r="B28" s="26" t="s">
        <v>12</v>
      </c>
      <c r="C28" s="44" t="s">
        <v>13</v>
      </c>
      <c r="D28" s="26" t="s">
        <v>12</v>
      </c>
      <c r="E28" s="44" t="s">
        <v>13</v>
      </c>
      <c r="F28" s="34"/>
      <c r="G28" s="34"/>
    </row>
    <row r="29" ht="16.5" customHeight="1">
      <c r="A29" s="27" t="s">
        <v>14</v>
      </c>
      <c r="B29" s="47" t="s">
        <v>644</v>
      </c>
      <c r="C29" s="52" t="s">
        <v>794</v>
      </c>
      <c r="D29" s="47" t="s">
        <v>646</v>
      </c>
      <c r="E29" s="52" t="s">
        <v>813</v>
      </c>
      <c r="F29" s="34"/>
      <c r="G29" s="34"/>
    </row>
    <row r="30" ht="16.5" customHeight="1">
      <c r="A30" s="27" t="s">
        <v>44</v>
      </c>
      <c r="B30" s="47" t="s">
        <v>646</v>
      </c>
      <c r="C30" s="52" t="s">
        <v>795</v>
      </c>
      <c r="D30" s="47" t="s">
        <v>648</v>
      </c>
      <c r="E30" s="52" t="s">
        <v>814</v>
      </c>
      <c r="F30" s="34"/>
      <c r="G30" s="34"/>
    </row>
    <row r="31" ht="16.5" customHeight="1">
      <c r="A31" s="27" t="s">
        <v>80</v>
      </c>
      <c r="B31" s="47" t="s">
        <v>646</v>
      </c>
      <c r="C31" s="52" t="s">
        <v>795</v>
      </c>
      <c r="D31" s="47" t="s">
        <v>646</v>
      </c>
      <c r="E31" s="52" t="s">
        <v>815</v>
      </c>
      <c r="F31" s="34"/>
      <c r="G31" s="34"/>
    </row>
    <row r="32" ht="16.5" customHeight="1">
      <c r="A32" s="27" t="s">
        <v>113</v>
      </c>
      <c r="B32" s="47" t="s">
        <v>644</v>
      </c>
      <c r="C32" s="52" t="s">
        <v>797</v>
      </c>
      <c r="D32" s="47" t="s">
        <v>657</v>
      </c>
      <c r="E32" s="52" t="s">
        <v>816</v>
      </c>
      <c r="F32" s="34"/>
      <c r="G32" s="34"/>
    </row>
    <row r="33" ht="16.5" customHeight="1">
      <c r="A33" s="27" t="s">
        <v>144</v>
      </c>
      <c r="B33" s="47" t="s">
        <v>646</v>
      </c>
      <c r="C33" s="52" t="s">
        <v>798</v>
      </c>
      <c r="D33" s="47" t="s">
        <v>646</v>
      </c>
      <c r="E33" s="52" t="s">
        <v>817</v>
      </c>
      <c r="F33" s="34"/>
      <c r="G33" s="34"/>
    </row>
    <row r="34" ht="16.5" customHeight="1">
      <c r="A34" s="27" t="s">
        <v>176</v>
      </c>
      <c r="B34" s="47" t="s">
        <v>657</v>
      </c>
      <c r="C34" s="81" t="s">
        <v>799</v>
      </c>
      <c r="D34" s="47" t="s">
        <v>653</v>
      </c>
      <c r="E34" s="52" t="s">
        <v>818</v>
      </c>
      <c r="F34" s="34"/>
      <c r="G34" s="34"/>
    </row>
    <row r="35" ht="16.5" customHeight="1">
      <c r="A35" s="27" t="s">
        <v>208</v>
      </c>
      <c r="B35" s="47" t="s">
        <v>657</v>
      </c>
      <c r="C35" s="52" t="s">
        <v>801</v>
      </c>
      <c r="D35" s="47" t="s">
        <v>653</v>
      </c>
      <c r="E35" s="52" t="s">
        <v>819</v>
      </c>
      <c r="F35" s="34"/>
      <c r="G35" s="34"/>
    </row>
    <row r="36" ht="16.5" customHeight="1">
      <c r="A36" s="27" t="s">
        <v>242</v>
      </c>
      <c r="B36" s="47" t="s">
        <v>657</v>
      </c>
      <c r="C36" s="81" t="s">
        <v>802</v>
      </c>
      <c r="D36" s="47" t="s">
        <v>653</v>
      </c>
      <c r="E36" s="52" t="s">
        <v>820</v>
      </c>
      <c r="F36" s="34"/>
      <c r="G36" s="34"/>
    </row>
    <row r="37" ht="16.5" customHeight="1">
      <c r="A37" s="27" t="s">
        <v>273</v>
      </c>
      <c r="B37" s="47" t="s">
        <v>657</v>
      </c>
      <c r="C37" s="52" t="s">
        <v>804</v>
      </c>
      <c r="D37" s="47" t="s">
        <v>657</v>
      </c>
      <c r="E37" s="52" t="s">
        <v>821</v>
      </c>
      <c r="F37" s="34"/>
      <c r="G37" s="34"/>
    </row>
    <row r="38" ht="16.5" customHeight="1">
      <c r="A38" s="27" t="s">
        <v>305</v>
      </c>
      <c r="B38" s="47" t="s">
        <v>657</v>
      </c>
      <c r="C38" s="52" t="s">
        <v>806</v>
      </c>
      <c r="D38" s="47" t="s">
        <v>646</v>
      </c>
      <c r="E38" s="52" t="s">
        <v>822</v>
      </c>
      <c r="F38" s="34"/>
      <c r="G38" s="34"/>
    </row>
    <row r="39" ht="16.5" customHeight="1">
      <c r="A39" s="34"/>
      <c r="B39" s="42" t="s">
        <v>651</v>
      </c>
      <c r="C39" s="42" t="s">
        <v>651</v>
      </c>
      <c r="D39" s="42" t="s">
        <v>651</v>
      </c>
      <c r="E39" s="42" t="s">
        <v>651</v>
      </c>
      <c r="F39" s="34"/>
      <c r="G39" s="34"/>
    </row>
    <row r="40" ht="16.5" customHeight="1">
      <c r="A40" s="35" t="s">
        <v>1</v>
      </c>
      <c r="B40" s="46" t="s">
        <v>4</v>
      </c>
      <c r="C40" s="19"/>
      <c r="D40" s="46" t="s">
        <v>9</v>
      </c>
      <c r="E40" s="19"/>
      <c r="F40" s="34"/>
      <c r="G40" s="34"/>
      <c r="H40" s="34"/>
    </row>
    <row r="41" ht="16.5" customHeight="1">
      <c r="A41" s="39"/>
      <c r="B41" s="26" t="s">
        <v>12</v>
      </c>
      <c r="C41" s="26" t="s">
        <v>13</v>
      </c>
      <c r="D41" s="26" t="s">
        <v>12</v>
      </c>
      <c r="E41" s="26" t="s">
        <v>13</v>
      </c>
      <c r="F41" s="34"/>
      <c r="G41" s="34"/>
      <c r="H41" s="34"/>
      <c r="I41" s="40"/>
    </row>
    <row r="42" ht="16.5" customHeight="1">
      <c r="A42" s="27" t="s">
        <v>14</v>
      </c>
      <c r="B42" s="54" t="s">
        <v>651</v>
      </c>
      <c r="C42" s="61" t="str">
        <f>"6조" &amp; " - " &amp; B$40 &amp; " - " &amp; $A42</f>
        <v>6조 - MVC - Availability</v>
      </c>
      <c r="D42" s="54" t="s">
        <v>651</v>
      </c>
      <c r="E42" s="61" t="str">
        <f t="shared" ref="E42:E49" si="1">"6조" &amp; " - " &amp; D$40 &amp; " - " &amp; $A42</f>
        <v>6조 - PAC - Availability</v>
      </c>
      <c r="F42" s="34"/>
      <c r="G42" s="34"/>
      <c r="H42" s="34"/>
    </row>
    <row r="43" ht="16.5" customHeight="1">
      <c r="A43" s="27" t="s">
        <v>44</v>
      </c>
      <c r="B43" s="47" t="s">
        <v>646</v>
      </c>
      <c r="C43" s="52" t="s">
        <v>823</v>
      </c>
      <c r="D43" s="54" t="s">
        <v>651</v>
      </c>
      <c r="E43" s="61" t="str">
        <f t="shared" si="1"/>
        <v>6조 - PAC - Deployability</v>
      </c>
      <c r="F43" s="34"/>
      <c r="G43" s="34"/>
      <c r="H43" s="34"/>
    </row>
    <row r="44" ht="16.5" customHeight="1">
      <c r="A44" s="27" t="s">
        <v>80</v>
      </c>
      <c r="B44" s="54" t="s">
        <v>651</v>
      </c>
      <c r="C44" s="61" t="str">
        <f t="shared" ref="C44:C45" si="2">"6조" &amp; " - " &amp; B$40 &amp; " - " &amp; $A44</f>
        <v>6조 - MVC - Integrability</v>
      </c>
      <c r="D44" s="54" t="s">
        <v>651</v>
      </c>
      <c r="E44" s="61" t="str">
        <f t="shared" si="1"/>
        <v>6조 - PAC - Integrability</v>
      </c>
      <c r="F44" s="34"/>
      <c r="G44" s="34"/>
      <c r="H44" s="34"/>
    </row>
    <row r="45" ht="16.5" customHeight="1">
      <c r="A45" s="27" t="s">
        <v>113</v>
      </c>
      <c r="B45" s="54" t="s">
        <v>651</v>
      </c>
      <c r="C45" s="61" t="str">
        <f t="shared" si="2"/>
        <v>6조 - MVC - Energy Efficiency</v>
      </c>
      <c r="D45" s="54" t="s">
        <v>651</v>
      </c>
      <c r="E45" s="61" t="str">
        <f t="shared" si="1"/>
        <v>6조 - PAC - Energy Efficiency</v>
      </c>
      <c r="F45" s="34"/>
      <c r="G45" s="34"/>
      <c r="H45" s="34"/>
    </row>
    <row r="46" ht="16.5" customHeight="1">
      <c r="A46" s="27" t="s">
        <v>144</v>
      </c>
      <c r="B46" s="47" t="s">
        <v>648</v>
      </c>
      <c r="C46" s="52" t="s">
        <v>824</v>
      </c>
      <c r="D46" s="54" t="s">
        <v>651</v>
      </c>
      <c r="E46" s="61" t="str">
        <f t="shared" si="1"/>
        <v>6조 - PAC - Modifiability</v>
      </c>
      <c r="F46" s="34"/>
      <c r="G46" s="34"/>
      <c r="H46" s="34"/>
    </row>
    <row r="47" ht="16.5" customHeight="1">
      <c r="A47" s="27" t="s">
        <v>176</v>
      </c>
      <c r="B47" s="54" t="s">
        <v>651</v>
      </c>
      <c r="C47" s="61" t="str">
        <f t="shared" ref="C47:C51" si="3">"6조" &amp; " - " &amp; B$40 &amp; " - " &amp; $A47</f>
        <v>6조 - MVC - Performance</v>
      </c>
      <c r="D47" s="54" t="s">
        <v>651</v>
      </c>
      <c r="E47" s="61" t="str">
        <f t="shared" si="1"/>
        <v>6조 - PAC - Performance</v>
      </c>
      <c r="F47" s="34"/>
      <c r="G47" s="34"/>
      <c r="H47" s="34"/>
    </row>
    <row r="48" ht="16.5" customHeight="1">
      <c r="A48" s="27" t="s">
        <v>208</v>
      </c>
      <c r="B48" s="54" t="s">
        <v>651</v>
      </c>
      <c r="C48" s="61" t="str">
        <f t="shared" si="3"/>
        <v>6조 - MVC - Safety</v>
      </c>
      <c r="D48" s="54" t="s">
        <v>651</v>
      </c>
      <c r="E48" s="61" t="str">
        <f t="shared" si="1"/>
        <v>6조 - PAC - Safety</v>
      </c>
      <c r="F48" s="34"/>
      <c r="G48" s="34"/>
      <c r="H48" s="34"/>
    </row>
    <row r="49" ht="16.5" customHeight="1">
      <c r="A49" s="27" t="s">
        <v>242</v>
      </c>
      <c r="B49" s="54" t="s">
        <v>651</v>
      </c>
      <c r="C49" s="61" t="str">
        <f t="shared" si="3"/>
        <v>6조 - MVC - Security</v>
      </c>
      <c r="D49" s="54" t="s">
        <v>651</v>
      </c>
      <c r="E49" s="61" t="str">
        <f t="shared" si="1"/>
        <v>6조 - PAC - Security</v>
      </c>
      <c r="F49" s="34"/>
      <c r="G49" s="34"/>
      <c r="H49" s="34"/>
    </row>
    <row r="50" ht="16.5" customHeight="1">
      <c r="A50" s="27" t="s">
        <v>273</v>
      </c>
      <c r="B50" s="54" t="s">
        <v>651</v>
      </c>
      <c r="C50" s="61" t="str">
        <f t="shared" si="3"/>
        <v>6조 - MVC - Testability</v>
      </c>
      <c r="D50" s="47" t="s">
        <v>644</v>
      </c>
      <c r="E50" s="52" t="s">
        <v>825</v>
      </c>
      <c r="F50" s="34"/>
      <c r="G50" s="42" t="s">
        <v>651</v>
      </c>
      <c r="H50" s="34"/>
      <c r="I50" s="41"/>
    </row>
    <row r="51" ht="16.5" customHeight="1">
      <c r="A51" s="27" t="s">
        <v>305</v>
      </c>
      <c r="B51" s="54" t="s">
        <v>651</v>
      </c>
      <c r="C51" s="61" t="str">
        <f t="shared" si="3"/>
        <v>6조 - MVC - Usability</v>
      </c>
      <c r="D51" s="54" t="s">
        <v>651</v>
      </c>
      <c r="E51" s="61" t="str">
        <f>"6조" &amp; " - " &amp; D$40 &amp; " - " &amp; $A51</f>
        <v>6조 - PAC - Usability</v>
      </c>
      <c r="F51" s="34"/>
      <c r="G51" s="42" t="s">
        <v>651</v>
      </c>
      <c r="H51" s="34"/>
      <c r="I51" s="40"/>
    </row>
    <row r="52" ht="16.5" customHeight="1">
      <c r="A52" s="34"/>
      <c r="B52" s="42" t="s">
        <v>651</v>
      </c>
      <c r="C52" s="34"/>
      <c r="D52" s="42" t="s">
        <v>651</v>
      </c>
      <c r="E52" s="34"/>
      <c r="F52" s="34"/>
      <c r="G52" s="34"/>
    </row>
    <row r="53" ht="16.5" customHeight="1">
      <c r="A53" s="35" t="s">
        <v>361</v>
      </c>
      <c r="B53" s="73" t="s">
        <v>362</v>
      </c>
      <c r="C53" s="19"/>
      <c r="D53" s="73" t="s">
        <v>363</v>
      </c>
      <c r="E53" s="19"/>
      <c r="F53" s="34"/>
      <c r="G53" s="42" t="s">
        <v>651</v>
      </c>
      <c r="H53" s="34"/>
    </row>
    <row r="54" ht="16.5" customHeight="1">
      <c r="A54" s="39"/>
      <c r="B54" s="26" t="s">
        <v>12</v>
      </c>
      <c r="C54" s="44" t="s">
        <v>13</v>
      </c>
      <c r="D54" s="26" t="s">
        <v>12</v>
      </c>
      <c r="E54" s="44" t="s">
        <v>13</v>
      </c>
      <c r="F54" s="34"/>
      <c r="G54" s="42" t="s">
        <v>651</v>
      </c>
      <c r="H54" s="34"/>
    </row>
    <row r="55" ht="16.5" customHeight="1">
      <c r="A55" s="27" t="s">
        <v>14</v>
      </c>
      <c r="B55" s="47" t="s">
        <v>657</v>
      </c>
      <c r="C55" s="97" t="s">
        <v>826</v>
      </c>
      <c r="D55" s="47" t="s">
        <v>653</v>
      </c>
      <c r="E55" s="52" t="s">
        <v>827</v>
      </c>
      <c r="F55" s="34"/>
      <c r="G55" s="42" t="s">
        <v>651</v>
      </c>
      <c r="H55" s="34"/>
    </row>
    <row r="56" ht="16.5" customHeight="1">
      <c r="A56" s="27" t="s">
        <v>44</v>
      </c>
      <c r="B56" s="47" t="s">
        <v>657</v>
      </c>
      <c r="C56" s="81" t="s">
        <v>828</v>
      </c>
      <c r="D56" s="47" t="s">
        <v>653</v>
      </c>
      <c r="E56" s="52" t="s">
        <v>829</v>
      </c>
      <c r="F56" s="34"/>
      <c r="G56" s="42" t="s">
        <v>651</v>
      </c>
      <c r="H56" s="34"/>
    </row>
    <row r="57" ht="16.5" customHeight="1">
      <c r="A57" s="27" t="s">
        <v>80</v>
      </c>
      <c r="B57" s="47" t="s">
        <v>657</v>
      </c>
      <c r="C57" s="98" t="s">
        <v>830</v>
      </c>
      <c r="D57" s="47" t="s">
        <v>653</v>
      </c>
      <c r="E57" s="52" t="s">
        <v>831</v>
      </c>
      <c r="F57" s="34"/>
      <c r="G57" s="42" t="s">
        <v>651</v>
      </c>
      <c r="H57" s="34"/>
    </row>
    <row r="58" ht="16.5" customHeight="1">
      <c r="A58" s="27" t="s">
        <v>113</v>
      </c>
      <c r="B58" s="47" t="s">
        <v>648</v>
      </c>
      <c r="C58" s="98" t="s">
        <v>832</v>
      </c>
      <c r="D58" s="47" t="s">
        <v>657</v>
      </c>
      <c r="E58" s="52" t="s">
        <v>833</v>
      </c>
      <c r="F58" s="34"/>
      <c r="G58" s="42" t="s">
        <v>651</v>
      </c>
      <c r="H58" s="34"/>
    </row>
    <row r="59" ht="16.5" customHeight="1">
      <c r="A59" s="27" t="s">
        <v>144</v>
      </c>
      <c r="B59" s="47" t="s">
        <v>644</v>
      </c>
      <c r="C59" s="97" t="s">
        <v>834</v>
      </c>
      <c r="D59" s="47" t="s">
        <v>646</v>
      </c>
      <c r="E59" s="52" t="s">
        <v>835</v>
      </c>
      <c r="F59" s="34"/>
      <c r="G59" s="42" t="s">
        <v>651</v>
      </c>
      <c r="H59" s="34"/>
    </row>
    <row r="60" ht="16.5" customHeight="1">
      <c r="A60" s="27" t="s">
        <v>176</v>
      </c>
      <c r="B60" s="47" t="s">
        <v>648</v>
      </c>
      <c r="C60" s="52" t="s">
        <v>836</v>
      </c>
      <c r="D60" s="47" t="s">
        <v>646</v>
      </c>
      <c r="E60" s="52" t="s">
        <v>837</v>
      </c>
      <c r="F60" s="34"/>
      <c r="G60" s="42" t="s">
        <v>651</v>
      </c>
      <c r="H60" s="34"/>
      <c r="I60" s="41"/>
    </row>
    <row r="61" ht="16.5" customHeight="1">
      <c r="A61" s="27" t="s">
        <v>208</v>
      </c>
      <c r="B61" s="47" t="s">
        <v>657</v>
      </c>
      <c r="C61" s="52" t="s">
        <v>838</v>
      </c>
      <c r="D61" s="47" t="s">
        <v>648</v>
      </c>
      <c r="E61" s="52" t="s">
        <v>839</v>
      </c>
      <c r="F61" s="34"/>
      <c r="G61" s="42" t="s">
        <v>651</v>
      </c>
      <c r="H61" s="34"/>
      <c r="I61" s="40"/>
    </row>
    <row r="62" ht="16.5" customHeight="1">
      <c r="A62" s="27" t="s">
        <v>242</v>
      </c>
      <c r="B62" s="47" t="s">
        <v>657</v>
      </c>
      <c r="C62" s="52" t="s">
        <v>840</v>
      </c>
      <c r="D62" s="47" t="s">
        <v>657</v>
      </c>
      <c r="E62" s="52" t="s">
        <v>841</v>
      </c>
      <c r="F62" s="34"/>
      <c r="G62" s="42" t="s">
        <v>651</v>
      </c>
      <c r="H62" s="34"/>
    </row>
    <row r="63" ht="16.5" customHeight="1">
      <c r="A63" s="27" t="s">
        <v>273</v>
      </c>
      <c r="B63" s="47" t="s">
        <v>653</v>
      </c>
      <c r="C63" s="52" t="s">
        <v>842</v>
      </c>
      <c r="D63" s="47" t="s">
        <v>657</v>
      </c>
      <c r="E63" s="52" t="s">
        <v>843</v>
      </c>
      <c r="F63" s="34"/>
      <c r="G63" s="42" t="s">
        <v>651</v>
      </c>
      <c r="H63" s="34"/>
    </row>
    <row r="64" ht="16.5" customHeight="1">
      <c r="A64" s="27" t="s">
        <v>305</v>
      </c>
      <c r="B64" s="47" t="s">
        <v>653</v>
      </c>
      <c r="C64" s="52" t="s">
        <v>844</v>
      </c>
      <c r="D64" s="47" t="s">
        <v>646</v>
      </c>
      <c r="E64" s="52" t="s">
        <v>845</v>
      </c>
      <c r="F64" s="34"/>
      <c r="G64" s="42" t="s">
        <v>651</v>
      </c>
      <c r="H64" s="34"/>
    </row>
    <row r="65" ht="16.5" customHeight="1">
      <c r="A65" s="34"/>
      <c r="B65" s="42" t="s">
        <v>651</v>
      </c>
      <c r="C65" s="42" t="s">
        <v>651</v>
      </c>
      <c r="D65" s="42" t="s">
        <v>651</v>
      </c>
      <c r="E65" s="42" t="s">
        <v>651</v>
      </c>
      <c r="F65" s="34"/>
      <c r="G65" s="42" t="s">
        <v>651</v>
      </c>
      <c r="H65" s="34"/>
    </row>
    <row r="66" ht="16.5" customHeight="1">
      <c r="A66" s="35" t="s">
        <v>361</v>
      </c>
      <c r="B66" s="73" t="s">
        <v>377</v>
      </c>
      <c r="C66" s="19"/>
      <c r="D66" s="73" t="s">
        <v>378</v>
      </c>
      <c r="E66" s="19"/>
      <c r="F66" s="73" t="s">
        <v>379</v>
      </c>
      <c r="G66" s="19"/>
      <c r="H66" s="34"/>
    </row>
    <row r="67" ht="16.5" customHeight="1">
      <c r="A67" s="39"/>
      <c r="B67" s="26" t="s">
        <v>12</v>
      </c>
      <c r="C67" s="44" t="s">
        <v>13</v>
      </c>
      <c r="D67" s="26" t="s">
        <v>12</v>
      </c>
      <c r="E67" s="44" t="s">
        <v>13</v>
      </c>
      <c r="F67" s="26" t="s">
        <v>12</v>
      </c>
      <c r="G67" s="44" t="s">
        <v>13</v>
      </c>
      <c r="H67" s="34"/>
    </row>
    <row r="68" ht="16.5" customHeight="1">
      <c r="A68" s="27" t="s">
        <v>14</v>
      </c>
      <c r="B68" s="47" t="s">
        <v>653</v>
      </c>
      <c r="C68" s="52" t="s">
        <v>846</v>
      </c>
      <c r="D68" s="54" t="s">
        <v>651</v>
      </c>
      <c r="E68" s="61" t="str">
        <f t="shared" ref="E68:E77" si="4">"6조" &amp; " - " &amp; D$66 &amp; " - " &amp; $A68</f>
        <v>6조 - Virtual Machine - Availability</v>
      </c>
      <c r="F68" s="54" t="s">
        <v>651</v>
      </c>
      <c r="G68" s="61" t="str">
        <f t="shared" ref="G68:G77" si="5">"6조" &amp; " - " &amp; F$66 &amp; " - " &amp; $A68</f>
        <v>6조 - Microkernel - Availability</v>
      </c>
      <c r="H68" s="34"/>
    </row>
    <row r="69" ht="16.5" customHeight="1">
      <c r="A69" s="27" t="s">
        <v>44</v>
      </c>
      <c r="B69" s="47" t="s">
        <v>646</v>
      </c>
      <c r="C69" s="52" t="s">
        <v>847</v>
      </c>
      <c r="D69" s="54" t="s">
        <v>651</v>
      </c>
      <c r="E69" s="65" t="str">
        <f t="shared" si="4"/>
        <v>6조 - Virtual Machine - Deployability</v>
      </c>
      <c r="F69" s="54" t="s">
        <v>651</v>
      </c>
      <c r="G69" s="61" t="str">
        <f t="shared" si="5"/>
        <v>6조 - Microkernel - Deployability</v>
      </c>
      <c r="H69" s="34"/>
    </row>
    <row r="70" ht="16.5" customHeight="1">
      <c r="A70" s="27" t="s">
        <v>80</v>
      </c>
      <c r="B70" s="47" t="s">
        <v>646</v>
      </c>
      <c r="C70" s="52" t="s">
        <v>848</v>
      </c>
      <c r="D70" s="54" t="s">
        <v>651</v>
      </c>
      <c r="E70" s="61" t="str">
        <f t="shared" si="4"/>
        <v>6조 - Virtual Machine - Integrability</v>
      </c>
      <c r="F70" s="54" t="s">
        <v>651</v>
      </c>
      <c r="G70" s="61" t="str">
        <f t="shared" si="5"/>
        <v>6조 - Microkernel - Integrability</v>
      </c>
      <c r="H70" s="34"/>
    </row>
    <row r="71" ht="16.5" customHeight="1">
      <c r="A71" s="27" t="s">
        <v>113</v>
      </c>
      <c r="B71" s="47" t="s">
        <v>657</v>
      </c>
      <c r="C71" s="52" t="s">
        <v>849</v>
      </c>
      <c r="D71" s="54" t="s">
        <v>651</v>
      </c>
      <c r="E71" s="61" t="str">
        <f t="shared" si="4"/>
        <v>6조 - Virtual Machine - Energy Efficiency</v>
      </c>
      <c r="F71" s="54" t="s">
        <v>651</v>
      </c>
      <c r="G71" s="61" t="str">
        <f t="shared" si="5"/>
        <v>6조 - Microkernel - Energy Efficiency</v>
      </c>
      <c r="H71" s="34"/>
    </row>
    <row r="72" ht="16.5" customHeight="1">
      <c r="A72" s="27" t="s">
        <v>144</v>
      </c>
      <c r="B72" s="47" t="s">
        <v>646</v>
      </c>
      <c r="C72" s="52" t="s">
        <v>850</v>
      </c>
      <c r="D72" s="54" t="s">
        <v>651</v>
      </c>
      <c r="E72" s="61" t="str">
        <f t="shared" si="4"/>
        <v>6조 - Virtual Machine - Modifiability</v>
      </c>
      <c r="F72" s="54" t="s">
        <v>651</v>
      </c>
      <c r="G72" s="61" t="str">
        <f t="shared" si="5"/>
        <v>6조 - Microkernel - Modifiability</v>
      </c>
      <c r="H72" s="34"/>
    </row>
    <row r="73" ht="16.5" customHeight="1">
      <c r="A73" s="27" t="s">
        <v>176</v>
      </c>
      <c r="B73" s="47" t="s">
        <v>644</v>
      </c>
      <c r="C73" s="52" t="s">
        <v>852</v>
      </c>
      <c r="D73" s="54" t="s">
        <v>651</v>
      </c>
      <c r="E73" s="61" t="str">
        <f t="shared" si="4"/>
        <v>6조 - Virtual Machine - Performance</v>
      </c>
      <c r="F73" s="54" t="s">
        <v>651</v>
      </c>
      <c r="G73" s="61" t="str">
        <f t="shared" si="5"/>
        <v>6조 - Microkernel - Performance</v>
      </c>
      <c r="H73" s="34"/>
    </row>
    <row r="74" ht="16.5" customHeight="1">
      <c r="A74" s="27" t="s">
        <v>208</v>
      </c>
      <c r="B74" s="47" t="s">
        <v>646</v>
      </c>
      <c r="C74" s="52" t="s">
        <v>853</v>
      </c>
      <c r="D74" s="54" t="s">
        <v>651</v>
      </c>
      <c r="E74" s="61" t="str">
        <f t="shared" si="4"/>
        <v>6조 - Virtual Machine - Safety</v>
      </c>
      <c r="F74" s="54" t="s">
        <v>651</v>
      </c>
      <c r="G74" s="61" t="str">
        <f t="shared" si="5"/>
        <v>6조 - Microkernel - Safety</v>
      </c>
    </row>
    <row r="75" ht="16.5" customHeight="1">
      <c r="A75" s="27" t="s">
        <v>242</v>
      </c>
      <c r="B75" s="47" t="s">
        <v>646</v>
      </c>
      <c r="C75" s="52" t="s">
        <v>856</v>
      </c>
      <c r="D75" s="54" t="s">
        <v>651</v>
      </c>
      <c r="E75" s="61" t="str">
        <f t="shared" si="4"/>
        <v>6조 - Virtual Machine - Security</v>
      </c>
      <c r="F75" s="54" t="s">
        <v>651</v>
      </c>
      <c r="G75" s="61" t="str">
        <f t="shared" si="5"/>
        <v>6조 - Microkernel - Security</v>
      </c>
    </row>
    <row r="76" ht="16.5" customHeight="1">
      <c r="A76" s="27" t="s">
        <v>273</v>
      </c>
      <c r="B76" s="47" t="s">
        <v>646</v>
      </c>
      <c r="C76" s="52" t="s">
        <v>858</v>
      </c>
      <c r="D76" s="54" t="s">
        <v>651</v>
      </c>
      <c r="E76" s="61" t="str">
        <f t="shared" si="4"/>
        <v>6조 - Virtual Machine - Testability</v>
      </c>
      <c r="F76" s="54" t="s">
        <v>651</v>
      </c>
      <c r="G76" s="61" t="str">
        <f t="shared" si="5"/>
        <v>6조 - Microkernel - Testability</v>
      </c>
    </row>
    <row r="77" ht="16.5" customHeight="1">
      <c r="A77" s="27" t="s">
        <v>305</v>
      </c>
      <c r="B77" s="47" t="s">
        <v>646</v>
      </c>
      <c r="C77" s="52" t="s">
        <v>860</v>
      </c>
      <c r="D77" s="54" t="s">
        <v>651</v>
      </c>
      <c r="E77" s="61" t="str">
        <f t="shared" si="4"/>
        <v>6조 - Virtual Machine - Usability</v>
      </c>
      <c r="F77" s="54" t="s">
        <v>651</v>
      </c>
      <c r="G77" s="61" t="str">
        <f t="shared" si="5"/>
        <v>6조 - Microkernel - Usability</v>
      </c>
    </row>
    <row r="78" ht="16.5" customHeight="1">
      <c r="A78" s="34"/>
      <c r="B78" s="42" t="s">
        <v>651</v>
      </c>
      <c r="C78" s="42" t="s">
        <v>651</v>
      </c>
      <c r="D78" s="42" t="s">
        <v>651</v>
      </c>
      <c r="E78" s="42" t="s">
        <v>651</v>
      </c>
      <c r="F78" s="42" t="s">
        <v>651</v>
      </c>
      <c r="G78" s="42" t="s">
        <v>651</v>
      </c>
    </row>
    <row r="79" ht="16.5" customHeight="1">
      <c r="A79" s="24" t="s">
        <v>386</v>
      </c>
      <c r="B79" s="73" t="s">
        <v>627</v>
      </c>
      <c r="C79" s="19"/>
      <c r="D79" s="73" t="s">
        <v>392</v>
      </c>
      <c r="E79" s="19"/>
    </row>
    <row r="80" ht="16.5" customHeight="1">
      <c r="A80" s="20"/>
      <c r="B80" s="26" t="s">
        <v>12</v>
      </c>
      <c r="C80" s="26" t="s">
        <v>13</v>
      </c>
      <c r="D80" s="26" t="s">
        <v>12</v>
      </c>
      <c r="E80" s="26" t="s">
        <v>13</v>
      </c>
    </row>
    <row r="81" ht="16.5" customHeight="1">
      <c r="A81" s="27" t="s">
        <v>14</v>
      </c>
      <c r="B81" s="47" t="s">
        <v>646</v>
      </c>
      <c r="C81" s="76" t="s">
        <v>730</v>
      </c>
      <c r="D81" s="47" t="s">
        <v>657</v>
      </c>
      <c r="E81" s="52" t="s">
        <v>720</v>
      </c>
    </row>
    <row r="82" ht="16.5" customHeight="1">
      <c r="A82" s="27" t="s">
        <v>44</v>
      </c>
      <c r="B82" s="47" t="s">
        <v>646</v>
      </c>
      <c r="C82" s="77" t="s">
        <v>731</v>
      </c>
      <c r="D82" s="47" t="s">
        <v>648</v>
      </c>
      <c r="E82" s="52" t="s">
        <v>721</v>
      </c>
    </row>
    <row r="83" ht="16.5" customHeight="1">
      <c r="A83" s="27" t="s">
        <v>80</v>
      </c>
      <c r="B83" s="47" t="s">
        <v>648</v>
      </c>
      <c r="C83" s="77" t="s">
        <v>732</v>
      </c>
      <c r="D83" s="47" t="s">
        <v>646</v>
      </c>
      <c r="E83" s="52" t="s">
        <v>722</v>
      </c>
    </row>
    <row r="84" ht="16.5" customHeight="1">
      <c r="A84" s="27" t="s">
        <v>113</v>
      </c>
      <c r="B84" s="47" t="s">
        <v>657</v>
      </c>
      <c r="C84" s="78" t="s">
        <v>733</v>
      </c>
      <c r="D84" s="47" t="s">
        <v>653</v>
      </c>
      <c r="E84" s="52" t="s">
        <v>723</v>
      </c>
    </row>
    <row r="85" ht="16.5" customHeight="1">
      <c r="A85" s="27" t="s">
        <v>144</v>
      </c>
      <c r="B85" s="47" t="s">
        <v>646</v>
      </c>
      <c r="C85" s="79" t="s">
        <v>734</v>
      </c>
      <c r="D85" s="47" t="s">
        <v>646</v>
      </c>
      <c r="E85" s="52" t="s">
        <v>724</v>
      </c>
    </row>
    <row r="86" ht="16.5" customHeight="1">
      <c r="A86" s="27" t="s">
        <v>176</v>
      </c>
      <c r="B86" s="47" t="s">
        <v>657</v>
      </c>
      <c r="C86" s="79" t="s">
        <v>735</v>
      </c>
      <c r="D86" s="47" t="s">
        <v>653</v>
      </c>
      <c r="E86" s="52" t="s">
        <v>725</v>
      </c>
    </row>
    <row r="87" ht="16.5" customHeight="1">
      <c r="A87" s="27" t="s">
        <v>208</v>
      </c>
      <c r="B87" s="47" t="s">
        <v>646</v>
      </c>
      <c r="C87" s="78" t="s">
        <v>736</v>
      </c>
      <c r="D87" s="47" t="s">
        <v>653</v>
      </c>
      <c r="E87" s="52" t="s">
        <v>726</v>
      </c>
    </row>
    <row r="88" ht="16.5" customHeight="1">
      <c r="A88" s="27" t="s">
        <v>242</v>
      </c>
      <c r="B88" s="47" t="s">
        <v>648</v>
      </c>
      <c r="C88" s="78" t="s">
        <v>737</v>
      </c>
      <c r="D88" s="47" t="s">
        <v>646</v>
      </c>
      <c r="E88" s="52" t="s">
        <v>727</v>
      </c>
    </row>
    <row r="89" ht="16.5" customHeight="1">
      <c r="A89" s="27" t="s">
        <v>273</v>
      </c>
      <c r="B89" s="47" t="s">
        <v>646</v>
      </c>
      <c r="C89" s="77" t="s">
        <v>738</v>
      </c>
      <c r="D89" s="47" t="s">
        <v>646</v>
      </c>
      <c r="E89" s="52" t="s">
        <v>728</v>
      </c>
    </row>
    <row r="90" ht="16.5" customHeight="1">
      <c r="A90" s="27" t="s">
        <v>305</v>
      </c>
      <c r="B90" s="47" t="s">
        <v>653</v>
      </c>
      <c r="C90" s="79" t="s">
        <v>740</v>
      </c>
      <c r="D90" s="47" t="s">
        <v>646</v>
      </c>
      <c r="E90" s="52" t="s">
        <v>729</v>
      </c>
    </row>
    <row r="91" ht="16.5" customHeight="1">
      <c r="A91" s="34"/>
      <c r="B91" s="42" t="s">
        <v>651</v>
      </c>
      <c r="C91" s="34"/>
      <c r="D91" s="42" t="s">
        <v>651</v>
      </c>
      <c r="E91" s="34"/>
      <c r="F91" s="42" t="s">
        <v>651</v>
      </c>
      <c r="G91" s="34"/>
    </row>
    <row r="92" ht="16.5" customHeight="1">
      <c r="A92" s="24" t="s">
        <v>386</v>
      </c>
      <c r="B92" s="73" t="s">
        <v>499</v>
      </c>
      <c r="C92" s="19"/>
      <c r="D92" s="46" t="s">
        <v>502</v>
      </c>
      <c r="E92" s="19"/>
    </row>
    <row r="93" ht="16.5" customHeight="1">
      <c r="A93" s="20"/>
      <c r="B93" s="26" t="s">
        <v>12</v>
      </c>
      <c r="C93" s="26" t="s">
        <v>13</v>
      </c>
      <c r="D93" s="26" t="s">
        <v>12</v>
      </c>
      <c r="E93" s="26" t="s">
        <v>13</v>
      </c>
    </row>
    <row r="94" ht="31.5" customHeight="1">
      <c r="A94" s="27" t="s">
        <v>14</v>
      </c>
      <c r="B94" s="47" t="s">
        <v>657</v>
      </c>
      <c r="C94" s="52" t="s">
        <v>866</v>
      </c>
      <c r="D94" s="87" t="s">
        <v>646</v>
      </c>
      <c r="E94" s="88" t="s">
        <v>867</v>
      </c>
    </row>
    <row r="95" ht="16.5" customHeight="1">
      <c r="A95" s="27" t="s">
        <v>44</v>
      </c>
      <c r="B95" s="47" t="s">
        <v>646</v>
      </c>
      <c r="C95" s="52" t="s">
        <v>868</v>
      </c>
      <c r="D95" s="87" t="s">
        <v>646</v>
      </c>
      <c r="E95" s="88" t="s">
        <v>869</v>
      </c>
    </row>
    <row r="96" ht="16.5" customHeight="1">
      <c r="A96" s="27" t="s">
        <v>80</v>
      </c>
      <c r="B96" s="47" t="s">
        <v>648</v>
      </c>
      <c r="C96" s="52" t="s">
        <v>870</v>
      </c>
      <c r="D96" s="87" t="s">
        <v>657</v>
      </c>
      <c r="E96" s="99" t="s">
        <v>871</v>
      </c>
    </row>
    <row r="97" ht="16.5" customHeight="1">
      <c r="A97" s="27" t="s">
        <v>113</v>
      </c>
      <c r="B97" s="47" t="s">
        <v>657</v>
      </c>
      <c r="C97" s="52" t="s">
        <v>872</v>
      </c>
      <c r="D97" s="87" t="s">
        <v>653</v>
      </c>
      <c r="E97" s="88" t="s">
        <v>873</v>
      </c>
    </row>
    <row r="98" ht="34.5" customHeight="1">
      <c r="A98" s="27" t="s">
        <v>144</v>
      </c>
      <c r="B98" s="47" t="s">
        <v>646</v>
      </c>
      <c r="C98" s="52" t="s">
        <v>874</v>
      </c>
      <c r="D98" s="87" t="s">
        <v>646</v>
      </c>
      <c r="E98" s="99" t="s">
        <v>875</v>
      </c>
    </row>
    <row r="99" ht="17.25" customHeight="1">
      <c r="A99" s="27" t="s">
        <v>176</v>
      </c>
      <c r="B99" s="47" t="s">
        <v>657</v>
      </c>
      <c r="C99" s="52" t="s">
        <v>876</v>
      </c>
      <c r="D99" s="87" t="s">
        <v>646</v>
      </c>
      <c r="E99" s="99" t="s">
        <v>877</v>
      </c>
    </row>
    <row r="100" ht="16.5" customHeight="1">
      <c r="A100" s="27" t="s">
        <v>208</v>
      </c>
      <c r="B100" s="47" t="s">
        <v>657</v>
      </c>
      <c r="C100" s="52" t="s">
        <v>878</v>
      </c>
      <c r="D100" s="87" t="s">
        <v>653</v>
      </c>
      <c r="E100" s="88" t="s">
        <v>879</v>
      </c>
    </row>
    <row r="101" ht="16.5" customHeight="1">
      <c r="A101" s="27" t="s">
        <v>242</v>
      </c>
      <c r="B101" s="47" t="s">
        <v>644</v>
      </c>
      <c r="C101" s="52" t="s">
        <v>880</v>
      </c>
      <c r="D101" s="100" t="s">
        <v>657</v>
      </c>
      <c r="E101" s="99" t="s">
        <v>881</v>
      </c>
    </row>
    <row r="102" ht="16.5" customHeight="1">
      <c r="A102" s="27" t="s">
        <v>273</v>
      </c>
      <c r="B102" s="47" t="s">
        <v>657</v>
      </c>
      <c r="C102" s="52" t="s">
        <v>882</v>
      </c>
      <c r="D102" s="87" t="s">
        <v>657</v>
      </c>
      <c r="E102" s="99" t="s">
        <v>883</v>
      </c>
    </row>
    <row r="103" ht="16.5" customHeight="1">
      <c r="A103" s="27" t="s">
        <v>305</v>
      </c>
      <c r="B103" s="47" t="s">
        <v>653</v>
      </c>
      <c r="C103" s="52" t="s">
        <v>884</v>
      </c>
      <c r="D103" s="100" t="s">
        <v>653</v>
      </c>
      <c r="E103" s="99" t="s">
        <v>885</v>
      </c>
    </row>
    <row r="104" ht="16.5" customHeight="1">
      <c r="A104" s="34"/>
      <c r="B104" s="42" t="s">
        <v>651</v>
      </c>
      <c r="C104" s="34"/>
      <c r="D104" s="42" t="s">
        <v>651</v>
      </c>
      <c r="E104" s="34"/>
      <c r="F104" s="34"/>
      <c r="G104" s="34"/>
    </row>
    <row r="105" ht="16.5" customHeight="1">
      <c r="A105" s="24" t="s">
        <v>386</v>
      </c>
      <c r="B105" s="73" t="s">
        <v>568</v>
      </c>
      <c r="C105" s="19"/>
      <c r="D105" s="46" t="s">
        <v>739</v>
      </c>
      <c r="E105" s="19"/>
    </row>
    <row r="106" ht="16.5" customHeight="1">
      <c r="A106" s="20"/>
      <c r="B106" s="26" t="s">
        <v>12</v>
      </c>
      <c r="C106" s="26" t="s">
        <v>13</v>
      </c>
      <c r="D106" s="26" t="s">
        <v>12</v>
      </c>
      <c r="E106" s="26" t="s">
        <v>13</v>
      </c>
    </row>
    <row r="107" ht="16.5" customHeight="1">
      <c r="A107" s="27" t="s">
        <v>14</v>
      </c>
      <c r="B107" s="47" t="s">
        <v>653</v>
      </c>
      <c r="C107" s="52" t="s">
        <v>851</v>
      </c>
      <c r="D107" s="47" t="s">
        <v>648</v>
      </c>
      <c r="E107" s="52" t="s">
        <v>886</v>
      </c>
    </row>
    <row r="108" ht="16.5" customHeight="1">
      <c r="A108" s="27" t="s">
        <v>44</v>
      </c>
      <c r="B108" s="47" t="s">
        <v>653</v>
      </c>
      <c r="C108" s="52" t="s">
        <v>854</v>
      </c>
      <c r="D108" s="47" t="s">
        <v>648</v>
      </c>
      <c r="E108" s="52" t="s">
        <v>887</v>
      </c>
    </row>
    <row r="109" ht="16.5" customHeight="1">
      <c r="A109" s="27" t="s">
        <v>80</v>
      </c>
      <c r="B109" s="47" t="s">
        <v>648</v>
      </c>
      <c r="C109" s="52" t="s">
        <v>855</v>
      </c>
      <c r="D109" s="47" t="s">
        <v>657</v>
      </c>
      <c r="E109" s="52" t="s">
        <v>888</v>
      </c>
    </row>
    <row r="110" ht="16.5" customHeight="1">
      <c r="A110" s="27" t="s">
        <v>113</v>
      </c>
      <c r="B110" s="47" t="s">
        <v>657</v>
      </c>
      <c r="C110" s="52" t="s">
        <v>857</v>
      </c>
      <c r="D110" s="47" t="s">
        <v>644</v>
      </c>
      <c r="E110" s="52" t="s">
        <v>889</v>
      </c>
    </row>
    <row r="111" ht="16.5" customHeight="1">
      <c r="A111" s="27" t="s">
        <v>144</v>
      </c>
      <c r="B111" s="47" t="s">
        <v>648</v>
      </c>
      <c r="C111" s="52" t="s">
        <v>859</v>
      </c>
      <c r="D111" s="47" t="s">
        <v>646</v>
      </c>
      <c r="E111" s="52" t="s">
        <v>890</v>
      </c>
    </row>
    <row r="112" ht="16.5" customHeight="1">
      <c r="A112" s="27" t="s">
        <v>176</v>
      </c>
      <c r="B112" s="47" t="s">
        <v>646</v>
      </c>
      <c r="C112" s="52" t="s">
        <v>861</v>
      </c>
      <c r="D112" s="47" t="s">
        <v>644</v>
      </c>
      <c r="E112" s="52" t="s">
        <v>891</v>
      </c>
    </row>
    <row r="113" ht="16.5" customHeight="1">
      <c r="A113" s="27" t="s">
        <v>208</v>
      </c>
      <c r="B113" s="47" t="s">
        <v>646</v>
      </c>
      <c r="C113" s="52" t="s">
        <v>862</v>
      </c>
      <c r="D113" s="47" t="s">
        <v>653</v>
      </c>
      <c r="E113" s="52" t="s">
        <v>892</v>
      </c>
    </row>
    <row r="114" ht="16.5" customHeight="1">
      <c r="A114" s="27" t="s">
        <v>242</v>
      </c>
      <c r="B114" s="47" t="s">
        <v>646</v>
      </c>
      <c r="C114" s="52" t="s">
        <v>863</v>
      </c>
      <c r="D114" s="47" t="s">
        <v>657</v>
      </c>
      <c r="E114" s="52" t="s">
        <v>893</v>
      </c>
    </row>
    <row r="115" ht="16.5" customHeight="1">
      <c r="A115" s="27" t="s">
        <v>273</v>
      </c>
      <c r="B115" s="47" t="s">
        <v>648</v>
      </c>
      <c r="C115" s="52" t="s">
        <v>864</v>
      </c>
      <c r="D115" s="47" t="s">
        <v>644</v>
      </c>
      <c r="E115" s="52" t="s">
        <v>894</v>
      </c>
    </row>
    <row r="116" ht="16.5" customHeight="1">
      <c r="A116" s="27" t="s">
        <v>305</v>
      </c>
      <c r="B116" s="47" t="s">
        <v>646</v>
      </c>
      <c r="C116" s="52" t="s">
        <v>865</v>
      </c>
      <c r="D116" s="47" t="s">
        <v>653</v>
      </c>
      <c r="E116" s="52" t="s">
        <v>895</v>
      </c>
    </row>
    <row r="117" ht="16.5" customHeight="1">
      <c r="A117" s="34"/>
      <c r="B117" s="42" t="s">
        <v>651</v>
      </c>
      <c r="C117" s="34"/>
      <c r="D117" s="42" t="s">
        <v>651</v>
      </c>
      <c r="E117" s="34"/>
      <c r="F117" s="34"/>
      <c r="G117" s="34"/>
    </row>
    <row r="118" ht="16.5" customHeight="1">
      <c r="A118" s="24" t="s">
        <v>599</v>
      </c>
      <c r="B118" s="101" t="s">
        <v>896</v>
      </c>
      <c r="C118" s="19"/>
      <c r="D118" s="101" t="s">
        <v>897</v>
      </c>
      <c r="E118" s="19"/>
      <c r="F118" s="46" t="s">
        <v>603</v>
      </c>
      <c r="G118" s="19"/>
    </row>
    <row r="119" ht="16.5" customHeight="1">
      <c r="A119" s="20"/>
      <c r="B119" s="26" t="s">
        <v>12</v>
      </c>
      <c r="C119" s="26" t="s">
        <v>13</v>
      </c>
      <c r="D119" s="26" t="s">
        <v>12</v>
      </c>
      <c r="E119" s="26" t="s">
        <v>13</v>
      </c>
      <c r="F119" s="26" t="s">
        <v>12</v>
      </c>
      <c r="G119" s="26" t="s">
        <v>13</v>
      </c>
    </row>
    <row r="120" ht="16.5" customHeight="1">
      <c r="A120" s="27" t="s">
        <v>14</v>
      </c>
      <c r="B120" s="54" t="s">
        <v>651</v>
      </c>
      <c r="C120" s="61" t="str">
        <f t="shared" ref="C120:C129" si="6">"6조" &amp; " - " &amp; B$118 &amp; " - " &amp; $A120</f>
        <v>6조 - Container-based x - Availability</v>
      </c>
      <c r="D120" s="54" t="s">
        <v>651</v>
      </c>
      <c r="E120" s="61" t="str">
        <f t="shared" ref="E120:E129" si="7">"6조" &amp; " - " &amp; D$118 &amp; " - " &amp; $A120</f>
        <v>6조 - Cloud-based x - Availability</v>
      </c>
      <c r="F120" s="47" t="s">
        <v>646</v>
      </c>
      <c r="G120" s="84" t="s">
        <v>898</v>
      </c>
    </row>
    <row r="121" ht="16.5" customHeight="1">
      <c r="A121" s="27" t="s">
        <v>44</v>
      </c>
      <c r="B121" s="54" t="s">
        <v>651</v>
      </c>
      <c r="C121" s="61" t="str">
        <f t="shared" si="6"/>
        <v>6조 - Container-based x - Deployability</v>
      </c>
      <c r="D121" s="54" t="s">
        <v>651</v>
      </c>
      <c r="E121" s="61" t="str">
        <f t="shared" si="7"/>
        <v>6조 - Cloud-based x - Deployability</v>
      </c>
      <c r="F121" s="47" t="s">
        <v>644</v>
      </c>
      <c r="G121" s="52" t="s">
        <v>743</v>
      </c>
    </row>
    <row r="122" ht="16.5" customHeight="1">
      <c r="A122" s="27" t="s">
        <v>80</v>
      </c>
      <c r="B122" s="54" t="s">
        <v>651</v>
      </c>
      <c r="C122" s="61" t="str">
        <f t="shared" si="6"/>
        <v>6조 - Container-based x - Integrability</v>
      </c>
      <c r="D122" s="54" t="s">
        <v>651</v>
      </c>
      <c r="E122" s="61" t="str">
        <f t="shared" si="7"/>
        <v>6조 - Cloud-based x - Integrability</v>
      </c>
      <c r="F122" s="47" t="s">
        <v>646</v>
      </c>
      <c r="G122" s="52" t="s">
        <v>899</v>
      </c>
    </row>
    <row r="123" ht="16.5" customHeight="1">
      <c r="A123" s="27" t="s">
        <v>113</v>
      </c>
      <c r="B123" s="54" t="s">
        <v>651</v>
      </c>
      <c r="C123" s="61" t="str">
        <f t="shared" si="6"/>
        <v>6조 - Container-based x - Energy Efficiency</v>
      </c>
      <c r="D123" s="54" t="s">
        <v>651</v>
      </c>
      <c r="E123" s="61" t="str">
        <f t="shared" si="7"/>
        <v>6조 - Cloud-based x - Energy Efficiency</v>
      </c>
      <c r="F123" s="47" t="s">
        <v>646</v>
      </c>
      <c r="G123" s="52" t="s">
        <v>900</v>
      </c>
    </row>
    <row r="124" ht="16.5" customHeight="1">
      <c r="A124" s="27" t="s">
        <v>144</v>
      </c>
      <c r="B124" s="54" t="s">
        <v>651</v>
      </c>
      <c r="C124" s="61" t="str">
        <f t="shared" si="6"/>
        <v>6조 - Container-based x - Modifiability</v>
      </c>
      <c r="D124" s="54" t="s">
        <v>651</v>
      </c>
      <c r="E124" s="61" t="str">
        <f t="shared" si="7"/>
        <v>6조 - Cloud-based x - Modifiability</v>
      </c>
      <c r="F124" s="47" t="s">
        <v>653</v>
      </c>
      <c r="G124" s="52" t="s">
        <v>901</v>
      </c>
    </row>
    <row r="125" ht="16.5" customHeight="1">
      <c r="A125" s="27" t="s">
        <v>176</v>
      </c>
      <c r="B125" s="54" t="s">
        <v>651</v>
      </c>
      <c r="C125" s="61" t="str">
        <f t="shared" si="6"/>
        <v>6조 - Container-based x - Performance</v>
      </c>
      <c r="D125" s="54" t="s">
        <v>651</v>
      </c>
      <c r="E125" s="61" t="str">
        <f t="shared" si="7"/>
        <v>6조 - Cloud-based x - Performance</v>
      </c>
      <c r="F125" s="47" t="s">
        <v>648</v>
      </c>
      <c r="G125" s="52" t="s">
        <v>902</v>
      </c>
    </row>
    <row r="126" ht="16.5" customHeight="1">
      <c r="A126" s="27" t="s">
        <v>208</v>
      </c>
      <c r="B126" s="54" t="s">
        <v>651</v>
      </c>
      <c r="C126" s="61" t="str">
        <f t="shared" si="6"/>
        <v>6조 - Container-based x - Safety</v>
      </c>
      <c r="D126" s="54" t="s">
        <v>651</v>
      </c>
      <c r="E126" s="61" t="str">
        <f t="shared" si="7"/>
        <v>6조 - Cloud-based x - Safety</v>
      </c>
      <c r="F126" s="47" t="s">
        <v>646</v>
      </c>
      <c r="G126" s="84" t="s">
        <v>903</v>
      </c>
    </row>
    <row r="127" ht="16.5" customHeight="1">
      <c r="A127" s="27" t="s">
        <v>242</v>
      </c>
      <c r="B127" s="54" t="s">
        <v>651</v>
      </c>
      <c r="C127" s="61" t="str">
        <f t="shared" si="6"/>
        <v>6조 - Container-based x - Security</v>
      </c>
      <c r="D127" s="54" t="s">
        <v>651</v>
      </c>
      <c r="E127" s="61" t="str">
        <f t="shared" si="7"/>
        <v>6조 - Cloud-based x - Security</v>
      </c>
      <c r="F127" s="47" t="s">
        <v>657</v>
      </c>
      <c r="G127" s="52" t="s">
        <v>752</v>
      </c>
    </row>
    <row r="128" ht="16.5" customHeight="1">
      <c r="A128" s="27" t="s">
        <v>273</v>
      </c>
      <c r="B128" s="54" t="s">
        <v>651</v>
      </c>
      <c r="C128" s="61" t="str">
        <f t="shared" si="6"/>
        <v>6조 - Container-based x - Testability</v>
      </c>
      <c r="D128" s="54" t="s">
        <v>651</v>
      </c>
      <c r="E128" s="61" t="str">
        <f t="shared" si="7"/>
        <v>6조 - Cloud-based x - Testability</v>
      </c>
      <c r="F128" s="47" t="s">
        <v>657</v>
      </c>
      <c r="G128" s="52" t="s">
        <v>904</v>
      </c>
    </row>
    <row r="129" ht="16.5" customHeight="1">
      <c r="A129" s="27" t="s">
        <v>305</v>
      </c>
      <c r="B129" s="54" t="s">
        <v>651</v>
      </c>
      <c r="C129" s="61" t="str">
        <f t="shared" si="6"/>
        <v>6조 - Container-based x - Usability</v>
      </c>
      <c r="D129" s="54" t="s">
        <v>651</v>
      </c>
      <c r="E129" s="61" t="str">
        <f t="shared" si="7"/>
        <v>6조 - Cloud-based x - Usability</v>
      </c>
      <c r="F129" s="47" t="s">
        <v>646</v>
      </c>
      <c r="G129" s="52" t="s">
        <v>905</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0.57"/>
    <col customWidth="1" min="4" max="4" width="9.86"/>
    <col customWidth="1" min="5" max="5" width="64.43"/>
    <col customWidth="1" min="6" max="6" width="11.43"/>
    <col customWidth="1" min="7" max="7" width="61.57"/>
    <col customWidth="1" min="8" max="8" width="8.86"/>
    <col customWidth="1" min="9" max="9" width="64.14"/>
  </cols>
  <sheetData>
    <row r="1" ht="16.5" customHeight="1">
      <c r="A1" s="24" t="s">
        <v>610</v>
      </c>
      <c r="B1" s="46" t="s">
        <v>2</v>
      </c>
      <c r="C1" s="19"/>
      <c r="D1" s="46" t="s">
        <v>6</v>
      </c>
      <c r="E1" s="19"/>
      <c r="F1" s="46" t="s">
        <v>10</v>
      </c>
      <c r="G1" s="19"/>
    </row>
    <row r="2" ht="16.5" customHeight="1">
      <c r="A2" s="20"/>
      <c r="B2" s="26" t="s">
        <v>12</v>
      </c>
      <c r="C2" s="26" t="s">
        <v>13</v>
      </c>
      <c r="D2" s="26" t="s">
        <v>12</v>
      </c>
      <c r="E2" s="26" t="s">
        <v>13</v>
      </c>
      <c r="F2" s="26" t="s">
        <v>12</v>
      </c>
      <c r="G2" s="26" t="s">
        <v>13</v>
      </c>
    </row>
    <row r="3" ht="16.5" customHeight="1">
      <c r="A3" s="27" t="s">
        <v>14</v>
      </c>
      <c r="B3" s="54" t="s">
        <v>651</v>
      </c>
      <c r="C3" s="61" t="str">
        <f t="shared" ref="C3:C12" si="1">"7조" &amp; " - " &amp; B$1 &amp; " - " &amp; $A3</f>
        <v>7조 - Batch Sequential - Availability</v>
      </c>
      <c r="D3" s="54" t="s">
        <v>651</v>
      </c>
      <c r="E3" s="61" t="str">
        <f t="shared" ref="E3:E12" si="2">"7조" &amp; " - " &amp; D$1 &amp; " - " &amp; $A3</f>
        <v>7조 - Pipe and Filter - Availability</v>
      </c>
      <c r="F3" s="54" t="s">
        <v>651</v>
      </c>
      <c r="G3" s="61" t="str">
        <f t="shared" ref="G3:G12" si="3">"7조" &amp; " - " &amp; F$1 &amp; " - " &amp; $A3</f>
        <v>7조 - Process Control - Availability</v>
      </c>
    </row>
    <row r="4" ht="16.5" customHeight="1">
      <c r="A4" s="27" t="s">
        <v>44</v>
      </c>
      <c r="B4" s="54" t="s">
        <v>651</v>
      </c>
      <c r="C4" s="61" t="str">
        <f t="shared" si="1"/>
        <v>7조 - Batch Sequential - Deployability</v>
      </c>
      <c r="D4" s="54" t="s">
        <v>651</v>
      </c>
      <c r="E4" s="61" t="str">
        <f t="shared" si="2"/>
        <v>7조 - Pipe and Filter - Deployability</v>
      </c>
      <c r="F4" s="54" t="s">
        <v>651</v>
      </c>
      <c r="G4" s="61" t="str">
        <f t="shared" si="3"/>
        <v>7조 - Process Control - Deployability</v>
      </c>
    </row>
    <row r="5" ht="16.5" customHeight="1">
      <c r="A5" s="27" t="s">
        <v>80</v>
      </c>
      <c r="B5" s="54" t="s">
        <v>651</v>
      </c>
      <c r="C5" s="61" t="str">
        <f t="shared" si="1"/>
        <v>7조 - Batch Sequential - Integrability</v>
      </c>
      <c r="D5" s="54" t="s">
        <v>651</v>
      </c>
      <c r="E5" s="65" t="str">
        <f t="shared" si="2"/>
        <v>7조 - Pipe and Filter - Integrability</v>
      </c>
      <c r="F5" s="54" t="s">
        <v>651</v>
      </c>
      <c r="G5" s="61" t="str">
        <f t="shared" si="3"/>
        <v>7조 - Process Control - Integrability</v>
      </c>
    </row>
    <row r="6" ht="16.5" customHeight="1">
      <c r="A6" s="27" t="s">
        <v>113</v>
      </c>
      <c r="B6" s="54" t="s">
        <v>651</v>
      </c>
      <c r="C6" s="61" t="str">
        <f t="shared" si="1"/>
        <v>7조 - Batch Sequential - Energy Efficiency</v>
      </c>
      <c r="D6" s="54" t="s">
        <v>651</v>
      </c>
      <c r="E6" s="61" t="str">
        <f t="shared" si="2"/>
        <v>7조 - Pipe and Filter - Energy Efficiency</v>
      </c>
      <c r="F6" s="54" t="s">
        <v>651</v>
      </c>
      <c r="G6" s="61" t="str">
        <f t="shared" si="3"/>
        <v>7조 - Process Control - Energy Efficiency</v>
      </c>
    </row>
    <row r="7" ht="16.5" customHeight="1">
      <c r="A7" s="27" t="s">
        <v>144</v>
      </c>
      <c r="B7" s="54" t="s">
        <v>651</v>
      </c>
      <c r="C7" s="61" t="str">
        <f t="shared" si="1"/>
        <v>7조 - Batch Sequential - Modifiability</v>
      </c>
      <c r="D7" s="54" t="s">
        <v>651</v>
      </c>
      <c r="E7" s="61" t="str">
        <f t="shared" si="2"/>
        <v>7조 - Pipe and Filter - Modifiability</v>
      </c>
      <c r="F7" s="54" t="s">
        <v>651</v>
      </c>
      <c r="G7" s="61" t="str">
        <f t="shared" si="3"/>
        <v>7조 - Process Control - Modifiability</v>
      </c>
    </row>
    <row r="8" ht="16.5" customHeight="1">
      <c r="A8" s="27" t="s">
        <v>176</v>
      </c>
      <c r="B8" s="54" t="s">
        <v>651</v>
      </c>
      <c r="C8" s="61" t="str">
        <f t="shared" si="1"/>
        <v>7조 - Batch Sequential - Performance</v>
      </c>
      <c r="D8" s="54" t="s">
        <v>651</v>
      </c>
      <c r="E8" s="61" t="str">
        <f t="shared" si="2"/>
        <v>7조 - Pipe and Filter - Performance</v>
      </c>
      <c r="F8" s="54" t="s">
        <v>651</v>
      </c>
      <c r="G8" s="61" t="str">
        <f t="shared" si="3"/>
        <v>7조 - Process Control - Performance</v>
      </c>
    </row>
    <row r="9" ht="16.5" customHeight="1">
      <c r="A9" s="27" t="s">
        <v>208</v>
      </c>
      <c r="B9" s="54" t="s">
        <v>651</v>
      </c>
      <c r="C9" s="61" t="str">
        <f t="shared" si="1"/>
        <v>7조 - Batch Sequential - Safety</v>
      </c>
      <c r="D9" s="54" t="s">
        <v>651</v>
      </c>
      <c r="E9" s="61" t="str">
        <f t="shared" si="2"/>
        <v>7조 - Pipe and Filter - Safety</v>
      </c>
      <c r="F9" s="54" t="s">
        <v>651</v>
      </c>
      <c r="G9" s="61" t="str">
        <f t="shared" si="3"/>
        <v>7조 - Process Control - Safety</v>
      </c>
    </row>
    <row r="10" ht="16.5" customHeight="1">
      <c r="A10" s="27" t="s">
        <v>242</v>
      </c>
      <c r="B10" s="54" t="s">
        <v>651</v>
      </c>
      <c r="C10" s="61" t="str">
        <f t="shared" si="1"/>
        <v>7조 - Batch Sequential - Security</v>
      </c>
      <c r="D10" s="54" t="s">
        <v>651</v>
      </c>
      <c r="E10" s="61" t="str">
        <f t="shared" si="2"/>
        <v>7조 - Pipe and Filter - Security</v>
      </c>
      <c r="F10" s="54" t="s">
        <v>651</v>
      </c>
      <c r="G10" s="61" t="str">
        <f t="shared" si="3"/>
        <v>7조 - Process Control - Security</v>
      </c>
    </row>
    <row r="11" ht="16.5" customHeight="1">
      <c r="A11" s="27" t="s">
        <v>273</v>
      </c>
      <c r="B11" s="54" t="s">
        <v>651</v>
      </c>
      <c r="C11" s="61" t="str">
        <f t="shared" si="1"/>
        <v>7조 - Batch Sequential - Testability</v>
      </c>
      <c r="D11" s="54" t="s">
        <v>651</v>
      </c>
      <c r="E11" s="61" t="str">
        <f t="shared" si="2"/>
        <v>7조 - Pipe and Filter - Testability</v>
      </c>
      <c r="F11" s="54" t="s">
        <v>651</v>
      </c>
      <c r="G11" s="61" t="str">
        <f t="shared" si="3"/>
        <v>7조 - Process Control - Testability</v>
      </c>
    </row>
    <row r="12" ht="16.5" customHeight="1">
      <c r="A12" s="27" t="s">
        <v>305</v>
      </c>
      <c r="B12" s="54" t="s">
        <v>651</v>
      </c>
      <c r="C12" s="61" t="str">
        <f t="shared" si="1"/>
        <v>7조 - Batch Sequential - Usability</v>
      </c>
      <c r="D12" s="54" t="s">
        <v>651</v>
      </c>
      <c r="E12" s="61" t="str">
        <f t="shared" si="2"/>
        <v>7조 - Pipe and Filter - Usability</v>
      </c>
      <c r="F12" s="54" t="s">
        <v>651</v>
      </c>
      <c r="G12" s="61" t="str">
        <f t="shared" si="3"/>
        <v>7조 - Process Control - Usability</v>
      </c>
    </row>
    <row r="13" ht="16.5" customHeight="1">
      <c r="A13" s="34"/>
      <c r="B13" s="42" t="s">
        <v>651</v>
      </c>
      <c r="C13" s="42" t="s">
        <v>651</v>
      </c>
      <c r="D13" s="42" t="s">
        <v>651</v>
      </c>
      <c r="E13" s="42" t="s">
        <v>651</v>
      </c>
      <c r="F13" s="42" t="s">
        <v>651</v>
      </c>
      <c r="G13" s="34"/>
    </row>
    <row r="14" ht="16.5" customHeight="1">
      <c r="A14" s="35" t="s">
        <v>0</v>
      </c>
      <c r="B14" s="73" t="s">
        <v>615</v>
      </c>
      <c r="C14" s="19"/>
      <c r="D14" s="73" t="s">
        <v>8</v>
      </c>
      <c r="E14" s="19"/>
      <c r="F14" s="34"/>
      <c r="G14" s="34"/>
    </row>
    <row r="15" ht="16.5" customHeight="1">
      <c r="A15" s="36"/>
      <c r="B15" s="37" t="s">
        <v>12</v>
      </c>
      <c r="C15" s="74" t="s">
        <v>13</v>
      </c>
      <c r="D15" s="37" t="s">
        <v>12</v>
      </c>
      <c r="E15" s="74" t="s">
        <v>13</v>
      </c>
      <c r="F15" s="34"/>
      <c r="G15" s="34"/>
    </row>
    <row r="16" ht="16.5" customHeight="1">
      <c r="A16" s="27" t="s">
        <v>14</v>
      </c>
      <c r="B16" s="54" t="s">
        <v>651</v>
      </c>
      <c r="C16" s="61" t="str">
        <f t="shared" ref="C16:C25" si="4">"7조" &amp; " - " &amp; B$14 &amp; " - " &amp; $A16</f>
        <v>7조 - Shared Respository - Availability</v>
      </c>
      <c r="D16" s="54" t="s">
        <v>651</v>
      </c>
      <c r="E16" s="61" t="str">
        <f t="shared" ref="E16:E25" si="5">"7조" &amp; " - " &amp; D$14 &amp; " - " &amp; $A16</f>
        <v>7조 - Blackboard - Availability</v>
      </c>
      <c r="F16" s="34"/>
      <c r="G16" s="34"/>
    </row>
    <row r="17" ht="16.5" customHeight="1">
      <c r="A17" s="27" t="s">
        <v>44</v>
      </c>
      <c r="B17" s="54" t="s">
        <v>651</v>
      </c>
      <c r="C17" s="61" t="str">
        <f t="shared" si="4"/>
        <v>7조 - Shared Respository - Deployability</v>
      </c>
      <c r="D17" s="54" t="s">
        <v>651</v>
      </c>
      <c r="E17" s="61" t="str">
        <f t="shared" si="5"/>
        <v>7조 - Blackboard - Deployability</v>
      </c>
      <c r="F17" s="34"/>
      <c r="G17" s="34"/>
    </row>
    <row r="18" ht="16.5" customHeight="1">
      <c r="A18" s="27" t="s">
        <v>80</v>
      </c>
      <c r="B18" s="54" t="s">
        <v>651</v>
      </c>
      <c r="C18" s="61" t="str">
        <f t="shared" si="4"/>
        <v>7조 - Shared Respository - Integrability</v>
      </c>
      <c r="D18" s="54" t="s">
        <v>651</v>
      </c>
      <c r="E18" s="61" t="str">
        <f t="shared" si="5"/>
        <v>7조 - Blackboard - Integrability</v>
      </c>
      <c r="F18" s="34"/>
      <c r="G18" s="34"/>
    </row>
    <row r="19" ht="16.5" customHeight="1">
      <c r="A19" s="27" t="s">
        <v>113</v>
      </c>
      <c r="B19" s="54" t="s">
        <v>651</v>
      </c>
      <c r="C19" s="61" t="str">
        <f t="shared" si="4"/>
        <v>7조 - Shared Respository - Energy Efficiency</v>
      </c>
      <c r="D19" s="54" t="s">
        <v>651</v>
      </c>
      <c r="E19" s="61" t="str">
        <f t="shared" si="5"/>
        <v>7조 - Blackboard - Energy Efficiency</v>
      </c>
      <c r="F19" s="34"/>
      <c r="G19" s="34"/>
    </row>
    <row r="20" ht="16.5" customHeight="1">
      <c r="A20" s="27" t="s">
        <v>144</v>
      </c>
      <c r="B20" s="54" t="s">
        <v>651</v>
      </c>
      <c r="C20" s="61" t="str">
        <f t="shared" si="4"/>
        <v>7조 - Shared Respository - Modifiability</v>
      </c>
      <c r="D20" s="54" t="s">
        <v>651</v>
      </c>
      <c r="E20" s="61" t="str">
        <f t="shared" si="5"/>
        <v>7조 - Blackboard - Modifiability</v>
      </c>
      <c r="F20" s="34"/>
      <c r="G20" s="34"/>
    </row>
    <row r="21" ht="16.5" customHeight="1">
      <c r="A21" s="27" t="s">
        <v>176</v>
      </c>
      <c r="B21" s="54" t="s">
        <v>651</v>
      </c>
      <c r="C21" s="61" t="str">
        <f t="shared" si="4"/>
        <v>7조 - Shared Respository - Performance</v>
      </c>
      <c r="D21" s="54" t="s">
        <v>651</v>
      </c>
      <c r="E21" s="61" t="str">
        <f t="shared" si="5"/>
        <v>7조 - Blackboard - Performance</v>
      </c>
      <c r="F21" s="34"/>
      <c r="G21" s="34"/>
    </row>
    <row r="22" ht="16.5" customHeight="1">
      <c r="A22" s="27" t="s">
        <v>208</v>
      </c>
      <c r="B22" s="54" t="s">
        <v>651</v>
      </c>
      <c r="C22" s="61" t="str">
        <f t="shared" si="4"/>
        <v>7조 - Shared Respository - Safety</v>
      </c>
      <c r="D22" s="54" t="s">
        <v>651</v>
      </c>
      <c r="E22" s="61" t="str">
        <f t="shared" si="5"/>
        <v>7조 - Blackboard - Safety</v>
      </c>
      <c r="F22" s="34"/>
      <c r="G22" s="34"/>
    </row>
    <row r="23" ht="16.5" customHeight="1">
      <c r="A23" s="27" t="s">
        <v>242</v>
      </c>
      <c r="B23" s="54" t="s">
        <v>651</v>
      </c>
      <c r="C23" s="61" t="str">
        <f t="shared" si="4"/>
        <v>7조 - Shared Respository - Security</v>
      </c>
      <c r="D23" s="54" t="s">
        <v>651</v>
      </c>
      <c r="E23" s="61" t="str">
        <f t="shared" si="5"/>
        <v>7조 - Blackboard - Security</v>
      </c>
      <c r="F23" s="34"/>
      <c r="G23" s="34"/>
    </row>
    <row r="24" ht="16.5" customHeight="1">
      <c r="A24" s="27" t="s">
        <v>273</v>
      </c>
      <c r="B24" s="54" t="s">
        <v>651</v>
      </c>
      <c r="C24" s="61" t="str">
        <f t="shared" si="4"/>
        <v>7조 - Shared Respository - Testability</v>
      </c>
      <c r="D24" s="54" t="s">
        <v>651</v>
      </c>
      <c r="E24" s="61" t="str">
        <f t="shared" si="5"/>
        <v>7조 - Blackboard - Testability</v>
      </c>
      <c r="F24" s="34"/>
      <c r="G24" s="34"/>
    </row>
    <row r="25" ht="16.5" customHeight="1">
      <c r="A25" s="27" t="s">
        <v>305</v>
      </c>
      <c r="B25" s="54" t="s">
        <v>651</v>
      </c>
      <c r="C25" s="61" t="str">
        <f t="shared" si="4"/>
        <v>7조 - Shared Respository - Usability</v>
      </c>
      <c r="D25" s="54" t="s">
        <v>651</v>
      </c>
      <c r="E25" s="61" t="str">
        <f t="shared" si="5"/>
        <v>7조 - Blackboard - Usability</v>
      </c>
      <c r="F25" s="34"/>
      <c r="G25" s="34"/>
    </row>
    <row r="26" ht="16.5" customHeight="1">
      <c r="A26" s="34"/>
      <c r="B26" s="42" t="s">
        <v>651</v>
      </c>
      <c r="C26" s="42" t="s">
        <v>651</v>
      </c>
      <c r="D26" s="42" t="s">
        <v>651</v>
      </c>
      <c r="E26" s="42" t="s">
        <v>651</v>
      </c>
      <c r="F26" s="34"/>
      <c r="G26" s="34"/>
    </row>
    <row r="27" ht="16.5" customHeight="1">
      <c r="A27" s="35" t="s">
        <v>3</v>
      </c>
      <c r="B27" s="73" t="s">
        <v>7</v>
      </c>
      <c r="C27" s="19"/>
      <c r="D27" s="73" t="s">
        <v>11</v>
      </c>
      <c r="E27" s="19"/>
      <c r="F27" s="34"/>
      <c r="G27" s="34"/>
    </row>
    <row r="28" ht="16.5" customHeight="1">
      <c r="A28" s="39"/>
      <c r="B28" s="26" t="s">
        <v>12</v>
      </c>
      <c r="C28" s="44" t="s">
        <v>13</v>
      </c>
      <c r="D28" s="26" t="s">
        <v>12</v>
      </c>
      <c r="E28" s="44" t="s">
        <v>13</v>
      </c>
      <c r="F28" s="34"/>
      <c r="G28" s="34"/>
    </row>
    <row r="29" ht="16.5" customHeight="1">
      <c r="A29" s="27" t="s">
        <v>14</v>
      </c>
      <c r="B29" s="54" t="s">
        <v>651</v>
      </c>
      <c r="C29" s="61" t="str">
        <f t="shared" ref="C29:C38" si="6">"7조" &amp; " - " &amp; B$27 &amp; " - " &amp; $A29</f>
        <v>7조 - Non-Buffered Event Based - Availability</v>
      </c>
      <c r="D29" s="54" t="s">
        <v>651</v>
      </c>
      <c r="E29" s="61" t="str">
        <f t="shared" ref="E29:E38" si="7">"7조" &amp; " - " &amp; D$27 &amp; " - " &amp; $A29</f>
        <v>7조 - Buffered Message Based - Availability</v>
      </c>
      <c r="F29" s="34"/>
      <c r="G29" s="34"/>
    </row>
    <row r="30" ht="16.5" customHeight="1">
      <c r="A30" s="27" t="s">
        <v>44</v>
      </c>
      <c r="B30" s="54" t="s">
        <v>651</v>
      </c>
      <c r="C30" s="61" t="str">
        <f t="shared" si="6"/>
        <v>7조 - Non-Buffered Event Based - Deployability</v>
      </c>
      <c r="D30" s="54" t="s">
        <v>651</v>
      </c>
      <c r="E30" s="61" t="str">
        <f t="shared" si="7"/>
        <v>7조 - Buffered Message Based - Deployability</v>
      </c>
      <c r="F30" s="34"/>
      <c r="G30" s="34"/>
    </row>
    <row r="31" ht="16.5" customHeight="1">
      <c r="A31" s="27" t="s">
        <v>80</v>
      </c>
      <c r="B31" s="54" t="s">
        <v>651</v>
      </c>
      <c r="C31" s="61" t="str">
        <f t="shared" si="6"/>
        <v>7조 - Non-Buffered Event Based - Integrability</v>
      </c>
      <c r="D31" s="54" t="s">
        <v>651</v>
      </c>
      <c r="E31" s="61" t="str">
        <f t="shared" si="7"/>
        <v>7조 - Buffered Message Based - Integrability</v>
      </c>
      <c r="F31" s="34"/>
      <c r="G31" s="34"/>
    </row>
    <row r="32" ht="16.5" customHeight="1">
      <c r="A32" s="27" t="s">
        <v>113</v>
      </c>
      <c r="B32" s="54" t="s">
        <v>651</v>
      </c>
      <c r="C32" s="61" t="str">
        <f t="shared" si="6"/>
        <v>7조 - Non-Buffered Event Based - Energy Efficiency</v>
      </c>
      <c r="D32" s="54" t="s">
        <v>651</v>
      </c>
      <c r="E32" s="61" t="str">
        <f t="shared" si="7"/>
        <v>7조 - Buffered Message Based - Energy Efficiency</v>
      </c>
      <c r="F32" s="34"/>
      <c r="G32" s="34"/>
    </row>
    <row r="33" ht="16.5" customHeight="1">
      <c r="A33" s="27" t="s">
        <v>144</v>
      </c>
      <c r="B33" s="54" t="s">
        <v>651</v>
      </c>
      <c r="C33" s="61" t="str">
        <f t="shared" si="6"/>
        <v>7조 - Non-Buffered Event Based - Modifiability</v>
      </c>
      <c r="D33" s="54" t="s">
        <v>651</v>
      </c>
      <c r="E33" s="61" t="str">
        <f t="shared" si="7"/>
        <v>7조 - Buffered Message Based - Modifiability</v>
      </c>
      <c r="F33" s="34"/>
      <c r="G33" s="34"/>
    </row>
    <row r="34" ht="16.5" customHeight="1">
      <c r="A34" s="27" t="s">
        <v>176</v>
      </c>
      <c r="B34" s="54" t="s">
        <v>651</v>
      </c>
      <c r="C34" s="61" t="str">
        <f t="shared" si="6"/>
        <v>7조 - Non-Buffered Event Based - Performance</v>
      </c>
      <c r="D34" s="54" t="s">
        <v>651</v>
      </c>
      <c r="E34" s="61" t="str">
        <f t="shared" si="7"/>
        <v>7조 - Buffered Message Based - Performance</v>
      </c>
      <c r="F34" s="34"/>
      <c r="G34" s="34"/>
    </row>
    <row r="35" ht="16.5" customHeight="1">
      <c r="A35" s="27" t="s">
        <v>208</v>
      </c>
      <c r="B35" s="54" t="s">
        <v>651</v>
      </c>
      <c r="C35" s="61" t="str">
        <f t="shared" si="6"/>
        <v>7조 - Non-Buffered Event Based - Safety</v>
      </c>
      <c r="D35" s="54" t="s">
        <v>651</v>
      </c>
      <c r="E35" s="61" t="str">
        <f t="shared" si="7"/>
        <v>7조 - Buffered Message Based - Safety</v>
      </c>
      <c r="F35" s="34"/>
      <c r="G35" s="34"/>
    </row>
    <row r="36" ht="16.5" customHeight="1">
      <c r="A36" s="27" t="s">
        <v>242</v>
      </c>
      <c r="B36" s="54" t="s">
        <v>651</v>
      </c>
      <c r="C36" s="61" t="str">
        <f t="shared" si="6"/>
        <v>7조 - Non-Buffered Event Based - Security</v>
      </c>
      <c r="D36" s="54" t="s">
        <v>651</v>
      </c>
      <c r="E36" s="61" t="str">
        <f t="shared" si="7"/>
        <v>7조 - Buffered Message Based - Security</v>
      </c>
      <c r="F36" s="34"/>
      <c r="G36" s="34"/>
    </row>
    <row r="37" ht="16.5" customHeight="1">
      <c r="A37" s="27" t="s">
        <v>273</v>
      </c>
      <c r="B37" s="54" t="s">
        <v>651</v>
      </c>
      <c r="C37" s="61" t="str">
        <f t="shared" si="6"/>
        <v>7조 - Non-Buffered Event Based - Testability</v>
      </c>
      <c r="D37" s="54" t="s">
        <v>651</v>
      </c>
      <c r="E37" s="61" t="str">
        <f t="shared" si="7"/>
        <v>7조 - Buffered Message Based - Testability</v>
      </c>
      <c r="F37" s="34"/>
      <c r="G37" s="34"/>
    </row>
    <row r="38" ht="16.5" customHeight="1">
      <c r="A38" s="27" t="s">
        <v>305</v>
      </c>
      <c r="B38" s="54" t="s">
        <v>651</v>
      </c>
      <c r="C38" s="61" t="str">
        <f t="shared" si="6"/>
        <v>7조 - Non-Buffered Event Based - Usability</v>
      </c>
      <c r="D38" s="54" t="s">
        <v>651</v>
      </c>
      <c r="E38" s="61" t="str">
        <f t="shared" si="7"/>
        <v>7조 - Buffered Message Based - Usability</v>
      </c>
      <c r="F38" s="34"/>
      <c r="G38" s="34"/>
    </row>
    <row r="39" ht="16.5" customHeight="1">
      <c r="A39" s="34"/>
      <c r="B39" s="42" t="s">
        <v>651</v>
      </c>
      <c r="C39" s="42" t="s">
        <v>651</v>
      </c>
      <c r="D39" s="42" t="s">
        <v>651</v>
      </c>
      <c r="E39" s="42" t="s">
        <v>651</v>
      </c>
      <c r="F39" s="34"/>
      <c r="G39" s="34"/>
    </row>
    <row r="40" ht="16.5" customHeight="1">
      <c r="A40" s="35" t="s">
        <v>1</v>
      </c>
      <c r="B40" s="46" t="s">
        <v>4</v>
      </c>
      <c r="C40" s="19"/>
      <c r="D40" s="46" t="s">
        <v>9</v>
      </c>
      <c r="E40" s="19"/>
      <c r="F40" s="34"/>
      <c r="G40" s="34"/>
      <c r="H40" s="34"/>
    </row>
    <row r="41" ht="16.5" customHeight="1">
      <c r="A41" s="39"/>
      <c r="B41" s="26" t="s">
        <v>12</v>
      </c>
      <c r="C41" s="26" t="s">
        <v>13</v>
      </c>
      <c r="D41" s="26" t="s">
        <v>12</v>
      </c>
      <c r="E41" s="26" t="s">
        <v>13</v>
      </c>
      <c r="F41" s="34"/>
      <c r="G41" s="34"/>
      <c r="H41" s="34"/>
      <c r="I41" s="40"/>
    </row>
    <row r="42" ht="16.5" customHeight="1">
      <c r="A42" s="27" t="s">
        <v>14</v>
      </c>
      <c r="B42" s="54" t="s">
        <v>651</v>
      </c>
      <c r="C42" s="61" t="str">
        <f t="shared" ref="C42:C51" si="8">"7조" &amp; " - " &amp; B$40 &amp; " - " &amp; $A42</f>
        <v>7조 - MVC - Availability</v>
      </c>
      <c r="D42" s="54" t="s">
        <v>651</v>
      </c>
      <c r="E42" s="61" t="str">
        <f t="shared" ref="E42:E51" si="9">"7조" &amp; " - " &amp; D$40 &amp; " - " &amp; $A42</f>
        <v>7조 - PAC - Availability</v>
      </c>
      <c r="F42" s="34"/>
      <c r="G42" s="34"/>
      <c r="H42" s="34"/>
    </row>
    <row r="43" ht="16.5" customHeight="1">
      <c r="A43" s="27" t="s">
        <v>44</v>
      </c>
      <c r="B43" s="54" t="s">
        <v>651</v>
      </c>
      <c r="C43" s="61" t="str">
        <f t="shared" si="8"/>
        <v>7조 - MVC - Deployability</v>
      </c>
      <c r="D43" s="54" t="s">
        <v>651</v>
      </c>
      <c r="E43" s="61" t="str">
        <f t="shared" si="9"/>
        <v>7조 - PAC - Deployability</v>
      </c>
      <c r="F43" s="34"/>
      <c r="G43" s="34"/>
      <c r="H43" s="34"/>
    </row>
    <row r="44" ht="16.5" customHeight="1">
      <c r="A44" s="27" t="s">
        <v>80</v>
      </c>
      <c r="B44" s="54" t="s">
        <v>651</v>
      </c>
      <c r="C44" s="61" t="str">
        <f t="shared" si="8"/>
        <v>7조 - MVC - Integrability</v>
      </c>
      <c r="D44" s="54" t="s">
        <v>651</v>
      </c>
      <c r="E44" s="61" t="str">
        <f t="shared" si="9"/>
        <v>7조 - PAC - Integrability</v>
      </c>
      <c r="F44" s="34"/>
      <c r="G44" s="34"/>
      <c r="H44" s="34"/>
    </row>
    <row r="45" ht="16.5" customHeight="1">
      <c r="A45" s="27" t="s">
        <v>113</v>
      </c>
      <c r="B45" s="54" t="s">
        <v>651</v>
      </c>
      <c r="C45" s="61" t="str">
        <f t="shared" si="8"/>
        <v>7조 - MVC - Energy Efficiency</v>
      </c>
      <c r="D45" s="54" t="s">
        <v>651</v>
      </c>
      <c r="E45" s="61" t="str">
        <f t="shared" si="9"/>
        <v>7조 - PAC - Energy Efficiency</v>
      </c>
      <c r="F45" s="34"/>
      <c r="G45" s="34"/>
      <c r="H45" s="34"/>
    </row>
    <row r="46" ht="16.5" customHeight="1">
      <c r="A46" s="27" t="s">
        <v>144</v>
      </c>
      <c r="B46" s="54" t="s">
        <v>651</v>
      </c>
      <c r="C46" s="61" t="str">
        <f t="shared" si="8"/>
        <v>7조 - MVC - Modifiability</v>
      </c>
      <c r="D46" s="54" t="s">
        <v>651</v>
      </c>
      <c r="E46" s="61" t="str">
        <f t="shared" si="9"/>
        <v>7조 - PAC - Modifiability</v>
      </c>
      <c r="F46" s="34"/>
      <c r="G46" s="34"/>
      <c r="H46" s="34"/>
    </row>
    <row r="47" ht="16.5" customHeight="1">
      <c r="A47" s="27" t="s">
        <v>176</v>
      </c>
      <c r="B47" s="54" t="s">
        <v>651</v>
      </c>
      <c r="C47" s="61" t="str">
        <f t="shared" si="8"/>
        <v>7조 - MVC - Performance</v>
      </c>
      <c r="D47" s="54" t="s">
        <v>651</v>
      </c>
      <c r="E47" s="61" t="str">
        <f t="shared" si="9"/>
        <v>7조 - PAC - Performance</v>
      </c>
      <c r="F47" s="34"/>
      <c r="G47" s="34"/>
      <c r="H47" s="34"/>
    </row>
    <row r="48" ht="16.5" customHeight="1">
      <c r="A48" s="27" t="s">
        <v>208</v>
      </c>
      <c r="B48" s="54" t="s">
        <v>651</v>
      </c>
      <c r="C48" s="61" t="str">
        <f t="shared" si="8"/>
        <v>7조 - MVC - Safety</v>
      </c>
      <c r="D48" s="54" t="s">
        <v>651</v>
      </c>
      <c r="E48" s="61" t="str">
        <f t="shared" si="9"/>
        <v>7조 - PAC - Safety</v>
      </c>
      <c r="F48" s="34"/>
      <c r="G48" s="34"/>
      <c r="H48" s="34"/>
    </row>
    <row r="49" ht="16.5" customHeight="1">
      <c r="A49" s="27" t="s">
        <v>242</v>
      </c>
      <c r="B49" s="54" t="s">
        <v>651</v>
      </c>
      <c r="C49" s="61" t="str">
        <f t="shared" si="8"/>
        <v>7조 - MVC - Security</v>
      </c>
      <c r="D49" s="54" t="s">
        <v>651</v>
      </c>
      <c r="E49" s="61" t="str">
        <f t="shared" si="9"/>
        <v>7조 - PAC - Security</v>
      </c>
      <c r="F49" s="34"/>
      <c r="G49" s="34"/>
      <c r="H49" s="34"/>
    </row>
    <row r="50" ht="16.5" customHeight="1">
      <c r="A50" s="27" t="s">
        <v>273</v>
      </c>
      <c r="B50" s="54" t="s">
        <v>651</v>
      </c>
      <c r="C50" s="61" t="str">
        <f t="shared" si="8"/>
        <v>7조 - MVC - Testability</v>
      </c>
      <c r="D50" s="54" t="s">
        <v>651</v>
      </c>
      <c r="E50" s="61" t="str">
        <f t="shared" si="9"/>
        <v>7조 - PAC - Testability</v>
      </c>
      <c r="F50" s="34"/>
      <c r="G50" s="42" t="s">
        <v>651</v>
      </c>
      <c r="H50" s="34"/>
      <c r="I50" s="41"/>
    </row>
    <row r="51" ht="16.5" customHeight="1">
      <c r="A51" s="27" t="s">
        <v>305</v>
      </c>
      <c r="B51" s="54" t="s">
        <v>651</v>
      </c>
      <c r="C51" s="61" t="str">
        <f t="shared" si="8"/>
        <v>7조 - MVC - Usability</v>
      </c>
      <c r="D51" s="54" t="s">
        <v>651</v>
      </c>
      <c r="E51" s="61" t="str">
        <f t="shared" si="9"/>
        <v>7조 - PAC - Usability</v>
      </c>
      <c r="F51" s="34"/>
      <c r="G51" s="42" t="s">
        <v>651</v>
      </c>
      <c r="H51" s="34"/>
      <c r="I51" s="40"/>
    </row>
    <row r="52" ht="16.5" customHeight="1">
      <c r="A52" s="34"/>
      <c r="B52" s="42" t="s">
        <v>651</v>
      </c>
      <c r="C52" s="34"/>
      <c r="D52" s="42" t="s">
        <v>651</v>
      </c>
      <c r="E52" s="34"/>
      <c r="F52" s="34"/>
      <c r="G52" s="34"/>
    </row>
    <row r="53" ht="16.5" customHeight="1">
      <c r="A53" s="35" t="s">
        <v>361</v>
      </c>
      <c r="B53" s="73" t="s">
        <v>362</v>
      </c>
      <c r="C53" s="19"/>
      <c r="D53" s="73" t="s">
        <v>363</v>
      </c>
      <c r="E53" s="19"/>
      <c r="F53" s="34"/>
      <c r="G53" s="42" t="s">
        <v>651</v>
      </c>
      <c r="H53" s="34"/>
    </row>
    <row r="54" ht="16.5" customHeight="1">
      <c r="A54" s="39"/>
      <c r="B54" s="26" t="s">
        <v>12</v>
      </c>
      <c r="C54" s="44" t="s">
        <v>13</v>
      </c>
      <c r="D54" s="26" t="s">
        <v>12</v>
      </c>
      <c r="E54" s="44" t="s">
        <v>13</v>
      </c>
      <c r="F54" s="34"/>
      <c r="G54" s="42" t="s">
        <v>651</v>
      </c>
      <c r="H54" s="34"/>
    </row>
    <row r="55" ht="16.5" customHeight="1">
      <c r="A55" s="27" t="s">
        <v>14</v>
      </c>
      <c r="B55" s="54" t="s">
        <v>651</v>
      </c>
      <c r="C55" s="61" t="str">
        <f t="shared" ref="C55:C64" si="10">"7조" &amp; " - " &amp; B$53 &amp; " - " &amp; $A55</f>
        <v>7조 - Main-subroutine - Availability</v>
      </c>
      <c r="D55" s="54" t="s">
        <v>651</v>
      </c>
      <c r="E55" s="61" t="str">
        <f t="shared" ref="E55:E64" si="11">"7조" &amp; " - " &amp; D$53 &amp; " - " &amp; $A55</f>
        <v>7조 - Master-Slave - Availability</v>
      </c>
      <c r="F55" s="34"/>
      <c r="G55" s="42" t="s">
        <v>651</v>
      </c>
      <c r="H55" s="34"/>
    </row>
    <row r="56" ht="16.5" customHeight="1">
      <c r="A56" s="27" t="s">
        <v>44</v>
      </c>
      <c r="B56" s="54" t="s">
        <v>651</v>
      </c>
      <c r="C56" s="65" t="str">
        <f t="shared" si="10"/>
        <v>7조 - Main-subroutine - Deployability</v>
      </c>
      <c r="D56" s="54" t="s">
        <v>651</v>
      </c>
      <c r="E56" s="61" t="str">
        <f t="shared" si="11"/>
        <v>7조 - Master-Slave - Deployability</v>
      </c>
      <c r="F56" s="34"/>
      <c r="G56" s="42" t="s">
        <v>651</v>
      </c>
      <c r="H56" s="34"/>
    </row>
    <row r="57" ht="16.5" customHeight="1">
      <c r="A57" s="27" t="s">
        <v>80</v>
      </c>
      <c r="B57" s="54" t="s">
        <v>651</v>
      </c>
      <c r="C57" s="61" t="str">
        <f t="shared" si="10"/>
        <v>7조 - Main-subroutine - Integrability</v>
      </c>
      <c r="D57" s="54" t="s">
        <v>651</v>
      </c>
      <c r="E57" s="61" t="str">
        <f t="shared" si="11"/>
        <v>7조 - Master-Slave - Integrability</v>
      </c>
      <c r="F57" s="34"/>
      <c r="G57" s="42" t="s">
        <v>651</v>
      </c>
      <c r="H57" s="34"/>
    </row>
    <row r="58" ht="16.5" customHeight="1">
      <c r="A58" s="27" t="s">
        <v>113</v>
      </c>
      <c r="B58" s="54" t="s">
        <v>651</v>
      </c>
      <c r="C58" s="61" t="str">
        <f t="shared" si="10"/>
        <v>7조 - Main-subroutine - Energy Efficiency</v>
      </c>
      <c r="D58" s="54" t="s">
        <v>651</v>
      </c>
      <c r="E58" s="61" t="str">
        <f t="shared" si="11"/>
        <v>7조 - Master-Slave - Energy Efficiency</v>
      </c>
      <c r="F58" s="34"/>
      <c r="G58" s="42" t="s">
        <v>651</v>
      </c>
      <c r="H58" s="34"/>
    </row>
    <row r="59" ht="16.5" customHeight="1">
      <c r="A59" s="27" t="s">
        <v>144</v>
      </c>
      <c r="B59" s="54" t="s">
        <v>651</v>
      </c>
      <c r="C59" s="61" t="str">
        <f t="shared" si="10"/>
        <v>7조 - Main-subroutine - Modifiability</v>
      </c>
      <c r="D59" s="54" t="s">
        <v>651</v>
      </c>
      <c r="E59" s="61" t="str">
        <f t="shared" si="11"/>
        <v>7조 - Master-Slave - Modifiability</v>
      </c>
      <c r="F59" s="34"/>
      <c r="G59" s="42" t="s">
        <v>651</v>
      </c>
      <c r="H59" s="34"/>
    </row>
    <row r="60" ht="16.5" customHeight="1">
      <c r="A60" s="27" t="s">
        <v>176</v>
      </c>
      <c r="B60" s="54" t="s">
        <v>651</v>
      </c>
      <c r="C60" s="61" t="str">
        <f t="shared" si="10"/>
        <v>7조 - Main-subroutine - Performance</v>
      </c>
      <c r="D60" s="54" t="s">
        <v>651</v>
      </c>
      <c r="E60" s="61" t="str">
        <f t="shared" si="11"/>
        <v>7조 - Master-Slave - Performance</v>
      </c>
      <c r="F60" s="34"/>
      <c r="G60" s="42" t="s">
        <v>651</v>
      </c>
      <c r="H60" s="34"/>
      <c r="I60" s="41"/>
    </row>
    <row r="61" ht="16.5" customHeight="1">
      <c r="A61" s="27" t="s">
        <v>208</v>
      </c>
      <c r="B61" s="54" t="s">
        <v>651</v>
      </c>
      <c r="C61" s="61" t="str">
        <f t="shared" si="10"/>
        <v>7조 - Main-subroutine - Safety</v>
      </c>
      <c r="D61" s="54" t="s">
        <v>651</v>
      </c>
      <c r="E61" s="61" t="str">
        <f t="shared" si="11"/>
        <v>7조 - Master-Slave - Safety</v>
      </c>
      <c r="F61" s="34"/>
      <c r="G61" s="42" t="s">
        <v>651</v>
      </c>
      <c r="H61" s="34"/>
      <c r="I61" s="40"/>
    </row>
    <row r="62" ht="16.5" customHeight="1">
      <c r="A62" s="27" t="s">
        <v>242</v>
      </c>
      <c r="B62" s="54" t="s">
        <v>651</v>
      </c>
      <c r="C62" s="61" t="str">
        <f t="shared" si="10"/>
        <v>7조 - Main-subroutine - Security</v>
      </c>
      <c r="D62" s="54" t="s">
        <v>651</v>
      </c>
      <c r="E62" s="61" t="str">
        <f t="shared" si="11"/>
        <v>7조 - Master-Slave - Security</v>
      </c>
      <c r="F62" s="34"/>
      <c r="G62" s="42" t="s">
        <v>651</v>
      </c>
      <c r="H62" s="34"/>
    </row>
    <row r="63" ht="16.5" customHeight="1">
      <c r="A63" s="27" t="s">
        <v>273</v>
      </c>
      <c r="B63" s="54" t="s">
        <v>651</v>
      </c>
      <c r="C63" s="61" t="str">
        <f t="shared" si="10"/>
        <v>7조 - Main-subroutine - Testability</v>
      </c>
      <c r="D63" s="54" t="s">
        <v>651</v>
      </c>
      <c r="E63" s="61" t="str">
        <f t="shared" si="11"/>
        <v>7조 - Master-Slave - Testability</v>
      </c>
      <c r="F63" s="34"/>
      <c r="G63" s="42" t="s">
        <v>651</v>
      </c>
      <c r="H63" s="34"/>
    </row>
    <row r="64" ht="16.5" customHeight="1">
      <c r="A64" s="27" t="s">
        <v>305</v>
      </c>
      <c r="B64" s="54" t="s">
        <v>651</v>
      </c>
      <c r="C64" s="61" t="str">
        <f t="shared" si="10"/>
        <v>7조 - Main-subroutine - Usability</v>
      </c>
      <c r="D64" s="54" t="s">
        <v>651</v>
      </c>
      <c r="E64" s="61" t="str">
        <f t="shared" si="11"/>
        <v>7조 - Master-Slave - Usability</v>
      </c>
      <c r="F64" s="34"/>
      <c r="G64" s="42" t="s">
        <v>651</v>
      </c>
      <c r="H64" s="34"/>
    </row>
    <row r="65" ht="16.5" customHeight="1">
      <c r="A65" s="34"/>
      <c r="B65" s="42" t="s">
        <v>651</v>
      </c>
      <c r="C65" s="42" t="s">
        <v>651</v>
      </c>
      <c r="D65" s="42" t="s">
        <v>651</v>
      </c>
      <c r="E65" s="42" t="s">
        <v>651</v>
      </c>
      <c r="F65" s="34"/>
      <c r="G65" s="42" t="s">
        <v>651</v>
      </c>
      <c r="H65" s="34"/>
    </row>
    <row r="66" ht="16.5" customHeight="1">
      <c r="A66" s="35" t="s">
        <v>361</v>
      </c>
      <c r="B66" s="73" t="s">
        <v>377</v>
      </c>
      <c r="C66" s="19"/>
      <c r="D66" s="73" t="s">
        <v>378</v>
      </c>
      <c r="E66" s="19"/>
      <c r="F66" s="73" t="s">
        <v>379</v>
      </c>
      <c r="G66" s="19"/>
      <c r="H66" s="34"/>
    </row>
    <row r="67" ht="16.5" customHeight="1">
      <c r="A67" s="39"/>
      <c r="B67" s="26" t="s">
        <v>12</v>
      </c>
      <c r="C67" s="44" t="s">
        <v>13</v>
      </c>
      <c r="D67" s="26" t="s">
        <v>12</v>
      </c>
      <c r="E67" s="44" t="s">
        <v>13</v>
      </c>
      <c r="F67" s="26" t="s">
        <v>12</v>
      </c>
      <c r="G67" s="44" t="s">
        <v>13</v>
      </c>
      <c r="H67" s="34"/>
    </row>
    <row r="68" ht="16.5" customHeight="1">
      <c r="A68" s="27" t="s">
        <v>14</v>
      </c>
      <c r="B68" s="54" t="s">
        <v>651</v>
      </c>
      <c r="C68" s="61" t="str">
        <f t="shared" ref="C68:C77" si="12">"7조" &amp; " - " &amp; B$66 &amp; " - " &amp; $A68</f>
        <v>7조 - Layered - Availability</v>
      </c>
      <c r="D68" s="54" t="s">
        <v>651</v>
      </c>
      <c r="E68" s="61" t="str">
        <f t="shared" ref="E68:E77" si="13">"7조" &amp; " - " &amp; D$66 &amp; " - " &amp; $A68</f>
        <v>7조 - Virtual Machine - Availability</v>
      </c>
      <c r="F68" s="54" t="s">
        <v>651</v>
      </c>
      <c r="G68" s="61" t="str">
        <f t="shared" ref="G68:G77" si="14">"7조" &amp; " - " &amp; F$66 &amp; " - " &amp; $A68</f>
        <v>7조 - Microkernel - Availability</v>
      </c>
      <c r="H68" s="34"/>
    </row>
    <row r="69" ht="16.5" customHeight="1">
      <c r="A69" s="27" t="s">
        <v>44</v>
      </c>
      <c r="B69" s="54" t="s">
        <v>651</v>
      </c>
      <c r="C69" s="61" t="str">
        <f t="shared" si="12"/>
        <v>7조 - Layered - Deployability</v>
      </c>
      <c r="D69" s="54" t="s">
        <v>651</v>
      </c>
      <c r="E69" s="65" t="str">
        <f t="shared" si="13"/>
        <v>7조 - Virtual Machine - Deployability</v>
      </c>
      <c r="F69" s="54" t="s">
        <v>651</v>
      </c>
      <c r="G69" s="61" t="str">
        <f t="shared" si="14"/>
        <v>7조 - Microkernel - Deployability</v>
      </c>
      <c r="H69" s="34"/>
    </row>
    <row r="70" ht="16.5" customHeight="1">
      <c r="A70" s="27" t="s">
        <v>80</v>
      </c>
      <c r="B70" s="54" t="s">
        <v>651</v>
      </c>
      <c r="C70" s="61" t="str">
        <f t="shared" si="12"/>
        <v>7조 - Layered - Integrability</v>
      </c>
      <c r="D70" s="54" t="s">
        <v>651</v>
      </c>
      <c r="E70" s="61" t="str">
        <f t="shared" si="13"/>
        <v>7조 - Virtual Machine - Integrability</v>
      </c>
      <c r="F70" s="54" t="s">
        <v>651</v>
      </c>
      <c r="G70" s="61" t="str">
        <f t="shared" si="14"/>
        <v>7조 - Microkernel - Integrability</v>
      </c>
      <c r="H70" s="34"/>
    </row>
    <row r="71" ht="16.5" customHeight="1">
      <c r="A71" s="27" t="s">
        <v>113</v>
      </c>
      <c r="B71" s="54" t="s">
        <v>651</v>
      </c>
      <c r="C71" s="61" t="str">
        <f t="shared" si="12"/>
        <v>7조 - Layered - Energy Efficiency</v>
      </c>
      <c r="D71" s="54" t="s">
        <v>651</v>
      </c>
      <c r="E71" s="61" t="str">
        <f t="shared" si="13"/>
        <v>7조 - Virtual Machine - Energy Efficiency</v>
      </c>
      <c r="F71" s="54" t="s">
        <v>651</v>
      </c>
      <c r="G71" s="61" t="str">
        <f t="shared" si="14"/>
        <v>7조 - Microkernel - Energy Efficiency</v>
      </c>
      <c r="H71" s="34"/>
    </row>
    <row r="72" ht="16.5" customHeight="1">
      <c r="A72" s="27" t="s">
        <v>144</v>
      </c>
      <c r="B72" s="54" t="s">
        <v>651</v>
      </c>
      <c r="C72" s="61" t="str">
        <f t="shared" si="12"/>
        <v>7조 - Layered - Modifiability</v>
      </c>
      <c r="D72" s="54" t="s">
        <v>651</v>
      </c>
      <c r="E72" s="61" t="str">
        <f t="shared" si="13"/>
        <v>7조 - Virtual Machine - Modifiability</v>
      </c>
      <c r="F72" s="54" t="s">
        <v>651</v>
      </c>
      <c r="G72" s="61" t="str">
        <f t="shared" si="14"/>
        <v>7조 - Microkernel - Modifiability</v>
      </c>
      <c r="H72" s="34"/>
    </row>
    <row r="73" ht="16.5" customHeight="1">
      <c r="A73" s="27" t="s">
        <v>176</v>
      </c>
      <c r="B73" s="54" t="s">
        <v>651</v>
      </c>
      <c r="C73" s="61" t="str">
        <f t="shared" si="12"/>
        <v>7조 - Layered - Performance</v>
      </c>
      <c r="D73" s="54" t="s">
        <v>651</v>
      </c>
      <c r="E73" s="61" t="str">
        <f t="shared" si="13"/>
        <v>7조 - Virtual Machine - Performance</v>
      </c>
      <c r="F73" s="54" t="s">
        <v>651</v>
      </c>
      <c r="G73" s="61" t="str">
        <f t="shared" si="14"/>
        <v>7조 - Microkernel - Performance</v>
      </c>
      <c r="H73" s="34"/>
    </row>
    <row r="74" ht="16.5" customHeight="1">
      <c r="A74" s="27" t="s">
        <v>208</v>
      </c>
      <c r="B74" s="54" t="s">
        <v>651</v>
      </c>
      <c r="C74" s="61" t="str">
        <f t="shared" si="12"/>
        <v>7조 - Layered - Safety</v>
      </c>
      <c r="D74" s="54" t="s">
        <v>651</v>
      </c>
      <c r="E74" s="61" t="str">
        <f t="shared" si="13"/>
        <v>7조 - Virtual Machine - Safety</v>
      </c>
      <c r="F74" s="54" t="s">
        <v>651</v>
      </c>
      <c r="G74" s="61" t="str">
        <f t="shared" si="14"/>
        <v>7조 - Microkernel - Safety</v>
      </c>
    </row>
    <row r="75" ht="16.5" customHeight="1">
      <c r="A75" s="27" t="s">
        <v>242</v>
      </c>
      <c r="B75" s="54" t="s">
        <v>651</v>
      </c>
      <c r="C75" s="61" t="str">
        <f t="shared" si="12"/>
        <v>7조 - Layered - Security</v>
      </c>
      <c r="D75" s="54" t="s">
        <v>651</v>
      </c>
      <c r="E75" s="61" t="str">
        <f t="shared" si="13"/>
        <v>7조 - Virtual Machine - Security</v>
      </c>
      <c r="F75" s="54" t="s">
        <v>651</v>
      </c>
      <c r="G75" s="61" t="str">
        <f t="shared" si="14"/>
        <v>7조 - Microkernel - Security</v>
      </c>
    </row>
    <row r="76" ht="16.5" customHeight="1">
      <c r="A76" s="27" t="s">
        <v>273</v>
      </c>
      <c r="B76" s="54" t="s">
        <v>651</v>
      </c>
      <c r="C76" s="61" t="str">
        <f t="shared" si="12"/>
        <v>7조 - Layered - Testability</v>
      </c>
      <c r="D76" s="54" t="s">
        <v>651</v>
      </c>
      <c r="E76" s="61" t="str">
        <f t="shared" si="13"/>
        <v>7조 - Virtual Machine - Testability</v>
      </c>
      <c r="F76" s="54" t="s">
        <v>651</v>
      </c>
      <c r="G76" s="61" t="str">
        <f t="shared" si="14"/>
        <v>7조 - Microkernel - Testability</v>
      </c>
    </row>
    <row r="77" ht="16.5" customHeight="1">
      <c r="A77" s="27" t="s">
        <v>305</v>
      </c>
      <c r="B77" s="54" t="s">
        <v>651</v>
      </c>
      <c r="C77" s="61" t="str">
        <f t="shared" si="12"/>
        <v>7조 - Layered - Usability</v>
      </c>
      <c r="D77" s="54" t="s">
        <v>651</v>
      </c>
      <c r="E77" s="61" t="str">
        <f t="shared" si="13"/>
        <v>7조 - Virtual Machine - Usability</v>
      </c>
      <c r="F77" s="54" t="s">
        <v>651</v>
      </c>
      <c r="G77" s="61" t="str">
        <f t="shared" si="14"/>
        <v>7조 - Microkernel - Usability</v>
      </c>
    </row>
    <row r="78" ht="16.5" customHeight="1">
      <c r="A78" s="34"/>
      <c r="B78" s="42" t="s">
        <v>651</v>
      </c>
      <c r="C78" s="42" t="s">
        <v>651</v>
      </c>
      <c r="D78" s="42" t="s">
        <v>651</v>
      </c>
      <c r="E78" s="42" t="s">
        <v>651</v>
      </c>
      <c r="F78" s="42" t="s">
        <v>651</v>
      </c>
      <c r="G78" s="42" t="s">
        <v>651</v>
      </c>
    </row>
    <row r="79" ht="16.5" customHeight="1">
      <c r="A79" s="24" t="s">
        <v>386</v>
      </c>
      <c r="B79" s="73" t="s">
        <v>627</v>
      </c>
      <c r="C79" s="19"/>
      <c r="D79" s="73" t="s">
        <v>392</v>
      </c>
      <c r="E79" s="19"/>
    </row>
    <row r="80" ht="16.5" customHeight="1">
      <c r="A80" s="20"/>
      <c r="B80" s="26" t="s">
        <v>12</v>
      </c>
      <c r="C80" s="26" t="s">
        <v>13</v>
      </c>
      <c r="D80" s="26" t="s">
        <v>12</v>
      </c>
      <c r="E80" s="26" t="s">
        <v>13</v>
      </c>
    </row>
    <row r="81" ht="16.5" customHeight="1">
      <c r="A81" s="27" t="s">
        <v>14</v>
      </c>
      <c r="B81" s="54" t="s">
        <v>651</v>
      </c>
      <c r="C81" s="61" t="str">
        <f t="shared" ref="C81:C90" si="15">"7조" &amp; " - " &amp; B$79 &amp; " - " &amp; $A81</f>
        <v>7조 - Multi-tier - Availability</v>
      </c>
      <c r="D81" s="54" t="s">
        <v>651</v>
      </c>
      <c r="E81" s="61" t="str">
        <f t="shared" ref="E81:E90" si="16">"7조" &amp; " - " &amp; D$79 &amp; " - " &amp; $A81</f>
        <v>7조 - Client-Server - Availability</v>
      </c>
    </row>
    <row r="82" ht="16.5" customHeight="1">
      <c r="A82" s="27" t="s">
        <v>44</v>
      </c>
      <c r="B82" s="54" t="s">
        <v>651</v>
      </c>
      <c r="C82" s="61" t="str">
        <f t="shared" si="15"/>
        <v>7조 - Multi-tier - Deployability</v>
      </c>
      <c r="D82" s="54" t="s">
        <v>651</v>
      </c>
      <c r="E82" s="61" t="str">
        <f t="shared" si="16"/>
        <v>7조 - Client-Server - Deployability</v>
      </c>
    </row>
    <row r="83" ht="16.5" customHeight="1">
      <c r="A83" s="27" t="s">
        <v>80</v>
      </c>
      <c r="B83" s="54" t="s">
        <v>651</v>
      </c>
      <c r="C83" s="61" t="str">
        <f t="shared" si="15"/>
        <v>7조 - Multi-tier - Integrability</v>
      </c>
      <c r="D83" s="54" t="s">
        <v>651</v>
      </c>
      <c r="E83" s="61" t="str">
        <f t="shared" si="16"/>
        <v>7조 - Client-Server - Integrability</v>
      </c>
    </row>
    <row r="84" ht="16.5" customHeight="1">
      <c r="A84" s="27" t="s">
        <v>113</v>
      </c>
      <c r="B84" s="54" t="s">
        <v>651</v>
      </c>
      <c r="C84" s="61" t="str">
        <f t="shared" si="15"/>
        <v>7조 - Multi-tier - Energy Efficiency</v>
      </c>
      <c r="D84" s="54" t="s">
        <v>651</v>
      </c>
      <c r="E84" s="61" t="str">
        <f t="shared" si="16"/>
        <v>7조 - Client-Server - Energy Efficiency</v>
      </c>
    </row>
    <row r="85" ht="16.5" customHeight="1">
      <c r="A85" s="27" t="s">
        <v>144</v>
      </c>
      <c r="B85" s="54" t="s">
        <v>651</v>
      </c>
      <c r="C85" s="61" t="str">
        <f t="shared" si="15"/>
        <v>7조 - Multi-tier - Modifiability</v>
      </c>
      <c r="D85" s="54" t="s">
        <v>651</v>
      </c>
      <c r="E85" s="61" t="str">
        <f t="shared" si="16"/>
        <v>7조 - Client-Server - Modifiability</v>
      </c>
    </row>
    <row r="86" ht="16.5" customHeight="1">
      <c r="A86" s="27" t="s">
        <v>176</v>
      </c>
      <c r="B86" s="54" t="s">
        <v>651</v>
      </c>
      <c r="C86" s="61" t="str">
        <f t="shared" si="15"/>
        <v>7조 - Multi-tier - Performance</v>
      </c>
      <c r="D86" s="54" t="s">
        <v>651</v>
      </c>
      <c r="E86" s="61" t="str">
        <f t="shared" si="16"/>
        <v>7조 - Client-Server - Performance</v>
      </c>
    </row>
    <row r="87" ht="16.5" customHeight="1">
      <c r="A87" s="27" t="s">
        <v>208</v>
      </c>
      <c r="B87" s="54" t="s">
        <v>651</v>
      </c>
      <c r="C87" s="61" t="str">
        <f t="shared" si="15"/>
        <v>7조 - Multi-tier - Safety</v>
      </c>
      <c r="D87" s="54" t="s">
        <v>651</v>
      </c>
      <c r="E87" s="61" t="str">
        <f t="shared" si="16"/>
        <v>7조 - Client-Server - Safety</v>
      </c>
    </row>
    <row r="88" ht="16.5" customHeight="1">
      <c r="A88" s="27" t="s">
        <v>242</v>
      </c>
      <c r="B88" s="54" t="s">
        <v>651</v>
      </c>
      <c r="C88" s="61" t="str">
        <f t="shared" si="15"/>
        <v>7조 - Multi-tier - Security</v>
      </c>
      <c r="D88" s="54" t="s">
        <v>651</v>
      </c>
      <c r="E88" s="61" t="str">
        <f t="shared" si="16"/>
        <v>7조 - Client-Server - Security</v>
      </c>
    </row>
    <row r="89" ht="16.5" customHeight="1">
      <c r="A89" s="27" t="s">
        <v>273</v>
      </c>
      <c r="B89" s="54" t="s">
        <v>651</v>
      </c>
      <c r="C89" s="61" t="str">
        <f t="shared" si="15"/>
        <v>7조 - Multi-tier - Testability</v>
      </c>
      <c r="D89" s="54" t="s">
        <v>651</v>
      </c>
      <c r="E89" s="61" t="str">
        <f t="shared" si="16"/>
        <v>7조 - Client-Server - Testability</v>
      </c>
    </row>
    <row r="90" ht="16.5" customHeight="1">
      <c r="A90" s="27" t="s">
        <v>305</v>
      </c>
      <c r="B90" s="54" t="s">
        <v>651</v>
      </c>
      <c r="C90" s="61" t="str">
        <f t="shared" si="15"/>
        <v>7조 - Multi-tier - Usability</v>
      </c>
      <c r="D90" s="54" t="s">
        <v>651</v>
      </c>
      <c r="E90" s="61" t="str">
        <f t="shared" si="16"/>
        <v>7조 - Client-Server - Usability</v>
      </c>
    </row>
    <row r="91" ht="16.5" customHeight="1">
      <c r="A91" s="34"/>
      <c r="B91" s="42" t="s">
        <v>651</v>
      </c>
      <c r="C91" s="34"/>
      <c r="D91" s="42" t="s">
        <v>651</v>
      </c>
      <c r="E91" s="34"/>
      <c r="F91" s="42" t="s">
        <v>651</v>
      </c>
      <c r="G91" s="34"/>
    </row>
    <row r="92" ht="16.5" customHeight="1">
      <c r="A92" s="24" t="s">
        <v>386</v>
      </c>
      <c r="B92" s="73" t="s">
        <v>499</v>
      </c>
      <c r="C92" s="19"/>
      <c r="D92" s="46" t="s">
        <v>502</v>
      </c>
      <c r="E92" s="19"/>
    </row>
    <row r="93" ht="16.5" customHeight="1">
      <c r="A93" s="20"/>
      <c r="B93" s="26" t="s">
        <v>12</v>
      </c>
      <c r="C93" s="26" t="s">
        <v>13</v>
      </c>
      <c r="D93" s="26" t="s">
        <v>12</v>
      </c>
      <c r="E93" s="26" t="s">
        <v>13</v>
      </c>
    </row>
    <row r="94" ht="16.5" customHeight="1">
      <c r="A94" s="27" t="s">
        <v>14</v>
      </c>
      <c r="B94" s="54" t="s">
        <v>651</v>
      </c>
      <c r="C94" s="61" t="str">
        <f t="shared" ref="C94:C103" si="17">"7조" &amp; " - " &amp; B$92 &amp; " - " &amp; $A94</f>
        <v>7조 - Broker - Availability</v>
      </c>
      <c r="D94" s="54" t="s">
        <v>651</v>
      </c>
      <c r="E94" s="61" t="str">
        <f t="shared" ref="E94:E103" si="18">"7조" &amp; " - " &amp; D$92 &amp; " - " &amp; $A94</f>
        <v>7조 - Dispatcher - Availability</v>
      </c>
    </row>
    <row r="95" ht="16.5" customHeight="1">
      <c r="A95" s="27" t="s">
        <v>44</v>
      </c>
      <c r="B95" s="54" t="s">
        <v>651</v>
      </c>
      <c r="C95" s="61" t="str">
        <f t="shared" si="17"/>
        <v>7조 - Broker - Deployability</v>
      </c>
      <c r="D95" s="54" t="s">
        <v>651</v>
      </c>
      <c r="E95" s="61" t="str">
        <f t="shared" si="18"/>
        <v>7조 - Dispatcher - Deployability</v>
      </c>
    </row>
    <row r="96" ht="16.5" customHeight="1">
      <c r="A96" s="27" t="s">
        <v>80</v>
      </c>
      <c r="B96" s="54" t="s">
        <v>651</v>
      </c>
      <c r="C96" s="61" t="str">
        <f t="shared" si="17"/>
        <v>7조 - Broker - Integrability</v>
      </c>
      <c r="D96" s="54" t="s">
        <v>651</v>
      </c>
      <c r="E96" s="61" t="str">
        <f t="shared" si="18"/>
        <v>7조 - Dispatcher - Integrability</v>
      </c>
    </row>
    <row r="97" ht="16.5" customHeight="1">
      <c r="A97" s="27" t="s">
        <v>113</v>
      </c>
      <c r="B97" s="54" t="s">
        <v>651</v>
      </c>
      <c r="C97" s="61" t="str">
        <f t="shared" si="17"/>
        <v>7조 - Broker - Energy Efficiency</v>
      </c>
      <c r="D97" s="54" t="s">
        <v>651</v>
      </c>
      <c r="E97" s="61" t="str">
        <f t="shared" si="18"/>
        <v>7조 - Dispatcher - Energy Efficiency</v>
      </c>
    </row>
    <row r="98" ht="16.5" customHeight="1">
      <c r="A98" s="27" t="s">
        <v>144</v>
      </c>
      <c r="B98" s="54" t="s">
        <v>651</v>
      </c>
      <c r="C98" s="61" t="str">
        <f t="shared" si="17"/>
        <v>7조 - Broker - Modifiability</v>
      </c>
      <c r="D98" s="54" t="s">
        <v>651</v>
      </c>
      <c r="E98" s="61" t="str">
        <f t="shared" si="18"/>
        <v>7조 - Dispatcher - Modifiability</v>
      </c>
    </row>
    <row r="99" ht="16.5" customHeight="1">
      <c r="A99" s="27" t="s">
        <v>176</v>
      </c>
      <c r="B99" s="54" t="s">
        <v>651</v>
      </c>
      <c r="C99" s="61" t="str">
        <f t="shared" si="17"/>
        <v>7조 - Broker - Performance</v>
      </c>
      <c r="D99" s="54" t="s">
        <v>651</v>
      </c>
      <c r="E99" s="61" t="str">
        <f t="shared" si="18"/>
        <v>7조 - Dispatcher - Performance</v>
      </c>
    </row>
    <row r="100" ht="16.5" customHeight="1">
      <c r="A100" s="27" t="s">
        <v>208</v>
      </c>
      <c r="B100" s="54" t="s">
        <v>651</v>
      </c>
      <c r="C100" s="61" t="str">
        <f t="shared" si="17"/>
        <v>7조 - Broker - Safety</v>
      </c>
      <c r="D100" s="54" t="s">
        <v>651</v>
      </c>
      <c r="E100" s="61" t="str">
        <f t="shared" si="18"/>
        <v>7조 - Dispatcher - Safety</v>
      </c>
    </row>
    <row r="101" ht="16.5" customHeight="1">
      <c r="A101" s="27" t="s">
        <v>242</v>
      </c>
      <c r="B101" s="54" t="s">
        <v>651</v>
      </c>
      <c r="C101" s="61" t="str">
        <f t="shared" si="17"/>
        <v>7조 - Broker - Security</v>
      </c>
      <c r="D101" s="54" t="s">
        <v>651</v>
      </c>
      <c r="E101" s="61" t="str">
        <f t="shared" si="18"/>
        <v>7조 - Dispatcher - Security</v>
      </c>
    </row>
    <row r="102" ht="16.5" customHeight="1">
      <c r="A102" s="27" t="s">
        <v>273</v>
      </c>
      <c r="B102" s="54" t="s">
        <v>651</v>
      </c>
      <c r="C102" s="61" t="str">
        <f t="shared" si="17"/>
        <v>7조 - Broker - Testability</v>
      </c>
      <c r="D102" s="54" t="s">
        <v>651</v>
      </c>
      <c r="E102" s="61" t="str">
        <f t="shared" si="18"/>
        <v>7조 - Dispatcher - Testability</v>
      </c>
    </row>
    <row r="103" ht="16.5" customHeight="1">
      <c r="A103" s="27" t="s">
        <v>305</v>
      </c>
      <c r="B103" s="54" t="s">
        <v>651</v>
      </c>
      <c r="C103" s="61" t="str">
        <f t="shared" si="17"/>
        <v>7조 - Broker - Usability</v>
      </c>
      <c r="D103" s="54" t="s">
        <v>651</v>
      </c>
      <c r="E103" s="61" t="str">
        <f t="shared" si="18"/>
        <v>7조 - Dispatcher - Usability</v>
      </c>
    </row>
    <row r="104" ht="16.5" customHeight="1">
      <c r="A104" s="34"/>
      <c r="B104" s="42" t="s">
        <v>651</v>
      </c>
      <c r="C104" s="34"/>
      <c r="D104" s="42" t="s">
        <v>651</v>
      </c>
      <c r="E104" s="34"/>
      <c r="F104" s="34"/>
      <c r="G104" s="34"/>
    </row>
    <row r="105" ht="16.5" customHeight="1">
      <c r="A105" s="24" t="s">
        <v>386</v>
      </c>
      <c r="B105" s="73" t="s">
        <v>568</v>
      </c>
      <c r="C105" s="19"/>
      <c r="D105" s="46" t="s">
        <v>739</v>
      </c>
      <c r="E105" s="19"/>
    </row>
    <row r="106" ht="16.5" customHeight="1">
      <c r="A106" s="20"/>
      <c r="B106" s="26" t="s">
        <v>12</v>
      </c>
      <c r="C106" s="26" t="s">
        <v>13</v>
      </c>
      <c r="D106" s="26" t="s">
        <v>12</v>
      </c>
      <c r="E106" s="26" t="s">
        <v>13</v>
      </c>
    </row>
    <row r="107" ht="16.5" customHeight="1">
      <c r="A107" s="27" t="s">
        <v>14</v>
      </c>
      <c r="B107" s="54" t="s">
        <v>651</v>
      </c>
      <c r="C107" s="61" t="str">
        <f t="shared" ref="C107:C116" si="19">"7조" &amp; " - " &amp; B$105 &amp; " - " &amp; $A107</f>
        <v>7조 - SOA - Availability</v>
      </c>
      <c r="D107" s="54" t="s">
        <v>651</v>
      </c>
      <c r="E107" s="61" t="str">
        <f t="shared" ref="E107:E116" si="20">"7조" &amp; " - " &amp; D$105 &amp; " - " &amp; $A107</f>
        <v>7조 - Mico-Service - Availability</v>
      </c>
    </row>
    <row r="108" ht="16.5" customHeight="1">
      <c r="A108" s="27" t="s">
        <v>44</v>
      </c>
      <c r="B108" s="54" t="s">
        <v>651</v>
      </c>
      <c r="C108" s="61" t="str">
        <f t="shared" si="19"/>
        <v>7조 - SOA - Deployability</v>
      </c>
      <c r="D108" s="54" t="s">
        <v>651</v>
      </c>
      <c r="E108" s="61" t="str">
        <f t="shared" si="20"/>
        <v>7조 - Mico-Service - Deployability</v>
      </c>
    </row>
    <row r="109" ht="16.5" customHeight="1">
      <c r="A109" s="27" t="s">
        <v>80</v>
      </c>
      <c r="B109" s="54" t="s">
        <v>651</v>
      </c>
      <c r="C109" s="61" t="str">
        <f t="shared" si="19"/>
        <v>7조 - SOA - Integrability</v>
      </c>
      <c r="D109" s="54" t="s">
        <v>651</v>
      </c>
      <c r="E109" s="61" t="str">
        <f t="shared" si="20"/>
        <v>7조 - Mico-Service - Integrability</v>
      </c>
    </row>
    <row r="110" ht="16.5" customHeight="1">
      <c r="A110" s="27" t="s">
        <v>113</v>
      </c>
      <c r="B110" s="54" t="s">
        <v>651</v>
      </c>
      <c r="C110" s="61" t="str">
        <f t="shared" si="19"/>
        <v>7조 - SOA - Energy Efficiency</v>
      </c>
      <c r="D110" s="54" t="s">
        <v>651</v>
      </c>
      <c r="E110" s="61" t="str">
        <f t="shared" si="20"/>
        <v>7조 - Mico-Service - Energy Efficiency</v>
      </c>
    </row>
    <row r="111" ht="16.5" customHeight="1">
      <c r="A111" s="27" t="s">
        <v>144</v>
      </c>
      <c r="B111" s="54" t="s">
        <v>651</v>
      </c>
      <c r="C111" s="61" t="str">
        <f t="shared" si="19"/>
        <v>7조 - SOA - Modifiability</v>
      </c>
      <c r="D111" s="54" t="s">
        <v>651</v>
      </c>
      <c r="E111" s="61" t="str">
        <f t="shared" si="20"/>
        <v>7조 - Mico-Service - Modifiability</v>
      </c>
    </row>
    <row r="112" ht="16.5" customHeight="1">
      <c r="A112" s="27" t="s">
        <v>176</v>
      </c>
      <c r="B112" s="54" t="s">
        <v>651</v>
      </c>
      <c r="C112" s="61" t="str">
        <f t="shared" si="19"/>
        <v>7조 - SOA - Performance</v>
      </c>
      <c r="D112" s="54" t="s">
        <v>651</v>
      </c>
      <c r="E112" s="61" t="str">
        <f t="shared" si="20"/>
        <v>7조 - Mico-Service - Performance</v>
      </c>
    </row>
    <row r="113" ht="16.5" customHeight="1">
      <c r="A113" s="27" t="s">
        <v>208</v>
      </c>
      <c r="B113" s="54" t="s">
        <v>651</v>
      </c>
      <c r="C113" s="61" t="str">
        <f t="shared" si="19"/>
        <v>7조 - SOA - Safety</v>
      </c>
      <c r="D113" s="54" t="s">
        <v>651</v>
      </c>
      <c r="E113" s="61" t="str">
        <f t="shared" si="20"/>
        <v>7조 - Mico-Service - Safety</v>
      </c>
    </row>
    <row r="114" ht="16.5" customHeight="1">
      <c r="A114" s="27" t="s">
        <v>242</v>
      </c>
      <c r="B114" s="54" t="s">
        <v>651</v>
      </c>
      <c r="C114" s="61" t="str">
        <f t="shared" si="19"/>
        <v>7조 - SOA - Security</v>
      </c>
      <c r="D114" s="54" t="s">
        <v>651</v>
      </c>
      <c r="E114" s="61" t="str">
        <f t="shared" si="20"/>
        <v>7조 - Mico-Service - Security</v>
      </c>
    </row>
    <row r="115" ht="16.5" customHeight="1">
      <c r="A115" s="27" t="s">
        <v>273</v>
      </c>
      <c r="B115" s="54" t="s">
        <v>651</v>
      </c>
      <c r="C115" s="61" t="str">
        <f t="shared" si="19"/>
        <v>7조 - SOA - Testability</v>
      </c>
      <c r="D115" s="54" t="s">
        <v>651</v>
      </c>
      <c r="E115" s="61" t="str">
        <f t="shared" si="20"/>
        <v>7조 - Mico-Service - Testability</v>
      </c>
    </row>
    <row r="116" ht="16.5" customHeight="1">
      <c r="A116" s="27" t="s">
        <v>305</v>
      </c>
      <c r="B116" s="54" t="s">
        <v>651</v>
      </c>
      <c r="C116" s="61" t="str">
        <f t="shared" si="19"/>
        <v>7조 - SOA - Usability</v>
      </c>
      <c r="D116" s="54" t="s">
        <v>651</v>
      </c>
      <c r="E116" s="61" t="str">
        <f t="shared" si="20"/>
        <v>7조 - Mico-Service - Usability</v>
      </c>
    </row>
    <row r="117" ht="16.5" customHeight="1">
      <c r="A117" s="34"/>
      <c r="B117" s="42" t="s">
        <v>651</v>
      </c>
      <c r="C117" s="34"/>
      <c r="D117" s="42" t="s">
        <v>651</v>
      </c>
      <c r="E117" s="34"/>
      <c r="F117" s="34"/>
      <c r="G117" s="34"/>
    </row>
    <row r="118" ht="16.5" customHeight="1">
      <c r="A118" s="24" t="s">
        <v>599</v>
      </c>
      <c r="B118" s="46" t="s">
        <v>600</v>
      </c>
      <c r="C118" s="19"/>
      <c r="D118" s="46" t="s">
        <v>601</v>
      </c>
      <c r="E118" s="19"/>
      <c r="F118" s="46" t="s">
        <v>603</v>
      </c>
      <c r="G118" s="19"/>
    </row>
    <row r="119" ht="16.5" customHeight="1">
      <c r="A119" s="20"/>
      <c r="B119" s="26" t="s">
        <v>12</v>
      </c>
      <c r="C119" s="26" t="s">
        <v>13</v>
      </c>
      <c r="D119" s="26" t="s">
        <v>12</v>
      </c>
      <c r="E119" s="26" t="s">
        <v>13</v>
      </c>
      <c r="F119" s="26" t="s">
        <v>12</v>
      </c>
      <c r="G119" s="26" t="s">
        <v>13</v>
      </c>
    </row>
    <row r="120" ht="16.5" customHeight="1">
      <c r="A120" s="27" t="s">
        <v>14</v>
      </c>
      <c r="B120" s="54" t="s">
        <v>651</v>
      </c>
      <c r="C120" s="61" t="str">
        <f t="shared" ref="C120:C129" si="21">"7조" &amp; " - " &amp; B$118 &amp; " - " &amp; $A120</f>
        <v>7조 - Container-based - Availability</v>
      </c>
      <c r="D120" s="54" t="s">
        <v>651</v>
      </c>
      <c r="E120" s="61" t="str">
        <f t="shared" ref="E120:E129" si="22">"7조" &amp; " - " &amp; D$118 &amp; " - " &amp; $A120</f>
        <v>7조 - Cloud-based - Availability</v>
      </c>
      <c r="F120" s="54" t="s">
        <v>651</v>
      </c>
      <c r="G120" s="61" t="str">
        <f t="shared" ref="G120:G129" si="23">"7조" &amp; " - " &amp; F$118 &amp; " - " &amp; $A120</f>
        <v>7조 - Edge-based - Availability</v>
      </c>
    </row>
    <row r="121" ht="16.5" customHeight="1">
      <c r="A121" s="27" t="s">
        <v>44</v>
      </c>
      <c r="B121" s="54" t="s">
        <v>651</v>
      </c>
      <c r="C121" s="61" t="str">
        <f t="shared" si="21"/>
        <v>7조 - Container-based - Deployability</v>
      </c>
      <c r="D121" s="54" t="s">
        <v>651</v>
      </c>
      <c r="E121" s="61" t="str">
        <f t="shared" si="22"/>
        <v>7조 - Cloud-based - Deployability</v>
      </c>
      <c r="F121" s="54" t="s">
        <v>651</v>
      </c>
      <c r="G121" s="61" t="str">
        <f t="shared" si="23"/>
        <v>7조 - Edge-based - Deployability</v>
      </c>
    </row>
    <row r="122" ht="16.5" customHeight="1">
      <c r="A122" s="27" t="s">
        <v>80</v>
      </c>
      <c r="B122" s="54" t="s">
        <v>651</v>
      </c>
      <c r="C122" s="61" t="str">
        <f t="shared" si="21"/>
        <v>7조 - Container-based - Integrability</v>
      </c>
      <c r="D122" s="54" t="s">
        <v>651</v>
      </c>
      <c r="E122" s="61" t="str">
        <f t="shared" si="22"/>
        <v>7조 - Cloud-based - Integrability</v>
      </c>
      <c r="F122" s="54" t="s">
        <v>651</v>
      </c>
      <c r="G122" s="61" t="str">
        <f t="shared" si="23"/>
        <v>7조 - Edge-based - Integrability</v>
      </c>
    </row>
    <row r="123" ht="16.5" customHeight="1">
      <c r="A123" s="27" t="s">
        <v>113</v>
      </c>
      <c r="B123" s="54" t="s">
        <v>651</v>
      </c>
      <c r="C123" s="61" t="str">
        <f t="shared" si="21"/>
        <v>7조 - Container-based - Energy Efficiency</v>
      </c>
      <c r="D123" s="54" t="s">
        <v>651</v>
      </c>
      <c r="E123" s="61" t="str">
        <f t="shared" si="22"/>
        <v>7조 - Cloud-based - Energy Efficiency</v>
      </c>
      <c r="F123" s="54" t="s">
        <v>651</v>
      </c>
      <c r="G123" s="61" t="str">
        <f t="shared" si="23"/>
        <v>7조 - Edge-based - Energy Efficiency</v>
      </c>
    </row>
    <row r="124" ht="16.5" customHeight="1">
      <c r="A124" s="27" t="s">
        <v>144</v>
      </c>
      <c r="B124" s="54" t="s">
        <v>651</v>
      </c>
      <c r="C124" s="61" t="str">
        <f t="shared" si="21"/>
        <v>7조 - Container-based - Modifiability</v>
      </c>
      <c r="D124" s="54" t="s">
        <v>651</v>
      </c>
      <c r="E124" s="61" t="str">
        <f t="shared" si="22"/>
        <v>7조 - Cloud-based - Modifiability</v>
      </c>
      <c r="F124" s="54" t="s">
        <v>651</v>
      </c>
      <c r="G124" s="61" t="str">
        <f t="shared" si="23"/>
        <v>7조 - Edge-based - Modifiability</v>
      </c>
    </row>
    <row r="125" ht="16.5" customHeight="1">
      <c r="A125" s="27" t="s">
        <v>176</v>
      </c>
      <c r="B125" s="54" t="s">
        <v>651</v>
      </c>
      <c r="C125" s="61" t="str">
        <f t="shared" si="21"/>
        <v>7조 - Container-based - Performance</v>
      </c>
      <c r="D125" s="54" t="s">
        <v>651</v>
      </c>
      <c r="E125" s="61" t="str">
        <f t="shared" si="22"/>
        <v>7조 - Cloud-based - Performance</v>
      </c>
      <c r="F125" s="54" t="s">
        <v>651</v>
      </c>
      <c r="G125" s="61" t="str">
        <f t="shared" si="23"/>
        <v>7조 - Edge-based - Performance</v>
      </c>
    </row>
    <row r="126" ht="16.5" customHeight="1">
      <c r="A126" s="27" t="s">
        <v>208</v>
      </c>
      <c r="B126" s="54" t="s">
        <v>651</v>
      </c>
      <c r="C126" s="61" t="str">
        <f t="shared" si="21"/>
        <v>7조 - Container-based - Safety</v>
      </c>
      <c r="D126" s="54" t="s">
        <v>651</v>
      </c>
      <c r="E126" s="61" t="str">
        <f t="shared" si="22"/>
        <v>7조 - Cloud-based - Safety</v>
      </c>
      <c r="F126" s="54" t="s">
        <v>651</v>
      </c>
      <c r="G126" s="61" t="str">
        <f t="shared" si="23"/>
        <v>7조 - Edge-based - Safety</v>
      </c>
    </row>
    <row r="127" ht="16.5" customHeight="1">
      <c r="A127" s="27" t="s">
        <v>242</v>
      </c>
      <c r="B127" s="54" t="s">
        <v>651</v>
      </c>
      <c r="C127" s="61" t="str">
        <f t="shared" si="21"/>
        <v>7조 - Container-based - Security</v>
      </c>
      <c r="D127" s="54" t="s">
        <v>651</v>
      </c>
      <c r="E127" s="61" t="str">
        <f t="shared" si="22"/>
        <v>7조 - Cloud-based - Security</v>
      </c>
      <c r="F127" s="54" t="s">
        <v>651</v>
      </c>
      <c r="G127" s="61" t="str">
        <f t="shared" si="23"/>
        <v>7조 - Edge-based - Security</v>
      </c>
    </row>
    <row r="128" ht="16.5" customHeight="1">
      <c r="A128" s="27" t="s">
        <v>273</v>
      </c>
      <c r="B128" s="54" t="s">
        <v>651</v>
      </c>
      <c r="C128" s="61" t="str">
        <f t="shared" si="21"/>
        <v>7조 - Container-based - Testability</v>
      </c>
      <c r="D128" s="54" t="s">
        <v>651</v>
      </c>
      <c r="E128" s="61" t="str">
        <f t="shared" si="22"/>
        <v>7조 - Cloud-based - Testability</v>
      </c>
      <c r="F128" s="54" t="s">
        <v>651</v>
      </c>
      <c r="G128" s="61" t="str">
        <f t="shared" si="23"/>
        <v>7조 - Edge-based - Testability</v>
      </c>
    </row>
    <row r="129" ht="16.5" customHeight="1">
      <c r="A129" s="27" t="s">
        <v>305</v>
      </c>
      <c r="B129" s="54" t="s">
        <v>651</v>
      </c>
      <c r="C129" s="61" t="str">
        <f t="shared" si="21"/>
        <v>7조 - Container-based - Usability</v>
      </c>
      <c r="D129" s="54" t="s">
        <v>651</v>
      </c>
      <c r="E129" s="61" t="str">
        <f t="shared" si="22"/>
        <v>7조 - Cloud-based - Usability</v>
      </c>
      <c r="F129" s="54" t="s">
        <v>651</v>
      </c>
      <c r="G129" s="61" t="str">
        <f t="shared" si="23"/>
        <v>7조 - Edge-based - Usability</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0.57"/>
    <col customWidth="1" min="4" max="4" width="9.86"/>
    <col customWidth="1" min="5" max="5" width="64.43"/>
    <col customWidth="1" min="6" max="6" width="11.43"/>
    <col customWidth="1" min="7" max="7" width="61.57"/>
    <col customWidth="1" min="8" max="8" width="8.86"/>
    <col customWidth="1" min="9" max="9" width="64.14"/>
  </cols>
  <sheetData>
    <row r="1" ht="16.5" customHeight="1">
      <c r="A1" s="24" t="s">
        <v>610</v>
      </c>
      <c r="B1" s="46" t="s">
        <v>2</v>
      </c>
      <c r="C1" s="19"/>
      <c r="D1" s="46" t="s">
        <v>6</v>
      </c>
      <c r="E1" s="19"/>
      <c r="F1" s="46" t="s">
        <v>10</v>
      </c>
      <c r="G1" s="19"/>
    </row>
    <row r="2" ht="16.5" customHeight="1">
      <c r="A2" s="20"/>
      <c r="B2" s="26" t="s">
        <v>12</v>
      </c>
      <c r="C2" s="26" t="s">
        <v>13</v>
      </c>
      <c r="D2" s="26" t="s">
        <v>12</v>
      </c>
      <c r="E2" s="26" t="s">
        <v>13</v>
      </c>
      <c r="F2" s="26" t="s">
        <v>12</v>
      </c>
      <c r="G2" s="26" t="s">
        <v>13</v>
      </c>
    </row>
    <row r="3" ht="16.5" customHeight="1">
      <c r="A3" s="27" t="s">
        <v>14</v>
      </c>
      <c r="B3" s="54" t="s">
        <v>651</v>
      </c>
      <c r="C3" s="61" t="str">
        <f t="shared" ref="C3:C12" si="1">"8조" &amp; " - " &amp; B$1 &amp; " - " &amp; $A3</f>
        <v>8조 - Batch Sequential - Availability</v>
      </c>
      <c r="D3" s="54" t="s">
        <v>651</v>
      </c>
      <c r="E3" s="61" t="str">
        <f t="shared" ref="E3:E12" si="2">"8조" &amp; " - " &amp; D$1 &amp; " - " &amp; $A3</f>
        <v>8조 - Pipe and Filter - Availability</v>
      </c>
      <c r="F3" s="54" t="s">
        <v>651</v>
      </c>
      <c r="G3" s="61" t="str">
        <f t="shared" ref="G3:G12" si="3">"8조" &amp; " - " &amp; F$1 &amp; " - " &amp; $A3</f>
        <v>8조 - Process Control - Availability</v>
      </c>
    </row>
    <row r="4" ht="16.5" customHeight="1">
      <c r="A4" s="27" t="s">
        <v>44</v>
      </c>
      <c r="B4" s="54" t="s">
        <v>651</v>
      </c>
      <c r="C4" s="61" t="str">
        <f t="shared" si="1"/>
        <v>8조 - Batch Sequential - Deployability</v>
      </c>
      <c r="D4" s="54" t="s">
        <v>651</v>
      </c>
      <c r="E4" s="61" t="str">
        <f t="shared" si="2"/>
        <v>8조 - Pipe and Filter - Deployability</v>
      </c>
      <c r="F4" s="54" t="s">
        <v>651</v>
      </c>
      <c r="G4" s="61" t="str">
        <f t="shared" si="3"/>
        <v>8조 - Process Control - Deployability</v>
      </c>
    </row>
    <row r="5" ht="16.5" customHeight="1">
      <c r="A5" s="27" t="s">
        <v>80</v>
      </c>
      <c r="B5" s="54" t="s">
        <v>651</v>
      </c>
      <c r="C5" s="61" t="str">
        <f t="shared" si="1"/>
        <v>8조 - Batch Sequential - Integrability</v>
      </c>
      <c r="D5" s="54" t="s">
        <v>651</v>
      </c>
      <c r="E5" s="65" t="str">
        <f t="shared" si="2"/>
        <v>8조 - Pipe and Filter - Integrability</v>
      </c>
      <c r="F5" s="54" t="s">
        <v>651</v>
      </c>
      <c r="G5" s="61" t="str">
        <f t="shared" si="3"/>
        <v>8조 - Process Control - Integrability</v>
      </c>
    </row>
    <row r="6" ht="16.5" customHeight="1">
      <c r="A6" s="27" t="s">
        <v>113</v>
      </c>
      <c r="B6" s="54" t="s">
        <v>651</v>
      </c>
      <c r="C6" s="61" t="str">
        <f t="shared" si="1"/>
        <v>8조 - Batch Sequential - Energy Efficiency</v>
      </c>
      <c r="D6" s="54" t="s">
        <v>651</v>
      </c>
      <c r="E6" s="61" t="str">
        <f t="shared" si="2"/>
        <v>8조 - Pipe and Filter - Energy Efficiency</v>
      </c>
      <c r="F6" s="54" t="s">
        <v>651</v>
      </c>
      <c r="G6" s="61" t="str">
        <f t="shared" si="3"/>
        <v>8조 - Process Control - Energy Efficiency</v>
      </c>
    </row>
    <row r="7" ht="16.5" customHeight="1">
      <c r="A7" s="27" t="s">
        <v>144</v>
      </c>
      <c r="B7" s="54" t="s">
        <v>651</v>
      </c>
      <c r="C7" s="61" t="str">
        <f t="shared" si="1"/>
        <v>8조 - Batch Sequential - Modifiability</v>
      </c>
      <c r="D7" s="54" t="s">
        <v>651</v>
      </c>
      <c r="E7" s="61" t="str">
        <f t="shared" si="2"/>
        <v>8조 - Pipe and Filter - Modifiability</v>
      </c>
      <c r="F7" s="54" t="s">
        <v>651</v>
      </c>
      <c r="G7" s="61" t="str">
        <f t="shared" si="3"/>
        <v>8조 - Process Control - Modifiability</v>
      </c>
    </row>
    <row r="8" ht="16.5" customHeight="1">
      <c r="A8" s="27" t="s">
        <v>176</v>
      </c>
      <c r="B8" s="54" t="s">
        <v>651</v>
      </c>
      <c r="C8" s="61" t="str">
        <f t="shared" si="1"/>
        <v>8조 - Batch Sequential - Performance</v>
      </c>
      <c r="D8" s="54" t="s">
        <v>651</v>
      </c>
      <c r="E8" s="61" t="str">
        <f t="shared" si="2"/>
        <v>8조 - Pipe and Filter - Performance</v>
      </c>
      <c r="F8" s="54" t="s">
        <v>651</v>
      </c>
      <c r="G8" s="61" t="str">
        <f t="shared" si="3"/>
        <v>8조 - Process Control - Performance</v>
      </c>
    </row>
    <row r="9" ht="16.5" customHeight="1">
      <c r="A9" s="27" t="s">
        <v>208</v>
      </c>
      <c r="B9" s="54" t="s">
        <v>651</v>
      </c>
      <c r="C9" s="61" t="str">
        <f t="shared" si="1"/>
        <v>8조 - Batch Sequential - Safety</v>
      </c>
      <c r="D9" s="54" t="s">
        <v>651</v>
      </c>
      <c r="E9" s="61" t="str">
        <f t="shared" si="2"/>
        <v>8조 - Pipe and Filter - Safety</v>
      </c>
      <c r="F9" s="54" t="s">
        <v>651</v>
      </c>
      <c r="G9" s="61" t="str">
        <f t="shared" si="3"/>
        <v>8조 - Process Control - Safety</v>
      </c>
    </row>
    <row r="10" ht="16.5" customHeight="1">
      <c r="A10" s="27" t="s">
        <v>242</v>
      </c>
      <c r="B10" s="54" t="s">
        <v>651</v>
      </c>
      <c r="C10" s="61" t="str">
        <f t="shared" si="1"/>
        <v>8조 - Batch Sequential - Security</v>
      </c>
      <c r="D10" s="54" t="s">
        <v>651</v>
      </c>
      <c r="E10" s="61" t="str">
        <f t="shared" si="2"/>
        <v>8조 - Pipe and Filter - Security</v>
      </c>
      <c r="F10" s="54" t="s">
        <v>651</v>
      </c>
      <c r="G10" s="61" t="str">
        <f t="shared" si="3"/>
        <v>8조 - Process Control - Security</v>
      </c>
    </row>
    <row r="11" ht="16.5" customHeight="1">
      <c r="A11" s="27" t="s">
        <v>273</v>
      </c>
      <c r="B11" s="54" t="s">
        <v>651</v>
      </c>
      <c r="C11" s="61" t="str">
        <f t="shared" si="1"/>
        <v>8조 - Batch Sequential - Testability</v>
      </c>
      <c r="D11" s="54" t="s">
        <v>651</v>
      </c>
      <c r="E11" s="61" t="str">
        <f t="shared" si="2"/>
        <v>8조 - Pipe and Filter - Testability</v>
      </c>
      <c r="F11" s="54" t="s">
        <v>651</v>
      </c>
      <c r="G11" s="61" t="str">
        <f t="shared" si="3"/>
        <v>8조 - Process Control - Testability</v>
      </c>
    </row>
    <row r="12" ht="16.5" customHeight="1">
      <c r="A12" s="27" t="s">
        <v>305</v>
      </c>
      <c r="B12" s="54" t="s">
        <v>651</v>
      </c>
      <c r="C12" s="61" t="str">
        <f t="shared" si="1"/>
        <v>8조 - Batch Sequential - Usability</v>
      </c>
      <c r="D12" s="54" t="s">
        <v>651</v>
      </c>
      <c r="E12" s="61" t="str">
        <f t="shared" si="2"/>
        <v>8조 - Pipe and Filter - Usability</v>
      </c>
      <c r="F12" s="54" t="s">
        <v>651</v>
      </c>
      <c r="G12" s="61" t="str">
        <f t="shared" si="3"/>
        <v>8조 - Process Control - Usability</v>
      </c>
    </row>
    <row r="13" ht="16.5" customHeight="1">
      <c r="A13" s="34"/>
      <c r="B13" s="42" t="s">
        <v>651</v>
      </c>
      <c r="C13" s="42" t="s">
        <v>651</v>
      </c>
      <c r="D13" s="42" t="s">
        <v>651</v>
      </c>
      <c r="E13" s="42" t="s">
        <v>651</v>
      </c>
      <c r="F13" s="42" t="s">
        <v>651</v>
      </c>
      <c r="G13" s="34"/>
    </row>
    <row r="14" ht="16.5" customHeight="1">
      <c r="A14" s="35" t="s">
        <v>0</v>
      </c>
      <c r="B14" s="73" t="s">
        <v>615</v>
      </c>
      <c r="C14" s="19"/>
      <c r="D14" s="73" t="s">
        <v>8</v>
      </c>
      <c r="E14" s="19"/>
      <c r="F14" s="34"/>
      <c r="G14" s="34"/>
    </row>
    <row r="15" ht="16.5" customHeight="1">
      <c r="A15" s="36"/>
      <c r="B15" s="37" t="s">
        <v>12</v>
      </c>
      <c r="C15" s="74" t="s">
        <v>13</v>
      </c>
      <c r="D15" s="37" t="s">
        <v>12</v>
      </c>
      <c r="E15" s="74" t="s">
        <v>13</v>
      </c>
      <c r="F15" s="34"/>
      <c r="G15" s="34"/>
    </row>
    <row r="16" ht="16.5" customHeight="1">
      <c r="A16" s="27" t="s">
        <v>14</v>
      </c>
      <c r="B16" s="54" t="s">
        <v>651</v>
      </c>
      <c r="C16" s="61" t="str">
        <f t="shared" ref="C16:C25" si="4">"8조" &amp; " - " &amp; B$14 &amp; " - " &amp; $A16</f>
        <v>8조 - Shared Respository - Availability</v>
      </c>
      <c r="D16" s="54" t="s">
        <v>651</v>
      </c>
      <c r="E16" s="61" t="str">
        <f t="shared" ref="E16:E25" si="5">"8조" &amp; " - " &amp; D$14 &amp; " - " &amp; $A16</f>
        <v>8조 - Blackboard - Availability</v>
      </c>
      <c r="F16" s="34"/>
      <c r="G16" s="34"/>
    </row>
    <row r="17" ht="16.5" customHeight="1">
      <c r="A17" s="27" t="s">
        <v>44</v>
      </c>
      <c r="B17" s="54" t="s">
        <v>651</v>
      </c>
      <c r="C17" s="61" t="str">
        <f t="shared" si="4"/>
        <v>8조 - Shared Respository - Deployability</v>
      </c>
      <c r="D17" s="54" t="s">
        <v>651</v>
      </c>
      <c r="E17" s="61" t="str">
        <f t="shared" si="5"/>
        <v>8조 - Blackboard - Deployability</v>
      </c>
      <c r="F17" s="34"/>
      <c r="G17" s="34"/>
    </row>
    <row r="18" ht="16.5" customHeight="1">
      <c r="A18" s="27" t="s">
        <v>80</v>
      </c>
      <c r="B18" s="54" t="s">
        <v>651</v>
      </c>
      <c r="C18" s="61" t="str">
        <f t="shared" si="4"/>
        <v>8조 - Shared Respository - Integrability</v>
      </c>
      <c r="D18" s="54" t="s">
        <v>651</v>
      </c>
      <c r="E18" s="61" t="str">
        <f t="shared" si="5"/>
        <v>8조 - Blackboard - Integrability</v>
      </c>
      <c r="F18" s="34"/>
      <c r="G18" s="34"/>
    </row>
    <row r="19" ht="16.5" customHeight="1">
      <c r="A19" s="27" t="s">
        <v>113</v>
      </c>
      <c r="B19" s="54" t="s">
        <v>651</v>
      </c>
      <c r="C19" s="61" t="str">
        <f t="shared" si="4"/>
        <v>8조 - Shared Respository - Energy Efficiency</v>
      </c>
      <c r="D19" s="54" t="s">
        <v>651</v>
      </c>
      <c r="E19" s="61" t="str">
        <f t="shared" si="5"/>
        <v>8조 - Blackboard - Energy Efficiency</v>
      </c>
      <c r="F19" s="34"/>
      <c r="G19" s="34"/>
    </row>
    <row r="20" ht="16.5" customHeight="1">
      <c r="A20" s="27" t="s">
        <v>144</v>
      </c>
      <c r="B20" s="54" t="s">
        <v>651</v>
      </c>
      <c r="C20" s="61" t="str">
        <f t="shared" si="4"/>
        <v>8조 - Shared Respository - Modifiability</v>
      </c>
      <c r="D20" s="54" t="s">
        <v>651</v>
      </c>
      <c r="E20" s="61" t="str">
        <f t="shared" si="5"/>
        <v>8조 - Blackboard - Modifiability</v>
      </c>
      <c r="F20" s="34"/>
      <c r="G20" s="34"/>
    </row>
    <row r="21" ht="16.5" customHeight="1">
      <c r="A21" s="27" t="s">
        <v>176</v>
      </c>
      <c r="B21" s="54" t="s">
        <v>651</v>
      </c>
      <c r="C21" s="61" t="str">
        <f t="shared" si="4"/>
        <v>8조 - Shared Respository - Performance</v>
      </c>
      <c r="D21" s="54" t="s">
        <v>651</v>
      </c>
      <c r="E21" s="61" t="str">
        <f t="shared" si="5"/>
        <v>8조 - Blackboard - Performance</v>
      </c>
      <c r="F21" s="34"/>
      <c r="G21" s="34"/>
    </row>
    <row r="22" ht="16.5" customHeight="1">
      <c r="A22" s="27" t="s">
        <v>208</v>
      </c>
      <c r="B22" s="54" t="s">
        <v>651</v>
      </c>
      <c r="C22" s="61" t="str">
        <f t="shared" si="4"/>
        <v>8조 - Shared Respository - Safety</v>
      </c>
      <c r="D22" s="54" t="s">
        <v>651</v>
      </c>
      <c r="E22" s="61" t="str">
        <f t="shared" si="5"/>
        <v>8조 - Blackboard - Safety</v>
      </c>
      <c r="F22" s="34"/>
      <c r="G22" s="34"/>
    </row>
    <row r="23" ht="16.5" customHeight="1">
      <c r="A23" s="27" t="s">
        <v>242</v>
      </c>
      <c r="B23" s="54" t="s">
        <v>651</v>
      </c>
      <c r="C23" s="61" t="str">
        <f t="shared" si="4"/>
        <v>8조 - Shared Respository - Security</v>
      </c>
      <c r="D23" s="54" t="s">
        <v>651</v>
      </c>
      <c r="E23" s="61" t="str">
        <f t="shared" si="5"/>
        <v>8조 - Blackboard - Security</v>
      </c>
      <c r="F23" s="34"/>
      <c r="G23" s="34"/>
    </row>
    <row r="24" ht="16.5" customHeight="1">
      <c r="A24" s="27" t="s">
        <v>273</v>
      </c>
      <c r="B24" s="54" t="s">
        <v>651</v>
      </c>
      <c r="C24" s="61" t="str">
        <f t="shared" si="4"/>
        <v>8조 - Shared Respository - Testability</v>
      </c>
      <c r="D24" s="54" t="s">
        <v>651</v>
      </c>
      <c r="E24" s="61" t="str">
        <f t="shared" si="5"/>
        <v>8조 - Blackboard - Testability</v>
      </c>
      <c r="F24" s="34"/>
      <c r="G24" s="34"/>
    </row>
    <row r="25" ht="16.5" customHeight="1">
      <c r="A25" s="27" t="s">
        <v>305</v>
      </c>
      <c r="B25" s="54" t="s">
        <v>651</v>
      </c>
      <c r="C25" s="61" t="str">
        <f t="shared" si="4"/>
        <v>8조 - Shared Respository - Usability</v>
      </c>
      <c r="D25" s="54" t="s">
        <v>651</v>
      </c>
      <c r="E25" s="61" t="str">
        <f t="shared" si="5"/>
        <v>8조 - Blackboard - Usability</v>
      </c>
      <c r="F25" s="34"/>
      <c r="G25" s="34"/>
    </row>
    <row r="26" ht="16.5" customHeight="1">
      <c r="A26" s="34"/>
      <c r="B26" s="42" t="s">
        <v>651</v>
      </c>
      <c r="C26" s="42" t="s">
        <v>651</v>
      </c>
      <c r="D26" s="42" t="s">
        <v>651</v>
      </c>
      <c r="E26" s="42" t="s">
        <v>651</v>
      </c>
      <c r="F26" s="34"/>
      <c r="G26" s="34"/>
    </row>
    <row r="27" ht="16.5" customHeight="1">
      <c r="A27" s="35" t="s">
        <v>3</v>
      </c>
      <c r="B27" s="73" t="s">
        <v>7</v>
      </c>
      <c r="C27" s="19"/>
      <c r="D27" s="73" t="s">
        <v>11</v>
      </c>
      <c r="E27" s="19"/>
      <c r="F27" s="34"/>
      <c r="G27" s="34"/>
    </row>
    <row r="28" ht="16.5" customHeight="1">
      <c r="A28" s="39"/>
      <c r="B28" s="26" t="s">
        <v>12</v>
      </c>
      <c r="C28" s="44" t="s">
        <v>13</v>
      </c>
      <c r="D28" s="26" t="s">
        <v>12</v>
      </c>
      <c r="E28" s="44" t="s">
        <v>13</v>
      </c>
      <c r="F28" s="34"/>
      <c r="G28" s="34"/>
    </row>
    <row r="29" ht="16.5" customHeight="1">
      <c r="A29" s="27" t="s">
        <v>14</v>
      </c>
      <c r="B29" s="54" t="s">
        <v>651</v>
      </c>
      <c r="C29" s="61" t="str">
        <f t="shared" ref="C29:C38" si="6">"8조" &amp; " - " &amp; B$27 &amp; " - " &amp; $A29</f>
        <v>8조 - Non-Buffered Event Based - Availability</v>
      </c>
      <c r="D29" s="54" t="s">
        <v>651</v>
      </c>
      <c r="E29" s="61" t="str">
        <f t="shared" ref="E29:E38" si="7">"8조" &amp; " - " &amp; D$27 &amp; " - " &amp; $A29</f>
        <v>8조 - Buffered Message Based - Availability</v>
      </c>
      <c r="F29" s="34"/>
      <c r="G29" s="34"/>
    </row>
    <row r="30" ht="16.5" customHeight="1">
      <c r="A30" s="27" t="s">
        <v>44</v>
      </c>
      <c r="B30" s="54" t="s">
        <v>651</v>
      </c>
      <c r="C30" s="61" t="str">
        <f t="shared" si="6"/>
        <v>8조 - Non-Buffered Event Based - Deployability</v>
      </c>
      <c r="D30" s="54" t="s">
        <v>651</v>
      </c>
      <c r="E30" s="61" t="str">
        <f t="shared" si="7"/>
        <v>8조 - Buffered Message Based - Deployability</v>
      </c>
      <c r="F30" s="34"/>
      <c r="G30" s="34"/>
    </row>
    <row r="31" ht="16.5" customHeight="1">
      <c r="A31" s="27" t="s">
        <v>80</v>
      </c>
      <c r="B31" s="54" t="s">
        <v>651</v>
      </c>
      <c r="C31" s="61" t="str">
        <f t="shared" si="6"/>
        <v>8조 - Non-Buffered Event Based - Integrability</v>
      </c>
      <c r="D31" s="54" t="s">
        <v>651</v>
      </c>
      <c r="E31" s="61" t="str">
        <f t="shared" si="7"/>
        <v>8조 - Buffered Message Based - Integrability</v>
      </c>
      <c r="F31" s="34"/>
      <c r="G31" s="34"/>
    </row>
    <row r="32" ht="16.5" customHeight="1">
      <c r="A32" s="27" t="s">
        <v>113</v>
      </c>
      <c r="B32" s="54" t="s">
        <v>651</v>
      </c>
      <c r="C32" s="61" t="str">
        <f t="shared" si="6"/>
        <v>8조 - Non-Buffered Event Based - Energy Efficiency</v>
      </c>
      <c r="D32" s="54" t="s">
        <v>651</v>
      </c>
      <c r="E32" s="61" t="str">
        <f t="shared" si="7"/>
        <v>8조 - Buffered Message Based - Energy Efficiency</v>
      </c>
      <c r="F32" s="34"/>
      <c r="G32" s="34"/>
    </row>
    <row r="33" ht="16.5" customHeight="1">
      <c r="A33" s="27" t="s">
        <v>144</v>
      </c>
      <c r="B33" s="54" t="s">
        <v>651</v>
      </c>
      <c r="C33" s="61" t="str">
        <f t="shared" si="6"/>
        <v>8조 - Non-Buffered Event Based - Modifiability</v>
      </c>
      <c r="D33" s="54" t="s">
        <v>651</v>
      </c>
      <c r="E33" s="61" t="str">
        <f t="shared" si="7"/>
        <v>8조 - Buffered Message Based - Modifiability</v>
      </c>
      <c r="F33" s="34"/>
      <c r="G33" s="34"/>
    </row>
    <row r="34" ht="16.5" customHeight="1">
      <c r="A34" s="27" t="s">
        <v>176</v>
      </c>
      <c r="B34" s="54" t="s">
        <v>651</v>
      </c>
      <c r="C34" s="61" t="str">
        <f t="shared" si="6"/>
        <v>8조 - Non-Buffered Event Based - Performance</v>
      </c>
      <c r="D34" s="54" t="s">
        <v>651</v>
      </c>
      <c r="E34" s="61" t="str">
        <f t="shared" si="7"/>
        <v>8조 - Buffered Message Based - Performance</v>
      </c>
      <c r="F34" s="34"/>
      <c r="G34" s="34"/>
    </row>
    <row r="35" ht="16.5" customHeight="1">
      <c r="A35" s="27" t="s">
        <v>208</v>
      </c>
      <c r="B35" s="54" t="s">
        <v>651</v>
      </c>
      <c r="C35" s="61" t="str">
        <f t="shared" si="6"/>
        <v>8조 - Non-Buffered Event Based - Safety</v>
      </c>
      <c r="D35" s="54" t="s">
        <v>651</v>
      </c>
      <c r="E35" s="61" t="str">
        <f t="shared" si="7"/>
        <v>8조 - Buffered Message Based - Safety</v>
      </c>
      <c r="F35" s="34"/>
      <c r="G35" s="34"/>
    </row>
    <row r="36" ht="16.5" customHeight="1">
      <c r="A36" s="27" t="s">
        <v>242</v>
      </c>
      <c r="B36" s="54" t="s">
        <v>651</v>
      </c>
      <c r="C36" s="61" t="str">
        <f t="shared" si="6"/>
        <v>8조 - Non-Buffered Event Based - Security</v>
      </c>
      <c r="D36" s="54" t="s">
        <v>651</v>
      </c>
      <c r="E36" s="61" t="str">
        <f t="shared" si="7"/>
        <v>8조 - Buffered Message Based - Security</v>
      </c>
      <c r="F36" s="34"/>
      <c r="G36" s="34"/>
    </row>
    <row r="37" ht="16.5" customHeight="1">
      <c r="A37" s="27" t="s">
        <v>273</v>
      </c>
      <c r="B37" s="54" t="s">
        <v>651</v>
      </c>
      <c r="C37" s="61" t="str">
        <f t="shared" si="6"/>
        <v>8조 - Non-Buffered Event Based - Testability</v>
      </c>
      <c r="D37" s="54" t="s">
        <v>651</v>
      </c>
      <c r="E37" s="61" t="str">
        <f t="shared" si="7"/>
        <v>8조 - Buffered Message Based - Testability</v>
      </c>
      <c r="F37" s="34"/>
      <c r="G37" s="34"/>
    </row>
    <row r="38" ht="16.5" customHeight="1">
      <c r="A38" s="27" t="s">
        <v>305</v>
      </c>
      <c r="B38" s="54" t="s">
        <v>651</v>
      </c>
      <c r="C38" s="61" t="str">
        <f t="shared" si="6"/>
        <v>8조 - Non-Buffered Event Based - Usability</v>
      </c>
      <c r="D38" s="54" t="s">
        <v>651</v>
      </c>
      <c r="E38" s="61" t="str">
        <f t="shared" si="7"/>
        <v>8조 - Buffered Message Based - Usability</v>
      </c>
      <c r="F38" s="34"/>
      <c r="G38" s="34"/>
    </row>
    <row r="39" ht="16.5" customHeight="1">
      <c r="A39" s="34"/>
      <c r="B39" s="42" t="s">
        <v>651</v>
      </c>
      <c r="C39" s="42" t="s">
        <v>651</v>
      </c>
      <c r="D39" s="42" t="s">
        <v>651</v>
      </c>
      <c r="E39" s="42" t="s">
        <v>651</v>
      </c>
      <c r="F39" s="34"/>
      <c r="G39" s="34"/>
    </row>
    <row r="40" ht="16.5" customHeight="1">
      <c r="A40" s="35" t="s">
        <v>1</v>
      </c>
      <c r="B40" s="46" t="s">
        <v>4</v>
      </c>
      <c r="C40" s="19"/>
      <c r="D40" s="46" t="s">
        <v>9</v>
      </c>
      <c r="E40" s="19"/>
      <c r="F40" s="34"/>
      <c r="G40" s="34"/>
      <c r="H40" s="34"/>
    </row>
    <row r="41" ht="16.5" customHeight="1">
      <c r="A41" s="39"/>
      <c r="B41" s="26" t="s">
        <v>12</v>
      </c>
      <c r="C41" s="26" t="s">
        <v>13</v>
      </c>
      <c r="D41" s="26" t="s">
        <v>12</v>
      </c>
      <c r="E41" s="26" t="s">
        <v>13</v>
      </c>
      <c r="F41" s="34"/>
      <c r="G41" s="34"/>
      <c r="H41" s="34"/>
      <c r="I41" s="40"/>
    </row>
    <row r="42" ht="16.5" customHeight="1">
      <c r="A42" s="27" t="s">
        <v>14</v>
      </c>
      <c r="B42" s="54" t="s">
        <v>651</v>
      </c>
      <c r="C42" s="61" t="str">
        <f t="shared" ref="C42:C51" si="8">"8조" &amp; " - " &amp; B$40 &amp; " - " &amp; $A42</f>
        <v>8조 - MVC - Availability</v>
      </c>
      <c r="D42" s="54" t="s">
        <v>651</v>
      </c>
      <c r="E42" s="61" t="str">
        <f t="shared" ref="E42:E51" si="9">"8조" &amp; " - " &amp; D$40 &amp; " - " &amp; $A42</f>
        <v>8조 - PAC - Availability</v>
      </c>
      <c r="F42" s="34"/>
      <c r="G42" s="34"/>
      <c r="H42" s="34"/>
    </row>
    <row r="43" ht="16.5" customHeight="1">
      <c r="A43" s="27" t="s">
        <v>44</v>
      </c>
      <c r="B43" s="54" t="s">
        <v>651</v>
      </c>
      <c r="C43" s="61" t="str">
        <f t="shared" si="8"/>
        <v>8조 - MVC - Deployability</v>
      </c>
      <c r="D43" s="54" t="s">
        <v>651</v>
      </c>
      <c r="E43" s="61" t="str">
        <f t="shared" si="9"/>
        <v>8조 - PAC - Deployability</v>
      </c>
      <c r="F43" s="34"/>
      <c r="G43" s="34"/>
      <c r="H43" s="34"/>
    </row>
    <row r="44" ht="16.5" customHeight="1">
      <c r="A44" s="27" t="s">
        <v>80</v>
      </c>
      <c r="B44" s="54" t="s">
        <v>651</v>
      </c>
      <c r="C44" s="61" t="str">
        <f t="shared" si="8"/>
        <v>8조 - MVC - Integrability</v>
      </c>
      <c r="D44" s="54" t="s">
        <v>651</v>
      </c>
      <c r="E44" s="61" t="str">
        <f t="shared" si="9"/>
        <v>8조 - PAC - Integrability</v>
      </c>
      <c r="F44" s="34"/>
      <c r="G44" s="34"/>
      <c r="H44" s="34"/>
    </row>
    <row r="45" ht="16.5" customHeight="1">
      <c r="A45" s="27" t="s">
        <v>113</v>
      </c>
      <c r="B45" s="54" t="s">
        <v>651</v>
      </c>
      <c r="C45" s="61" t="str">
        <f t="shared" si="8"/>
        <v>8조 - MVC - Energy Efficiency</v>
      </c>
      <c r="D45" s="54" t="s">
        <v>651</v>
      </c>
      <c r="E45" s="61" t="str">
        <f t="shared" si="9"/>
        <v>8조 - PAC - Energy Efficiency</v>
      </c>
      <c r="F45" s="34"/>
      <c r="G45" s="34"/>
      <c r="H45" s="34"/>
    </row>
    <row r="46" ht="16.5" customHeight="1">
      <c r="A46" s="27" t="s">
        <v>144</v>
      </c>
      <c r="B46" s="54" t="s">
        <v>651</v>
      </c>
      <c r="C46" s="61" t="str">
        <f t="shared" si="8"/>
        <v>8조 - MVC - Modifiability</v>
      </c>
      <c r="D46" s="54" t="s">
        <v>651</v>
      </c>
      <c r="E46" s="61" t="str">
        <f t="shared" si="9"/>
        <v>8조 - PAC - Modifiability</v>
      </c>
      <c r="F46" s="34"/>
      <c r="G46" s="34"/>
      <c r="H46" s="34"/>
    </row>
    <row r="47" ht="16.5" customHeight="1">
      <c r="A47" s="27" t="s">
        <v>176</v>
      </c>
      <c r="B47" s="54" t="s">
        <v>651</v>
      </c>
      <c r="C47" s="61" t="str">
        <f t="shared" si="8"/>
        <v>8조 - MVC - Performance</v>
      </c>
      <c r="D47" s="54" t="s">
        <v>651</v>
      </c>
      <c r="E47" s="61" t="str">
        <f t="shared" si="9"/>
        <v>8조 - PAC - Performance</v>
      </c>
      <c r="F47" s="34"/>
      <c r="G47" s="34"/>
      <c r="H47" s="34"/>
    </row>
    <row r="48" ht="16.5" customHeight="1">
      <c r="A48" s="27" t="s">
        <v>208</v>
      </c>
      <c r="B48" s="54" t="s">
        <v>651</v>
      </c>
      <c r="C48" s="61" t="str">
        <f t="shared" si="8"/>
        <v>8조 - MVC - Safety</v>
      </c>
      <c r="D48" s="54" t="s">
        <v>651</v>
      </c>
      <c r="E48" s="61" t="str">
        <f t="shared" si="9"/>
        <v>8조 - PAC - Safety</v>
      </c>
      <c r="F48" s="34"/>
      <c r="G48" s="34"/>
      <c r="H48" s="34"/>
    </row>
    <row r="49" ht="16.5" customHeight="1">
      <c r="A49" s="27" t="s">
        <v>242</v>
      </c>
      <c r="B49" s="54" t="s">
        <v>651</v>
      </c>
      <c r="C49" s="61" t="str">
        <f t="shared" si="8"/>
        <v>8조 - MVC - Security</v>
      </c>
      <c r="D49" s="54" t="s">
        <v>651</v>
      </c>
      <c r="E49" s="61" t="str">
        <f t="shared" si="9"/>
        <v>8조 - PAC - Security</v>
      </c>
      <c r="F49" s="34"/>
      <c r="G49" s="34"/>
      <c r="H49" s="34"/>
    </row>
    <row r="50" ht="16.5" customHeight="1">
      <c r="A50" s="27" t="s">
        <v>273</v>
      </c>
      <c r="B50" s="54" t="s">
        <v>651</v>
      </c>
      <c r="C50" s="61" t="str">
        <f t="shared" si="8"/>
        <v>8조 - MVC - Testability</v>
      </c>
      <c r="D50" s="54" t="s">
        <v>651</v>
      </c>
      <c r="E50" s="61" t="str">
        <f t="shared" si="9"/>
        <v>8조 - PAC - Testability</v>
      </c>
      <c r="F50" s="34"/>
      <c r="G50" s="42" t="s">
        <v>651</v>
      </c>
      <c r="H50" s="34"/>
      <c r="I50" s="41"/>
    </row>
    <row r="51" ht="16.5" customHeight="1">
      <c r="A51" s="27" t="s">
        <v>305</v>
      </c>
      <c r="B51" s="54" t="s">
        <v>651</v>
      </c>
      <c r="C51" s="61" t="str">
        <f t="shared" si="8"/>
        <v>8조 - MVC - Usability</v>
      </c>
      <c r="D51" s="54" t="s">
        <v>651</v>
      </c>
      <c r="E51" s="61" t="str">
        <f t="shared" si="9"/>
        <v>8조 - PAC - Usability</v>
      </c>
      <c r="F51" s="34"/>
      <c r="G51" s="42" t="s">
        <v>651</v>
      </c>
      <c r="H51" s="34"/>
      <c r="I51" s="40"/>
    </row>
    <row r="52" ht="16.5" customHeight="1">
      <c r="A52" s="34"/>
      <c r="B52" s="42" t="s">
        <v>651</v>
      </c>
      <c r="C52" s="34"/>
      <c r="D52" s="42" t="s">
        <v>651</v>
      </c>
      <c r="E52" s="34"/>
      <c r="F52" s="34"/>
      <c r="G52" s="34"/>
    </row>
    <row r="53" ht="16.5" customHeight="1">
      <c r="A53" s="35" t="s">
        <v>361</v>
      </c>
      <c r="B53" s="73" t="s">
        <v>362</v>
      </c>
      <c r="C53" s="19"/>
      <c r="D53" s="73" t="s">
        <v>363</v>
      </c>
      <c r="E53" s="19"/>
      <c r="F53" s="34"/>
      <c r="G53" s="42" t="s">
        <v>651</v>
      </c>
      <c r="H53" s="34"/>
    </row>
    <row r="54" ht="16.5" customHeight="1">
      <c r="A54" s="39"/>
      <c r="B54" s="26" t="s">
        <v>12</v>
      </c>
      <c r="C54" s="44" t="s">
        <v>13</v>
      </c>
      <c r="D54" s="26" t="s">
        <v>12</v>
      </c>
      <c r="E54" s="44" t="s">
        <v>13</v>
      </c>
      <c r="F54" s="34"/>
      <c r="G54" s="42" t="s">
        <v>651</v>
      </c>
      <c r="H54" s="34"/>
    </row>
    <row r="55" ht="16.5" customHeight="1">
      <c r="A55" s="27" t="s">
        <v>14</v>
      </c>
      <c r="B55" s="54" t="s">
        <v>651</v>
      </c>
      <c r="C55" s="61" t="str">
        <f t="shared" ref="C55:C64" si="10">"8조" &amp; " - " &amp; B$53 &amp; " - " &amp; $A55</f>
        <v>8조 - Main-subroutine - Availability</v>
      </c>
      <c r="D55" s="54" t="s">
        <v>651</v>
      </c>
      <c r="E55" s="61" t="str">
        <f t="shared" ref="E55:E64" si="11">"8조" &amp; " - " &amp; D$53 &amp; " - " &amp; $A55</f>
        <v>8조 - Master-Slave - Availability</v>
      </c>
      <c r="F55" s="34"/>
      <c r="G55" s="42" t="s">
        <v>651</v>
      </c>
      <c r="H55" s="34"/>
    </row>
    <row r="56" ht="16.5" customHeight="1">
      <c r="A56" s="27" t="s">
        <v>44</v>
      </c>
      <c r="B56" s="54" t="s">
        <v>651</v>
      </c>
      <c r="C56" s="65" t="str">
        <f t="shared" si="10"/>
        <v>8조 - Main-subroutine - Deployability</v>
      </c>
      <c r="D56" s="54" t="s">
        <v>651</v>
      </c>
      <c r="E56" s="61" t="str">
        <f t="shared" si="11"/>
        <v>8조 - Master-Slave - Deployability</v>
      </c>
      <c r="F56" s="34"/>
      <c r="G56" s="42" t="s">
        <v>651</v>
      </c>
      <c r="H56" s="34"/>
    </row>
    <row r="57" ht="16.5" customHeight="1">
      <c r="A57" s="27" t="s">
        <v>80</v>
      </c>
      <c r="B57" s="54" t="s">
        <v>651</v>
      </c>
      <c r="C57" s="61" t="str">
        <f t="shared" si="10"/>
        <v>8조 - Main-subroutine - Integrability</v>
      </c>
      <c r="D57" s="54" t="s">
        <v>651</v>
      </c>
      <c r="E57" s="61" t="str">
        <f t="shared" si="11"/>
        <v>8조 - Master-Slave - Integrability</v>
      </c>
      <c r="F57" s="34"/>
      <c r="G57" s="42" t="s">
        <v>651</v>
      </c>
      <c r="H57" s="34"/>
    </row>
    <row r="58" ht="16.5" customHeight="1">
      <c r="A58" s="27" t="s">
        <v>113</v>
      </c>
      <c r="B58" s="54" t="s">
        <v>651</v>
      </c>
      <c r="C58" s="61" t="str">
        <f t="shared" si="10"/>
        <v>8조 - Main-subroutine - Energy Efficiency</v>
      </c>
      <c r="D58" s="54" t="s">
        <v>651</v>
      </c>
      <c r="E58" s="61" t="str">
        <f t="shared" si="11"/>
        <v>8조 - Master-Slave - Energy Efficiency</v>
      </c>
      <c r="F58" s="34"/>
      <c r="G58" s="42" t="s">
        <v>651</v>
      </c>
      <c r="H58" s="34"/>
    </row>
    <row r="59" ht="16.5" customHeight="1">
      <c r="A59" s="27" t="s">
        <v>144</v>
      </c>
      <c r="B59" s="54" t="s">
        <v>651</v>
      </c>
      <c r="C59" s="61" t="str">
        <f t="shared" si="10"/>
        <v>8조 - Main-subroutine - Modifiability</v>
      </c>
      <c r="D59" s="54" t="s">
        <v>651</v>
      </c>
      <c r="E59" s="61" t="str">
        <f t="shared" si="11"/>
        <v>8조 - Master-Slave - Modifiability</v>
      </c>
      <c r="F59" s="34"/>
      <c r="G59" s="42" t="s">
        <v>651</v>
      </c>
      <c r="H59" s="34"/>
    </row>
    <row r="60" ht="16.5" customHeight="1">
      <c r="A60" s="27" t="s">
        <v>176</v>
      </c>
      <c r="B60" s="54" t="s">
        <v>651</v>
      </c>
      <c r="C60" s="61" t="str">
        <f t="shared" si="10"/>
        <v>8조 - Main-subroutine - Performance</v>
      </c>
      <c r="D60" s="54" t="s">
        <v>651</v>
      </c>
      <c r="E60" s="61" t="str">
        <f t="shared" si="11"/>
        <v>8조 - Master-Slave - Performance</v>
      </c>
      <c r="F60" s="34"/>
      <c r="G60" s="42" t="s">
        <v>651</v>
      </c>
      <c r="H60" s="34"/>
      <c r="I60" s="41"/>
    </row>
    <row r="61" ht="16.5" customHeight="1">
      <c r="A61" s="27" t="s">
        <v>208</v>
      </c>
      <c r="B61" s="54" t="s">
        <v>651</v>
      </c>
      <c r="C61" s="61" t="str">
        <f t="shared" si="10"/>
        <v>8조 - Main-subroutine - Safety</v>
      </c>
      <c r="D61" s="54" t="s">
        <v>651</v>
      </c>
      <c r="E61" s="61" t="str">
        <f t="shared" si="11"/>
        <v>8조 - Master-Slave - Safety</v>
      </c>
      <c r="F61" s="34"/>
      <c r="G61" s="42" t="s">
        <v>651</v>
      </c>
      <c r="H61" s="34"/>
      <c r="I61" s="40"/>
    </row>
    <row r="62" ht="16.5" customHeight="1">
      <c r="A62" s="27" t="s">
        <v>242</v>
      </c>
      <c r="B62" s="54" t="s">
        <v>651</v>
      </c>
      <c r="C62" s="61" t="str">
        <f t="shared" si="10"/>
        <v>8조 - Main-subroutine - Security</v>
      </c>
      <c r="D62" s="54" t="s">
        <v>651</v>
      </c>
      <c r="E62" s="61" t="str">
        <f t="shared" si="11"/>
        <v>8조 - Master-Slave - Security</v>
      </c>
      <c r="F62" s="34"/>
      <c r="G62" s="42" t="s">
        <v>651</v>
      </c>
      <c r="H62" s="34"/>
    </row>
    <row r="63" ht="16.5" customHeight="1">
      <c r="A63" s="27" t="s">
        <v>273</v>
      </c>
      <c r="B63" s="54" t="s">
        <v>651</v>
      </c>
      <c r="C63" s="61" t="str">
        <f t="shared" si="10"/>
        <v>8조 - Main-subroutine - Testability</v>
      </c>
      <c r="D63" s="54" t="s">
        <v>651</v>
      </c>
      <c r="E63" s="61" t="str">
        <f t="shared" si="11"/>
        <v>8조 - Master-Slave - Testability</v>
      </c>
      <c r="F63" s="34"/>
      <c r="G63" s="42" t="s">
        <v>651</v>
      </c>
      <c r="H63" s="34"/>
    </row>
    <row r="64" ht="16.5" customHeight="1">
      <c r="A64" s="27" t="s">
        <v>305</v>
      </c>
      <c r="B64" s="54" t="s">
        <v>651</v>
      </c>
      <c r="C64" s="61" t="str">
        <f t="shared" si="10"/>
        <v>8조 - Main-subroutine - Usability</v>
      </c>
      <c r="D64" s="54" t="s">
        <v>651</v>
      </c>
      <c r="E64" s="61" t="str">
        <f t="shared" si="11"/>
        <v>8조 - Master-Slave - Usability</v>
      </c>
      <c r="F64" s="34"/>
      <c r="G64" s="42" t="s">
        <v>651</v>
      </c>
      <c r="H64" s="34"/>
    </row>
    <row r="65" ht="16.5" customHeight="1">
      <c r="A65" s="34"/>
      <c r="B65" s="42" t="s">
        <v>651</v>
      </c>
      <c r="C65" s="42" t="s">
        <v>651</v>
      </c>
      <c r="D65" s="42" t="s">
        <v>651</v>
      </c>
      <c r="E65" s="42" t="s">
        <v>651</v>
      </c>
      <c r="F65" s="34"/>
      <c r="G65" s="42" t="s">
        <v>651</v>
      </c>
      <c r="H65" s="34"/>
    </row>
    <row r="66" ht="16.5" customHeight="1">
      <c r="A66" s="35" t="s">
        <v>361</v>
      </c>
      <c r="B66" s="73" t="s">
        <v>377</v>
      </c>
      <c r="C66" s="19"/>
      <c r="D66" s="73" t="s">
        <v>378</v>
      </c>
      <c r="E66" s="19"/>
      <c r="F66" s="73" t="s">
        <v>379</v>
      </c>
      <c r="G66" s="19"/>
      <c r="H66" s="34"/>
    </row>
    <row r="67" ht="16.5" customHeight="1">
      <c r="A67" s="39"/>
      <c r="B67" s="26" t="s">
        <v>12</v>
      </c>
      <c r="C67" s="44" t="s">
        <v>13</v>
      </c>
      <c r="D67" s="26" t="s">
        <v>12</v>
      </c>
      <c r="E67" s="44" t="s">
        <v>13</v>
      </c>
      <c r="F67" s="26" t="s">
        <v>12</v>
      </c>
      <c r="G67" s="44" t="s">
        <v>13</v>
      </c>
      <c r="H67" s="34"/>
    </row>
    <row r="68" ht="16.5" customHeight="1">
      <c r="A68" s="27" t="s">
        <v>14</v>
      </c>
      <c r="B68" s="54" t="s">
        <v>651</v>
      </c>
      <c r="C68" s="61" t="str">
        <f t="shared" ref="C68:C77" si="12">"8조" &amp; " - " &amp; B$66 &amp; " - " &amp; $A68</f>
        <v>8조 - Layered - Availability</v>
      </c>
      <c r="D68" s="54" t="s">
        <v>651</v>
      </c>
      <c r="E68" s="61" t="str">
        <f t="shared" ref="E68:E77" si="13">"8조" &amp; " - " &amp; D$66 &amp; " - " &amp; $A68</f>
        <v>8조 - Virtual Machine - Availability</v>
      </c>
      <c r="F68" s="54" t="s">
        <v>651</v>
      </c>
      <c r="G68" s="61" t="str">
        <f t="shared" ref="G68:G77" si="14">"8조" &amp; " - " &amp; F$66 &amp; " - " &amp; $A68</f>
        <v>8조 - Microkernel - Availability</v>
      </c>
      <c r="H68" s="34"/>
    </row>
    <row r="69" ht="16.5" customHeight="1">
      <c r="A69" s="27" t="s">
        <v>44</v>
      </c>
      <c r="B69" s="54" t="s">
        <v>651</v>
      </c>
      <c r="C69" s="61" t="str">
        <f t="shared" si="12"/>
        <v>8조 - Layered - Deployability</v>
      </c>
      <c r="D69" s="54" t="s">
        <v>651</v>
      </c>
      <c r="E69" s="65" t="str">
        <f t="shared" si="13"/>
        <v>8조 - Virtual Machine - Deployability</v>
      </c>
      <c r="F69" s="54" t="s">
        <v>651</v>
      </c>
      <c r="G69" s="61" t="str">
        <f t="shared" si="14"/>
        <v>8조 - Microkernel - Deployability</v>
      </c>
      <c r="H69" s="34"/>
    </row>
    <row r="70" ht="16.5" customHeight="1">
      <c r="A70" s="27" t="s">
        <v>80</v>
      </c>
      <c r="B70" s="54" t="s">
        <v>651</v>
      </c>
      <c r="C70" s="61" t="str">
        <f t="shared" si="12"/>
        <v>8조 - Layered - Integrability</v>
      </c>
      <c r="D70" s="54" t="s">
        <v>651</v>
      </c>
      <c r="E70" s="61" t="str">
        <f t="shared" si="13"/>
        <v>8조 - Virtual Machine - Integrability</v>
      </c>
      <c r="F70" s="54" t="s">
        <v>651</v>
      </c>
      <c r="G70" s="61" t="str">
        <f t="shared" si="14"/>
        <v>8조 - Microkernel - Integrability</v>
      </c>
      <c r="H70" s="34"/>
    </row>
    <row r="71" ht="16.5" customHeight="1">
      <c r="A71" s="27" t="s">
        <v>113</v>
      </c>
      <c r="B71" s="54" t="s">
        <v>651</v>
      </c>
      <c r="C71" s="61" t="str">
        <f t="shared" si="12"/>
        <v>8조 - Layered - Energy Efficiency</v>
      </c>
      <c r="D71" s="54" t="s">
        <v>651</v>
      </c>
      <c r="E71" s="61" t="str">
        <f t="shared" si="13"/>
        <v>8조 - Virtual Machine - Energy Efficiency</v>
      </c>
      <c r="F71" s="54" t="s">
        <v>651</v>
      </c>
      <c r="G71" s="61" t="str">
        <f t="shared" si="14"/>
        <v>8조 - Microkernel - Energy Efficiency</v>
      </c>
      <c r="H71" s="34"/>
    </row>
    <row r="72" ht="16.5" customHeight="1">
      <c r="A72" s="27" t="s">
        <v>144</v>
      </c>
      <c r="B72" s="54" t="s">
        <v>651</v>
      </c>
      <c r="C72" s="61" t="str">
        <f t="shared" si="12"/>
        <v>8조 - Layered - Modifiability</v>
      </c>
      <c r="D72" s="54" t="s">
        <v>651</v>
      </c>
      <c r="E72" s="61" t="str">
        <f t="shared" si="13"/>
        <v>8조 - Virtual Machine - Modifiability</v>
      </c>
      <c r="F72" s="54" t="s">
        <v>651</v>
      </c>
      <c r="G72" s="61" t="str">
        <f t="shared" si="14"/>
        <v>8조 - Microkernel - Modifiability</v>
      </c>
      <c r="H72" s="34"/>
    </row>
    <row r="73" ht="16.5" customHeight="1">
      <c r="A73" s="27" t="s">
        <v>176</v>
      </c>
      <c r="B73" s="54" t="s">
        <v>651</v>
      </c>
      <c r="C73" s="61" t="str">
        <f t="shared" si="12"/>
        <v>8조 - Layered - Performance</v>
      </c>
      <c r="D73" s="54" t="s">
        <v>651</v>
      </c>
      <c r="E73" s="61" t="str">
        <f t="shared" si="13"/>
        <v>8조 - Virtual Machine - Performance</v>
      </c>
      <c r="F73" s="54" t="s">
        <v>651</v>
      </c>
      <c r="G73" s="61" t="str">
        <f t="shared" si="14"/>
        <v>8조 - Microkernel - Performance</v>
      </c>
      <c r="H73" s="34"/>
    </row>
    <row r="74" ht="16.5" customHeight="1">
      <c r="A74" s="27" t="s">
        <v>208</v>
      </c>
      <c r="B74" s="54" t="s">
        <v>651</v>
      </c>
      <c r="C74" s="61" t="str">
        <f t="shared" si="12"/>
        <v>8조 - Layered - Safety</v>
      </c>
      <c r="D74" s="54" t="s">
        <v>651</v>
      </c>
      <c r="E74" s="61" t="str">
        <f t="shared" si="13"/>
        <v>8조 - Virtual Machine - Safety</v>
      </c>
      <c r="F74" s="54" t="s">
        <v>651</v>
      </c>
      <c r="G74" s="61" t="str">
        <f t="shared" si="14"/>
        <v>8조 - Microkernel - Safety</v>
      </c>
    </row>
    <row r="75" ht="16.5" customHeight="1">
      <c r="A75" s="27" t="s">
        <v>242</v>
      </c>
      <c r="B75" s="54" t="s">
        <v>651</v>
      </c>
      <c r="C75" s="61" t="str">
        <f t="shared" si="12"/>
        <v>8조 - Layered - Security</v>
      </c>
      <c r="D75" s="54" t="s">
        <v>651</v>
      </c>
      <c r="E75" s="61" t="str">
        <f t="shared" si="13"/>
        <v>8조 - Virtual Machine - Security</v>
      </c>
      <c r="F75" s="54" t="s">
        <v>651</v>
      </c>
      <c r="G75" s="61" t="str">
        <f t="shared" si="14"/>
        <v>8조 - Microkernel - Security</v>
      </c>
    </row>
    <row r="76" ht="16.5" customHeight="1">
      <c r="A76" s="27" t="s">
        <v>273</v>
      </c>
      <c r="B76" s="54" t="s">
        <v>651</v>
      </c>
      <c r="C76" s="61" t="str">
        <f t="shared" si="12"/>
        <v>8조 - Layered - Testability</v>
      </c>
      <c r="D76" s="54" t="s">
        <v>651</v>
      </c>
      <c r="E76" s="61" t="str">
        <f t="shared" si="13"/>
        <v>8조 - Virtual Machine - Testability</v>
      </c>
      <c r="F76" s="54" t="s">
        <v>651</v>
      </c>
      <c r="G76" s="61" t="str">
        <f t="shared" si="14"/>
        <v>8조 - Microkernel - Testability</v>
      </c>
    </row>
    <row r="77" ht="16.5" customHeight="1">
      <c r="A77" s="27" t="s">
        <v>305</v>
      </c>
      <c r="B77" s="54" t="s">
        <v>651</v>
      </c>
      <c r="C77" s="61" t="str">
        <f t="shared" si="12"/>
        <v>8조 - Layered - Usability</v>
      </c>
      <c r="D77" s="54" t="s">
        <v>651</v>
      </c>
      <c r="E77" s="61" t="str">
        <f t="shared" si="13"/>
        <v>8조 - Virtual Machine - Usability</v>
      </c>
      <c r="F77" s="54" t="s">
        <v>651</v>
      </c>
      <c r="G77" s="61" t="str">
        <f t="shared" si="14"/>
        <v>8조 - Microkernel - Usability</v>
      </c>
    </row>
    <row r="78" ht="16.5" customHeight="1">
      <c r="A78" s="34"/>
      <c r="B78" s="42" t="s">
        <v>651</v>
      </c>
      <c r="C78" s="42" t="s">
        <v>651</v>
      </c>
      <c r="D78" s="42" t="s">
        <v>651</v>
      </c>
      <c r="E78" s="42" t="s">
        <v>651</v>
      </c>
      <c r="F78" s="42" t="s">
        <v>651</v>
      </c>
      <c r="G78" s="42" t="s">
        <v>651</v>
      </c>
    </row>
    <row r="79" ht="16.5" customHeight="1">
      <c r="A79" s="24" t="s">
        <v>386</v>
      </c>
      <c r="B79" s="73" t="s">
        <v>627</v>
      </c>
      <c r="C79" s="19"/>
      <c r="D79" s="73" t="s">
        <v>392</v>
      </c>
      <c r="E79" s="19"/>
    </row>
    <row r="80" ht="16.5" customHeight="1">
      <c r="A80" s="20"/>
      <c r="B80" s="26" t="s">
        <v>12</v>
      </c>
      <c r="C80" s="26" t="s">
        <v>13</v>
      </c>
      <c r="D80" s="26" t="s">
        <v>12</v>
      </c>
      <c r="E80" s="26" t="s">
        <v>13</v>
      </c>
    </row>
    <row r="81" ht="16.5" customHeight="1">
      <c r="A81" s="27" t="s">
        <v>14</v>
      </c>
      <c r="B81" s="54" t="s">
        <v>651</v>
      </c>
      <c r="C81" s="61" t="str">
        <f t="shared" ref="C81:C90" si="15">"8조" &amp; " - " &amp; B$79 &amp; " - " &amp; $A81</f>
        <v>8조 - Multi-tier - Availability</v>
      </c>
      <c r="D81" s="54" t="s">
        <v>651</v>
      </c>
      <c r="E81" s="61" t="str">
        <f t="shared" ref="E81:E90" si="16">"8조" &amp; " - " &amp; D$79 &amp; " - " &amp; $A81</f>
        <v>8조 - Client-Server - Availability</v>
      </c>
    </row>
    <row r="82" ht="16.5" customHeight="1">
      <c r="A82" s="27" t="s">
        <v>44</v>
      </c>
      <c r="B82" s="54" t="s">
        <v>651</v>
      </c>
      <c r="C82" s="61" t="str">
        <f t="shared" si="15"/>
        <v>8조 - Multi-tier - Deployability</v>
      </c>
      <c r="D82" s="54" t="s">
        <v>651</v>
      </c>
      <c r="E82" s="61" t="str">
        <f t="shared" si="16"/>
        <v>8조 - Client-Server - Deployability</v>
      </c>
    </row>
    <row r="83" ht="16.5" customHeight="1">
      <c r="A83" s="27" t="s">
        <v>80</v>
      </c>
      <c r="B83" s="54" t="s">
        <v>651</v>
      </c>
      <c r="C83" s="61" t="str">
        <f t="shared" si="15"/>
        <v>8조 - Multi-tier - Integrability</v>
      </c>
      <c r="D83" s="54" t="s">
        <v>651</v>
      </c>
      <c r="E83" s="61" t="str">
        <f t="shared" si="16"/>
        <v>8조 - Client-Server - Integrability</v>
      </c>
    </row>
    <row r="84" ht="16.5" customHeight="1">
      <c r="A84" s="27" t="s">
        <v>113</v>
      </c>
      <c r="B84" s="54" t="s">
        <v>651</v>
      </c>
      <c r="C84" s="61" t="str">
        <f t="shared" si="15"/>
        <v>8조 - Multi-tier - Energy Efficiency</v>
      </c>
      <c r="D84" s="54" t="s">
        <v>651</v>
      </c>
      <c r="E84" s="61" t="str">
        <f t="shared" si="16"/>
        <v>8조 - Client-Server - Energy Efficiency</v>
      </c>
    </row>
    <row r="85" ht="16.5" customHeight="1">
      <c r="A85" s="27" t="s">
        <v>144</v>
      </c>
      <c r="B85" s="54" t="s">
        <v>651</v>
      </c>
      <c r="C85" s="61" t="str">
        <f t="shared" si="15"/>
        <v>8조 - Multi-tier - Modifiability</v>
      </c>
      <c r="D85" s="54" t="s">
        <v>651</v>
      </c>
      <c r="E85" s="61" t="str">
        <f t="shared" si="16"/>
        <v>8조 - Client-Server - Modifiability</v>
      </c>
    </row>
    <row r="86" ht="16.5" customHeight="1">
      <c r="A86" s="27" t="s">
        <v>176</v>
      </c>
      <c r="B86" s="54" t="s">
        <v>651</v>
      </c>
      <c r="C86" s="61" t="str">
        <f t="shared" si="15"/>
        <v>8조 - Multi-tier - Performance</v>
      </c>
      <c r="D86" s="54" t="s">
        <v>651</v>
      </c>
      <c r="E86" s="61" t="str">
        <f t="shared" si="16"/>
        <v>8조 - Client-Server - Performance</v>
      </c>
    </row>
    <row r="87" ht="16.5" customHeight="1">
      <c r="A87" s="27" t="s">
        <v>208</v>
      </c>
      <c r="B87" s="54" t="s">
        <v>651</v>
      </c>
      <c r="C87" s="61" t="str">
        <f t="shared" si="15"/>
        <v>8조 - Multi-tier - Safety</v>
      </c>
      <c r="D87" s="54" t="s">
        <v>651</v>
      </c>
      <c r="E87" s="61" t="str">
        <f t="shared" si="16"/>
        <v>8조 - Client-Server - Safety</v>
      </c>
    </row>
    <row r="88" ht="16.5" customHeight="1">
      <c r="A88" s="27" t="s">
        <v>242</v>
      </c>
      <c r="B88" s="54" t="s">
        <v>651</v>
      </c>
      <c r="C88" s="61" t="str">
        <f t="shared" si="15"/>
        <v>8조 - Multi-tier - Security</v>
      </c>
      <c r="D88" s="54" t="s">
        <v>651</v>
      </c>
      <c r="E88" s="61" t="str">
        <f t="shared" si="16"/>
        <v>8조 - Client-Server - Security</v>
      </c>
    </row>
    <row r="89" ht="16.5" customHeight="1">
      <c r="A89" s="27" t="s">
        <v>273</v>
      </c>
      <c r="B89" s="54" t="s">
        <v>651</v>
      </c>
      <c r="C89" s="61" t="str">
        <f t="shared" si="15"/>
        <v>8조 - Multi-tier - Testability</v>
      </c>
      <c r="D89" s="54" t="s">
        <v>651</v>
      </c>
      <c r="E89" s="61" t="str">
        <f t="shared" si="16"/>
        <v>8조 - Client-Server - Testability</v>
      </c>
    </row>
    <row r="90" ht="16.5" customHeight="1">
      <c r="A90" s="27" t="s">
        <v>305</v>
      </c>
      <c r="B90" s="54" t="s">
        <v>651</v>
      </c>
      <c r="C90" s="61" t="str">
        <f t="shared" si="15"/>
        <v>8조 - Multi-tier - Usability</v>
      </c>
      <c r="D90" s="54" t="s">
        <v>651</v>
      </c>
      <c r="E90" s="61" t="str">
        <f t="shared" si="16"/>
        <v>8조 - Client-Server - Usability</v>
      </c>
    </row>
    <row r="91" ht="16.5" customHeight="1">
      <c r="A91" s="34"/>
      <c r="B91" s="42" t="s">
        <v>651</v>
      </c>
      <c r="C91" s="34"/>
      <c r="D91" s="42" t="s">
        <v>651</v>
      </c>
      <c r="E91" s="34"/>
      <c r="F91" s="42" t="s">
        <v>651</v>
      </c>
      <c r="G91" s="34"/>
    </row>
    <row r="92" ht="16.5" customHeight="1">
      <c r="A92" s="24" t="s">
        <v>386</v>
      </c>
      <c r="B92" s="73" t="s">
        <v>499</v>
      </c>
      <c r="C92" s="19"/>
      <c r="D92" s="46" t="s">
        <v>502</v>
      </c>
      <c r="E92" s="19"/>
    </row>
    <row r="93" ht="16.5" customHeight="1">
      <c r="A93" s="20"/>
      <c r="B93" s="26" t="s">
        <v>12</v>
      </c>
      <c r="C93" s="26" t="s">
        <v>13</v>
      </c>
      <c r="D93" s="26" t="s">
        <v>12</v>
      </c>
      <c r="E93" s="26" t="s">
        <v>13</v>
      </c>
    </row>
    <row r="94" ht="16.5" customHeight="1">
      <c r="A94" s="27" t="s">
        <v>14</v>
      </c>
      <c r="B94" s="54" t="s">
        <v>651</v>
      </c>
      <c r="C94" s="61" t="str">
        <f t="shared" ref="C94:C103" si="17">"8조" &amp; " - " &amp; B$92 &amp; " - " &amp; $A94</f>
        <v>8조 - Broker - Availability</v>
      </c>
      <c r="D94" s="54" t="s">
        <v>651</v>
      </c>
      <c r="E94" s="61" t="str">
        <f t="shared" ref="E94:E103" si="18">"8조" &amp; " - " &amp; D$92 &amp; " - " &amp; $A94</f>
        <v>8조 - Dispatcher - Availability</v>
      </c>
    </row>
    <row r="95" ht="16.5" customHeight="1">
      <c r="A95" s="27" t="s">
        <v>44</v>
      </c>
      <c r="B95" s="54" t="s">
        <v>651</v>
      </c>
      <c r="C95" s="61" t="str">
        <f t="shared" si="17"/>
        <v>8조 - Broker - Deployability</v>
      </c>
      <c r="D95" s="54" t="s">
        <v>651</v>
      </c>
      <c r="E95" s="61" t="str">
        <f t="shared" si="18"/>
        <v>8조 - Dispatcher - Deployability</v>
      </c>
    </row>
    <row r="96" ht="16.5" customHeight="1">
      <c r="A96" s="27" t="s">
        <v>80</v>
      </c>
      <c r="B96" s="54" t="s">
        <v>651</v>
      </c>
      <c r="C96" s="61" t="str">
        <f t="shared" si="17"/>
        <v>8조 - Broker - Integrability</v>
      </c>
      <c r="D96" s="54" t="s">
        <v>651</v>
      </c>
      <c r="E96" s="61" t="str">
        <f t="shared" si="18"/>
        <v>8조 - Dispatcher - Integrability</v>
      </c>
    </row>
    <row r="97" ht="16.5" customHeight="1">
      <c r="A97" s="27" t="s">
        <v>113</v>
      </c>
      <c r="B97" s="54" t="s">
        <v>651</v>
      </c>
      <c r="C97" s="61" t="str">
        <f t="shared" si="17"/>
        <v>8조 - Broker - Energy Efficiency</v>
      </c>
      <c r="D97" s="54" t="s">
        <v>651</v>
      </c>
      <c r="E97" s="61" t="str">
        <f t="shared" si="18"/>
        <v>8조 - Dispatcher - Energy Efficiency</v>
      </c>
    </row>
    <row r="98" ht="16.5" customHeight="1">
      <c r="A98" s="27" t="s">
        <v>144</v>
      </c>
      <c r="B98" s="54" t="s">
        <v>651</v>
      </c>
      <c r="C98" s="61" t="str">
        <f t="shared" si="17"/>
        <v>8조 - Broker - Modifiability</v>
      </c>
      <c r="D98" s="54" t="s">
        <v>651</v>
      </c>
      <c r="E98" s="61" t="str">
        <f t="shared" si="18"/>
        <v>8조 - Dispatcher - Modifiability</v>
      </c>
    </row>
    <row r="99" ht="16.5" customHeight="1">
      <c r="A99" s="27" t="s">
        <v>176</v>
      </c>
      <c r="B99" s="54" t="s">
        <v>651</v>
      </c>
      <c r="C99" s="61" t="str">
        <f t="shared" si="17"/>
        <v>8조 - Broker - Performance</v>
      </c>
      <c r="D99" s="54" t="s">
        <v>651</v>
      </c>
      <c r="E99" s="61" t="str">
        <f t="shared" si="18"/>
        <v>8조 - Dispatcher - Performance</v>
      </c>
    </row>
    <row r="100" ht="16.5" customHeight="1">
      <c r="A100" s="27" t="s">
        <v>208</v>
      </c>
      <c r="B100" s="54" t="s">
        <v>651</v>
      </c>
      <c r="C100" s="61" t="str">
        <f t="shared" si="17"/>
        <v>8조 - Broker - Safety</v>
      </c>
      <c r="D100" s="54" t="s">
        <v>651</v>
      </c>
      <c r="E100" s="61" t="str">
        <f t="shared" si="18"/>
        <v>8조 - Dispatcher - Safety</v>
      </c>
    </row>
    <row r="101" ht="16.5" customHeight="1">
      <c r="A101" s="27" t="s">
        <v>242</v>
      </c>
      <c r="B101" s="54" t="s">
        <v>651</v>
      </c>
      <c r="C101" s="61" t="str">
        <f t="shared" si="17"/>
        <v>8조 - Broker - Security</v>
      </c>
      <c r="D101" s="54" t="s">
        <v>651</v>
      </c>
      <c r="E101" s="61" t="str">
        <f t="shared" si="18"/>
        <v>8조 - Dispatcher - Security</v>
      </c>
    </row>
    <row r="102" ht="16.5" customHeight="1">
      <c r="A102" s="27" t="s">
        <v>273</v>
      </c>
      <c r="B102" s="54" t="s">
        <v>651</v>
      </c>
      <c r="C102" s="61" t="str">
        <f t="shared" si="17"/>
        <v>8조 - Broker - Testability</v>
      </c>
      <c r="D102" s="54" t="s">
        <v>651</v>
      </c>
      <c r="E102" s="61" t="str">
        <f t="shared" si="18"/>
        <v>8조 - Dispatcher - Testability</v>
      </c>
    </row>
    <row r="103" ht="16.5" customHeight="1">
      <c r="A103" s="27" t="s">
        <v>305</v>
      </c>
      <c r="B103" s="54" t="s">
        <v>651</v>
      </c>
      <c r="C103" s="61" t="str">
        <f t="shared" si="17"/>
        <v>8조 - Broker - Usability</v>
      </c>
      <c r="D103" s="54" t="s">
        <v>651</v>
      </c>
      <c r="E103" s="61" t="str">
        <f t="shared" si="18"/>
        <v>8조 - Dispatcher - Usability</v>
      </c>
    </row>
    <row r="104" ht="16.5" customHeight="1">
      <c r="A104" s="34"/>
      <c r="B104" s="42" t="s">
        <v>651</v>
      </c>
      <c r="C104" s="34"/>
      <c r="D104" s="42" t="s">
        <v>651</v>
      </c>
      <c r="E104" s="34"/>
      <c r="F104" s="34"/>
      <c r="G104" s="34"/>
    </row>
    <row r="105" ht="16.5" customHeight="1">
      <c r="A105" s="24" t="s">
        <v>386</v>
      </c>
      <c r="B105" s="73" t="s">
        <v>568</v>
      </c>
      <c r="C105" s="19"/>
      <c r="D105" s="46" t="s">
        <v>739</v>
      </c>
      <c r="E105" s="19"/>
    </row>
    <row r="106" ht="16.5" customHeight="1">
      <c r="A106" s="20"/>
      <c r="B106" s="26" t="s">
        <v>12</v>
      </c>
      <c r="C106" s="26" t="s">
        <v>13</v>
      </c>
      <c r="D106" s="26" t="s">
        <v>12</v>
      </c>
      <c r="E106" s="26" t="s">
        <v>13</v>
      </c>
    </row>
    <row r="107" ht="16.5" customHeight="1">
      <c r="A107" s="27" t="s">
        <v>14</v>
      </c>
      <c r="B107" s="54" t="s">
        <v>651</v>
      </c>
      <c r="C107" s="61" t="str">
        <f t="shared" ref="C107:C116" si="19">"8조" &amp; " - " &amp; B$105 &amp; " - " &amp; $A107</f>
        <v>8조 - SOA - Availability</v>
      </c>
      <c r="D107" s="54" t="s">
        <v>651</v>
      </c>
      <c r="E107" s="61" t="str">
        <f t="shared" ref="E107:E116" si="20">"8조" &amp; " - " &amp; D$105 &amp; " - " &amp; $A107</f>
        <v>8조 - Mico-Service - Availability</v>
      </c>
    </row>
    <row r="108" ht="16.5" customHeight="1">
      <c r="A108" s="27" t="s">
        <v>44</v>
      </c>
      <c r="B108" s="54" t="s">
        <v>651</v>
      </c>
      <c r="C108" s="61" t="str">
        <f t="shared" si="19"/>
        <v>8조 - SOA - Deployability</v>
      </c>
      <c r="D108" s="54" t="s">
        <v>651</v>
      </c>
      <c r="E108" s="61" t="str">
        <f t="shared" si="20"/>
        <v>8조 - Mico-Service - Deployability</v>
      </c>
    </row>
    <row r="109" ht="16.5" customHeight="1">
      <c r="A109" s="27" t="s">
        <v>80</v>
      </c>
      <c r="B109" s="54" t="s">
        <v>651</v>
      </c>
      <c r="C109" s="61" t="str">
        <f t="shared" si="19"/>
        <v>8조 - SOA - Integrability</v>
      </c>
      <c r="D109" s="54" t="s">
        <v>651</v>
      </c>
      <c r="E109" s="61" t="str">
        <f t="shared" si="20"/>
        <v>8조 - Mico-Service - Integrability</v>
      </c>
    </row>
    <row r="110" ht="16.5" customHeight="1">
      <c r="A110" s="27" t="s">
        <v>113</v>
      </c>
      <c r="B110" s="54" t="s">
        <v>651</v>
      </c>
      <c r="C110" s="61" t="str">
        <f t="shared" si="19"/>
        <v>8조 - SOA - Energy Efficiency</v>
      </c>
      <c r="D110" s="54" t="s">
        <v>651</v>
      </c>
      <c r="E110" s="61" t="str">
        <f t="shared" si="20"/>
        <v>8조 - Mico-Service - Energy Efficiency</v>
      </c>
    </row>
    <row r="111" ht="16.5" customHeight="1">
      <c r="A111" s="27" t="s">
        <v>144</v>
      </c>
      <c r="B111" s="54" t="s">
        <v>651</v>
      </c>
      <c r="C111" s="61" t="str">
        <f t="shared" si="19"/>
        <v>8조 - SOA - Modifiability</v>
      </c>
      <c r="D111" s="54" t="s">
        <v>651</v>
      </c>
      <c r="E111" s="61" t="str">
        <f t="shared" si="20"/>
        <v>8조 - Mico-Service - Modifiability</v>
      </c>
    </row>
    <row r="112" ht="16.5" customHeight="1">
      <c r="A112" s="27" t="s">
        <v>176</v>
      </c>
      <c r="B112" s="54" t="s">
        <v>651</v>
      </c>
      <c r="C112" s="61" t="str">
        <f t="shared" si="19"/>
        <v>8조 - SOA - Performance</v>
      </c>
      <c r="D112" s="54" t="s">
        <v>651</v>
      </c>
      <c r="E112" s="61" t="str">
        <f t="shared" si="20"/>
        <v>8조 - Mico-Service - Performance</v>
      </c>
    </row>
    <row r="113" ht="16.5" customHeight="1">
      <c r="A113" s="27" t="s">
        <v>208</v>
      </c>
      <c r="B113" s="54" t="s">
        <v>651</v>
      </c>
      <c r="C113" s="61" t="str">
        <f t="shared" si="19"/>
        <v>8조 - SOA - Safety</v>
      </c>
      <c r="D113" s="54" t="s">
        <v>651</v>
      </c>
      <c r="E113" s="61" t="str">
        <f t="shared" si="20"/>
        <v>8조 - Mico-Service - Safety</v>
      </c>
    </row>
    <row r="114" ht="16.5" customHeight="1">
      <c r="A114" s="27" t="s">
        <v>242</v>
      </c>
      <c r="B114" s="54" t="s">
        <v>651</v>
      </c>
      <c r="C114" s="61" t="str">
        <f t="shared" si="19"/>
        <v>8조 - SOA - Security</v>
      </c>
      <c r="D114" s="54" t="s">
        <v>651</v>
      </c>
      <c r="E114" s="61" t="str">
        <f t="shared" si="20"/>
        <v>8조 - Mico-Service - Security</v>
      </c>
    </row>
    <row r="115" ht="16.5" customHeight="1">
      <c r="A115" s="27" t="s">
        <v>273</v>
      </c>
      <c r="B115" s="54" t="s">
        <v>651</v>
      </c>
      <c r="C115" s="61" t="str">
        <f t="shared" si="19"/>
        <v>8조 - SOA - Testability</v>
      </c>
      <c r="D115" s="54" t="s">
        <v>651</v>
      </c>
      <c r="E115" s="61" t="str">
        <f t="shared" si="20"/>
        <v>8조 - Mico-Service - Testability</v>
      </c>
    </row>
    <row r="116" ht="16.5" customHeight="1">
      <c r="A116" s="27" t="s">
        <v>305</v>
      </c>
      <c r="B116" s="54" t="s">
        <v>651</v>
      </c>
      <c r="C116" s="61" t="str">
        <f t="shared" si="19"/>
        <v>8조 - SOA - Usability</v>
      </c>
      <c r="D116" s="54" t="s">
        <v>651</v>
      </c>
      <c r="E116" s="61" t="str">
        <f t="shared" si="20"/>
        <v>8조 - Mico-Service - Usability</v>
      </c>
    </row>
    <row r="117" ht="16.5" customHeight="1">
      <c r="A117" s="34"/>
      <c r="B117" s="42" t="s">
        <v>651</v>
      </c>
      <c r="C117" s="34"/>
      <c r="D117" s="42" t="s">
        <v>651</v>
      </c>
      <c r="E117" s="34"/>
      <c r="F117" s="34"/>
      <c r="G117" s="34"/>
    </row>
    <row r="118" ht="16.5" customHeight="1">
      <c r="A118" s="24" t="s">
        <v>599</v>
      </c>
      <c r="B118" s="46" t="s">
        <v>600</v>
      </c>
      <c r="C118" s="19"/>
      <c r="D118" s="46" t="s">
        <v>601</v>
      </c>
      <c r="E118" s="19"/>
      <c r="F118" s="46" t="s">
        <v>603</v>
      </c>
      <c r="G118" s="19"/>
    </row>
    <row r="119" ht="16.5" customHeight="1">
      <c r="A119" s="20"/>
      <c r="B119" s="26" t="s">
        <v>12</v>
      </c>
      <c r="C119" s="26" t="s">
        <v>13</v>
      </c>
      <c r="D119" s="26" t="s">
        <v>12</v>
      </c>
      <c r="E119" s="26" t="s">
        <v>13</v>
      </c>
      <c r="F119" s="26" t="s">
        <v>12</v>
      </c>
      <c r="G119" s="26" t="s">
        <v>13</v>
      </c>
    </row>
    <row r="120" ht="16.5" customHeight="1">
      <c r="A120" s="27" t="s">
        <v>14</v>
      </c>
      <c r="B120" s="54" t="s">
        <v>651</v>
      </c>
      <c r="C120" s="61" t="str">
        <f t="shared" ref="C120:C129" si="21">"8조" &amp; " - " &amp; B$118 &amp; " - " &amp; $A120</f>
        <v>8조 - Container-based - Availability</v>
      </c>
      <c r="D120" s="54" t="s">
        <v>651</v>
      </c>
      <c r="E120" s="61" t="str">
        <f t="shared" ref="E120:E129" si="22">"8조" &amp; " - " &amp; D$118 &amp; " - " &amp; $A120</f>
        <v>8조 - Cloud-based - Availability</v>
      </c>
      <c r="F120" s="54" t="s">
        <v>651</v>
      </c>
      <c r="G120" s="61" t="str">
        <f t="shared" ref="G120:G129" si="23">"8조" &amp; " - " &amp; F$118 &amp; " - " &amp; $A120</f>
        <v>8조 - Edge-based - Availability</v>
      </c>
    </row>
    <row r="121" ht="16.5" customHeight="1">
      <c r="A121" s="27" t="s">
        <v>44</v>
      </c>
      <c r="B121" s="54" t="s">
        <v>651</v>
      </c>
      <c r="C121" s="61" t="str">
        <f t="shared" si="21"/>
        <v>8조 - Container-based - Deployability</v>
      </c>
      <c r="D121" s="54" t="s">
        <v>651</v>
      </c>
      <c r="E121" s="61" t="str">
        <f t="shared" si="22"/>
        <v>8조 - Cloud-based - Deployability</v>
      </c>
      <c r="F121" s="54" t="s">
        <v>651</v>
      </c>
      <c r="G121" s="61" t="str">
        <f t="shared" si="23"/>
        <v>8조 - Edge-based - Deployability</v>
      </c>
    </row>
    <row r="122" ht="16.5" customHeight="1">
      <c r="A122" s="27" t="s">
        <v>80</v>
      </c>
      <c r="B122" s="54" t="s">
        <v>651</v>
      </c>
      <c r="C122" s="61" t="str">
        <f t="shared" si="21"/>
        <v>8조 - Container-based - Integrability</v>
      </c>
      <c r="D122" s="54" t="s">
        <v>651</v>
      </c>
      <c r="E122" s="61" t="str">
        <f t="shared" si="22"/>
        <v>8조 - Cloud-based - Integrability</v>
      </c>
      <c r="F122" s="54" t="s">
        <v>651</v>
      </c>
      <c r="G122" s="61" t="str">
        <f t="shared" si="23"/>
        <v>8조 - Edge-based - Integrability</v>
      </c>
    </row>
    <row r="123" ht="16.5" customHeight="1">
      <c r="A123" s="27" t="s">
        <v>113</v>
      </c>
      <c r="B123" s="54" t="s">
        <v>651</v>
      </c>
      <c r="C123" s="61" t="str">
        <f t="shared" si="21"/>
        <v>8조 - Container-based - Energy Efficiency</v>
      </c>
      <c r="D123" s="54" t="s">
        <v>651</v>
      </c>
      <c r="E123" s="61" t="str">
        <f t="shared" si="22"/>
        <v>8조 - Cloud-based - Energy Efficiency</v>
      </c>
      <c r="F123" s="54" t="s">
        <v>651</v>
      </c>
      <c r="G123" s="61" t="str">
        <f t="shared" si="23"/>
        <v>8조 - Edge-based - Energy Efficiency</v>
      </c>
    </row>
    <row r="124" ht="16.5" customHeight="1">
      <c r="A124" s="27" t="s">
        <v>144</v>
      </c>
      <c r="B124" s="54" t="s">
        <v>651</v>
      </c>
      <c r="C124" s="61" t="str">
        <f t="shared" si="21"/>
        <v>8조 - Container-based - Modifiability</v>
      </c>
      <c r="D124" s="54" t="s">
        <v>651</v>
      </c>
      <c r="E124" s="61" t="str">
        <f t="shared" si="22"/>
        <v>8조 - Cloud-based - Modifiability</v>
      </c>
      <c r="F124" s="54" t="s">
        <v>651</v>
      </c>
      <c r="G124" s="61" t="str">
        <f t="shared" si="23"/>
        <v>8조 - Edge-based - Modifiability</v>
      </c>
    </row>
    <row r="125" ht="16.5" customHeight="1">
      <c r="A125" s="27" t="s">
        <v>176</v>
      </c>
      <c r="B125" s="54" t="s">
        <v>651</v>
      </c>
      <c r="C125" s="61" t="str">
        <f t="shared" si="21"/>
        <v>8조 - Container-based - Performance</v>
      </c>
      <c r="D125" s="54" t="s">
        <v>651</v>
      </c>
      <c r="E125" s="61" t="str">
        <f t="shared" si="22"/>
        <v>8조 - Cloud-based - Performance</v>
      </c>
      <c r="F125" s="54" t="s">
        <v>651</v>
      </c>
      <c r="G125" s="61" t="str">
        <f t="shared" si="23"/>
        <v>8조 - Edge-based - Performance</v>
      </c>
    </row>
    <row r="126" ht="16.5" customHeight="1">
      <c r="A126" s="27" t="s">
        <v>208</v>
      </c>
      <c r="B126" s="54" t="s">
        <v>651</v>
      </c>
      <c r="C126" s="61" t="str">
        <f t="shared" si="21"/>
        <v>8조 - Container-based - Safety</v>
      </c>
      <c r="D126" s="54" t="s">
        <v>651</v>
      </c>
      <c r="E126" s="61" t="str">
        <f t="shared" si="22"/>
        <v>8조 - Cloud-based - Safety</v>
      </c>
      <c r="F126" s="54" t="s">
        <v>651</v>
      </c>
      <c r="G126" s="61" t="str">
        <f t="shared" si="23"/>
        <v>8조 - Edge-based - Safety</v>
      </c>
    </row>
    <row r="127" ht="16.5" customHeight="1">
      <c r="A127" s="27" t="s">
        <v>242</v>
      </c>
      <c r="B127" s="54" t="s">
        <v>651</v>
      </c>
      <c r="C127" s="61" t="str">
        <f t="shared" si="21"/>
        <v>8조 - Container-based - Security</v>
      </c>
      <c r="D127" s="54" t="s">
        <v>651</v>
      </c>
      <c r="E127" s="61" t="str">
        <f t="shared" si="22"/>
        <v>8조 - Cloud-based - Security</v>
      </c>
      <c r="F127" s="54" t="s">
        <v>651</v>
      </c>
      <c r="G127" s="61" t="str">
        <f t="shared" si="23"/>
        <v>8조 - Edge-based - Security</v>
      </c>
    </row>
    <row r="128" ht="16.5" customHeight="1">
      <c r="A128" s="27" t="s">
        <v>273</v>
      </c>
      <c r="B128" s="54" t="s">
        <v>651</v>
      </c>
      <c r="C128" s="61" t="str">
        <f t="shared" si="21"/>
        <v>8조 - Container-based - Testability</v>
      </c>
      <c r="D128" s="54" t="s">
        <v>651</v>
      </c>
      <c r="E128" s="61" t="str">
        <f t="shared" si="22"/>
        <v>8조 - Cloud-based - Testability</v>
      </c>
      <c r="F128" s="54" t="s">
        <v>651</v>
      </c>
      <c r="G128" s="61" t="str">
        <f t="shared" si="23"/>
        <v>8조 - Edge-based - Testability</v>
      </c>
    </row>
    <row r="129" ht="16.5" customHeight="1">
      <c r="A129" s="27" t="s">
        <v>305</v>
      </c>
      <c r="B129" s="54" t="s">
        <v>651</v>
      </c>
      <c r="C129" s="61" t="str">
        <f t="shared" si="21"/>
        <v>8조 - Container-based - Usability</v>
      </c>
      <c r="D129" s="54" t="s">
        <v>651</v>
      </c>
      <c r="E129" s="61" t="str">
        <f t="shared" si="22"/>
        <v>8조 - Cloud-based - Usability</v>
      </c>
      <c r="F129" s="54" t="s">
        <v>651</v>
      </c>
      <c r="G129" s="61" t="str">
        <f t="shared" si="23"/>
        <v>8조 - Edge-based - Usability</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0.57"/>
    <col customWidth="1" min="4" max="4" width="9.86"/>
    <col customWidth="1" min="5" max="5" width="64.43"/>
    <col customWidth="1" min="6" max="6" width="11.43"/>
    <col customWidth="1" min="7" max="7" width="61.57"/>
    <col customWidth="1" min="8" max="8" width="8.86"/>
    <col customWidth="1" min="9" max="9" width="64.14"/>
  </cols>
  <sheetData>
    <row r="1" ht="16.5" customHeight="1">
      <c r="A1" s="24" t="s">
        <v>610</v>
      </c>
      <c r="B1" s="46" t="s">
        <v>2</v>
      </c>
      <c r="C1" s="19"/>
      <c r="D1" s="46" t="s">
        <v>6</v>
      </c>
      <c r="E1" s="19"/>
      <c r="F1" s="46" t="s">
        <v>10</v>
      </c>
      <c r="G1" s="19"/>
    </row>
    <row r="2" ht="16.5" customHeight="1">
      <c r="A2" s="20"/>
      <c r="B2" s="26" t="s">
        <v>12</v>
      </c>
      <c r="C2" s="26" t="s">
        <v>13</v>
      </c>
      <c r="D2" s="26" t="s">
        <v>12</v>
      </c>
      <c r="E2" s="26" t="s">
        <v>13</v>
      </c>
      <c r="F2" s="26" t="s">
        <v>12</v>
      </c>
      <c r="G2" s="26" t="s">
        <v>13</v>
      </c>
    </row>
    <row r="3" ht="16.5" customHeight="1">
      <c r="A3" s="27" t="s">
        <v>14</v>
      </c>
      <c r="B3" s="54" t="s">
        <v>651</v>
      </c>
      <c r="C3" s="61" t="str">
        <f t="shared" ref="C3:C12" si="1">"9조" &amp; " - " &amp; B$1 &amp; " - " &amp; $A3</f>
        <v>9조 - Batch Sequential - Availability</v>
      </c>
      <c r="D3" s="54" t="s">
        <v>651</v>
      </c>
      <c r="E3" s="61" t="str">
        <f t="shared" ref="E3:E12" si="2">"9조" &amp; " - " &amp; D$1 &amp; " - " &amp; $A3</f>
        <v>9조 - Pipe and Filter - Availability</v>
      </c>
      <c r="F3" s="54" t="s">
        <v>651</v>
      </c>
      <c r="G3" s="61" t="str">
        <f t="shared" ref="G3:G12" si="3">"9조" &amp; " - " &amp; F$1 &amp; " - " &amp; $A3</f>
        <v>9조 - Process Control - Availability</v>
      </c>
    </row>
    <row r="4" ht="16.5" customHeight="1">
      <c r="A4" s="27" t="s">
        <v>44</v>
      </c>
      <c r="B4" s="54" t="s">
        <v>651</v>
      </c>
      <c r="C4" s="61" t="str">
        <f t="shared" si="1"/>
        <v>9조 - Batch Sequential - Deployability</v>
      </c>
      <c r="D4" s="54" t="s">
        <v>651</v>
      </c>
      <c r="E4" s="61" t="str">
        <f t="shared" si="2"/>
        <v>9조 - Pipe and Filter - Deployability</v>
      </c>
      <c r="F4" s="54" t="s">
        <v>651</v>
      </c>
      <c r="G4" s="61" t="str">
        <f t="shared" si="3"/>
        <v>9조 - Process Control - Deployability</v>
      </c>
    </row>
    <row r="5" ht="16.5" customHeight="1">
      <c r="A5" s="27" t="s">
        <v>80</v>
      </c>
      <c r="B5" s="54" t="s">
        <v>651</v>
      </c>
      <c r="C5" s="61" t="str">
        <f t="shared" si="1"/>
        <v>9조 - Batch Sequential - Integrability</v>
      </c>
      <c r="D5" s="54" t="s">
        <v>651</v>
      </c>
      <c r="E5" s="65" t="str">
        <f t="shared" si="2"/>
        <v>9조 - Pipe and Filter - Integrability</v>
      </c>
      <c r="F5" s="54" t="s">
        <v>651</v>
      </c>
      <c r="G5" s="61" t="str">
        <f t="shared" si="3"/>
        <v>9조 - Process Control - Integrability</v>
      </c>
    </row>
    <row r="6" ht="16.5" customHeight="1">
      <c r="A6" s="27" t="s">
        <v>113</v>
      </c>
      <c r="B6" s="54" t="s">
        <v>651</v>
      </c>
      <c r="C6" s="61" t="str">
        <f t="shared" si="1"/>
        <v>9조 - Batch Sequential - Energy Efficiency</v>
      </c>
      <c r="D6" s="54" t="s">
        <v>651</v>
      </c>
      <c r="E6" s="61" t="str">
        <f t="shared" si="2"/>
        <v>9조 - Pipe and Filter - Energy Efficiency</v>
      </c>
      <c r="F6" s="54" t="s">
        <v>651</v>
      </c>
      <c r="G6" s="61" t="str">
        <f t="shared" si="3"/>
        <v>9조 - Process Control - Energy Efficiency</v>
      </c>
    </row>
    <row r="7" ht="16.5" customHeight="1">
      <c r="A7" s="27" t="s">
        <v>144</v>
      </c>
      <c r="B7" s="54" t="s">
        <v>651</v>
      </c>
      <c r="C7" s="61" t="str">
        <f t="shared" si="1"/>
        <v>9조 - Batch Sequential - Modifiability</v>
      </c>
      <c r="D7" s="54" t="s">
        <v>651</v>
      </c>
      <c r="E7" s="61" t="str">
        <f t="shared" si="2"/>
        <v>9조 - Pipe and Filter - Modifiability</v>
      </c>
      <c r="F7" s="54" t="s">
        <v>651</v>
      </c>
      <c r="G7" s="61" t="str">
        <f t="shared" si="3"/>
        <v>9조 - Process Control - Modifiability</v>
      </c>
    </row>
    <row r="8" ht="16.5" customHeight="1">
      <c r="A8" s="27" t="s">
        <v>176</v>
      </c>
      <c r="B8" s="54" t="s">
        <v>651</v>
      </c>
      <c r="C8" s="61" t="str">
        <f t="shared" si="1"/>
        <v>9조 - Batch Sequential - Performance</v>
      </c>
      <c r="D8" s="54" t="s">
        <v>651</v>
      </c>
      <c r="E8" s="61" t="str">
        <f t="shared" si="2"/>
        <v>9조 - Pipe and Filter - Performance</v>
      </c>
      <c r="F8" s="54" t="s">
        <v>651</v>
      </c>
      <c r="G8" s="61" t="str">
        <f t="shared" si="3"/>
        <v>9조 - Process Control - Performance</v>
      </c>
    </row>
    <row r="9" ht="16.5" customHeight="1">
      <c r="A9" s="27" t="s">
        <v>208</v>
      </c>
      <c r="B9" s="54" t="s">
        <v>651</v>
      </c>
      <c r="C9" s="61" t="str">
        <f t="shared" si="1"/>
        <v>9조 - Batch Sequential - Safety</v>
      </c>
      <c r="D9" s="54" t="s">
        <v>651</v>
      </c>
      <c r="E9" s="61" t="str">
        <f t="shared" si="2"/>
        <v>9조 - Pipe and Filter - Safety</v>
      </c>
      <c r="F9" s="54" t="s">
        <v>651</v>
      </c>
      <c r="G9" s="61" t="str">
        <f t="shared" si="3"/>
        <v>9조 - Process Control - Safety</v>
      </c>
    </row>
    <row r="10" ht="16.5" customHeight="1">
      <c r="A10" s="27" t="s">
        <v>242</v>
      </c>
      <c r="B10" s="54" t="s">
        <v>651</v>
      </c>
      <c r="C10" s="61" t="str">
        <f t="shared" si="1"/>
        <v>9조 - Batch Sequential - Security</v>
      </c>
      <c r="D10" s="54" t="s">
        <v>651</v>
      </c>
      <c r="E10" s="61" t="str">
        <f t="shared" si="2"/>
        <v>9조 - Pipe and Filter - Security</v>
      </c>
      <c r="F10" s="54" t="s">
        <v>651</v>
      </c>
      <c r="G10" s="61" t="str">
        <f t="shared" si="3"/>
        <v>9조 - Process Control - Security</v>
      </c>
    </row>
    <row r="11" ht="16.5" customHeight="1">
      <c r="A11" s="27" t="s">
        <v>273</v>
      </c>
      <c r="B11" s="54" t="s">
        <v>651</v>
      </c>
      <c r="C11" s="61" t="str">
        <f t="shared" si="1"/>
        <v>9조 - Batch Sequential - Testability</v>
      </c>
      <c r="D11" s="54" t="s">
        <v>651</v>
      </c>
      <c r="E11" s="61" t="str">
        <f t="shared" si="2"/>
        <v>9조 - Pipe and Filter - Testability</v>
      </c>
      <c r="F11" s="54" t="s">
        <v>651</v>
      </c>
      <c r="G11" s="61" t="str">
        <f t="shared" si="3"/>
        <v>9조 - Process Control - Testability</v>
      </c>
    </row>
    <row r="12" ht="16.5" customHeight="1">
      <c r="A12" s="27" t="s">
        <v>305</v>
      </c>
      <c r="B12" s="54" t="s">
        <v>651</v>
      </c>
      <c r="C12" s="61" t="str">
        <f t="shared" si="1"/>
        <v>9조 - Batch Sequential - Usability</v>
      </c>
      <c r="D12" s="54" t="s">
        <v>651</v>
      </c>
      <c r="E12" s="61" t="str">
        <f t="shared" si="2"/>
        <v>9조 - Pipe and Filter - Usability</v>
      </c>
      <c r="F12" s="54" t="s">
        <v>651</v>
      </c>
      <c r="G12" s="61" t="str">
        <f t="shared" si="3"/>
        <v>9조 - Process Control - Usability</v>
      </c>
    </row>
    <row r="13" ht="16.5" customHeight="1">
      <c r="A13" s="34"/>
      <c r="B13" s="42" t="s">
        <v>651</v>
      </c>
      <c r="C13" s="42" t="s">
        <v>651</v>
      </c>
      <c r="D13" s="42" t="s">
        <v>651</v>
      </c>
      <c r="E13" s="42" t="s">
        <v>651</v>
      </c>
      <c r="F13" s="42" t="s">
        <v>651</v>
      </c>
      <c r="G13" s="34"/>
    </row>
    <row r="14" ht="16.5" customHeight="1">
      <c r="A14" s="35" t="s">
        <v>0</v>
      </c>
      <c r="B14" s="73" t="s">
        <v>615</v>
      </c>
      <c r="C14" s="19"/>
      <c r="D14" s="73" t="s">
        <v>8</v>
      </c>
      <c r="E14" s="19"/>
      <c r="F14" s="34"/>
      <c r="G14" s="34"/>
    </row>
    <row r="15" ht="16.5" customHeight="1">
      <c r="A15" s="36"/>
      <c r="B15" s="37" t="s">
        <v>12</v>
      </c>
      <c r="C15" s="74" t="s">
        <v>13</v>
      </c>
      <c r="D15" s="37" t="s">
        <v>12</v>
      </c>
      <c r="E15" s="74" t="s">
        <v>13</v>
      </c>
      <c r="F15" s="34"/>
      <c r="G15" s="34"/>
    </row>
    <row r="16" ht="16.5" customHeight="1">
      <c r="A16" s="27" t="s">
        <v>14</v>
      </c>
      <c r="B16" s="54" t="s">
        <v>651</v>
      </c>
      <c r="C16" s="61" t="str">
        <f t="shared" ref="C16:C25" si="4">"9조" &amp; " - " &amp; B$14 &amp; " - " &amp; $A16</f>
        <v>9조 - Shared Respository - Availability</v>
      </c>
      <c r="D16" s="54" t="s">
        <v>651</v>
      </c>
      <c r="E16" s="61" t="str">
        <f t="shared" ref="E16:E25" si="5">"9조" &amp; " - " &amp; D$14 &amp; " - " &amp; $A16</f>
        <v>9조 - Blackboard - Availability</v>
      </c>
      <c r="F16" s="34"/>
      <c r="G16" s="34"/>
    </row>
    <row r="17" ht="16.5" customHeight="1">
      <c r="A17" s="27" t="s">
        <v>44</v>
      </c>
      <c r="B17" s="54" t="s">
        <v>651</v>
      </c>
      <c r="C17" s="61" t="str">
        <f t="shared" si="4"/>
        <v>9조 - Shared Respository - Deployability</v>
      </c>
      <c r="D17" s="54" t="s">
        <v>651</v>
      </c>
      <c r="E17" s="61" t="str">
        <f t="shared" si="5"/>
        <v>9조 - Blackboard - Deployability</v>
      </c>
      <c r="F17" s="34"/>
      <c r="G17" s="34"/>
    </row>
    <row r="18" ht="16.5" customHeight="1">
      <c r="A18" s="27" t="s">
        <v>80</v>
      </c>
      <c r="B18" s="54" t="s">
        <v>651</v>
      </c>
      <c r="C18" s="61" t="str">
        <f t="shared" si="4"/>
        <v>9조 - Shared Respository - Integrability</v>
      </c>
      <c r="D18" s="54" t="s">
        <v>651</v>
      </c>
      <c r="E18" s="61" t="str">
        <f t="shared" si="5"/>
        <v>9조 - Blackboard - Integrability</v>
      </c>
      <c r="F18" s="34"/>
      <c r="G18" s="34"/>
    </row>
    <row r="19" ht="16.5" customHeight="1">
      <c r="A19" s="27" t="s">
        <v>113</v>
      </c>
      <c r="B19" s="54" t="s">
        <v>651</v>
      </c>
      <c r="C19" s="61" t="str">
        <f t="shared" si="4"/>
        <v>9조 - Shared Respository - Energy Efficiency</v>
      </c>
      <c r="D19" s="54" t="s">
        <v>651</v>
      </c>
      <c r="E19" s="61" t="str">
        <f t="shared" si="5"/>
        <v>9조 - Blackboard - Energy Efficiency</v>
      </c>
      <c r="F19" s="34"/>
      <c r="G19" s="34"/>
    </row>
    <row r="20" ht="16.5" customHeight="1">
      <c r="A20" s="27" t="s">
        <v>144</v>
      </c>
      <c r="B20" s="54" t="s">
        <v>651</v>
      </c>
      <c r="C20" s="61" t="str">
        <f t="shared" si="4"/>
        <v>9조 - Shared Respository - Modifiability</v>
      </c>
      <c r="D20" s="54" t="s">
        <v>651</v>
      </c>
      <c r="E20" s="61" t="str">
        <f t="shared" si="5"/>
        <v>9조 - Blackboard - Modifiability</v>
      </c>
      <c r="F20" s="34"/>
      <c r="G20" s="34"/>
    </row>
    <row r="21" ht="16.5" customHeight="1">
      <c r="A21" s="27" t="s">
        <v>176</v>
      </c>
      <c r="B21" s="54" t="s">
        <v>651</v>
      </c>
      <c r="C21" s="61" t="str">
        <f t="shared" si="4"/>
        <v>9조 - Shared Respository - Performance</v>
      </c>
      <c r="D21" s="54" t="s">
        <v>651</v>
      </c>
      <c r="E21" s="61" t="str">
        <f t="shared" si="5"/>
        <v>9조 - Blackboard - Performance</v>
      </c>
      <c r="F21" s="34"/>
      <c r="G21" s="34"/>
    </row>
    <row r="22" ht="16.5" customHeight="1">
      <c r="A22" s="27" t="s">
        <v>208</v>
      </c>
      <c r="B22" s="54" t="s">
        <v>651</v>
      </c>
      <c r="C22" s="61" t="str">
        <f t="shared" si="4"/>
        <v>9조 - Shared Respository - Safety</v>
      </c>
      <c r="D22" s="54" t="s">
        <v>651</v>
      </c>
      <c r="E22" s="61" t="str">
        <f t="shared" si="5"/>
        <v>9조 - Blackboard - Safety</v>
      </c>
      <c r="F22" s="34"/>
      <c r="G22" s="34"/>
    </row>
    <row r="23" ht="16.5" customHeight="1">
      <c r="A23" s="27" t="s">
        <v>242</v>
      </c>
      <c r="B23" s="54" t="s">
        <v>651</v>
      </c>
      <c r="C23" s="61" t="str">
        <f t="shared" si="4"/>
        <v>9조 - Shared Respository - Security</v>
      </c>
      <c r="D23" s="54" t="s">
        <v>651</v>
      </c>
      <c r="E23" s="61" t="str">
        <f t="shared" si="5"/>
        <v>9조 - Blackboard - Security</v>
      </c>
      <c r="F23" s="34"/>
      <c r="G23" s="34"/>
    </row>
    <row r="24" ht="16.5" customHeight="1">
      <c r="A24" s="27" t="s">
        <v>273</v>
      </c>
      <c r="B24" s="54" t="s">
        <v>651</v>
      </c>
      <c r="C24" s="61" t="str">
        <f t="shared" si="4"/>
        <v>9조 - Shared Respository - Testability</v>
      </c>
      <c r="D24" s="54" t="s">
        <v>651</v>
      </c>
      <c r="E24" s="61" t="str">
        <f t="shared" si="5"/>
        <v>9조 - Blackboard - Testability</v>
      </c>
      <c r="F24" s="34"/>
      <c r="G24" s="34"/>
    </row>
    <row r="25" ht="16.5" customHeight="1">
      <c r="A25" s="27" t="s">
        <v>305</v>
      </c>
      <c r="B25" s="54" t="s">
        <v>651</v>
      </c>
      <c r="C25" s="61" t="str">
        <f t="shared" si="4"/>
        <v>9조 - Shared Respository - Usability</v>
      </c>
      <c r="D25" s="54" t="s">
        <v>651</v>
      </c>
      <c r="E25" s="61" t="str">
        <f t="shared" si="5"/>
        <v>9조 - Blackboard - Usability</v>
      </c>
      <c r="F25" s="34"/>
      <c r="G25" s="34"/>
    </row>
    <row r="26" ht="16.5" customHeight="1">
      <c r="A26" s="34"/>
      <c r="B26" s="42" t="s">
        <v>651</v>
      </c>
      <c r="C26" s="42" t="s">
        <v>651</v>
      </c>
      <c r="D26" s="42" t="s">
        <v>651</v>
      </c>
      <c r="E26" s="42" t="s">
        <v>651</v>
      </c>
      <c r="F26" s="34"/>
      <c r="G26" s="34"/>
    </row>
    <row r="27" ht="16.5" customHeight="1">
      <c r="A27" s="35" t="s">
        <v>3</v>
      </c>
      <c r="B27" s="73" t="s">
        <v>7</v>
      </c>
      <c r="C27" s="19"/>
      <c r="D27" s="73" t="s">
        <v>11</v>
      </c>
      <c r="E27" s="19"/>
      <c r="F27" s="34"/>
      <c r="G27" s="34"/>
    </row>
    <row r="28" ht="16.5" customHeight="1">
      <c r="A28" s="39"/>
      <c r="B28" s="26" t="s">
        <v>12</v>
      </c>
      <c r="C28" s="44" t="s">
        <v>13</v>
      </c>
      <c r="D28" s="26" t="s">
        <v>12</v>
      </c>
      <c r="E28" s="44" t="s">
        <v>13</v>
      </c>
      <c r="F28" s="34"/>
      <c r="G28" s="34"/>
    </row>
    <row r="29" ht="16.5" customHeight="1">
      <c r="A29" s="27" t="s">
        <v>14</v>
      </c>
      <c r="B29" s="54" t="s">
        <v>651</v>
      </c>
      <c r="C29" s="61" t="str">
        <f t="shared" ref="C29:C38" si="6">"9조" &amp; " - " &amp; B$27 &amp; " - " &amp; $A29</f>
        <v>9조 - Non-Buffered Event Based - Availability</v>
      </c>
      <c r="D29" s="54" t="s">
        <v>651</v>
      </c>
      <c r="E29" s="61" t="str">
        <f t="shared" ref="E29:E38" si="7">"9조" &amp; " - " &amp; D$27 &amp; " - " &amp; $A29</f>
        <v>9조 - Buffered Message Based - Availability</v>
      </c>
      <c r="F29" s="34"/>
      <c r="G29" s="34"/>
    </row>
    <row r="30" ht="16.5" customHeight="1">
      <c r="A30" s="27" t="s">
        <v>44</v>
      </c>
      <c r="B30" s="54" t="s">
        <v>651</v>
      </c>
      <c r="C30" s="61" t="str">
        <f t="shared" si="6"/>
        <v>9조 - Non-Buffered Event Based - Deployability</v>
      </c>
      <c r="D30" s="54" t="s">
        <v>651</v>
      </c>
      <c r="E30" s="61" t="str">
        <f t="shared" si="7"/>
        <v>9조 - Buffered Message Based - Deployability</v>
      </c>
      <c r="F30" s="34"/>
      <c r="G30" s="34"/>
    </row>
    <row r="31" ht="16.5" customHeight="1">
      <c r="A31" s="27" t="s">
        <v>80</v>
      </c>
      <c r="B31" s="54" t="s">
        <v>651</v>
      </c>
      <c r="C31" s="61" t="str">
        <f t="shared" si="6"/>
        <v>9조 - Non-Buffered Event Based - Integrability</v>
      </c>
      <c r="D31" s="54" t="s">
        <v>651</v>
      </c>
      <c r="E31" s="61" t="str">
        <f t="shared" si="7"/>
        <v>9조 - Buffered Message Based - Integrability</v>
      </c>
      <c r="F31" s="34"/>
      <c r="G31" s="34"/>
    </row>
    <row r="32" ht="16.5" customHeight="1">
      <c r="A32" s="27" t="s">
        <v>113</v>
      </c>
      <c r="B32" s="54" t="s">
        <v>651</v>
      </c>
      <c r="C32" s="61" t="str">
        <f t="shared" si="6"/>
        <v>9조 - Non-Buffered Event Based - Energy Efficiency</v>
      </c>
      <c r="D32" s="54" t="s">
        <v>651</v>
      </c>
      <c r="E32" s="61" t="str">
        <f t="shared" si="7"/>
        <v>9조 - Buffered Message Based - Energy Efficiency</v>
      </c>
      <c r="F32" s="34"/>
      <c r="G32" s="34"/>
    </row>
    <row r="33" ht="16.5" customHeight="1">
      <c r="A33" s="27" t="s">
        <v>144</v>
      </c>
      <c r="B33" s="54" t="s">
        <v>651</v>
      </c>
      <c r="C33" s="61" t="str">
        <f t="shared" si="6"/>
        <v>9조 - Non-Buffered Event Based - Modifiability</v>
      </c>
      <c r="D33" s="54" t="s">
        <v>651</v>
      </c>
      <c r="E33" s="61" t="str">
        <f t="shared" si="7"/>
        <v>9조 - Buffered Message Based - Modifiability</v>
      </c>
      <c r="F33" s="34"/>
      <c r="G33" s="34"/>
    </row>
    <row r="34" ht="16.5" customHeight="1">
      <c r="A34" s="27" t="s">
        <v>176</v>
      </c>
      <c r="B34" s="54" t="s">
        <v>651</v>
      </c>
      <c r="C34" s="61" t="str">
        <f t="shared" si="6"/>
        <v>9조 - Non-Buffered Event Based - Performance</v>
      </c>
      <c r="D34" s="54" t="s">
        <v>651</v>
      </c>
      <c r="E34" s="61" t="str">
        <f t="shared" si="7"/>
        <v>9조 - Buffered Message Based - Performance</v>
      </c>
      <c r="F34" s="34"/>
      <c r="G34" s="34"/>
    </row>
    <row r="35" ht="16.5" customHeight="1">
      <c r="A35" s="27" t="s">
        <v>208</v>
      </c>
      <c r="B35" s="54" t="s">
        <v>651</v>
      </c>
      <c r="C35" s="61" t="str">
        <f t="shared" si="6"/>
        <v>9조 - Non-Buffered Event Based - Safety</v>
      </c>
      <c r="D35" s="54" t="s">
        <v>651</v>
      </c>
      <c r="E35" s="61" t="str">
        <f t="shared" si="7"/>
        <v>9조 - Buffered Message Based - Safety</v>
      </c>
      <c r="F35" s="34"/>
      <c r="G35" s="34"/>
    </row>
    <row r="36" ht="16.5" customHeight="1">
      <c r="A36" s="27" t="s">
        <v>242</v>
      </c>
      <c r="B36" s="54" t="s">
        <v>651</v>
      </c>
      <c r="C36" s="61" t="str">
        <f t="shared" si="6"/>
        <v>9조 - Non-Buffered Event Based - Security</v>
      </c>
      <c r="D36" s="54" t="s">
        <v>651</v>
      </c>
      <c r="E36" s="61" t="str">
        <f t="shared" si="7"/>
        <v>9조 - Buffered Message Based - Security</v>
      </c>
      <c r="F36" s="34"/>
      <c r="G36" s="34"/>
    </row>
    <row r="37" ht="16.5" customHeight="1">
      <c r="A37" s="27" t="s">
        <v>273</v>
      </c>
      <c r="B37" s="54" t="s">
        <v>651</v>
      </c>
      <c r="C37" s="61" t="str">
        <f t="shared" si="6"/>
        <v>9조 - Non-Buffered Event Based - Testability</v>
      </c>
      <c r="D37" s="54" t="s">
        <v>651</v>
      </c>
      <c r="E37" s="61" t="str">
        <f t="shared" si="7"/>
        <v>9조 - Buffered Message Based - Testability</v>
      </c>
      <c r="F37" s="34"/>
      <c r="G37" s="34"/>
    </row>
    <row r="38" ht="16.5" customHeight="1">
      <c r="A38" s="27" t="s">
        <v>305</v>
      </c>
      <c r="B38" s="54" t="s">
        <v>651</v>
      </c>
      <c r="C38" s="61" t="str">
        <f t="shared" si="6"/>
        <v>9조 - Non-Buffered Event Based - Usability</v>
      </c>
      <c r="D38" s="54" t="s">
        <v>651</v>
      </c>
      <c r="E38" s="61" t="str">
        <f t="shared" si="7"/>
        <v>9조 - Buffered Message Based - Usability</v>
      </c>
      <c r="F38" s="34"/>
      <c r="G38" s="34"/>
    </row>
    <row r="39" ht="16.5" customHeight="1">
      <c r="A39" s="34"/>
      <c r="B39" s="42" t="s">
        <v>651</v>
      </c>
      <c r="C39" s="42" t="s">
        <v>651</v>
      </c>
      <c r="D39" s="42" t="s">
        <v>651</v>
      </c>
      <c r="E39" s="42" t="s">
        <v>651</v>
      </c>
      <c r="F39" s="34"/>
      <c r="G39" s="34"/>
    </row>
    <row r="40" ht="16.5" customHeight="1">
      <c r="A40" s="35" t="s">
        <v>1</v>
      </c>
      <c r="B40" s="46" t="s">
        <v>4</v>
      </c>
      <c r="C40" s="19"/>
      <c r="D40" s="46" t="s">
        <v>9</v>
      </c>
      <c r="E40" s="19"/>
      <c r="F40" s="34"/>
      <c r="G40" s="34"/>
      <c r="H40" s="34"/>
    </row>
    <row r="41" ht="16.5" customHeight="1">
      <c r="A41" s="39"/>
      <c r="B41" s="26" t="s">
        <v>12</v>
      </c>
      <c r="C41" s="26" t="s">
        <v>13</v>
      </c>
      <c r="D41" s="26" t="s">
        <v>12</v>
      </c>
      <c r="E41" s="26" t="s">
        <v>13</v>
      </c>
      <c r="F41" s="34"/>
      <c r="G41" s="34"/>
      <c r="H41" s="34"/>
      <c r="I41" s="40"/>
    </row>
    <row r="42" ht="16.5" customHeight="1">
      <c r="A42" s="27" t="s">
        <v>14</v>
      </c>
      <c r="B42" s="54" t="s">
        <v>651</v>
      </c>
      <c r="C42" s="61" t="str">
        <f t="shared" ref="C42:C51" si="8">"9조" &amp; " - " &amp; B$40 &amp; " - " &amp; $A42</f>
        <v>9조 - MVC - Availability</v>
      </c>
      <c r="D42" s="54" t="s">
        <v>651</v>
      </c>
      <c r="E42" s="61" t="str">
        <f t="shared" ref="E42:E51" si="9">"9조" &amp; " - " &amp; D$40 &amp; " - " &amp; $A42</f>
        <v>9조 - PAC - Availability</v>
      </c>
      <c r="F42" s="34"/>
      <c r="G42" s="34"/>
      <c r="H42" s="34"/>
    </row>
    <row r="43" ht="16.5" customHeight="1">
      <c r="A43" s="27" t="s">
        <v>44</v>
      </c>
      <c r="B43" s="54" t="s">
        <v>651</v>
      </c>
      <c r="C43" s="61" t="str">
        <f t="shared" si="8"/>
        <v>9조 - MVC - Deployability</v>
      </c>
      <c r="D43" s="54" t="s">
        <v>651</v>
      </c>
      <c r="E43" s="61" t="str">
        <f t="shared" si="9"/>
        <v>9조 - PAC - Deployability</v>
      </c>
      <c r="F43" s="34"/>
      <c r="G43" s="34"/>
      <c r="H43" s="34"/>
    </row>
    <row r="44" ht="16.5" customHeight="1">
      <c r="A44" s="27" t="s">
        <v>80</v>
      </c>
      <c r="B44" s="54" t="s">
        <v>651</v>
      </c>
      <c r="C44" s="61" t="str">
        <f t="shared" si="8"/>
        <v>9조 - MVC - Integrability</v>
      </c>
      <c r="D44" s="54" t="s">
        <v>651</v>
      </c>
      <c r="E44" s="61" t="str">
        <f t="shared" si="9"/>
        <v>9조 - PAC - Integrability</v>
      </c>
      <c r="F44" s="34"/>
      <c r="G44" s="34"/>
      <c r="H44" s="34"/>
    </row>
    <row r="45" ht="16.5" customHeight="1">
      <c r="A45" s="27" t="s">
        <v>113</v>
      </c>
      <c r="B45" s="54" t="s">
        <v>651</v>
      </c>
      <c r="C45" s="61" t="str">
        <f t="shared" si="8"/>
        <v>9조 - MVC - Energy Efficiency</v>
      </c>
      <c r="D45" s="54" t="s">
        <v>651</v>
      </c>
      <c r="E45" s="61" t="str">
        <f t="shared" si="9"/>
        <v>9조 - PAC - Energy Efficiency</v>
      </c>
      <c r="F45" s="34"/>
      <c r="G45" s="34"/>
      <c r="H45" s="34"/>
    </row>
    <row r="46" ht="16.5" customHeight="1">
      <c r="A46" s="27" t="s">
        <v>144</v>
      </c>
      <c r="B46" s="54" t="s">
        <v>651</v>
      </c>
      <c r="C46" s="61" t="str">
        <f t="shared" si="8"/>
        <v>9조 - MVC - Modifiability</v>
      </c>
      <c r="D46" s="54" t="s">
        <v>651</v>
      </c>
      <c r="E46" s="61" t="str">
        <f t="shared" si="9"/>
        <v>9조 - PAC - Modifiability</v>
      </c>
      <c r="F46" s="34"/>
      <c r="G46" s="34"/>
      <c r="H46" s="34"/>
    </row>
    <row r="47" ht="16.5" customHeight="1">
      <c r="A47" s="27" t="s">
        <v>176</v>
      </c>
      <c r="B47" s="54" t="s">
        <v>651</v>
      </c>
      <c r="C47" s="61" t="str">
        <f t="shared" si="8"/>
        <v>9조 - MVC - Performance</v>
      </c>
      <c r="D47" s="54" t="s">
        <v>651</v>
      </c>
      <c r="E47" s="61" t="str">
        <f t="shared" si="9"/>
        <v>9조 - PAC - Performance</v>
      </c>
      <c r="F47" s="34"/>
      <c r="G47" s="34"/>
      <c r="H47" s="34"/>
    </row>
    <row r="48" ht="16.5" customHeight="1">
      <c r="A48" s="27" t="s">
        <v>208</v>
      </c>
      <c r="B48" s="54" t="s">
        <v>651</v>
      </c>
      <c r="C48" s="61" t="str">
        <f t="shared" si="8"/>
        <v>9조 - MVC - Safety</v>
      </c>
      <c r="D48" s="54" t="s">
        <v>651</v>
      </c>
      <c r="E48" s="61" t="str">
        <f t="shared" si="9"/>
        <v>9조 - PAC - Safety</v>
      </c>
      <c r="F48" s="34"/>
      <c r="G48" s="34"/>
      <c r="H48" s="34"/>
    </row>
    <row r="49" ht="16.5" customHeight="1">
      <c r="A49" s="27" t="s">
        <v>242</v>
      </c>
      <c r="B49" s="54" t="s">
        <v>651</v>
      </c>
      <c r="C49" s="61" t="str">
        <f t="shared" si="8"/>
        <v>9조 - MVC - Security</v>
      </c>
      <c r="D49" s="54" t="s">
        <v>651</v>
      </c>
      <c r="E49" s="61" t="str">
        <f t="shared" si="9"/>
        <v>9조 - PAC - Security</v>
      </c>
      <c r="F49" s="34"/>
      <c r="G49" s="34"/>
      <c r="H49" s="34"/>
    </row>
    <row r="50" ht="16.5" customHeight="1">
      <c r="A50" s="27" t="s">
        <v>273</v>
      </c>
      <c r="B50" s="54" t="s">
        <v>651</v>
      </c>
      <c r="C50" s="61" t="str">
        <f t="shared" si="8"/>
        <v>9조 - MVC - Testability</v>
      </c>
      <c r="D50" s="54" t="s">
        <v>651</v>
      </c>
      <c r="E50" s="61" t="str">
        <f t="shared" si="9"/>
        <v>9조 - PAC - Testability</v>
      </c>
      <c r="F50" s="34"/>
      <c r="G50" s="42" t="s">
        <v>651</v>
      </c>
      <c r="H50" s="34"/>
      <c r="I50" s="41"/>
    </row>
    <row r="51" ht="16.5" customHeight="1">
      <c r="A51" s="27" t="s">
        <v>305</v>
      </c>
      <c r="B51" s="54" t="s">
        <v>651</v>
      </c>
      <c r="C51" s="61" t="str">
        <f t="shared" si="8"/>
        <v>9조 - MVC - Usability</v>
      </c>
      <c r="D51" s="54" t="s">
        <v>651</v>
      </c>
      <c r="E51" s="61" t="str">
        <f t="shared" si="9"/>
        <v>9조 - PAC - Usability</v>
      </c>
      <c r="F51" s="34"/>
      <c r="G51" s="42" t="s">
        <v>651</v>
      </c>
      <c r="H51" s="34"/>
      <c r="I51" s="40"/>
    </row>
    <row r="52" ht="16.5" customHeight="1">
      <c r="A52" s="34"/>
      <c r="B52" s="42" t="s">
        <v>651</v>
      </c>
      <c r="C52" s="34"/>
      <c r="D52" s="42" t="s">
        <v>651</v>
      </c>
      <c r="E52" s="34"/>
      <c r="F52" s="34"/>
      <c r="G52" s="34"/>
    </row>
    <row r="53" ht="16.5" customHeight="1">
      <c r="A53" s="35" t="s">
        <v>361</v>
      </c>
      <c r="B53" s="73" t="s">
        <v>362</v>
      </c>
      <c r="C53" s="19"/>
      <c r="D53" s="73" t="s">
        <v>363</v>
      </c>
      <c r="E53" s="19"/>
      <c r="F53" s="34"/>
      <c r="G53" s="42" t="s">
        <v>651</v>
      </c>
      <c r="H53" s="34"/>
    </row>
    <row r="54" ht="16.5" customHeight="1">
      <c r="A54" s="39"/>
      <c r="B54" s="26" t="s">
        <v>12</v>
      </c>
      <c r="C54" s="44" t="s">
        <v>13</v>
      </c>
      <c r="D54" s="26" t="s">
        <v>12</v>
      </c>
      <c r="E54" s="44" t="s">
        <v>13</v>
      </c>
      <c r="F54" s="34"/>
      <c r="G54" s="42" t="s">
        <v>651</v>
      </c>
      <c r="H54" s="34"/>
    </row>
    <row r="55" ht="16.5" customHeight="1">
      <c r="A55" s="27" t="s">
        <v>14</v>
      </c>
      <c r="B55" s="54" t="s">
        <v>651</v>
      </c>
      <c r="C55" s="61" t="str">
        <f t="shared" ref="C55:C64" si="10">"9조" &amp; " - " &amp; B$53 &amp; " - " &amp; $A55</f>
        <v>9조 - Main-subroutine - Availability</v>
      </c>
      <c r="D55" s="54" t="s">
        <v>651</v>
      </c>
      <c r="E55" s="61" t="str">
        <f t="shared" ref="E55:E64" si="11">"9조" &amp; " - " &amp; D$53 &amp; " - " &amp; $A55</f>
        <v>9조 - Master-Slave - Availability</v>
      </c>
      <c r="F55" s="34"/>
      <c r="G55" s="42" t="s">
        <v>651</v>
      </c>
      <c r="H55" s="34"/>
    </row>
    <row r="56" ht="16.5" customHeight="1">
      <c r="A56" s="27" t="s">
        <v>44</v>
      </c>
      <c r="B56" s="54" t="s">
        <v>651</v>
      </c>
      <c r="C56" s="65" t="str">
        <f t="shared" si="10"/>
        <v>9조 - Main-subroutine - Deployability</v>
      </c>
      <c r="D56" s="54" t="s">
        <v>651</v>
      </c>
      <c r="E56" s="61" t="str">
        <f t="shared" si="11"/>
        <v>9조 - Master-Slave - Deployability</v>
      </c>
      <c r="F56" s="34"/>
      <c r="G56" s="42" t="s">
        <v>651</v>
      </c>
      <c r="H56" s="34"/>
    </row>
    <row r="57" ht="16.5" customHeight="1">
      <c r="A57" s="27" t="s">
        <v>80</v>
      </c>
      <c r="B57" s="54" t="s">
        <v>651</v>
      </c>
      <c r="C57" s="61" t="str">
        <f t="shared" si="10"/>
        <v>9조 - Main-subroutine - Integrability</v>
      </c>
      <c r="D57" s="54" t="s">
        <v>651</v>
      </c>
      <c r="E57" s="61" t="str">
        <f t="shared" si="11"/>
        <v>9조 - Master-Slave - Integrability</v>
      </c>
      <c r="F57" s="34"/>
      <c r="G57" s="42" t="s">
        <v>651</v>
      </c>
      <c r="H57" s="34"/>
    </row>
    <row r="58" ht="16.5" customHeight="1">
      <c r="A58" s="27" t="s">
        <v>113</v>
      </c>
      <c r="B58" s="54" t="s">
        <v>651</v>
      </c>
      <c r="C58" s="61" t="str">
        <f t="shared" si="10"/>
        <v>9조 - Main-subroutine - Energy Efficiency</v>
      </c>
      <c r="D58" s="54" t="s">
        <v>651</v>
      </c>
      <c r="E58" s="61" t="str">
        <f t="shared" si="11"/>
        <v>9조 - Master-Slave - Energy Efficiency</v>
      </c>
      <c r="F58" s="34"/>
      <c r="G58" s="42" t="s">
        <v>651</v>
      </c>
      <c r="H58" s="34"/>
    </row>
    <row r="59" ht="16.5" customHeight="1">
      <c r="A59" s="27" t="s">
        <v>144</v>
      </c>
      <c r="B59" s="54" t="s">
        <v>651</v>
      </c>
      <c r="C59" s="61" t="str">
        <f t="shared" si="10"/>
        <v>9조 - Main-subroutine - Modifiability</v>
      </c>
      <c r="D59" s="54" t="s">
        <v>651</v>
      </c>
      <c r="E59" s="61" t="str">
        <f t="shared" si="11"/>
        <v>9조 - Master-Slave - Modifiability</v>
      </c>
      <c r="F59" s="34"/>
      <c r="G59" s="42" t="s">
        <v>651</v>
      </c>
      <c r="H59" s="34"/>
    </row>
    <row r="60" ht="16.5" customHeight="1">
      <c r="A60" s="27" t="s">
        <v>176</v>
      </c>
      <c r="B60" s="54" t="s">
        <v>651</v>
      </c>
      <c r="C60" s="61" t="str">
        <f t="shared" si="10"/>
        <v>9조 - Main-subroutine - Performance</v>
      </c>
      <c r="D60" s="54" t="s">
        <v>651</v>
      </c>
      <c r="E60" s="61" t="str">
        <f t="shared" si="11"/>
        <v>9조 - Master-Slave - Performance</v>
      </c>
      <c r="F60" s="34"/>
      <c r="G60" s="42" t="s">
        <v>651</v>
      </c>
      <c r="H60" s="34"/>
      <c r="I60" s="41"/>
    </row>
    <row r="61" ht="16.5" customHeight="1">
      <c r="A61" s="27" t="s">
        <v>208</v>
      </c>
      <c r="B61" s="54" t="s">
        <v>651</v>
      </c>
      <c r="C61" s="61" t="str">
        <f t="shared" si="10"/>
        <v>9조 - Main-subroutine - Safety</v>
      </c>
      <c r="D61" s="54" t="s">
        <v>651</v>
      </c>
      <c r="E61" s="61" t="str">
        <f t="shared" si="11"/>
        <v>9조 - Master-Slave - Safety</v>
      </c>
      <c r="F61" s="34"/>
      <c r="G61" s="42" t="s">
        <v>651</v>
      </c>
      <c r="H61" s="34"/>
      <c r="I61" s="40"/>
    </row>
    <row r="62" ht="16.5" customHeight="1">
      <c r="A62" s="27" t="s">
        <v>242</v>
      </c>
      <c r="B62" s="54" t="s">
        <v>651</v>
      </c>
      <c r="C62" s="61" t="str">
        <f t="shared" si="10"/>
        <v>9조 - Main-subroutine - Security</v>
      </c>
      <c r="D62" s="54" t="s">
        <v>651</v>
      </c>
      <c r="E62" s="61" t="str">
        <f t="shared" si="11"/>
        <v>9조 - Master-Slave - Security</v>
      </c>
      <c r="F62" s="34"/>
      <c r="G62" s="42" t="s">
        <v>651</v>
      </c>
      <c r="H62" s="34"/>
    </row>
    <row r="63" ht="16.5" customHeight="1">
      <c r="A63" s="27" t="s">
        <v>273</v>
      </c>
      <c r="B63" s="54" t="s">
        <v>651</v>
      </c>
      <c r="C63" s="61" t="str">
        <f t="shared" si="10"/>
        <v>9조 - Main-subroutine - Testability</v>
      </c>
      <c r="D63" s="54" t="s">
        <v>651</v>
      </c>
      <c r="E63" s="61" t="str">
        <f t="shared" si="11"/>
        <v>9조 - Master-Slave - Testability</v>
      </c>
      <c r="F63" s="34"/>
      <c r="G63" s="42" t="s">
        <v>651</v>
      </c>
      <c r="H63" s="34"/>
    </row>
    <row r="64" ht="16.5" customHeight="1">
      <c r="A64" s="27" t="s">
        <v>305</v>
      </c>
      <c r="B64" s="54" t="s">
        <v>651</v>
      </c>
      <c r="C64" s="61" t="str">
        <f t="shared" si="10"/>
        <v>9조 - Main-subroutine - Usability</v>
      </c>
      <c r="D64" s="54" t="s">
        <v>651</v>
      </c>
      <c r="E64" s="61" t="str">
        <f t="shared" si="11"/>
        <v>9조 - Master-Slave - Usability</v>
      </c>
      <c r="F64" s="34"/>
      <c r="G64" s="42" t="s">
        <v>651</v>
      </c>
      <c r="H64" s="34"/>
    </row>
    <row r="65" ht="16.5" customHeight="1">
      <c r="A65" s="34"/>
      <c r="B65" s="42" t="s">
        <v>651</v>
      </c>
      <c r="C65" s="42" t="s">
        <v>651</v>
      </c>
      <c r="D65" s="42" t="s">
        <v>651</v>
      </c>
      <c r="E65" s="42" t="s">
        <v>651</v>
      </c>
      <c r="F65" s="34"/>
      <c r="G65" s="42" t="s">
        <v>651</v>
      </c>
      <c r="H65" s="34"/>
    </row>
    <row r="66" ht="16.5" customHeight="1">
      <c r="A66" s="35" t="s">
        <v>361</v>
      </c>
      <c r="B66" s="73" t="s">
        <v>377</v>
      </c>
      <c r="C66" s="19"/>
      <c r="D66" s="73" t="s">
        <v>378</v>
      </c>
      <c r="E66" s="19"/>
      <c r="F66" s="73" t="s">
        <v>379</v>
      </c>
      <c r="G66" s="19"/>
      <c r="H66" s="34"/>
    </row>
    <row r="67" ht="16.5" customHeight="1">
      <c r="A67" s="39"/>
      <c r="B67" s="26" t="s">
        <v>12</v>
      </c>
      <c r="C67" s="44" t="s">
        <v>13</v>
      </c>
      <c r="D67" s="26" t="s">
        <v>12</v>
      </c>
      <c r="E67" s="44" t="s">
        <v>13</v>
      </c>
      <c r="F67" s="26" t="s">
        <v>12</v>
      </c>
      <c r="G67" s="44" t="s">
        <v>13</v>
      </c>
      <c r="H67" s="34"/>
    </row>
    <row r="68" ht="16.5" customHeight="1">
      <c r="A68" s="27" t="s">
        <v>14</v>
      </c>
      <c r="B68" s="54" t="s">
        <v>651</v>
      </c>
      <c r="C68" s="61" t="str">
        <f t="shared" ref="C68:C77" si="12">"9조" &amp; " - " &amp; B$66 &amp; " - " &amp; $A68</f>
        <v>9조 - Layered - Availability</v>
      </c>
      <c r="D68" s="54" t="s">
        <v>651</v>
      </c>
      <c r="E68" s="61" t="str">
        <f t="shared" ref="E68:E77" si="13">"9조" &amp; " - " &amp; D$66 &amp; " - " &amp; $A68</f>
        <v>9조 - Virtual Machine - Availability</v>
      </c>
      <c r="F68" s="54" t="s">
        <v>651</v>
      </c>
      <c r="G68" s="61" t="str">
        <f t="shared" ref="G68:G77" si="14">"9조" &amp; " - " &amp; F$66 &amp; " - " &amp; $A68</f>
        <v>9조 - Microkernel - Availability</v>
      </c>
      <c r="H68" s="34"/>
    </row>
    <row r="69" ht="16.5" customHeight="1">
      <c r="A69" s="27" t="s">
        <v>44</v>
      </c>
      <c r="B69" s="54" t="s">
        <v>651</v>
      </c>
      <c r="C69" s="61" t="str">
        <f t="shared" si="12"/>
        <v>9조 - Layered - Deployability</v>
      </c>
      <c r="D69" s="54" t="s">
        <v>651</v>
      </c>
      <c r="E69" s="65" t="str">
        <f t="shared" si="13"/>
        <v>9조 - Virtual Machine - Deployability</v>
      </c>
      <c r="F69" s="54" t="s">
        <v>651</v>
      </c>
      <c r="G69" s="61" t="str">
        <f t="shared" si="14"/>
        <v>9조 - Microkernel - Deployability</v>
      </c>
      <c r="H69" s="34"/>
    </row>
    <row r="70" ht="16.5" customHeight="1">
      <c r="A70" s="27" t="s">
        <v>80</v>
      </c>
      <c r="B70" s="54" t="s">
        <v>651</v>
      </c>
      <c r="C70" s="61" t="str">
        <f t="shared" si="12"/>
        <v>9조 - Layered - Integrability</v>
      </c>
      <c r="D70" s="54" t="s">
        <v>651</v>
      </c>
      <c r="E70" s="61" t="str">
        <f t="shared" si="13"/>
        <v>9조 - Virtual Machine - Integrability</v>
      </c>
      <c r="F70" s="54" t="s">
        <v>651</v>
      </c>
      <c r="G70" s="61" t="str">
        <f t="shared" si="14"/>
        <v>9조 - Microkernel - Integrability</v>
      </c>
      <c r="H70" s="34"/>
    </row>
    <row r="71" ht="16.5" customHeight="1">
      <c r="A71" s="27" t="s">
        <v>113</v>
      </c>
      <c r="B71" s="54" t="s">
        <v>651</v>
      </c>
      <c r="C71" s="61" t="str">
        <f t="shared" si="12"/>
        <v>9조 - Layered - Energy Efficiency</v>
      </c>
      <c r="D71" s="54" t="s">
        <v>651</v>
      </c>
      <c r="E71" s="61" t="str">
        <f t="shared" si="13"/>
        <v>9조 - Virtual Machine - Energy Efficiency</v>
      </c>
      <c r="F71" s="54" t="s">
        <v>651</v>
      </c>
      <c r="G71" s="61" t="str">
        <f t="shared" si="14"/>
        <v>9조 - Microkernel - Energy Efficiency</v>
      </c>
      <c r="H71" s="34"/>
    </row>
    <row r="72" ht="16.5" customHeight="1">
      <c r="A72" s="27" t="s">
        <v>144</v>
      </c>
      <c r="B72" s="54" t="s">
        <v>651</v>
      </c>
      <c r="C72" s="61" t="str">
        <f t="shared" si="12"/>
        <v>9조 - Layered - Modifiability</v>
      </c>
      <c r="D72" s="54" t="s">
        <v>651</v>
      </c>
      <c r="E72" s="61" t="str">
        <f t="shared" si="13"/>
        <v>9조 - Virtual Machine - Modifiability</v>
      </c>
      <c r="F72" s="54" t="s">
        <v>651</v>
      </c>
      <c r="G72" s="61" t="str">
        <f t="shared" si="14"/>
        <v>9조 - Microkernel - Modifiability</v>
      </c>
      <c r="H72" s="34"/>
    </row>
    <row r="73" ht="16.5" customHeight="1">
      <c r="A73" s="27" t="s">
        <v>176</v>
      </c>
      <c r="B73" s="54" t="s">
        <v>651</v>
      </c>
      <c r="C73" s="61" t="str">
        <f t="shared" si="12"/>
        <v>9조 - Layered - Performance</v>
      </c>
      <c r="D73" s="54" t="s">
        <v>651</v>
      </c>
      <c r="E73" s="61" t="str">
        <f t="shared" si="13"/>
        <v>9조 - Virtual Machine - Performance</v>
      </c>
      <c r="F73" s="54" t="s">
        <v>651</v>
      </c>
      <c r="G73" s="61" t="str">
        <f t="shared" si="14"/>
        <v>9조 - Microkernel - Performance</v>
      </c>
      <c r="H73" s="34"/>
    </row>
    <row r="74" ht="16.5" customHeight="1">
      <c r="A74" s="27" t="s">
        <v>208</v>
      </c>
      <c r="B74" s="54" t="s">
        <v>651</v>
      </c>
      <c r="C74" s="61" t="str">
        <f t="shared" si="12"/>
        <v>9조 - Layered - Safety</v>
      </c>
      <c r="D74" s="54" t="s">
        <v>651</v>
      </c>
      <c r="E74" s="61" t="str">
        <f t="shared" si="13"/>
        <v>9조 - Virtual Machine - Safety</v>
      </c>
      <c r="F74" s="54" t="s">
        <v>651</v>
      </c>
      <c r="G74" s="61" t="str">
        <f t="shared" si="14"/>
        <v>9조 - Microkernel - Safety</v>
      </c>
    </row>
    <row r="75" ht="16.5" customHeight="1">
      <c r="A75" s="27" t="s">
        <v>242</v>
      </c>
      <c r="B75" s="54" t="s">
        <v>651</v>
      </c>
      <c r="C75" s="61" t="str">
        <f t="shared" si="12"/>
        <v>9조 - Layered - Security</v>
      </c>
      <c r="D75" s="54" t="s">
        <v>651</v>
      </c>
      <c r="E75" s="61" t="str">
        <f t="shared" si="13"/>
        <v>9조 - Virtual Machine - Security</v>
      </c>
      <c r="F75" s="54" t="s">
        <v>651</v>
      </c>
      <c r="G75" s="61" t="str">
        <f t="shared" si="14"/>
        <v>9조 - Microkernel - Security</v>
      </c>
    </row>
    <row r="76" ht="16.5" customHeight="1">
      <c r="A76" s="27" t="s">
        <v>273</v>
      </c>
      <c r="B76" s="54" t="s">
        <v>651</v>
      </c>
      <c r="C76" s="61" t="str">
        <f t="shared" si="12"/>
        <v>9조 - Layered - Testability</v>
      </c>
      <c r="D76" s="54" t="s">
        <v>651</v>
      </c>
      <c r="E76" s="61" t="str">
        <f t="shared" si="13"/>
        <v>9조 - Virtual Machine - Testability</v>
      </c>
      <c r="F76" s="54" t="s">
        <v>651</v>
      </c>
      <c r="G76" s="61" t="str">
        <f t="shared" si="14"/>
        <v>9조 - Microkernel - Testability</v>
      </c>
    </row>
    <row r="77" ht="16.5" customHeight="1">
      <c r="A77" s="27" t="s">
        <v>305</v>
      </c>
      <c r="B77" s="54" t="s">
        <v>651</v>
      </c>
      <c r="C77" s="61" t="str">
        <f t="shared" si="12"/>
        <v>9조 - Layered - Usability</v>
      </c>
      <c r="D77" s="54" t="s">
        <v>651</v>
      </c>
      <c r="E77" s="61" t="str">
        <f t="shared" si="13"/>
        <v>9조 - Virtual Machine - Usability</v>
      </c>
      <c r="F77" s="54" t="s">
        <v>651</v>
      </c>
      <c r="G77" s="61" t="str">
        <f t="shared" si="14"/>
        <v>9조 - Microkernel - Usability</v>
      </c>
    </row>
    <row r="78" ht="16.5" customHeight="1">
      <c r="A78" s="34"/>
      <c r="B78" s="42" t="s">
        <v>651</v>
      </c>
      <c r="C78" s="42" t="s">
        <v>651</v>
      </c>
      <c r="D78" s="42" t="s">
        <v>651</v>
      </c>
      <c r="E78" s="42" t="s">
        <v>651</v>
      </c>
      <c r="F78" s="42" t="s">
        <v>651</v>
      </c>
      <c r="G78" s="42" t="s">
        <v>651</v>
      </c>
    </row>
    <row r="79" ht="16.5" customHeight="1">
      <c r="A79" s="24" t="s">
        <v>386</v>
      </c>
      <c r="B79" s="73" t="s">
        <v>627</v>
      </c>
      <c r="C79" s="19"/>
      <c r="D79" s="73" t="s">
        <v>392</v>
      </c>
      <c r="E79" s="19"/>
    </row>
    <row r="80" ht="16.5" customHeight="1">
      <c r="A80" s="20"/>
      <c r="B80" s="26" t="s">
        <v>12</v>
      </c>
      <c r="C80" s="26" t="s">
        <v>13</v>
      </c>
      <c r="D80" s="26" t="s">
        <v>12</v>
      </c>
      <c r="E80" s="26" t="s">
        <v>13</v>
      </c>
    </row>
    <row r="81" ht="16.5" customHeight="1">
      <c r="A81" s="27" t="s">
        <v>14</v>
      </c>
      <c r="B81" s="54" t="s">
        <v>651</v>
      </c>
      <c r="C81" s="61" t="str">
        <f t="shared" ref="C81:C90" si="15">"9조" &amp; " - " &amp; B$79 &amp; " - " &amp; $A81</f>
        <v>9조 - Multi-tier - Availability</v>
      </c>
      <c r="D81" s="54" t="s">
        <v>651</v>
      </c>
      <c r="E81" s="61" t="str">
        <f t="shared" ref="E81:E90" si="16">"9조" &amp; " - " &amp; D$79 &amp; " - " &amp; $A81</f>
        <v>9조 - Client-Server - Availability</v>
      </c>
    </row>
    <row r="82" ht="16.5" customHeight="1">
      <c r="A82" s="27" t="s">
        <v>44</v>
      </c>
      <c r="B82" s="54" t="s">
        <v>651</v>
      </c>
      <c r="C82" s="61" t="str">
        <f t="shared" si="15"/>
        <v>9조 - Multi-tier - Deployability</v>
      </c>
      <c r="D82" s="54" t="s">
        <v>651</v>
      </c>
      <c r="E82" s="61" t="str">
        <f t="shared" si="16"/>
        <v>9조 - Client-Server - Deployability</v>
      </c>
    </row>
    <row r="83" ht="16.5" customHeight="1">
      <c r="A83" s="27" t="s">
        <v>80</v>
      </c>
      <c r="B83" s="54" t="s">
        <v>651</v>
      </c>
      <c r="C83" s="61" t="str">
        <f t="shared" si="15"/>
        <v>9조 - Multi-tier - Integrability</v>
      </c>
      <c r="D83" s="54" t="s">
        <v>651</v>
      </c>
      <c r="E83" s="61" t="str">
        <f t="shared" si="16"/>
        <v>9조 - Client-Server - Integrability</v>
      </c>
    </row>
    <row r="84" ht="16.5" customHeight="1">
      <c r="A84" s="27" t="s">
        <v>113</v>
      </c>
      <c r="B84" s="54" t="s">
        <v>651</v>
      </c>
      <c r="C84" s="61" t="str">
        <f t="shared" si="15"/>
        <v>9조 - Multi-tier - Energy Efficiency</v>
      </c>
      <c r="D84" s="54" t="s">
        <v>651</v>
      </c>
      <c r="E84" s="61" t="str">
        <f t="shared" si="16"/>
        <v>9조 - Client-Server - Energy Efficiency</v>
      </c>
    </row>
    <row r="85" ht="16.5" customHeight="1">
      <c r="A85" s="27" t="s">
        <v>144</v>
      </c>
      <c r="B85" s="54" t="s">
        <v>651</v>
      </c>
      <c r="C85" s="61" t="str">
        <f t="shared" si="15"/>
        <v>9조 - Multi-tier - Modifiability</v>
      </c>
      <c r="D85" s="54" t="s">
        <v>651</v>
      </c>
      <c r="E85" s="61" t="str">
        <f t="shared" si="16"/>
        <v>9조 - Client-Server - Modifiability</v>
      </c>
    </row>
    <row r="86" ht="16.5" customHeight="1">
      <c r="A86" s="27" t="s">
        <v>176</v>
      </c>
      <c r="B86" s="54" t="s">
        <v>651</v>
      </c>
      <c r="C86" s="61" t="str">
        <f t="shared" si="15"/>
        <v>9조 - Multi-tier - Performance</v>
      </c>
      <c r="D86" s="54" t="s">
        <v>651</v>
      </c>
      <c r="E86" s="61" t="str">
        <f t="shared" si="16"/>
        <v>9조 - Client-Server - Performance</v>
      </c>
    </row>
    <row r="87" ht="16.5" customHeight="1">
      <c r="A87" s="27" t="s">
        <v>208</v>
      </c>
      <c r="B87" s="54" t="s">
        <v>651</v>
      </c>
      <c r="C87" s="61" t="str">
        <f t="shared" si="15"/>
        <v>9조 - Multi-tier - Safety</v>
      </c>
      <c r="D87" s="54" t="s">
        <v>651</v>
      </c>
      <c r="E87" s="61" t="str">
        <f t="shared" si="16"/>
        <v>9조 - Client-Server - Safety</v>
      </c>
    </row>
    <row r="88" ht="16.5" customHeight="1">
      <c r="A88" s="27" t="s">
        <v>242</v>
      </c>
      <c r="B88" s="54" t="s">
        <v>651</v>
      </c>
      <c r="C88" s="61" t="str">
        <f t="shared" si="15"/>
        <v>9조 - Multi-tier - Security</v>
      </c>
      <c r="D88" s="54" t="s">
        <v>651</v>
      </c>
      <c r="E88" s="61" t="str">
        <f t="shared" si="16"/>
        <v>9조 - Client-Server - Security</v>
      </c>
    </row>
    <row r="89" ht="16.5" customHeight="1">
      <c r="A89" s="27" t="s">
        <v>273</v>
      </c>
      <c r="B89" s="54" t="s">
        <v>651</v>
      </c>
      <c r="C89" s="61" t="str">
        <f t="shared" si="15"/>
        <v>9조 - Multi-tier - Testability</v>
      </c>
      <c r="D89" s="54" t="s">
        <v>651</v>
      </c>
      <c r="E89" s="61" t="str">
        <f t="shared" si="16"/>
        <v>9조 - Client-Server - Testability</v>
      </c>
    </row>
    <row r="90" ht="16.5" customHeight="1">
      <c r="A90" s="27" t="s">
        <v>305</v>
      </c>
      <c r="B90" s="54" t="s">
        <v>651</v>
      </c>
      <c r="C90" s="61" t="str">
        <f t="shared" si="15"/>
        <v>9조 - Multi-tier - Usability</v>
      </c>
      <c r="D90" s="54" t="s">
        <v>651</v>
      </c>
      <c r="E90" s="61" t="str">
        <f t="shared" si="16"/>
        <v>9조 - Client-Server - Usability</v>
      </c>
    </row>
    <row r="91" ht="16.5" customHeight="1">
      <c r="A91" s="34"/>
      <c r="B91" s="42" t="s">
        <v>651</v>
      </c>
      <c r="C91" s="34"/>
      <c r="D91" s="42" t="s">
        <v>651</v>
      </c>
      <c r="E91" s="34"/>
      <c r="F91" s="42" t="s">
        <v>651</v>
      </c>
      <c r="G91" s="34"/>
    </row>
    <row r="92" ht="16.5" customHeight="1">
      <c r="A92" s="24" t="s">
        <v>386</v>
      </c>
      <c r="B92" s="73" t="s">
        <v>499</v>
      </c>
      <c r="C92" s="19"/>
      <c r="D92" s="46" t="s">
        <v>502</v>
      </c>
      <c r="E92" s="19"/>
    </row>
    <row r="93" ht="16.5" customHeight="1">
      <c r="A93" s="20"/>
      <c r="B93" s="26" t="s">
        <v>12</v>
      </c>
      <c r="C93" s="26" t="s">
        <v>13</v>
      </c>
      <c r="D93" s="26" t="s">
        <v>12</v>
      </c>
      <c r="E93" s="26" t="s">
        <v>13</v>
      </c>
    </row>
    <row r="94" ht="16.5" customHeight="1">
      <c r="A94" s="27" t="s">
        <v>14</v>
      </c>
      <c r="B94" s="54" t="s">
        <v>651</v>
      </c>
      <c r="C94" s="61" t="str">
        <f t="shared" ref="C94:C103" si="17">"9조" &amp; " - " &amp; B$92 &amp; " - " &amp; $A94</f>
        <v>9조 - Broker - Availability</v>
      </c>
      <c r="D94" s="54" t="s">
        <v>651</v>
      </c>
      <c r="E94" s="61" t="str">
        <f t="shared" ref="E94:E103" si="18">"9조" &amp; " - " &amp; D$92 &amp; " - " &amp; $A94</f>
        <v>9조 - Dispatcher - Availability</v>
      </c>
    </row>
    <row r="95" ht="16.5" customHeight="1">
      <c r="A95" s="27" t="s">
        <v>44</v>
      </c>
      <c r="B95" s="54" t="s">
        <v>651</v>
      </c>
      <c r="C95" s="61" t="str">
        <f t="shared" si="17"/>
        <v>9조 - Broker - Deployability</v>
      </c>
      <c r="D95" s="54" t="s">
        <v>651</v>
      </c>
      <c r="E95" s="61" t="str">
        <f t="shared" si="18"/>
        <v>9조 - Dispatcher - Deployability</v>
      </c>
    </row>
    <row r="96" ht="16.5" customHeight="1">
      <c r="A96" s="27" t="s">
        <v>80</v>
      </c>
      <c r="B96" s="54" t="s">
        <v>651</v>
      </c>
      <c r="C96" s="61" t="str">
        <f t="shared" si="17"/>
        <v>9조 - Broker - Integrability</v>
      </c>
      <c r="D96" s="54" t="s">
        <v>651</v>
      </c>
      <c r="E96" s="61" t="str">
        <f t="shared" si="18"/>
        <v>9조 - Dispatcher - Integrability</v>
      </c>
    </row>
    <row r="97" ht="16.5" customHeight="1">
      <c r="A97" s="27" t="s">
        <v>113</v>
      </c>
      <c r="B97" s="54" t="s">
        <v>651</v>
      </c>
      <c r="C97" s="61" t="str">
        <f t="shared" si="17"/>
        <v>9조 - Broker - Energy Efficiency</v>
      </c>
      <c r="D97" s="54" t="s">
        <v>651</v>
      </c>
      <c r="E97" s="61" t="str">
        <f t="shared" si="18"/>
        <v>9조 - Dispatcher - Energy Efficiency</v>
      </c>
    </row>
    <row r="98" ht="16.5" customHeight="1">
      <c r="A98" s="27" t="s">
        <v>144</v>
      </c>
      <c r="B98" s="54" t="s">
        <v>651</v>
      </c>
      <c r="C98" s="61" t="str">
        <f t="shared" si="17"/>
        <v>9조 - Broker - Modifiability</v>
      </c>
      <c r="D98" s="54" t="s">
        <v>651</v>
      </c>
      <c r="E98" s="61" t="str">
        <f t="shared" si="18"/>
        <v>9조 - Dispatcher - Modifiability</v>
      </c>
    </row>
    <row r="99" ht="16.5" customHeight="1">
      <c r="A99" s="27" t="s">
        <v>176</v>
      </c>
      <c r="B99" s="54" t="s">
        <v>651</v>
      </c>
      <c r="C99" s="61" t="str">
        <f t="shared" si="17"/>
        <v>9조 - Broker - Performance</v>
      </c>
      <c r="D99" s="54" t="s">
        <v>651</v>
      </c>
      <c r="E99" s="61" t="str">
        <f t="shared" si="18"/>
        <v>9조 - Dispatcher - Performance</v>
      </c>
    </row>
    <row r="100" ht="16.5" customHeight="1">
      <c r="A100" s="27" t="s">
        <v>208</v>
      </c>
      <c r="B100" s="54" t="s">
        <v>651</v>
      </c>
      <c r="C100" s="61" t="str">
        <f t="shared" si="17"/>
        <v>9조 - Broker - Safety</v>
      </c>
      <c r="D100" s="54" t="s">
        <v>651</v>
      </c>
      <c r="E100" s="61" t="str">
        <f t="shared" si="18"/>
        <v>9조 - Dispatcher - Safety</v>
      </c>
    </row>
    <row r="101" ht="16.5" customHeight="1">
      <c r="A101" s="27" t="s">
        <v>242</v>
      </c>
      <c r="B101" s="54" t="s">
        <v>651</v>
      </c>
      <c r="C101" s="61" t="str">
        <f t="shared" si="17"/>
        <v>9조 - Broker - Security</v>
      </c>
      <c r="D101" s="54" t="s">
        <v>651</v>
      </c>
      <c r="E101" s="61" t="str">
        <f t="shared" si="18"/>
        <v>9조 - Dispatcher - Security</v>
      </c>
    </row>
    <row r="102" ht="16.5" customHeight="1">
      <c r="A102" s="27" t="s">
        <v>273</v>
      </c>
      <c r="B102" s="54" t="s">
        <v>651</v>
      </c>
      <c r="C102" s="61" t="str">
        <f t="shared" si="17"/>
        <v>9조 - Broker - Testability</v>
      </c>
      <c r="D102" s="54" t="s">
        <v>651</v>
      </c>
      <c r="E102" s="61" t="str">
        <f t="shared" si="18"/>
        <v>9조 - Dispatcher - Testability</v>
      </c>
    </row>
    <row r="103" ht="16.5" customHeight="1">
      <c r="A103" s="27" t="s">
        <v>305</v>
      </c>
      <c r="B103" s="54" t="s">
        <v>651</v>
      </c>
      <c r="C103" s="61" t="str">
        <f t="shared" si="17"/>
        <v>9조 - Broker - Usability</v>
      </c>
      <c r="D103" s="54" t="s">
        <v>651</v>
      </c>
      <c r="E103" s="61" t="str">
        <f t="shared" si="18"/>
        <v>9조 - Dispatcher - Usability</v>
      </c>
    </row>
    <row r="104" ht="16.5" customHeight="1">
      <c r="A104" s="34"/>
      <c r="B104" s="42" t="s">
        <v>651</v>
      </c>
      <c r="C104" s="34"/>
      <c r="D104" s="42" t="s">
        <v>651</v>
      </c>
      <c r="E104" s="34"/>
      <c r="F104" s="34"/>
      <c r="G104" s="34"/>
    </row>
    <row r="105" ht="16.5" customHeight="1">
      <c r="A105" s="24" t="s">
        <v>386</v>
      </c>
      <c r="B105" s="73" t="s">
        <v>568</v>
      </c>
      <c r="C105" s="19"/>
      <c r="D105" s="46" t="s">
        <v>739</v>
      </c>
      <c r="E105" s="19"/>
    </row>
    <row r="106" ht="16.5" customHeight="1">
      <c r="A106" s="20"/>
      <c r="B106" s="26" t="s">
        <v>12</v>
      </c>
      <c r="C106" s="26" t="s">
        <v>13</v>
      </c>
      <c r="D106" s="26" t="s">
        <v>12</v>
      </c>
      <c r="E106" s="26" t="s">
        <v>13</v>
      </c>
    </row>
    <row r="107" ht="16.5" customHeight="1">
      <c r="A107" s="27" t="s">
        <v>14</v>
      </c>
      <c r="B107" s="54" t="s">
        <v>651</v>
      </c>
      <c r="C107" s="61" t="str">
        <f t="shared" ref="C107:C116" si="19">"9조" &amp; " - " &amp; B$105 &amp; " - " &amp; $A107</f>
        <v>9조 - SOA - Availability</v>
      </c>
      <c r="D107" s="54" t="s">
        <v>651</v>
      </c>
      <c r="E107" s="61" t="str">
        <f t="shared" ref="E107:E116" si="20">"9조" &amp; " - " &amp; D$105 &amp; " - " &amp; $A107</f>
        <v>9조 - Mico-Service - Availability</v>
      </c>
    </row>
    <row r="108" ht="16.5" customHeight="1">
      <c r="A108" s="27" t="s">
        <v>44</v>
      </c>
      <c r="B108" s="54" t="s">
        <v>651</v>
      </c>
      <c r="C108" s="61" t="str">
        <f t="shared" si="19"/>
        <v>9조 - SOA - Deployability</v>
      </c>
      <c r="D108" s="54" t="s">
        <v>651</v>
      </c>
      <c r="E108" s="61" t="str">
        <f t="shared" si="20"/>
        <v>9조 - Mico-Service - Deployability</v>
      </c>
    </row>
    <row r="109" ht="16.5" customHeight="1">
      <c r="A109" s="27" t="s">
        <v>80</v>
      </c>
      <c r="B109" s="54" t="s">
        <v>651</v>
      </c>
      <c r="C109" s="61" t="str">
        <f t="shared" si="19"/>
        <v>9조 - SOA - Integrability</v>
      </c>
      <c r="D109" s="54" t="s">
        <v>651</v>
      </c>
      <c r="E109" s="61" t="str">
        <f t="shared" si="20"/>
        <v>9조 - Mico-Service - Integrability</v>
      </c>
    </row>
    <row r="110" ht="16.5" customHeight="1">
      <c r="A110" s="27" t="s">
        <v>113</v>
      </c>
      <c r="B110" s="54" t="s">
        <v>651</v>
      </c>
      <c r="C110" s="61" t="str">
        <f t="shared" si="19"/>
        <v>9조 - SOA - Energy Efficiency</v>
      </c>
      <c r="D110" s="54" t="s">
        <v>651</v>
      </c>
      <c r="E110" s="61" t="str">
        <f t="shared" si="20"/>
        <v>9조 - Mico-Service - Energy Efficiency</v>
      </c>
    </row>
    <row r="111" ht="16.5" customHeight="1">
      <c r="A111" s="27" t="s">
        <v>144</v>
      </c>
      <c r="B111" s="54" t="s">
        <v>651</v>
      </c>
      <c r="C111" s="61" t="str">
        <f t="shared" si="19"/>
        <v>9조 - SOA - Modifiability</v>
      </c>
      <c r="D111" s="54" t="s">
        <v>651</v>
      </c>
      <c r="E111" s="61" t="str">
        <f t="shared" si="20"/>
        <v>9조 - Mico-Service - Modifiability</v>
      </c>
    </row>
    <row r="112" ht="16.5" customHeight="1">
      <c r="A112" s="27" t="s">
        <v>176</v>
      </c>
      <c r="B112" s="54" t="s">
        <v>651</v>
      </c>
      <c r="C112" s="61" t="str">
        <f t="shared" si="19"/>
        <v>9조 - SOA - Performance</v>
      </c>
      <c r="D112" s="54" t="s">
        <v>651</v>
      </c>
      <c r="E112" s="61" t="str">
        <f t="shared" si="20"/>
        <v>9조 - Mico-Service - Performance</v>
      </c>
    </row>
    <row r="113" ht="16.5" customHeight="1">
      <c r="A113" s="27" t="s">
        <v>208</v>
      </c>
      <c r="B113" s="54" t="s">
        <v>651</v>
      </c>
      <c r="C113" s="61" t="str">
        <f t="shared" si="19"/>
        <v>9조 - SOA - Safety</v>
      </c>
      <c r="D113" s="54" t="s">
        <v>651</v>
      </c>
      <c r="E113" s="61" t="str">
        <f t="shared" si="20"/>
        <v>9조 - Mico-Service - Safety</v>
      </c>
    </row>
    <row r="114" ht="16.5" customHeight="1">
      <c r="A114" s="27" t="s">
        <v>242</v>
      </c>
      <c r="B114" s="54" t="s">
        <v>651</v>
      </c>
      <c r="C114" s="61" t="str">
        <f t="shared" si="19"/>
        <v>9조 - SOA - Security</v>
      </c>
      <c r="D114" s="54" t="s">
        <v>651</v>
      </c>
      <c r="E114" s="61" t="str">
        <f t="shared" si="20"/>
        <v>9조 - Mico-Service - Security</v>
      </c>
    </row>
    <row r="115" ht="16.5" customHeight="1">
      <c r="A115" s="27" t="s">
        <v>273</v>
      </c>
      <c r="B115" s="54" t="s">
        <v>651</v>
      </c>
      <c r="C115" s="61" t="str">
        <f t="shared" si="19"/>
        <v>9조 - SOA - Testability</v>
      </c>
      <c r="D115" s="54" t="s">
        <v>651</v>
      </c>
      <c r="E115" s="61" t="str">
        <f t="shared" si="20"/>
        <v>9조 - Mico-Service - Testability</v>
      </c>
    </row>
    <row r="116" ht="16.5" customHeight="1">
      <c r="A116" s="27" t="s">
        <v>305</v>
      </c>
      <c r="B116" s="54" t="s">
        <v>651</v>
      </c>
      <c r="C116" s="61" t="str">
        <f t="shared" si="19"/>
        <v>9조 - SOA - Usability</v>
      </c>
      <c r="D116" s="54" t="s">
        <v>651</v>
      </c>
      <c r="E116" s="61" t="str">
        <f t="shared" si="20"/>
        <v>9조 - Mico-Service - Usability</v>
      </c>
    </row>
    <row r="117" ht="16.5" customHeight="1">
      <c r="A117" s="34"/>
      <c r="B117" s="42" t="s">
        <v>651</v>
      </c>
      <c r="C117" s="34"/>
      <c r="D117" s="42" t="s">
        <v>651</v>
      </c>
      <c r="E117" s="34"/>
      <c r="F117" s="34"/>
      <c r="G117" s="34"/>
    </row>
    <row r="118" ht="16.5" customHeight="1">
      <c r="A118" s="24" t="s">
        <v>599</v>
      </c>
      <c r="B118" s="46" t="s">
        <v>600</v>
      </c>
      <c r="C118" s="19"/>
      <c r="D118" s="46" t="s">
        <v>601</v>
      </c>
      <c r="E118" s="19"/>
      <c r="F118" s="46" t="s">
        <v>603</v>
      </c>
      <c r="G118" s="19"/>
    </row>
    <row r="119" ht="16.5" customHeight="1">
      <c r="A119" s="20"/>
      <c r="B119" s="26" t="s">
        <v>12</v>
      </c>
      <c r="C119" s="26" t="s">
        <v>13</v>
      </c>
      <c r="D119" s="26" t="s">
        <v>12</v>
      </c>
      <c r="E119" s="26" t="s">
        <v>13</v>
      </c>
      <c r="F119" s="26" t="s">
        <v>12</v>
      </c>
      <c r="G119" s="26" t="s">
        <v>13</v>
      </c>
    </row>
    <row r="120" ht="16.5" customHeight="1">
      <c r="A120" s="27" t="s">
        <v>14</v>
      </c>
      <c r="B120" s="54" t="s">
        <v>651</v>
      </c>
      <c r="C120" s="61" t="str">
        <f t="shared" ref="C120:C129" si="21">"9조" &amp; " - " &amp; B$118 &amp; " - " &amp; $A120</f>
        <v>9조 - Container-based - Availability</v>
      </c>
      <c r="D120" s="54" t="s">
        <v>651</v>
      </c>
      <c r="E120" s="61" t="str">
        <f t="shared" ref="E120:E129" si="22">"9조" &amp; " - " &amp; D$118 &amp; " - " &amp; $A120</f>
        <v>9조 - Cloud-based - Availability</v>
      </c>
      <c r="F120" s="54" t="s">
        <v>651</v>
      </c>
      <c r="G120" s="61" t="str">
        <f t="shared" ref="G120:G129" si="23">"9조" &amp; " - " &amp; F$118 &amp; " - " &amp; $A120</f>
        <v>9조 - Edge-based - Availability</v>
      </c>
    </row>
    <row r="121" ht="16.5" customHeight="1">
      <c r="A121" s="27" t="s">
        <v>44</v>
      </c>
      <c r="B121" s="54" t="s">
        <v>651</v>
      </c>
      <c r="C121" s="61" t="str">
        <f t="shared" si="21"/>
        <v>9조 - Container-based - Deployability</v>
      </c>
      <c r="D121" s="54" t="s">
        <v>651</v>
      </c>
      <c r="E121" s="61" t="str">
        <f t="shared" si="22"/>
        <v>9조 - Cloud-based - Deployability</v>
      </c>
      <c r="F121" s="54" t="s">
        <v>651</v>
      </c>
      <c r="G121" s="61" t="str">
        <f t="shared" si="23"/>
        <v>9조 - Edge-based - Deployability</v>
      </c>
    </row>
    <row r="122" ht="16.5" customHeight="1">
      <c r="A122" s="27" t="s">
        <v>80</v>
      </c>
      <c r="B122" s="54" t="s">
        <v>651</v>
      </c>
      <c r="C122" s="61" t="str">
        <f t="shared" si="21"/>
        <v>9조 - Container-based - Integrability</v>
      </c>
      <c r="D122" s="54" t="s">
        <v>651</v>
      </c>
      <c r="E122" s="61" t="str">
        <f t="shared" si="22"/>
        <v>9조 - Cloud-based - Integrability</v>
      </c>
      <c r="F122" s="54" t="s">
        <v>651</v>
      </c>
      <c r="G122" s="61" t="str">
        <f t="shared" si="23"/>
        <v>9조 - Edge-based - Integrability</v>
      </c>
    </row>
    <row r="123" ht="16.5" customHeight="1">
      <c r="A123" s="27" t="s">
        <v>113</v>
      </c>
      <c r="B123" s="54" t="s">
        <v>651</v>
      </c>
      <c r="C123" s="61" t="str">
        <f t="shared" si="21"/>
        <v>9조 - Container-based - Energy Efficiency</v>
      </c>
      <c r="D123" s="54" t="s">
        <v>651</v>
      </c>
      <c r="E123" s="61" t="str">
        <f t="shared" si="22"/>
        <v>9조 - Cloud-based - Energy Efficiency</v>
      </c>
      <c r="F123" s="54" t="s">
        <v>651</v>
      </c>
      <c r="G123" s="61" t="str">
        <f t="shared" si="23"/>
        <v>9조 - Edge-based - Energy Efficiency</v>
      </c>
    </row>
    <row r="124" ht="16.5" customHeight="1">
      <c r="A124" s="27" t="s">
        <v>144</v>
      </c>
      <c r="B124" s="54" t="s">
        <v>651</v>
      </c>
      <c r="C124" s="61" t="str">
        <f t="shared" si="21"/>
        <v>9조 - Container-based - Modifiability</v>
      </c>
      <c r="D124" s="54" t="s">
        <v>651</v>
      </c>
      <c r="E124" s="61" t="str">
        <f t="shared" si="22"/>
        <v>9조 - Cloud-based - Modifiability</v>
      </c>
      <c r="F124" s="54" t="s">
        <v>651</v>
      </c>
      <c r="G124" s="61" t="str">
        <f t="shared" si="23"/>
        <v>9조 - Edge-based - Modifiability</v>
      </c>
    </row>
    <row r="125" ht="16.5" customHeight="1">
      <c r="A125" s="27" t="s">
        <v>176</v>
      </c>
      <c r="B125" s="54" t="s">
        <v>651</v>
      </c>
      <c r="C125" s="61" t="str">
        <f t="shared" si="21"/>
        <v>9조 - Container-based - Performance</v>
      </c>
      <c r="D125" s="54" t="s">
        <v>651</v>
      </c>
      <c r="E125" s="61" t="str">
        <f t="shared" si="22"/>
        <v>9조 - Cloud-based - Performance</v>
      </c>
      <c r="F125" s="54" t="s">
        <v>651</v>
      </c>
      <c r="G125" s="61" t="str">
        <f t="shared" si="23"/>
        <v>9조 - Edge-based - Performance</v>
      </c>
    </row>
    <row r="126" ht="16.5" customHeight="1">
      <c r="A126" s="27" t="s">
        <v>208</v>
      </c>
      <c r="B126" s="54" t="s">
        <v>651</v>
      </c>
      <c r="C126" s="61" t="str">
        <f t="shared" si="21"/>
        <v>9조 - Container-based - Safety</v>
      </c>
      <c r="D126" s="54" t="s">
        <v>651</v>
      </c>
      <c r="E126" s="61" t="str">
        <f t="shared" si="22"/>
        <v>9조 - Cloud-based - Safety</v>
      </c>
      <c r="F126" s="54" t="s">
        <v>651</v>
      </c>
      <c r="G126" s="61" t="str">
        <f t="shared" si="23"/>
        <v>9조 - Edge-based - Safety</v>
      </c>
    </row>
    <row r="127" ht="16.5" customHeight="1">
      <c r="A127" s="27" t="s">
        <v>242</v>
      </c>
      <c r="B127" s="54" t="s">
        <v>651</v>
      </c>
      <c r="C127" s="61" t="str">
        <f t="shared" si="21"/>
        <v>9조 - Container-based - Security</v>
      </c>
      <c r="D127" s="54" t="s">
        <v>651</v>
      </c>
      <c r="E127" s="61" t="str">
        <f t="shared" si="22"/>
        <v>9조 - Cloud-based - Security</v>
      </c>
      <c r="F127" s="54" t="s">
        <v>651</v>
      </c>
      <c r="G127" s="61" t="str">
        <f t="shared" si="23"/>
        <v>9조 - Edge-based - Security</v>
      </c>
    </row>
    <row r="128" ht="16.5" customHeight="1">
      <c r="A128" s="27" t="s">
        <v>273</v>
      </c>
      <c r="B128" s="54" t="s">
        <v>651</v>
      </c>
      <c r="C128" s="61" t="str">
        <f t="shared" si="21"/>
        <v>9조 - Container-based - Testability</v>
      </c>
      <c r="D128" s="54" t="s">
        <v>651</v>
      </c>
      <c r="E128" s="61" t="str">
        <f t="shared" si="22"/>
        <v>9조 - Cloud-based - Testability</v>
      </c>
      <c r="F128" s="54" t="s">
        <v>651</v>
      </c>
      <c r="G128" s="61" t="str">
        <f t="shared" si="23"/>
        <v>9조 - Edge-based - Testability</v>
      </c>
    </row>
    <row r="129" ht="16.5" customHeight="1">
      <c r="A129" s="27" t="s">
        <v>305</v>
      </c>
      <c r="B129" s="54" t="s">
        <v>651</v>
      </c>
      <c r="C129" s="61" t="str">
        <f t="shared" si="21"/>
        <v>9조 - Container-based - Usability</v>
      </c>
      <c r="D129" s="54" t="s">
        <v>651</v>
      </c>
      <c r="E129" s="61" t="str">
        <f t="shared" si="22"/>
        <v>9조 - Cloud-based - Usability</v>
      </c>
      <c r="F129" s="54" t="s">
        <v>651</v>
      </c>
      <c r="G129" s="61" t="str">
        <f t="shared" si="23"/>
        <v>9조 - Edge-based - Usability</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FLCMData">
    <vt:lpwstr>6E519BA2EED35B6C97B361C0D562289A2FECB733DDB0F8C1CC21DD9C9B536CBE007F1B4BF0E5C25EEC4F563B656D092FE6F2A52B70A00257A6B82A71AB390F89</vt:lpwstr>
  </property>
  <property fmtid="{D5CDD505-2E9C-101B-9397-08002B2CF9AE}" pid="3" name="ContentTypeId">
    <vt:lpwstr>0x0101009EB770C6058C0A408AAF2910384D1419</vt:lpwstr>
  </property>
</Properties>
</file>