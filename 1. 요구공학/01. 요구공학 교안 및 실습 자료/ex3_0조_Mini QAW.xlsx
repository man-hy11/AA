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_교육과정\04 SW Architect\21 콘텐츠개발\02 요구공학\★강의 교안 20250611 (25-3차 반영)\"/>
    </mc:Choice>
  </mc:AlternateContent>
  <xr:revisionPtr revIDLastSave="0" documentId="13_ncr:1_{7D672FA6-35EE-4AB3-B82C-A1D654A2A3D1}" xr6:coauthVersionLast="47" xr6:coauthVersionMax="47" xr10:uidLastSave="{00000000-0000-0000-0000-000000000000}"/>
  <bookViews>
    <workbookView xWindow="-103" yWindow="-103" windowWidth="24892" windowHeight="14914" tabRatio="500" activeTab="2" xr2:uid="{00000000-000D-0000-FFFF-FFFF00000000}"/>
  </bookViews>
  <sheets>
    <sheet name="Ex3.1 (Raw QAS)" sheetId="1" r:id="rId1"/>
    <sheet name="Ex3.2 (QAS)" sheetId="3" r:id="rId2"/>
    <sheet name="Ex3.3 (Utility Tree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2" l="1"/>
  <c r="M8" i="2"/>
  <c r="M7" i="2"/>
  <c r="M6" i="2"/>
  <c r="M5" i="2"/>
  <c r="F6" i="2"/>
  <c r="F7" i="2"/>
  <c r="F8" i="2"/>
  <c r="F9" i="2"/>
  <c r="F5" i="2"/>
  <c r="E7" i="1"/>
  <c r="E8" i="1"/>
  <c r="E9" i="1"/>
  <c r="E10" i="1"/>
  <c r="E11" i="1"/>
  <c r="E12" i="1"/>
  <c r="E13" i="1"/>
  <c r="E14" i="1"/>
  <c r="E15" i="1"/>
  <c r="E6" i="1"/>
</calcChain>
</file>

<file path=xl/sharedStrings.xml><?xml version="1.0" encoding="utf-8"?>
<sst xmlns="http://schemas.openxmlformats.org/spreadsheetml/2006/main" count="150" uniqueCount="60">
  <si>
    <t>(I, D)</t>
  </si>
  <si>
    <t>Performance Efficiency</t>
  </si>
  <si>
    <t>Quality Attribute</t>
  </si>
  <si>
    <t>(H,M)</t>
  </si>
  <si>
    <t>1000명의사용자가, 피크시간대(09~10시) 동시에 로그인을 시도할 경우에도, 
95%의 사용자는 2초 이내에 로그인을 성공해야 한다.</t>
  </si>
  <si>
    <t>많은 사용자가 피크 시간대에 동시에 로그인을 시도하는 경우에도, 
시스템이 원활하게 로그인 요청을 처리해야 한다.</t>
  </si>
  <si>
    <t>팀원1</t>
    <phoneticPr fontId="3" type="noConversion"/>
  </si>
  <si>
    <t>팀원2</t>
    <phoneticPr fontId="3" type="noConversion"/>
  </si>
  <si>
    <t>팀원3</t>
  </si>
  <si>
    <t>팀원6</t>
  </si>
  <si>
    <t>VOTE</t>
    <phoneticPr fontId="3" type="noConversion"/>
  </si>
  <si>
    <t>I</t>
    <phoneticPr fontId="3" type="noConversion"/>
  </si>
  <si>
    <t>D</t>
    <phoneticPr fontId="3" type="noConversion"/>
  </si>
  <si>
    <t>Quality Attribute</t>
    <phoneticPr fontId="3" type="noConversion"/>
  </si>
  <si>
    <t>Performance</t>
    <phoneticPr fontId="3" type="noConversion"/>
  </si>
  <si>
    <t>Member</t>
    <phoneticPr fontId="3" type="noConversion"/>
  </si>
  <si>
    <t>김XX</t>
    <phoneticPr fontId="3" type="noConversion"/>
  </si>
  <si>
    <t>이XX</t>
    <phoneticPr fontId="3" type="noConversion"/>
  </si>
  <si>
    <t>박XX</t>
    <phoneticPr fontId="3" type="noConversion"/>
  </si>
  <si>
    <t>Requirement-ID</t>
  </si>
  <si>
    <r>
      <t xml:space="preserve">관련된 </t>
    </r>
    <r>
      <rPr>
        <sz val="11"/>
        <color rgb="FF000000"/>
        <rFont val="맑은 고딕"/>
        <family val="3"/>
        <charset val="129"/>
      </rPr>
      <t>Quality Attribute</t>
    </r>
    <r>
      <rPr>
        <sz val="11"/>
        <color rgb="FF000000"/>
        <rFont val="Arial"/>
        <family val="2"/>
      </rPr>
      <t>가 무엇인지</t>
    </r>
    <r>
      <rPr>
        <sz val="11"/>
        <color rgb="FF000000"/>
        <rFont val="맑은 고딕"/>
        <family val="3"/>
        <charset val="129"/>
      </rPr>
      <t xml:space="preserve">( ex. Performance, Reliability, Security </t>
    </r>
    <r>
      <rPr>
        <sz val="11"/>
        <color rgb="FF000000"/>
        <rFont val="Arial"/>
        <family val="2"/>
      </rPr>
      <t>등등</t>
    </r>
    <r>
      <rPr>
        <sz val="11"/>
        <color rgb="FF000000"/>
        <rFont val="맑은 고딕"/>
        <family val="3"/>
        <charset val="129"/>
      </rPr>
      <t>)</t>
    </r>
  </si>
  <si>
    <t>Source</t>
  </si>
  <si>
    <r>
      <t>Stimulus</t>
    </r>
    <r>
      <rPr>
        <sz val="11"/>
        <color rgb="FF000000"/>
        <rFont val="Arial"/>
        <family val="2"/>
      </rPr>
      <t>를 발생시키는 주체가 무엇인지 기술</t>
    </r>
  </si>
  <si>
    <t>Stimulus</t>
  </si>
  <si>
    <r>
      <t>시스템에 입력되는 내외부</t>
    </r>
    <r>
      <rPr>
        <sz val="11"/>
        <color rgb="FF000000"/>
        <rFont val="맑은 고딕"/>
        <family val="3"/>
        <charset val="129"/>
      </rPr>
      <t xml:space="preserve"> 자극이 무엇인지 기술</t>
    </r>
  </si>
  <si>
    <t>Environment</t>
  </si>
  <si>
    <r>
      <t xml:space="preserve">해당 </t>
    </r>
    <r>
      <rPr>
        <sz val="11"/>
        <color rgb="FF000000"/>
        <rFont val="맑은 고딕"/>
        <family val="3"/>
        <charset val="129"/>
      </rPr>
      <t xml:space="preserve">Stimulus </t>
    </r>
    <r>
      <rPr>
        <sz val="11"/>
        <color rgb="FF000000"/>
        <rFont val="Arial"/>
        <family val="2"/>
      </rPr>
      <t>발생시 시스템의 환경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Arial"/>
        <family val="2"/>
      </rPr>
      <t>운영모드일 수도 있고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그 외 다양한 상황 가능</t>
    </r>
    <r>
      <rPr>
        <sz val="11"/>
        <color rgb="FF000000"/>
        <rFont val="맑은 고딕"/>
        <family val="3"/>
        <charset val="129"/>
      </rPr>
      <t>)</t>
    </r>
  </si>
  <si>
    <t>Artifacts</t>
  </si>
  <si>
    <r>
      <t>Stimulus</t>
    </r>
    <r>
      <rPr>
        <sz val="11"/>
        <color rgb="FF000000"/>
        <rFont val="Arial"/>
        <family val="2"/>
      </rPr>
      <t>의 영향을 받는 시스템의 내부 모듈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컴포넌트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혹은 시스템 전체</t>
    </r>
  </si>
  <si>
    <t>Response</t>
  </si>
  <si>
    <r>
      <t xml:space="preserve">기술된 </t>
    </r>
    <r>
      <rPr>
        <sz val="11"/>
        <color rgb="FF000000"/>
        <rFont val="맑은 고딕"/>
        <family val="3"/>
        <charset val="129"/>
      </rPr>
      <t>Environment</t>
    </r>
    <r>
      <rPr>
        <sz val="11"/>
        <color rgb="FF000000"/>
        <rFont val="Arial"/>
        <family val="2"/>
      </rPr>
      <t xml:space="preserve">에서 </t>
    </r>
    <r>
      <rPr>
        <sz val="11"/>
        <color rgb="FF000000"/>
        <rFont val="맑은 고딕"/>
        <family val="3"/>
        <charset val="129"/>
      </rPr>
      <t>Artifact</t>
    </r>
    <r>
      <rPr>
        <sz val="11"/>
        <color rgb="FF000000"/>
        <rFont val="Arial"/>
        <family val="2"/>
      </rPr>
      <t xml:space="preserve">이 </t>
    </r>
    <r>
      <rPr>
        <sz val="11"/>
        <color rgb="FF000000"/>
        <rFont val="맑은 고딕"/>
        <family val="3"/>
        <charset val="129"/>
      </rPr>
      <t>Stimulus</t>
    </r>
    <r>
      <rPr>
        <sz val="11"/>
        <color rgb="FF000000"/>
        <rFont val="Arial"/>
        <family val="2"/>
      </rPr>
      <t xml:space="preserve">를 받아들인 후 취하는 </t>
    </r>
    <r>
      <rPr>
        <sz val="11"/>
        <color rgb="FF000000"/>
        <rFont val="맑은 고딕"/>
        <family val="3"/>
        <charset val="129"/>
      </rPr>
      <t>Action</t>
    </r>
    <r>
      <rPr>
        <sz val="11"/>
        <color rgb="FF000000"/>
        <rFont val="Arial"/>
        <family val="2"/>
      </rPr>
      <t>이 무엇인지</t>
    </r>
  </si>
  <si>
    <t>Response Measure</t>
  </si>
  <si>
    <t>Priority</t>
  </si>
  <si>
    <r>
      <t xml:space="preserve">Quality Attribute Tree </t>
    </r>
    <r>
      <rPr>
        <sz val="11"/>
        <color rgb="FF000000"/>
        <rFont val="Arial"/>
        <family val="2"/>
      </rPr>
      <t>상에서의 우선순위</t>
    </r>
  </si>
  <si>
    <t>Description</t>
  </si>
  <si>
    <t>위 Source부터 Response Measure의 내용을 한 문장으로 요약해서 기술</t>
  </si>
  <si>
    <t>팀원4</t>
    <phoneticPr fontId="3" type="noConversion"/>
  </si>
  <si>
    <t>팀원5</t>
    <phoneticPr fontId="3" type="noConversion"/>
  </si>
  <si>
    <t>팀원6</t>
    <phoneticPr fontId="3" type="noConversion"/>
  </si>
  <si>
    <t>Quality Attribute Scenario</t>
    <phoneticPr fontId="3" type="noConversion"/>
  </si>
  <si>
    <t>팀원3</t>
    <phoneticPr fontId="3" type="noConversion"/>
  </si>
  <si>
    <r>
      <rPr>
        <b/>
        <sz val="12"/>
        <color rgb="FF000000"/>
        <rFont val="맑은 고딕"/>
        <family val="3"/>
        <charset val="129"/>
      </rPr>
      <t xml:space="preserve">Scenario Brainstorming: </t>
    </r>
    <r>
      <rPr>
        <sz val="12"/>
        <color rgb="FF000000"/>
        <rFont val="맑은 고딕"/>
        <family val="3"/>
        <charset val="129"/>
      </rPr>
      <t xml:space="preserve">팀당 10개 내외(1인당 2건↑ 필수)의 Quality Attribute Raw 시나리오를 작성하세요. </t>
    </r>
    <phoneticPr fontId="3" type="noConversion"/>
  </si>
  <si>
    <r>
      <rPr>
        <b/>
        <sz val="12"/>
        <color rgb="FF000000"/>
        <rFont val="맑은 고딕"/>
        <family val="3"/>
        <charset val="129"/>
      </rPr>
      <t>Voting</t>
    </r>
    <r>
      <rPr>
        <sz val="12"/>
        <color rgb="FF000000"/>
        <rFont val="맑은 고딕"/>
        <family val="3"/>
        <charset val="129"/>
      </rPr>
      <t>: 팀당 4개 이상의 Scenario를 선정. 단, 다양한 품질 속성</t>
    </r>
    <r>
      <rPr>
        <sz val="12.1"/>
        <color rgb="FF1F497D"/>
        <rFont val="맑은 고딕"/>
        <family val="3"/>
        <charset val="129"/>
      </rPr>
      <t>(</t>
    </r>
    <r>
      <rPr>
        <sz val="12"/>
        <color rgb="FF000000"/>
        <rFont val="맑은 고딕"/>
        <family val="3"/>
        <charset val="129"/>
      </rPr>
      <t>3개 이상</t>
    </r>
    <r>
      <rPr>
        <sz val="12.1"/>
        <color rgb="FF1F497D"/>
        <rFont val="맑은 고딕"/>
        <family val="3"/>
        <charset val="129"/>
      </rPr>
      <t>)</t>
    </r>
    <r>
      <rPr>
        <sz val="12"/>
        <color rgb="FF000000"/>
        <rFont val="맑은 고딕"/>
        <family val="3"/>
        <charset val="129"/>
      </rPr>
      <t>이 나오도록 할 것</t>
    </r>
    <phoneticPr fontId="3" type="noConversion"/>
  </si>
  <si>
    <r>
      <t xml:space="preserve">[Ex3.2] QAS </t>
    </r>
    <r>
      <rPr>
        <sz val="12"/>
        <color rgb="FF4156BD"/>
        <rFont val="맑은 고딕"/>
        <family val="3"/>
        <charset val="129"/>
      </rPr>
      <t>(Quality Attribute Scenario)</t>
    </r>
    <r>
      <rPr>
        <b/>
        <sz val="12"/>
        <color rgb="FF4156BD"/>
        <rFont val="맑은 고딕"/>
        <family val="3"/>
        <charset val="129"/>
      </rPr>
      <t xml:space="preserve"> 작성</t>
    </r>
  </si>
  <si>
    <r>
      <rPr>
        <b/>
        <sz val="12"/>
        <color rgb="FF000000"/>
        <rFont val="맑은 고딕"/>
        <family val="3"/>
        <charset val="129"/>
      </rPr>
      <t xml:space="preserve">Scenario Refinement: </t>
    </r>
    <r>
      <rPr>
        <sz val="12"/>
        <color rgb="FF000000"/>
        <rFont val="맑은 고딕"/>
        <family val="3"/>
        <charset val="129"/>
      </rPr>
      <t>선택된 시나리오에 대해서 품질 속성 시나리오</t>
    </r>
    <r>
      <rPr>
        <sz val="12.1"/>
        <color rgb="FF1F497D"/>
        <rFont val="맑은 고딕"/>
        <family val="3"/>
        <charset val="129"/>
      </rPr>
      <t>(</t>
    </r>
    <r>
      <rPr>
        <sz val="12"/>
        <color rgb="FF000000"/>
        <rFont val="맑은 고딕"/>
        <family val="3"/>
        <charset val="129"/>
      </rPr>
      <t>QAS</t>
    </r>
    <r>
      <rPr>
        <sz val="12.1"/>
        <color rgb="FF1F497D"/>
        <rFont val="맑은 고딕"/>
        <family val="3"/>
        <charset val="129"/>
      </rPr>
      <t>)</t>
    </r>
    <r>
      <rPr>
        <sz val="12"/>
        <color rgb="FF000000"/>
        <rFont val="맑은 고딕"/>
        <family val="3"/>
        <charset val="129"/>
      </rPr>
      <t>를 작성하세요</t>
    </r>
    <phoneticPr fontId="3" type="noConversion"/>
  </si>
  <si>
    <r>
      <rPr>
        <b/>
        <sz val="12"/>
        <color rgb="FF000000"/>
        <rFont val="맑은 고딕"/>
        <family val="3"/>
        <charset val="129"/>
      </rPr>
      <t xml:space="preserve">Prioritizing: </t>
    </r>
    <r>
      <rPr>
        <sz val="12"/>
        <color rgb="FF000000"/>
        <rFont val="맑은 고딕"/>
        <family val="3"/>
        <charset val="129"/>
      </rPr>
      <t xml:space="preserve">작성된 시나리오에 대해서 Importance/Difficulty를 부여하고 우선순위를 도출하세요. </t>
    </r>
    <r>
      <rPr>
        <sz val="12.1"/>
        <color rgb="FF1F497D"/>
        <rFont val="맑은 고딕"/>
        <family val="3"/>
        <charset val="129"/>
      </rPr>
      <t>(</t>
    </r>
    <r>
      <rPr>
        <sz val="12"/>
        <color rgb="FF000000"/>
        <rFont val="맑은 고딕"/>
        <family val="3"/>
        <charset val="129"/>
      </rPr>
      <t>Voting 등</t>
    </r>
    <r>
      <rPr>
        <sz val="12.1"/>
        <color rgb="FF1F497D"/>
        <rFont val="맑은 고딕"/>
        <family val="3"/>
        <charset val="129"/>
      </rPr>
      <t>)</t>
    </r>
    <phoneticPr fontId="3" type="noConversion"/>
  </si>
  <si>
    <r>
      <t>[Ex3.1] Raw QAS</t>
    </r>
    <r>
      <rPr>
        <sz val="12"/>
        <color rgb="FF4156BD"/>
        <rFont val="맑은 고딕"/>
        <family val="3"/>
        <charset val="129"/>
      </rPr>
      <t xml:space="preserve"> (Raw Quality Attribute Scenario) </t>
    </r>
    <r>
      <rPr>
        <b/>
        <sz val="12"/>
        <color rgb="FF4156BD"/>
        <rFont val="맑은 고딕"/>
        <family val="3"/>
        <charset val="129"/>
      </rPr>
      <t>발굴</t>
    </r>
    <phoneticPr fontId="3" type="noConversion"/>
  </si>
  <si>
    <t>Raw Quality Attribute Scenario</t>
    <phoneticPr fontId="3" type="noConversion"/>
  </si>
  <si>
    <t>Priority</t>
    <phoneticPr fontId="3" type="noConversion"/>
  </si>
  <si>
    <r>
      <rPr>
        <b/>
        <sz val="11"/>
        <color rgb="FF000000"/>
        <rFont val="맑은 고딕"/>
        <family val="3"/>
        <charset val="129"/>
      </rPr>
      <t>. Priority</t>
    </r>
    <r>
      <rPr>
        <sz val="11"/>
        <color rgb="FF000000"/>
        <rFont val="맑은 고딕"/>
        <family val="3"/>
        <charset val="129"/>
      </rPr>
      <t>: Importance와 Difficulty를 고려하여, 최종 우선순위 결정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</si>
  <si>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. Voting</t>
    </r>
    <r>
      <rPr>
        <sz val="11"/>
        <color rgb="FF000000"/>
        <rFont val="맑은 고딕"/>
        <family val="3"/>
        <charset val="129"/>
      </rPr>
      <t>: 개인별로 4~5개 항목에 Voting</t>
    </r>
    <phoneticPr fontId="3" type="noConversion"/>
  </si>
  <si>
    <r>
      <rPr>
        <sz val="11"/>
        <color rgb="FF000000"/>
        <rFont val="맑은 고딕"/>
        <family val="3"/>
        <charset val="129"/>
      </rPr>
      <t>위의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Response의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정도를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측정하는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단위가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무엇인지</t>
    </r>
    <r>
      <rPr>
        <sz val="11"/>
        <color rgb="FF000000"/>
        <rFont val="Arial"/>
        <family val="2"/>
      </rPr>
      <t xml:space="preserve">
(ex. </t>
    </r>
    <r>
      <rPr>
        <sz val="11"/>
        <color rgb="FF000000"/>
        <rFont val="맑은 고딕"/>
        <family val="2"/>
        <charset val="129"/>
      </rPr>
      <t>초당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처리량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반응시간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2"/>
        <charset val="129"/>
      </rPr>
      <t>시간일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경우</t>
    </r>
    <r>
      <rPr>
        <sz val="11"/>
        <color rgb="FF000000"/>
        <rFont val="Arial"/>
        <family val="2"/>
      </rPr>
      <t xml:space="preserve"> Hr</t>
    </r>
    <r>
      <rPr>
        <sz val="11"/>
        <color rgb="FF000000"/>
        <rFont val="맑은 고딕"/>
        <family val="2"/>
        <charset val="129"/>
      </rPr>
      <t>인지</t>
    </r>
    <r>
      <rPr>
        <sz val="11"/>
        <color rgb="FF000000"/>
        <rFont val="Arial"/>
        <family val="2"/>
      </rPr>
      <t>, Min</t>
    </r>
    <r>
      <rPr>
        <sz val="11"/>
        <color rgb="FF000000"/>
        <rFont val="맑은 고딕"/>
        <family val="2"/>
        <charset val="129"/>
      </rPr>
      <t>인지</t>
    </r>
    <r>
      <rPr>
        <sz val="11"/>
        <color rgb="FF000000"/>
        <rFont val="Arial"/>
        <family val="2"/>
      </rPr>
      <t>, Sec</t>
    </r>
    <r>
      <rPr>
        <sz val="11"/>
        <color rgb="FF000000"/>
        <rFont val="맑은 고딕"/>
        <family val="2"/>
        <charset val="129"/>
      </rPr>
      <t>인지</t>
    </r>
    <r>
      <rPr>
        <sz val="11"/>
        <color rgb="FF000000"/>
        <rFont val="Arial"/>
        <family val="2"/>
      </rPr>
      <t xml:space="preserve">  </t>
    </r>
    <r>
      <rPr>
        <sz val="11"/>
        <color rgb="FF000000"/>
        <rFont val="맑은 고딕"/>
        <family val="2"/>
        <charset val="129"/>
      </rPr>
      <t>등등</t>
    </r>
    <r>
      <rPr>
        <sz val="11"/>
        <color rgb="FF000000"/>
        <rFont val="Arial"/>
        <family val="2"/>
      </rPr>
      <t>))</t>
    </r>
    <phoneticPr fontId="3" type="noConversion"/>
  </si>
  <si>
    <t>QA_001 (작성자: 김ㅇㅇ)</t>
    <phoneticPr fontId="3" type="noConversion"/>
  </si>
  <si>
    <t>QA_002 (작성자: 김ㅇㅇ)</t>
    <phoneticPr fontId="3" type="noConversion"/>
  </si>
  <si>
    <t>QA_003 (작성자: 김ㅇㅇ)</t>
    <phoneticPr fontId="3" type="noConversion"/>
  </si>
  <si>
    <t>QA_004 (작성자: 김ㅇㅇ)</t>
    <phoneticPr fontId="3" type="noConversion"/>
  </si>
  <si>
    <t>QA_005 (작성자: 김ㅇㅇ)</t>
    <phoneticPr fontId="3" type="noConversion"/>
  </si>
  <si>
    <t>[Ex3.3] Utility Tree 작성</t>
    <phoneticPr fontId="3" type="noConversion"/>
  </si>
  <si>
    <r>
      <rPr>
        <b/>
        <sz val="11"/>
        <color rgb="FF000000"/>
        <rFont val="맑은 고딕"/>
        <family val="3"/>
        <charset val="129"/>
      </rPr>
      <t>. Importance</t>
    </r>
    <r>
      <rPr>
        <sz val="11"/>
        <color rgb="FF000000"/>
        <rFont val="맑은 고딕"/>
        <family val="3"/>
        <charset val="129"/>
      </rPr>
      <t>: 개인별 Voting (1:Low, 2:Med, 3:High) 후 평균값으로 최종 결정 (평균 2.5↑ H, 2↑ M, 이외 L)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</si>
  <si>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. Difficulty</t>
    </r>
    <r>
      <rPr>
        <sz val="11"/>
        <color rgb="FF000000"/>
        <rFont val="맑은 고딕"/>
        <family val="3"/>
        <charset val="129"/>
      </rPr>
      <t>: 개인별 Voting (1:Low, 2:Med, 3:High) 후 평균값으로 최종 결정 (평균 2.5↑ H, 2↑ M, 이외 L)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</si>
</sst>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i/>
      <sz val="11"/>
      <color rgb="FFA6A6A6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sz val="12.1"/>
      <color rgb="FF40404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FFFFFF"/>
      <name val="맑은 고딕"/>
      <family val="3"/>
      <charset val="129"/>
    </font>
    <font>
      <b/>
      <sz val="12"/>
      <color rgb="FF4156BD"/>
      <name val="맑은 고딕"/>
      <family val="3"/>
      <charset val="129"/>
    </font>
    <font>
      <sz val="12"/>
      <color rgb="FF4156BD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.1"/>
      <color rgb="FF1F497D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4F81BD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3" readingOrder="1"/>
    </xf>
    <xf numFmtId="0" fontId="0" fillId="0" borderId="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 readingOrder="1"/>
    </xf>
    <xf numFmtId="0" fontId="6" fillId="0" borderId="17" xfId="0" applyFont="1" applyBorder="1" applyAlignment="1">
      <alignment horizontal="left" vertical="center" wrapText="1" readingOrder="1"/>
    </xf>
    <xf numFmtId="0" fontId="1" fillId="0" borderId="17" xfId="0" applyFont="1" applyBorder="1" applyAlignment="1">
      <alignment horizontal="left" vertical="center" wrapText="1" readingOrder="1"/>
    </xf>
    <xf numFmtId="0" fontId="1" fillId="4" borderId="18" xfId="0" applyFont="1" applyFill="1" applyBorder="1" applyAlignment="1">
      <alignment horizontal="left" vertical="center" wrapText="1" readingOrder="1"/>
    </xf>
    <xf numFmtId="0" fontId="7" fillId="3" borderId="16" xfId="0" applyFont="1" applyFill="1" applyBorder="1" applyAlignment="1">
      <alignment horizontal="center" vertical="center" wrapText="1" readingOrder="1"/>
    </xf>
    <xf numFmtId="0" fontId="7" fillId="3" borderId="17" xfId="0" applyFont="1" applyFill="1" applyBorder="1" applyAlignment="1">
      <alignment horizontal="center" vertical="center" wrapText="1" readingOrder="1"/>
    </xf>
    <xf numFmtId="0" fontId="7" fillId="3" borderId="18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indent="3" readingOrder="1"/>
    </xf>
    <xf numFmtId="0" fontId="10" fillId="0" borderId="0" xfId="0" applyFont="1" applyAlignment="1">
      <alignment horizontal="left" vertical="center" indent="3" readingOrder="1"/>
    </xf>
    <xf numFmtId="0" fontId="7" fillId="3" borderId="18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1" fillId="5" borderId="0" xfId="0" applyFont="1" applyFill="1">
      <alignment vertical="center"/>
    </xf>
    <xf numFmtId="0" fontId="0" fillId="5" borderId="0" xfId="0" applyFill="1">
      <alignment vertical="center"/>
    </xf>
    <xf numFmtId="0" fontId="15" fillId="0" borderId="18" xfId="0" applyFont="1" applyBorder="1" applyAlignment="1">
      <alignment horizontal="left" vertical="center" wrapText="1" readingOrder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K16"/>
  <sheetViews>
    <sheetView zoomScaleNormal="75" zoomScaleSheetLayoutView="100" workbookViewId="0">
      <selection activeCell="C9" sqref="C9"/>
    </sheetView>
  </sheetViews>
  <sheetFormatPr defaultColWidth="8.78515625" defaultRowHeight="17.600000000000001" x14ac:dyDescent="0.55000000000000004"/>
  <cols>
    <col min="1" max="1" width="10.85546875" customWidth="1"/>
    <col min="2" max="2" width="16.7109375" customWidth="1"/>
    <col min="3" max="3" width="66.140625" customWidth="1"/>
    <col min="4" max="4" width="6.0703125" customWidth="1"/>
    <col min="5" max="11" width="6.7109375" customWidth="1"/>
  </cols>
  <sheetData>
    <row r="1" spans="1:11" ht="18" x14ac:dyDescent="0.55000000000000004">
      <c r="A1" s="33" t="s">
        <v>46</v>
      </c>
    </row>
    <row r="2" spans="1:11" ht="19.75" x14ac:dyDescent="0.55000000000000004">
      <c r="A2" s="35" t="s">
        <v>41</v>
      </c>
      <c r="B2" s="10"/>
      <c r="C2" s="10"/>
    </row>
    <row r="3" spans="1:11" ht="18" x14ac:dyDescent="0.55000000000000004">
      <c r="A3" s="34" t="s">
        <v>42</v>
      </c>
      <c r="B3" s="11"/>
      <c r="C3" s="11"/>
    </row>
    <row r="4" spans="1:11" ht="18" x14ac:dyDescent="0.55000000000000004">
      <c r="A4" s="11"/>
      <c r="B4" s="11"/>
      <c r="C4" s="11"/>
    </row>
    <row r="5" spans="1:11" x14ac:dyDescent="0.55000000000000004">
      <c r="A5" s="31" t="s">
        <v>15</v>
      </c>
      <c r="B5" s="31" t="s">
        <v>13</v>
      </c>
      <c r="C5" s="31" t="s">
        <v>47</v>
      </c>
      <c r="E5" s="31" t="s">
        <v>10</v>
      </c>
      <c r="F5" s="31" t="s">
        <v>7</v>
      </c>
      <c r="G5" s="31" t="s">
        <v>8</v>
      </c>
      <c r="H5" s="31" t="s">
        <v>36</v>
      </c>
      <c r="I5" s="31" t="s">
        <v>37</v>
      </c>
      <c r="J5" s="31" t="s">
        <v>9</v>
      </c>
      <c r="K5" s="31" t="s">
        <v>38</v>
      </c>
    </row>
    <row r="6" spans="1:11" ht="54.55" customHeight="1" x14ac:dyDescent="0.55000000000000004">
      <c r="A6" s="7" t="s">
        <v>16</v>
      </c>
      <c r="B6" s="16" t="s">
        <v>14</v>
      </c>
      <c r="C6" s="9" t="s">
        <v>5</v>
      </c>
      <c r="E6" s="15">
        <f>SUM(F6:K6)</f>
        <v>4</v>
      </c>
      <c r="F6" s="12">
        <v>1</v>
      </c>
      <c r="G6" s="12"/>
      <c r="H6" s="12">
        <v>1</v>
      </c>
      <c r="I6" s="12">
        <v>1</v>
      </c>
      <c r="J6" s="12"/>
      <c r="K6" s="12">
        <v>1</v>
      </c>
    </row>
    <row r="7" spans="1:11" ht="54.55" customHeight="1" x14ac:dyDescent="0.55000000000000004">
      <c r="A7" s="7" t="s">
        <v>16</v>
      </c>
      <c r="B7" s="17"/>
      <c r="C7" s="3"/>
      <c r="E7" s="15">
        <f t="shared" ref="E7:E15" si="0">SUM(F7:K7)</f>
        <v>4</v>
      </c>
      <c r="F7" s="12">
        <v>1</v>
      </c>
      <c r="G7" s="12">
        <v>1</v>
      </c>
      <c r="H7" s="12"/>
      <c r="I7" s="12">
        <v>1</v>
      </c>
      <c r="J7" s="12">
        <v>1</v>
      </c>
      <c r="K7" s="12"/>
    </row>
    <row r="8" spans="1:11" ht="54.55" customHeight="1" x14ac:dyDescent="0.55000000000000004">
      <c r="A8" s="7" t="s">
        <v>17</v>
      </c>
      <c r="B8" s="17"/>
      <c r="C8" s="3"/>
      <c r="E8" s="15">
        <f t="shared" si="0"/>
        <v>3</v>
      </c>
      <c r="F8" s="12">
        <v>1</v>
      </c>
      <c r="G8" s="12"/>
      <c r="H8" s="12">
        <v>1</v>
      </c>
      <c r="I8" s="12"/>
      <c r="J8" s="12">
        <v>1</v>
      </c>
      <c r="K8" s="12"/>
    </row>
    <row r="9" spans="1:11" ht="54.55" customHeight="1" x14ac:dyDescent="0.55000000000000004">
      <c r="A9" s="7" t="s">
        <v>17</v>
      </c>
      <c r="B9" s="17"/>
      <c r="C9" s="3"/>
      <c r="E9" s="15">
        <f t="shared" si="0"/>
        <v>3</v>
      </c>
      <c r="F9" s="12">
        <v>1</v>
      </c>
      <c r="G9" s="12"/>
      <c r="H9" s="12"/>
      <c r="I9" s="12">
        <v>1</v>
      </c>
      <c r="J9" s="12">
        <v>1</v>
      </c>
      <c r="K9" s="12"/>
    </row>
    <row r="10" spans="1:11" ht="54.55" customHeight="1" x14ac:dyDescent="0.55000000000000004">
      <c r="A10" s="7" t="s">
        <v>18</v>
      </c>
      <c r="B10" s="17"/>
      <c r="C10" s="3"/>
      <c r="E10" s="15">
        <f t="shared" si="0"/>
        <v>4</v>
      </c>
      <c r="F10" s="12"/>
      <c r="G10" s="12">
        <v>1</v>
      </c>
      <c r="H10" s="12">
        <v>1</v>
      </c>
      <c r="I10" s="12"/>
      <c r="J10" s="12">
        <v>1</v>
      </c>
      <c r="K10" s="12">
        <v>1</v>
      </c>
    </row>
    <row r="11" spans="1:11" ht="54.55" customHeight="1" x14ac:dyDescent="0.55000000000000004">
      <c r="A11" s="7" t="s">
        <v>18</v>
      </c>
      <c r="B11" s="17"/>
      <c r="C11" s="3"/>
      <c r="E11" s="15">
        <f t="shared" si="0"/>
        <v>2</v>
      </c>
      <c r="F11" s="12"/>
      <c r="G11" s="12"/>
      <c r="H11" s="12">
        <v>1</v>
      </c>
      <c r="I11" s="12">
        <v>1</v>
      </c>
      <c r="J11" s="12"/>
      <c r="K11" s="12"/>
    </row>
    <row r="12" spans="1:11" ht="54.55" customHeight="1" x14ac:dyDescent="0.55000000000000004">
      <c r="A12" s="2"/>
      <c r="B12" s="17"/>
      <c r="C12" s="3"/>
      <c r="E12" s="15">
        <f t="shared" si="0"/>
        <v>2</v>
      </c>
      <c r="F12" s="12">
        <v>1</v>
      </c>
      <c r="G12" s="12">
        <v>1</v>
      </c>
      <c r="H12" s="12"/>
      <c r="I12" s="12"/>
      <c r="J12" s="12"/>
      <c r="K12" s="12"/>
    </row>
    <row r="13" spans="1:11" ht="54.55" customHeight="1" x14ac:dyDescent="0.55000000000000004">
      <c r="A13" s="2"/>
      <c r="B13" s="17"/>
      <c r="C13" s="3"/>
      <c r="E13" s="15">
        <f t="shared" si="0"/>
        <v>5</v>
      </c>
      <c r="F13" s="12"/>
      <c r="G13" s="12">
        <v>1</v>
      </c>
      <c r="H13" s="12">
        <v>1</v>
      </c>
      <c r="I13" s="12">
        <v>1</v>
      </c>
      <c r="J13" s="12">
        <v>1</v>
      </c>
      <c r="K13" s="12">
        <v>1</v>
      </c>
    </row>
    <row r="14" spans="1:11" ht="54.55" customHeight="1" x14ac:dyDescent="0.55000000000000004">
      <c r="A14" s="2"/>
      <c r="B14" s="17"/>
      <c r="C14" s="3"/>
      <c r="E14" s="15">
        <f t="shared" si="0"/>
        <v>2</v>
      </c>
      <c r="F14" s="12"/>
      <c r="G14" s="12">
        <v>1</v>
      </c>
      <c r="H14" s="12"/>
      <c r="I14" s="12"/>
      <c r="J14" s="12"/>
      <c r="K14" s="12">
        <v>1</v>
      </c>
    </row>
    <row r="15" spans="1:11" ht="54.55" customHeight="1" thickBot="1" x14ac:dyDescent="0.6">
      <c r="A15" s="4"/>
      <c r="B15" s="18"/>
      <c r="C15" s="6"/>
      <c r="E15" s="15">
        <f t="shared" si="0"/>
        <v>1</v>
      </c>
      <c r="F15" s="12"/>
      <c r="G15" s="12"/>
      <c r="H15" s="12"/>
      <c r="I15" s="12"/>
      <c r="J15" s="12"/>
      <c r="K15" s="12">
        <v>1</v>
      </c>
    </row>
    <row r="16" spans="1:11" x14ac:dyDescent="0.55000000000000004">
      <c r="E16" s="38" t="s">
        <v>50</v>
      </c>
      <c r="F16" s="39"/>
      <c r="G16" s="39"/>
      <c r="H16" s="39"/>
      <c r="I16" s="39"/>
      <c r="J16" s="39"/>
      <c r="K16" s="39"/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6733-7BC6-4857-8460-5A2FBAD890B9}">
  <dimension ref="A1:B57"/>
  <sheetViews>
    <sheetView zoomScaleNormal="75" zoomScaleSheetLayoutView="100" workbookViewId="0">
      <selection activeCell="B13" sqref="B13"/>
    </sheetView>
  </sheetViews>
  <sheetFormatPr defaultColWidth="8.78515625" defaultRowHeight="17.600000000000001" x14ac:dyDescent="0.55000000000000004"/>
  <cols>
    <col min="1" max="1" width="16.92578125" customWidth="1"/>
    <col min="2" max="2" width="78.140625" customWidth="1"/>
  </cols>
  <sheetData>
    <row r="1" spans="1:2" ht="18" x14ac:dyDescent="0.55000000000000004">
      <c r="A1" s="33" t="s">
        <v>43</v>
      </c>
    </row>
    <row r="2" spans="1:2" ht="19.75" x14ac:dyDescent="0.55000000000000004">
      <c r="A2" s="34" t="s">
        <v>44</v>
      </c>
      <c r="B2" s="10"/>
    </row>
    <row r="3" spans="1:2" ht="18" x14ac:dyDescent="0.55000000000000004">
      <c r="A3" s="11"/>
      <c r="B3" s="11"/>
    </row>
    <row r="4" spans="1:2" x14ac:dyDescent="0.55000000000000004">
      <c r="A4" s="30" t="s">
        <v>19</v>
      </c>
      <c r="B4" s="26" t="s">
        <v>52</v>
      </c>
    </row>
    <row r="5" spans="1:2" x14ac:dyDescent="0.55000000000000004">
      <c r="A5" s="31" t="s">
        <v>2</v>
      </c>
      <c r="B5" s="27" t="s">
        <v>20</v>
      </c>
    </row>
    <row r="6" spans="1:2" x14ac:dyDescent="0.55000000000000004">
      <c r="A6" s="31" t="s">
        <v>21</v>
      </c>
      <c r="B6" s="28" t="s">
        <v>22</v>
      </c>
    </row>
    <row r="7" spans="1:2" x14ac:dyDescent="0.55000000000000004">
      <c r="A7" s="31" t="s">
        <v>23</v>
      </c>
      <c r="B7" s="27" t="s">
        <v>24</v>
      </c>
    </row>
    <row r="8" spans="1:2" x14ac:dyDescent="0.55000000000000004">
      <c r="A8" s="31" t="s">
        <v>25</v>
      </c>
      <c r="B8" s="27" t="s">
        <v>26</v>
      </c>
    </row>
    <row r="9" spans="1:2" x14ac:dyDescent="0.55000000000000004">
      <c r="A9" s="31" t="s">
        <v>27</v>
      </c>
      <c r="B9" s="28" t="s">
        <v>28</v>
      </c>
    </row>
    <row r="10" spans="1:2" x14ac:dyDescent="0.55000000000000004">
      <c r="A10" s="31" t="s">
        <v>29</v>
      </c>
      <c r="B10" s="27" t="s">
        <v>30</v>
      </c>
    </row>
    <row r="11" spans="1:2" ht="35.15" x14ac:dyDescent="0.55000000000000004">
      <c r="A11" s="36" t="s">
        <v>31</v>
      </c>
      <c r="B11" s="40" t="s">
        <v>51</v>
      </c>
    </row>
    <row r="12" spans="1:2" x14ac:dyDescent="0.55000000000000004">
      <c r="A12" s="31" t="s">
        <v>32</v>
      </c>
      <c r="B12" s="28" t="s">
        <v>33</v>
      </c>
    </row>
    <row r="13" spans="1:2" ht="70" customHeight="1" x14ac:dyDescent="0.55000000000000004">
      <c r="A13" s="32" t="s">
        <v>34</v>
      </c>
      <c r="B13" s="29" t="s">
        <v>35</v>
      </c>
    </row>
    <row r="15" spans="1:2" x14ac:dyDescent="0.55000000000000004">
      <c r="A15" s="30" t="s">
        <v>19</v>
      </c>
      <c r="B15" s="26" t="s">
        <v>53</v>
      </c>
    </row>
    <row r="16" spans="1:2" x14ac:dyDescent="0.55000000000000004">
      <c r="A16" s="31" t="s">
        <v>2</v>
      </c>
      <c r="B16" s="27" t="s">
        <v>20</v>
      </c>
    </row>
    <row r="17" spans="1:2" x14ac:dyDescent="0.55000000000000004">
      <c r="A17" s="31" t="s">
        <v>21</v>
      </c>
      <c r="B17" s="28" t="s">
        <v>22</v>
      </c>
    </row>
    <row r="18" spans="1:2" x14ac:dyDescent="0.55000000000000004">
      <c r="A18" s="31" t="s">
        <v>23</v>
      </c>
      <c r="B18" s="27" t="s">
        <v>24</v>
      </c>
    </row>
    <row r="19" spans="1:2" x14ac:dyDescent="0.55000000000000004">
      <c r="A19" s="31" t="s">
        <v>25</v>
      </c>
      <c r="B19" s="27" t="s">
        <v>26</v>
      </c>
    </row>
    <row r="20" spans="1:2" x14ac:dyDescent="0.55000000000000004">
      <c r="A20" s="31" t="s">
        <v>27</v>
      </c>
      <c r="B20" s="28" t="s">
        <v>28</v>
      </c>
    </row>
    <row r="21" spans="1:2" x14ac:dyDescent="0.55000000000000004">
      <c r="A21" s="31" t="s">
        <v>29</v>
      </c>
      <c r="B21" s="27" t="s">
        <v>30</v>
      </c>
    </row>
    <row r="22" spans="1:2" ht="35.15" x14ac:dyDescent="0.55000000000000004">
      <c r="A22" s="36" t="s">
        <v>31</v>
      </c>
      <c r="B22" s="40" t="s">
        <v>51</v>
      </c>
    </row>
    <row r="23" spans="1:2" x14ac:dyDescent="0.55000000000000004">
      <c r="A23" s="31" t="s">
        <v>32</v>
      </c>
      <c r="B23" s="28" t="s">
        <v>33</v>
      </c>
    </row>
    <row r="24" spans="1:2" ht="64.849999999999994" customHeight="1" x14ac:dyDescent="0.55000000000000004">
      <c r="A24" s="36" t="s">
        <v>34</v>
      </c>
      <c r="B24" s="29" t="s">
        <v>35</v>
      </c>
    </row>
    <row r="26" spans="1:2" x14ac:dyDescent="0.55000000000000004">
      <c r="A26" s="30" t="s">
        <v>19</v>
      </c>
      <c r="B26" s="26" t="s">
        <v>54</v>
      </c>
    </row>
    <row r="27" spans="1:2" x14ac:dyDescent="0.55000000000000004">
      <c r="A27" s="31" t="s">
        <v>2</v>
      </c>
      <c r="B27" s="27" t="s">
        <v>20</v>
      </c>
    </row>
    <row r="28" spans="1:2" x14ac:dyDescent="0.55000000000000004">
      <c r="A28" s="31" t="s">
        <v>21</v>
      </c>
      <c r="B28" s="28" t="s">
        <v>22</v>
      </c>
    </row>
    <row r="29" spans="1:2" x14ac:dyDescent="0.55000000000000004">
      <c r="A29" s="31" t="s">
        <v>23</v>
      </c>
      <c r="B29" s="27" t="s">
        <v>24</v>
      </c>
    </row>
    <row r="30" spans="1:2" x14ac:dyDescent="0.55000000000000004">
      <c r="A30" s="31" t="s">
        <v>25</v>
      </c>
      <c r="B30" s="27" t="s">
        <v>26</v>
      </c>
    </row>
    <row r="31" spans="1:2" x14ac:dyDescent="0.55000000000000004">
      <c r="A31" s="31" t="s">
        <v>27</v>
      </c>
      <c r="B31" s="28" t="s">
        <v>28</v>
      </c>
    </row>
    <row r="32" spans="1:2" x14ac:dyDescent="0.55000000000000004">
      <c r="A32" s="31" t="s">
        <v>29</v>
      </c>
      <c r="B32" s="27" t="s">
        <v>30</v>
      </c>
    </row>
    <row r="33" spans="1:2" ht="35.15" x14ac:dyDescent="0.55000000000000004">
      <c r="A33" s="36" t="s">
        <v>31</v>
      </c>
      <c r="B33" s="40" t="s">
        <v>51</v>
      </c>
    </row>
    <row r="34" spans="1:2" x14ac:dyDescent="0.55000000000000004">
      <c r="A34" s="31" t="s">
        <v>32</v>
      </c>
      <c r="B34" s="28" t="s">
        <v>33</v>
      </c>
    </row>
    <row r="35" spans="1:2" ht="82.75" customHeight="1" x14ac:dyDescent="0.55000000000000004">
      <c r="A35" s="36" t="s">
        <v>34</v>
      </c>
      <c r="B35" s="29" t="s">
        <v>35</v>
      </c>
    </row>
    <row r="37" spans="1:2" x14ac:dyDescent="0.55000000000000004">
      <c r="A37" s="30" t="s">
        <v>19</v>
      </c>
      <c r="B37" s="26" t="s">
        <v>55</v>
      </c>
    </row>
    <row r="38" spans="1:2" x14ac:dyDescent="0.55000000000000004">
      <c r="A38" s="31" t="s">
        <v>2</v>
      </c>
      <c r="B38" s="27" t="s">
        <v>20</v>
      </c>
    </row>
    <row r="39" spans="1:2" x14ac:dyDescent="0.55000000000000004">
      <c r="A39" s="31" t="s">
        <v>21</v>
      </c>
      <c r="B39" s="28" t="s">
        <v>22</v>
      </c>
    </row>
    <row r="40" spans="1:2" x14ac:dyDescent="0.55000000000000004">
      <c r="A40" s="31" t="s">
        <v>23</v>
      </c>
      <c r="B40" s="27" t="s">
        <v>24</v>
      </c>
    </row>
    <row r="41" spans="1:2" x14ac:dyDescent="0.55000000000000004">
      <c r="A41" s="31" t="s">
        <v>25</v>
      </c>
      <c r="B41" s="27" t="s">
        <v>26</v>
      </c>
    </row>
    <row r="42" spans="1:2" x14ac:dyDescent="0.55000000000000004">
      <c r="A42" s="31" t="s">
        <v>27</v>
      </c>
      <c r="B42" s="28" t="s">
        <v>28</v>
      </c>
    </row>
    <row r="43" spans="1:2" x14ac:dyDescent="0.55000000000000004">
      <c r="A43" s="31" t="s">
        <v>29</v>
      </c>
      <c r="B43" s="27" t="s">
        <v>30</v>
      </c>
    </row>
    <row r="44" spans="1:2" ht="35.15" x14ac:dyDescent="0.55000000000000004">
      <c r="A44" s="36" t="s">
        <v>31</v>
      </c>
      <c r="B44" s="40" t="s">
        <v>51</v>
      </c>
    </row>
    <row r="45" spans="1:2" x14ac:dyDescent="0.55000000000000004">
      <c r="A45" s="31" t="s">
        <v>32</v>
      </c>
      <c r="B45" s="28" t="s">
        <v>33</v>
      </c>
    </row>
    <row r="46" spans="1:2" ht="70" customHeight="1" x14ac:dyDescent="0.55000000000000004">
      <c r="A46" s="32" t="s">
        <v>34</v>
      </c>
      <c r="B46" s="29" t="s">
        <v>35</v>
      </c>
    </row>
    <row r="48" spans="1:2" x14ac:dyDescent="0.55000000000000004">
      <c r="A48" s="30" t="s">
        <v>19</v>
      </c>
      <c r="B48" s="26" t="s">
        <v>56</v>
      </c>
    </row>
    <row r="49" spans="1:2" x14ac:dyDescent="0.55000000000000004">
      <c r="A49" s="31" t="s">
        <v>2</v>
      </c>
      <c r="B49" s="27" t="s">
        <v>20</v>
      </c>
    </row>
    <row r="50" spans="1:2" x14ac:dyDescent="0.55000000000000004">
      <c r="A50" s="31" t="s">
        <v>21</v>
      </c>
      <c r="B50" s="28" t="s">
        <v>22</v>
      </c>
    </row>
    <row r="51" spans="1:2" x14ac:dyDescent="0.55000000000000004">
      <c r="A51" s="31" t="s">
        <v>23</v>
      </c>
      <c r="B51" s="27" t="s">
        <v>24</v>
      </c>
    </row>
    <row r="52" spans="1:2" x14ac:dyDescent="0.55000000000000004">
      <c r="A52" s="31" t="s">
        <v>25</v>
      </c>
      <c r="B52" s="27" t="s">
        <v>26</v>
      </c>
    </row>
    <row r="53" spans="1:2" x14ac:dyDescent="0.55000000000000004">
      <c r="A53" s="31" t="s">
        <v>27</v>
      </c>
      <c r="B53" s="28" t="s">
        <v>28</v>
      </c>
    </row>
    <row r="54" spans="1:2" x14ac:dyDescent="0.55000000000000004">
      <c r="A54" s="31" t="s">
        <v>29</v>
      </c>
      <c r="B54" s="27" t="s">
        <v>30</v>
      </c>
    </row>
    <row r="55" spans="1:2" ht="35.15" x14ac:dyDescent="0.55000000000000004">
      <c r="A55" s="36" t="s">
        <v>31</v>
      </c>
      <c r="B55" s="40" t="s">
        <v>51</v>
      </c>
    </row>
    <row r="56" spans="1:2" x14ac:dyDescent="0.55000000000000004">
      <c r="A56" s="31" t="s">
        <v>32</v>
      </c>
      <c r="B56" s="28" t="s">
        <v>33</v>
      </c>
    </row>
    <row r="57" spans="1:2" ht="70" customHeight="1" x14ac:dyDescent="0.55000000000000004">
      <c r="A57" s="32" t="s">
        <v>34</v>
      </c>
      <c r="B57" s="29" t="s">
        <v>35</v>
      </c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12"/>
  <sheetViews>
    <sheetView tabSelected="1" topLeftCell="B1" zoomScaleNormal="100" zoomScaleSheetLayoutView="90" workbookViewId="0">
      <selection activeCell="R12" sqref="R12"/>
    </sheetView>
  </sheetViews>
  <sheetFormatPr defaultColWidth="8.78515625" defaultRowHeight="17.600000000000001" x14ac:dyDescent="0.55000000000000004"/>
  <cols>
    <col min="1" max="1" width="20.2109375" customWidth="1"/>
    <col min="2" max="2" width="80.78515625" customWidth="1"/>
    <col min="4" max="4" width="8.78515625" bestFit="1" customWidth="1"/>
    <col min="5" max="5" width="4.140625" customWidth="1"/>
    <col min="6" max="19" width="6" customWidth="1"/>
  </cols>
  <sheetData>
    <row r="1" spans="1:19" ht="18" x14ac:dyDescent="0.55000000000000004">
      <c r="A1" s="33" t="s">
        <v>57</v>
      </c>
    </row>
    <row r="2" spans="1:19" ht="19.75" x14ac:dyDescent="0.55000000000000004">
      <c r="A2" s="34" t="s">
        <v>45</v>
      </c>
      <c r="B2" s="10"/>
    </row>
    <row r="3" spans="1:19" x14ac:dyDescent="0.55000000000000004">
      <c r="A3" s="37"/>
    </row>
    <row r="4" spans="1:19" x14ac:dyDescent="0.55000000000000004">
      <c r="A4" s="31" t="s">
        <v>13</v>
      </c>
      <c r="B4" s="31" t="s">
        <v>39</v>
      </c>
      <c r="C4" s="31" t="s">
        <v>0</v>
      </c>
      <c r="D4" s="31" t="s">
        <v>48</v>
      </c>
      <c r="F4" s="31" t="s">
        <v>11</v>
      </c>
      <c r="G4" s="31" t="s">
        <v>6</v>
      </c>
      <c r="H4" s="31" t="s">
        <v>7</v>
      </c>
      <c r="I4" s="31" t="s">
        <v>40</v>
      </c>
      <c r="J4" s="31" t="s">
        <v>36</v>
      </c>
      <c r="K4" s="31" t="s">
        <v>37</v>
      </c>
      <c r="L4" s="31" t="s">
        <v>9</v>
      </c>
      <c r="M4" s="31" t="s">
        <v>12</v>
      </c>
      <c r="N4" s="31" t="s">
        <v>6</v>
      </c>
      <c r="O4" s="31" t="s">
        <v>7</v>
      </c>
      <c r="P4" s="31" t="s">
        <v>8</v>
      </c>
      <c r="Q4" s="31" t="s">
        <v>36</v>
      </c>
      <c r="R4" s="31" t="s">
        <v>37</v>
      </c>
      <c r="S4" s="31" t="s">
        <v>38</v>
      </c>
    </row>
    <row r="5" spans="1:19" ht="48.55" customHeight="1" x14ac:dyDescent="0.55000000000000004">
      <c r="A5" s="7" t="s">
        <v>1</v>
      </c>
      <c r="B5" s="8" t="s">
        <v>4</v>
      </c>
      <c r="C5" s="19" t="s">
        <v>3</v>
      </c>
      <c r="D5" s="20">
        <v>1</v>
      </c>
      <c r="F5" s="15">
        <f>AVERAGE(G5:L5)</f>
        <v>2.2000000000000002</v>
      </c>
      <c r="G5" s="12">
        <v>3</v>
      </c>
      <c r="H5" s="12">
        <v>1</v>
      </c>
      <c r="I5" s="12">
        <v>3</v>
      </c>
      <c r="J5" s="12">
        <v>1</v>
      </c>
      <c r="K5" s="12">
        <v>3</v>
      </c>
      <c r="L5" s="12"/>
      <c r="M5" s="15">
        <f>AVERAGE(N5:S5)</f>
        <v>2</v>
      </c>
      <c r="N5" s="12">
        <v>3</v>
      </c>
      <c r="O5" s="12">
        <v>3</v>
      </c>
      <c r="P5" s="12">
        <v>2</v>
      </c>
      <c r="Q5" s="12">
        <v>1</v>
      </c>
      <c r="R5" s="12">
        <v>1</v>
      </c>
      <c r="S5" s="12"/>
    </row>
    <row r="6" spans="1:19" ht="48.55" customHeight="1" x14ac:dyDescent="0.55000000000000004">
      <c r="A6" s="2"/>
      <c r="B6" s="1"/>
      <c r="C6" s="12"/>
      <c r="D6" s="21"/>
      <c r="F6" s="15">
        <f t="shared" ref="F6:F9" si="0">AVERAGE(G6:L6)</f>
        <v>2</v>
      </c>
      <c r="G6" s="12">
        <v>3</v>
      </c>
      <c r="H6" s="12">
        <v>3</v>
      </c>
      <c r="I6" s="12">
        <v>2</v>
      </c>
      <c r="J6" s="12">
        <v>1</v>
      </c>
      <c r="K6" s="12">
        <v>1</v>
      </c>
      <c r="L6" s="12"/>
      <c r="M6" s="15">
        <f t="shared" ref="M6:M9" si="1">AVERAGE(N6:S6)</f>
        <v>2.4</v>
      </c>
      <c r="N6" s="12">
        <v>2</v>
      </c>
      <c r="O6" s="12">
        <v>3</v>
      </c>
      <c r="P6" s="12">
        <v>3</v>
      </c>
      <c r="Q6" s="12">
        <v>1</v>
      </c>
      <c r="R6" s="12">
        <v>3</v>
      </c>
      <c r="S6" s="12"/>
    </row>
    <row r="7" spans="1:19" ht="48.55" customHeight="1" x14ac:dyDescent="0.55000000000000004">
      <c r="A7" s="2"/>
      <c r="B7" s="1"/>
      <c r="C7" s="12"/>
      <c r="D7" s="21"/>
      <c r="F7" s="15">
        <f t="shared" si="0"/>
        <v>2.4</v>
      </c>
      <c r="G7" s="12">
        <v>2</v>
      </c>
      <c r="H7" s="12">
        <v>3</v>
      </c>
      <c r="I7" s="12">
        <v>3</v>
      </c>
      <c r="J7" s="12">
        <v>1</v>
      </c>
      <c r="K7" s="12">
        <v>3</v>
      </c>
      <c r="L7" s="12"/>
      <c r="M7" s="15">
        <f t="shared" si="1"/>
        <v>2</v>
      </c>
      <c r="N7" s="12">
        <v>1</v>
      </c>
      <c r="O7" s="12">
        <v>3</v>
      </c>
      <c r="P7" s="12">
        <v>2</v>
      </c>
      <c r="Q7" s="12">
        <v>1</v>
      </c>
      <c r="R7" s="12">
        <v>3</v>
      </c>
      <c r="S7" s="12"/>
    </row>
    <row r="8" spans="1:19" ht="48.55" customHeight="1" x14ac:dyDescent="0.55000000000000004">
      <c r="A8" s="13"/>
      <c r="B8" s="14"/>
      <c r="C8" s="22"/>
      <c r="D8" s="23"/>
      <c r="F8" s="15">
        <f t="shared" si="0"/>
        <v>2</v>
      </c>
      <c r="G8" s="12">
        <v>1</v>
      </c>
      <c r="H8" s="12">
        <v>3</v>
      </c>
      <c r="I8" s="12">
        <v>2</v>
      </c>
      <c r="J8" s="12">
        <v>1</v>
      </c>
      <c r="K8" s="12">
        <v>3</v>
      </c>
      <c r="L8" s="12"/>
      <c r="M8" s="15">
        <f t="shared" si="1"/>
        <v>1.4</v>
      </c>
      <c r="N8" s="12">
        <v>1</v>
      </c>
      <c r="O8" s="12">
        <v>2</v>
      </c>
      <c r="P8" s="12">
        <v>2</v>
      </c>
      <c r="Q8" s="12">
        <v>1</v>
      </c>
      <c r="R8" s="12">
        <v>1</v>
      </c>
      <c r="S8" s="12"/>
    </row>
    <row r="9" spans="1:19" ht="48.55" customHeight="1" thickBot="1" x14ac:dyDescent="0.6">
      <c r="A9" s="4"/>
      <c r="B9" s="5"/>
      <c r="C9" s="24"/>
      <c r="D9" s="25"/>
      <c r="F9" s="15">
        <f t="shared" si="0"/>
        <v>1.4</v>
      </c>
      <c r="G9" s="12">
        <v>1</v>
      </c>
      <c r="H9" s="12">
        <v>2</v>
      </c>
      <c r="I9" s="12">
        <v>2</v>
      </c>
      <c r="J9" s="12">
        <v>1</v>
      </c>
      <c r="K9" s="12">
        <v>1</v>
      </c>
      <c r="L9" s="12"/>
      <c r="M9" s="15">
        <f t="shared" si="1"/>
        <v>2.2000000000000002</v>
      </c>
      <c r="N9" s="12">
        <v>3</v>
      </c>
      <c r="O9" s="12">
        <v>1</v>
      </c>
      <c r="P9" s="12">
        <v>3</v>
      </c>
      <c r="Q9" s="12">
        <v>1</v>
      </c>
      <c r="R9" s="12">
        <v>3</v>
      </c>
      <c r="S9" s="12"/>
    </row>
    <row r="10" spans="1:19" x14ac:dyDescent="0.55000000000000004">
      <c r="F10" s="38" t="s">
        <v>58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spans="1:19" x14ac:dyDescent="0.55000000000000004">
      <c r="F11" s="38" t="s">
        <v>59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spans="1:19" x14ac:dyDescent="0.55000000000000004">
      <c r="F12" s="38" t="s">
        <v>49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Ex3.1 (Raw QAS)</vt:lpstr>
      <vt:lpstr>Ex3.2 (QAS)</vt:lpstr>
      <vt:lpstr>Ex3.3 (Utility Tree)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hrkim</dc:creator>
  <cp:lastModifiedBy>고경호</cp:lastModifiedBy>
  <cp:revision>6</cp:revision>
  <dcterms:created xsi:type="dcterms:W3CDTF">2025-02-04T03:32:25Z</dcterms:created>
  <dcterms:modified xsi:type="dcterms:W3CDTF">2025-06-11T08:32:10Z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F1C1BA8A05491BE37928C6F6B8A72BE5F5B2BD92A63A6769261103D7F0C5FE520368E7F57A20D982F327D7FD36D9BB147011CE19AAC702C5BE64D690F01EDBF3</vt:lpwstr>
  </property>
</Properties>
</file>